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614010" sheetId="157" r:id="rId4"/>
    <sheet name="tables_614010" sheetId="158" r:id="rId5"/>
    <sheet name="input_614100" sheetId="153" r:id="rId6"/>
    <sheet name="tables_614100" sheetId="154" r:id="rId7"/>
    <sheet name="input_settle_614100" sheetId="160" r:id="rId8"/>
    <sheet name="tables_settle_614100" sheetId="161" r:id="rId9"/>
    <sheet name="tables_settle_614105" sheetId="164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tables_614010!$A$1:$V$346</definedName>
    <definedName name="_xlnm._FilterDatabase" localSheetId="6" hidden="1">tables_614100!$A$1:$V$365</definedName>
    <definedName name="_xlnm._FilterDatabase" localSheetId="8" hidden="1">tables_settle_614100!$A$1:$V$365</definedName>
    <definedName name="_xlnm._FilterDatabase" localSheetId="9" hidden="1">tables_settle_614105!$A$1:$V$4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64" l="1"/>
  <c r="D3" i="164"/>
  <c r="J3" i="164"/>
  <c r="E3" i="164"/>
  <c r="F3" i="164"/>
  <c r="C3" i="164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C356" i="161"/>
  <c r="I357" i="161"/>
  <c r="D357" i="161"/>
  <c r="J357" i="161"/>
  <c r="E357" i="161"/>
  <c r="C357" i="161"/>
  <c r="I358" i="161"/>
  <c r="D358" i="161"/>
  <c r="J358" i="161"/>
  <c r="E358" i="161"/>
  <c r="C358" i="161"/>
  <c r="I359" i="161"/>
  <c r="D359" i="161"/>
  <c r="J359" i="161"/>
  <c r="E359" i="161"/>
  <c r="C359" i="161"/>
  <c r="I360" i="161"/>
  <c r="D360" i="161"/>
  <c r="J360" i="161"/>
  <c r="E360" i="161"/>
  <c r="C360" i="161"/>
  <c r="I361" i="161"/>
  <c r="D361" i="161"/>
  <c r="J361" i="161"/>
  <c r="E361" i="161"/>
  <c r="F361" i="161"/>
  <c r="C361" i="161"/>
  <c r="I362" i="161"/>
  <c r="D362" i="161"/>
  <c r="J362" i="161"/>
  <c r="E362" i="161"/>
  <c r="F362" i="161"/>
  <c r="C362" i="161"/>
  <c r="I363" i="161"/>
  <c r="D363" i="161"/>
  <c r="J363" i="161"/>
  <c r="E363" i="161"/>
  <c r="F363" i="161"/>
  <c r="C363" i="161"/>
  <c r="I364" i="161"/>
  <c r="D364" i="161"/>
  <c r="J364" i="161"/>
  <c r="E364" i="161"/>
  <c r="F364" i="161"/>
  <c r="C364" i="161"/>
  <c r="I365" i="161"/>
  <c r="D365" i="161"/>
  <c r="J365" i="161"/>
  <c r="E365" i="161"/>
  <c r="F365" i="161"/>
  <c r="C365" i="161"/>
  <c r="F6" i="160"/>
  <c r="E6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6" i="160"/>
  <c r="B26" i="160"/>
  <c r="E23" i="160"/>
  <c r="B23" i="160"/>
  <c r="I42" i="154"/>
  <c r="D42" i="154"/>
  <c r="I215" i="154"/>
  <c r="J215" i="154"/>
  <c r="D215" i="154"/>
  <c r="E215" i="154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F348" i="161"/>
  <c r="F349" i="161"/>
  <c r="F350" i="161"/>
  <c r="F351" i="161"/>
  <c r="F352" i="161"/>
  <c r="F353" i="161"/>
  <c r="F354" i="161"/>
  <c r="F355" i="161"/>
  <c r="F356" i="161"/>
  <c r="F357" i="161"/>
  <c r="F358" i="161"/>
  <c r="F359" i="161"/>
  <c r="F360" i="161"/>
  <c r="F5" i="160"/>
  <c r="A37" i="160"/>
  <c r="R3" i="160"/>
  <c r="A2" i="160"/>
  <c r="E30" i="160"/>
  <c r="E5" i="160"/>
  <c r="B30" i="160"/>
  <c r="G30" i="160"/>
  <c r="H30" i="160"/>
  <c r="O361" i="161"/>
  <c r="R4" i="160"/>
  <c r="O362" i="161"/>
  <c r="R5" i="160"/>
  <c r="O363" i="161"/>
  <c r="F44" i="160"/>
  <c r="G44" i="160"/>
  <c r="B32" i="160"/>
  <c r="B31" i="160"/>
  <c r="E29" i="160"/>
  <c r="B29" i="160"/>
  <c r="E28" i="160"/>
  <c r="B28" i="160"/>
  <c r="E27" i="160"/>
  <c r="B27" i="160"/>
  <c r="E25" i="160"/>
  <c r="B25" i="160"/>
  <c r="E24" i="160"/>
  <c r="B24" i="160"/>
  <c r="C23" i="160"/>
  <c r="C30" i="160"/>
  <c r="B21" i="160"/>
  <c r="E20" i="160"/>
  <c r="B20" i="160"/>
  <c r="E19" i="160"/>
  <c r="B19" i="160"/>
  <c r="B17" i="160"/>
  <c r="D30" i="160"/>
  <c r="F30" i="160"/>
  <c r="I30" i="160"/>
  <c r="J30" i="160"/>
  <c r="H363" i="161"/>
  <c r="K363" i="161"/>
  <c r="L363" i="161"/>
  <c r="M363" i="161"/>
  <c r="N363" i="161"/>
  <c r="G17" i="160"/>
  <c r="E17" i="160"/>
  <c r="H17" i="160"/>
  <c r="O2" i="161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59" i="161"/>
  <c r="O360" i="161"/>
  <c r="R6" i="160"/>
  <c r="O364" i="161"/>
  <c r="R7" i="160"/>
  <c r="O365" i="161"/>
  <c r="P363" i="161"/>
  <c r="H364" i="161"/>
  <c r="K364" i="161"/>
  <c r="L364" i="161"/>
  <c r="M364" i="161"/>
  <c r="N364" i="161"/>
  <c r="P364" i="161"/>
  <c r="H365" i="161"/>
  <c r="K365" i="161"/>
  <c r="L365" i="161"/>
  <c r="M365" i="161"/>
  <c r="N365" i="161"/>
  <c r="P365" i="161"/>
  <c r="H362" i="161"/>
  <c r="K362" i="161"/>
  <c r="L362" i="161"/>
  <c r="M362" i="161"/>
  <c r="N362" i="161"/>
  <c r="P362" i="161"/>
  <c r="A363" i="161"/>
  <c r="A364" i="161"/>
  <c r="A365" i="161"/>
  <c r="A362" i="161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362" i="154"/>
  <c r="D362" i="154"/>
  <c r="J362" i="154"/>
  <c r="E362" i="154"/>
  <c r="F362" i="154"/>
  <c r="C362" i="154"/>
  <c r="I363" i="154"/>
  <c r="D363" i="154"/>
  <c r="J363" i="154"/>
  <c r="E363" i="154"/>
  <c r="F363" i="154"/>
  <c r="C363" i="154"/>
  <c r="I364" i="154"/>
  <c r="D364" i="154"/>
  <c r="J364" i="154"/>
  <c r="E364" i="154"/>
  <c r="F364" i="154"/>
  <c r="C364" i="154"/>
  <c r="I365" i="154"/>
  <c r="D365" i="154"/>
  <c r="J365" i="154"/>
  <c r="E365" i="154"/>
  <c r="F365" i="154"/>
  <c r="C365" i="154"/>
  <c r="F5" i="153"/>
  <c r="F6" i="153"/>
  <c r="A37" i="153"/>
  <c r="R3" i="153"/>
  <c r="A2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0" i="153"/>
  <c r="E5" i="153"/>
  <c r="B30" i="153"/>
  <c r="G30" i="153"/>
  <c r="H30" i="153"/>
  <c r="O361" i="154"/>
  <c r="R4" i="153"/>
  <c r="O362" i="154"/>
  <c r="R5" i="153"/>
  <c r="O363" i="154"/>
  <c r="F44" i="153"/>
  <c r="G44" i="153"/>
  <c r="E6" i="153"/>
  <c r="E26" i="153"/>
  <c r="B26" i="153"/>
  <c r="G26" i="153"/>
  <c r="H26" i="153"/>
  <c r="O44" i="154"/>
  <c r="O47" i="154"/>
  <c r="O50" i="154"/>
  <c r="E23" i="153"/>
  <c r="B23" i="153"/>
  <c r="E28" i="153"/>
  <c r="B28" i="153"/>
  <c r="E29" i="153"/>
  <c r="B29" i="153"/>
  <c r="C23" i="153"/>
  <c r="C30" i="153"/>
  <c r="B21" i="153"/>
  <c r="G21" i="153"/>
  <c r="E21" i="153"/>
  <c r="H21" i="153"/>
  <c r="O53" i="154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O45" i="154"/>
  <c r="O46" i="154"/>
  <c r="O48" i="154"/>
  <c r="O49" i="154"/>
  <c r="G19" i="153"/>
  <c r="H19" i="153"/>
  <c r="O51" i="154"/>
  <c r="G20" i="153"/>
  <c r="H20" i="153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59" i="154"/>
  <c r="O360" i="154"/>
  <c r="R6" i="153"/>
  <c r="O364" i="154"/>
  <c r="R7" i="153"/>
  <c r="O365" i="154"/>
  <c r="D30" i="153"/>
  <c r="F30" i="153"/>
  <c r="I30" i="153"/>
  <c r="J30" i="153"/>
  <c r="H363" i="154"/>
  <c r="K363" i="154"/>
  <c r="L363" i="154"/>
  <c r="M363" i="154"/>
  <c r="N363" i="154"/>
  <c r="P363" i="154"/>
  <c r="H364" i="154"/>
  <c r="K364" i="154"/>
  <c r="L364" i="154"/>
  <c r="M364" i="154"/>
  <c r="N364" i="154"/>
  <c r="P364" i="154"/>
  <c r="H365" i="154"/>
  <c r="K365" i="154"/>
  <c r="L365" i="154"/>
  <c r="M365" i="154"/>
  <c r="N365" i="154"/>
  <c r="P365" i="154"/>
  <c r="H362" i="154"/>
  <c r="K362" i="154"/>
  <c r="L362" i="154"/>
  <c r="M362" i="154"/>
  <c r="N362" i="154"/>
  <c r="P362" i="154"/>
  <c r="A363" i="154"/>
  <c r="A364" i="154"/>
  <c r="A365" i="154"/>
  <c r="A362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I359" i="158"/>
  <c r="D359" i="158"/>
  <c r="J359" i="158"/>
  <c r="E359" i="158"/>
  <c r="C359" i="158"/>
  <c r="I360" i="158"/>
  <c r="D360" i="158"/>
  <c r="J360" i="158"/>
  <c r="E360" i="158"/>
  <c r="C360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I363" i="158"/>
  <c r="D363" i="158"/>
  <c r="J363" i="158"/>
  <c r="E363" i="158"/>
  <c r="F363" i="158"/>
  <c r="C363" i="158"/>
  <c r="I364" i="158"/>
  <c r="D364" i="158"/>
  <c r="J364" i="158"/>
  <c r="E364" i="158"/>
  <c r="C364" i="158"/>
  <c r="I365" i="158"/>
  <c r="D365" i="158"/>
  <c r="J365" i="158"/>
  <c r="E365" i="158"/>
  <c r="C365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B22" i="157"/>
  <c r="E20" i="157"/>
  <c r="B20" i="157"/>
  <c r="E25" i="157"/>
  <c r="B25" i="157"/>
  <c r="F5" i="157"/>
  <c r="E5" i="157"/>
  <c r="E27" i="157"/>
  <c r="B27" i="157"/>
  <c r="B18" i="157"/>
  <c r="A37" i="157"/>
  <c r="R3" i="157"/>
  <c r="A2" i="157"/>
  <c r="E30" i="157"/>
  <c r="B30" i="157"/>
  <c r="G30" i="157"/>
  <c r="H30" i="157"/>
  <c r="O361" i="158"/>
  <c r="R4" i="157"/>
  <c r="O362" i="158"/>
  <c r="R5" i="157"/>
  <c r="O363" i="158"/>
  <c r="F44" i="157"/>
  <c r="G44" i="157"/>
  <c r="E26" i="157"/>
  <c r="B26" i="157"/>
  <c r="E23" i="157"/>
  <c r="B23" i="157"/>
  <c r="E28" i="157"/>
  <c r="B28" i="157"/>
  <c r="E29" i="157"/>
  <c r="B29" i="157"/>
  <c r="C23" i="157"/>
  <c r="C30" i="157"/>
  <c r="B21" i="157"/>
  <c r="D30" i="157"/>
  <c r="F30" i="157"/>
  <c r="I30" i="157"/>
  <c r="J30" i="157"/>
  <c r="B10" i="157"/>
  <c r="B32" i="157"/>
  <c r="B6" i="157"/>
  <c r="B31" i="157"/>
  <c r="F365" i="158"/>
  <c r="H365" i="158"/>
  <c r="K365" i="158"/>
  <c r="L365" i="158"/>
  <c r="M365" i="158"/>
  <c r="N365" i="158"/>
  <c r="G23" i="157"/>
  <c r="H23" i="157"/>
  <c r="R7" i="157"/>
  <c r="O365" i="158"/>
  <c r="E19" i="157"/>
  <c r="B19" i="157"/>
  <c r="E24" i="157"/>
  <c r="B24" i="157"/>
  <c r="B17" i="157"/>
  <c r="G17" i="157"/>
  <c r="E17" i="157"/>
  <c r="H17" i="157"/>
  <c r="O2" i="158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R6" i="157"/>
  <c r="O364" i="158"/>
  <c r="P365" i="158"/>
  <c r="F364" i="158"/>
  <c r="H364" i="158"/>
  <c r="K364" i="158"/>
  <c r="L364" i="158"/>
  <c r="M364" i="158"/>
  <c r="N364" i="158"/>
  <c r="P364" i="158"/>
  <c r="A365" i="158"/>
  <c r="A364" i="158"/>
  <c r="H363" i="158"/>
  <c r="K363" i="158"/>
  <c r="L363" i="158"/>
  <c r="M363" i="158"/>
  <c r="N363" i="158"/>
  <c r="P363" i="158"/>
  <c r="H362" i="158"/>
  <c r="K362" i="158"/>
  <c r="L362" i="158"/>
  <c r="M362" i="158"/>
  <c r="N362" i="158"/>
  <c r="P362" i="158"/>
  <c r="A363" i="158"/>
  <c r="A362" i="158"/>
  <c r="I2" i="164"/>
  <c r="J2" i="164"/>
  <c r="D2" i="164"/>
  <c r="E2" i="164"/>
  <c r="F2" i="164"/>
  <c r="C2" i="164"/>
  <c r="I4" i="164"/>
  <c r="J4" i="164"/>
  <c r="D4" i="164"/>
  <c r="E4" i="164"/>
  <c r="F4" i="164"/>
  <c r="C4" i="164"/>
  <c r="P4" i="164"/>
  <c r="N4" i="164"/>
  <c r="M4" i="164"/>
  <c r="L4" i="164"/>
  <c r="K4" i="164"/>
  <c r="H4" i="164"/>
  <c r="P3" i="164"/>
  <c r="N3" i="164"/>
  <c r="M3" i="164"/>
  <c r="L3" i="164"/>
  <c r="K3" i="164"/>
  <c r="H3" i="164"/>
  <c r="P2" i="164"/>
  <c r="N2" i="164"/>
  <c r="M2" i="164"/>
  <c r="L2" i="164"/>
  <c r="K2" i="164"/>
  <c r="H2" i="164"/>
  <c r="B10" i="153"/>
  <c r="B32" i="153"/>
  <c r="B10" i="160"/>
  <c r="C5" i="103"/>
  <c r="E5" i="103"/>
  <c r="H359" i="154"/>
  <c r="K359" i="154"/>
  <c r="L359" i="154"/>
  <c r="M359" i="154"/>
  <c r="N359" i="154"/>
  <c r="B6" i="153"/>
  <c r="G32" i="153"/>
  <c r="E32" i="153"/>
  <c r="H32" i="153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58" i="154"/>
  <c r="K358" i="154"/>
  <c r="L358" i="154"/>
  <c r="M358" i="154"/>
  <c r="N358" i="154"/>
  <c r="P358" i="154"/>
  <c r="A359" i="154"/>
  <c r="A360" i="154"/>
  <c r="A361" i="154"/>
  <c r="A358" i="154"/>
  <c r="H359" i="161"/>
  <c r="K359" i="161"/>
  <c r="L359" i="161"/>
  <c r="M359" i="161"/>
  <c r="N359" i="161"/>
  <c r="G32" i="160"/>
  <c r="E32" i="160"/>
  <c r="H32" i="160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58" i="161"/>
  <c r="K358" i="161"/>
  <c r="L358" i="161"/>
  <c r="M358" i="161"/>
  <c r="N358" i="161"/>
  <c r="P358" i="161"/>
  <c r="A359" i="161"/>
  <c r="A360" i="161"/>
  <c r="A361" i="161"/>
  <c r="A358" i="161"/>
  <c r="F357" i="158"/>
  <c r="H357" i="158"/>
  <c r="K357" i="158"/>
  <c r="L357" i="158"/>
  <c r="M357" i="158"/>
  <c r="N357" i="158"/>
  <c r="F358" i="158"/>
  <c r="F359" i="158"/>
  <c r="F360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F356" i="158"/>
  <c r="G32" i="157"/>
  <c r="E32" i="157"/>
  <c r="H32" i="157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P356" i="161"/>
  <c r="P357" i="161"/>
  <c r="F51" i="160"/>
  <c r="P356" i="154"/>
  <c r="P357" i="154"/>
  <c r="F51" i="153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F51" i="157"/>
  <c r="H348" i="161"/>
  <c r="K348" i="161"/>
  <c r="L348" i="161"/>
  <c r="M348" i="161"/>
  <c r="N348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50" i="160"/>
  <c r="F49" i="160"/>
  <c r="F48" i="160"/>
  <c r="B41" i="160"/>
  <c r="B42" i="160"/>
  <c r="B43" i="160"/>
  <c r="B44" i="160"/>
  <c r="B45" i="160"/>
  <c r="B46" i="160"/>
  <c r="B47" i="160"/>
  <c r="B48" i="160"/>
  <c r="C41" i="160"/>
  <c r="C42" i="160"/>
  <c r="C43" i="160"/>
  <c r="C44" i="160"/>
  <c r="C45" i="160"/>
  <c r="C46" i="160"/>
  <c r="C47" i="160"/>
  <c r="C48" i="160"/>
  <c r="F47" i="160"/>
  <c r="F46" i="160"/>
  <c r="F43" i="160"/>
  <c r="G43" i="160"/>
  <c r="F42" i="160"/>
  <c r="G42" i="160"/>
  <c r="F41" i="160"/>
  <c r="G41" i="160"/>
  <c r="F35" i="160"/>
  <c r="B33" i="160"/>
  <c r="C19" i="160"/>
  <c r="C20" i="160"/>
  <c r="C21" i="160"/>
  <c r="C22" i="160"/>
  <c r="C24" i="160"/>
  <c r="C25" i="160"/>
  <c r="C26" i="160"/>
  <c r="C27" i="160"/>
  <c r="C28" i="160"/>
  <c r="C29" i="160"/>
  <c r="C31" i="160"/>
  <c r="C32" i="160"/>
  <c r="C33" i="160"/>
  <c r="D33" i="160"/>
  <c r="I32" i="160"/>
  <c r="J32" i="160"/>
  <c r="F32" i="160"/>
  <c r="D32" i="160"/>
  <c r="G31" i="160"/>
  <c r="E31" i="160"/>
  <c r="H31" i="160"/>
  <c r="I31" i="160"/>
  <c r="J31" i="160"/>
  <c r="F31" i="160"/>
  <c r="D31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P7" i="160"/>
  <c r="O7" i="160"/>
  <c r="M7" i="160"/>
  <c r="V6" i="160"/>
  <c r="P6" i="160"/>
  <c r="O6" i="160"/>
  <c r="M6" i="160"/>
  <c r="V5" i="160"/>
  <c r="P5" i="160"/>
  <c r="O5" i="160"/>
  <c r="M5" i="160"/>
  <c r="V4" i="160"/>
  <c r="P4" i="160"/>
  <c r="O4" i="160"/>
  <c r="M4" i="160"/>
  <c r="V3" i="160"/>
  <c r="P3" i="160"/>
  <c r="O3" i="160"/>
  <c r="M3" i="160"/>
  <c r="V2" i="160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9" i="153"/>
  <c r="F50" i="153"/>
  <c r="F42" i="153"/>
  <c r="G42" i="153"/>
  <c r="B31" i="153"/>
  <c r="F49" i="157"/>
  <c r="F50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2" i="157"/>
  <c r="G42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3" i="153"/>
  <c r="G43" i="153"/>
  <c r="F43" i="157"/>
  <c r="G43" i="157"/>
  <c r="C19" i="157"/>
  <c r="C20" i="157"/>
  <c r="C21" i="157"/>
  <c r="C22" i="157"/>
  <c r="C24" i="157"/>
  <c r="C25" i="157"/>
  <c r="C26" i="157"/>
  <c r="C27" i="157"/>
  <c r="C28" i="157"/>
  <c r="C29" i="157"/>
  <c r="C31" i="157"/>
  <c r="C32" i="157"/>
  <c r="C33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1" i="157"/>
  <c r="G31" i="157"/>
  <c r="H31" i="157"/>
  <c r="F48" i="157"/>
  <c r="B41" i="157"/>
  <c r="B42" i="157"/>
  <c r="B43" i="157"/>
  <c r="B44" i="157"/>
  <c r="B45" i="157"/>
  <c r="B46" i="157"/>
  <c r="B47" i="157"/>
  <c r="B48" i="157"/>
  <c r="C41" i="157"/>
  <c r="C42" i="157"/>
  <c r="C43" i="157"/>
  <c r="C44" i="157"/>
  <c r="C45" i="157"/>
  <c r="C46" i="157"/>
  <c r="C47" i="157"/>
  <c r="C48" i="157"/>
  <c r="F47" i="157"/>
  <c r="F46" i="157"/>
  <c r="F41" i="157"/>
  <c r="G41" i="157"/>
  <c r="B33" i="157"/>
  <c r="D33" i="157"/>
  <c r="I32" i="157"/>
  <c r="J32" i="157"/>
  <c r="F32" i="157"/>
  <c r="D32" i="157"/>
  <c r="I31" i="157"/>
  <c r="J31" i="157"/>
  <c r="F31" i="157"/>
  <c r="D31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1" i="153"/>
  <c r="B43" i="153"/>
  <c r="B44" i="153"/>
  <c r="B45" i="153"/>
  <c r="B46" i="153"/>
  <c r="B47" i="153"/>
  <c r="F41" i="153"/>
  <c r="G41" i="153"/>
  <c r="C19" i="153"/>
  <c r="C20" i="153"/>
  <c r="C21" i="153"/>
  <c r="C22" i="153"/>
  <c r="C24" i="153"/>
  <c r="C25" i="153"/>
  <c r="C26" i="153"/>
  <c r="C27" i="153"/>
  <c r="C28" i="153"/>
  <c r="C29" i="153"/>
  <c r="C31" i="153"/>
  <c r="C32" i="153"/>
  <c r="C33" i="153"/>
  <c r="I32" i="153"/>
  <c r="J32" i="153"/>
  <c r="F32" i="153"/>
  <c r="D32" i="153"/>
  <c r="I31" i="153"/>
  <c r="J31" i="153"/>
  <c r="F31" i="153"/>
  <c r="D31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3" i="153"/>
  <c r="D33" i="153"/>
  <c r="F46" i="153"/>
  <c r="F47" i="153"/>
  <c r="B42" i="153"/>
  <c r="B48" i="153"/>
  <c r="C41" i="153"/>
  <c r="C42" i="153"/>
  <c r="C43" i="153"/>
  <c r="C44" i="153"/>
  <c r="C45" i="153"/>
  <c r="C46" i="153"/>
  <c r="C47" i="153"/>
  <c r="C48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<sst xmlns="http://schemas.openxmlformats.org/spreadsheetml/2006/main" count="668" uniqueCount="260">
  <si>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</si>
  <si>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</si>
  <si>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</si>
  <si>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</si>
  <si>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</si>
  <si>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</si>
  <si>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</si>
  <si>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</si>
  <si>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</si>
  <si>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</si>
  <si>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</si>
  <si>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</si>
  <si>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</si>
  <si>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</si>
  <si>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</si>
  <si>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</si>
  <si>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</si>
  <si>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</si>
  <si>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</si>
  <si>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</si>
  <si>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</si>
  <si>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</si>
  <si>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</si>
  <si>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</si>
  <si>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</si>
  <si>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</si>
  <si>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</si>
  <si>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</si>
  <si>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</si>
  <si>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</si>
  <si>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</si>
  <si>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</si>
  <si>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</si>
  <si>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</si>
  <si>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</si>
  <si>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</si>
  <si>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</si>
  <si>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</si>
  <si>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</si>
  <si>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</si>
  <si>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</si>
  <si>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</si>
  <si>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</si>
  <si>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</si>
  <si>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</si>
  <si>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</si>
  <si>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</si>
  <si>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</si>
  <si>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</si>
  <si>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</si>
  <si>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</si>
  <si>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</si>
  <si>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</si>
  <si>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</si>
  <si>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</si>
  <si>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</si>
  <si>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</si>
  <si>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</si>
  <si>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</si>
  <si>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</si>
  <si>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</si>
  <si>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</si>
  <si>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</si>
  <si>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</si>
  <si>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</si>
  <si>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</si>
  <si>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</si>
  <si>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</si>
  <si>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</si>
  <si>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</si>
  <si>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</si>
  <si>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</si>
  <si>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</si>
  <si>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</si>
  <si>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</si>
  <si>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</si>
  <si>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</si>
  <si>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</si>
  <si>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</si>
  <si>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</si>
  <si>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</si>
  <si>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</si>
  <si>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</si>
  <si>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</si>
  <si>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</si>
  <si>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</si>
  <si>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</si>
  <si>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</si>
  <si>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</si>
  <si>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</si>
  <si>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</si>
  <si>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</si>
  <si>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</si>
  <si>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</si>
  <si>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</si>
  <si>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</si>
  <si>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</si>
  <si>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</si>
  <si>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</si>
  <si>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</si>
  <si>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</si>
  <si>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</si>
  <si>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</si>
  <si>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</si>
  <si>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</si>
  <si>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</si>
  <si>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</si>
  <si>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</si>
  <si>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</si>
  <si>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</si>
  <si>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</si>
  <si>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</si>
  <si>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</si>
  <si>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</si>
  <si>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</si>
  <si>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</si>
  <si>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</si>
  <si>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</si>
  <si>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</si>
  <si>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</si>
  <si>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</si>
  <si>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</si>
  <si>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</si>
  <si>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</si>
  <si>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</si>
  <si>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</si>
  <si>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</si>
  <si>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</si>
  <si>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</si>
  <si>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</si>
  <si>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</si>
  <si>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</si>
  <si>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</si>
  <si>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</si>
  <si>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</si>
  <si>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</si>
  <si>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</si>
  <si>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</si>
  <si>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</si>
  <si>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</si>
  <si>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</si>
  <si>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</si>
  <si>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</si>
  <si>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</si>
  <si>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</si>
  <si>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</si>
  <si>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</si>
  <si>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</si>
  <si>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</si>
  <si>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</si>
  <si>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</si>
  <si>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</si>
  <si>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</si>
  <si>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</si>
  <si>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</si>
  <si>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</si>
  <si>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</si>
  <si>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</si>
  <si>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</si>
  <si>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</si>
  <si>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</si>
  <si>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</si>
  <si>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</si>
  <si>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</si>
  <si>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</si>
  <si>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</si>
  <si>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</si>
  <si>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</si>
  <si>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</si>
  <si>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</si>
  <si>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</si>
  <si>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</si>
  <si>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</si>
  <si>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</si>
  <si>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</si>
  <si>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</si>
  <si>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</si>
  <si>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</si>
  <si>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</si>
  <si>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</si>
  <si>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</si>
  <si>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</si>
  <si>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</si>
  <si>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</si>
  <si>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</si>
  <si>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</si>
  <si>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</si>
  <si>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</si>
  <si>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</si>
  <si>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</si>
  <si>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</si>
  <si>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</si>
  <si>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</si>
  <si>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</si>
  <si>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</si>
  <si>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</si>
  <si>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</si>
  <si>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</si>
  <si>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</si>
  <si>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</si>
  <si>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</si>
  <si>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</si>
  <si>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</si>
  <si>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</si>
  <si>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</si>
  <si>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</si>
  <si>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</si>
  <si>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</si>
  <si>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</si>
  <si>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</si>
  <si>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</si>
  <si>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</si>
  <si>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</si>
  <si>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</si>
  <si>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</si>
  <si>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</si>
  <si>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</si>
  <si>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</si>
  <si>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</si>
  <si>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</si>
  <si>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</si>
  <si>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</si>
  <si>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</si>
  <si>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</si>
  <si>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</si>
  <si>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</si>
  <si>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</si>
  <si>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</si>
  <si>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</si>
  <si>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</si>
  <si>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</si>
  <si>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</si>
  <si>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</si>
  <si>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</si>
  <si>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</si>
  <si>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</si>
  <si>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</si>
  <si>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</si>
  <si>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</si>
  <si>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</si>
  <si>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</si>
  <si>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</si>
  <si>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</si>
  <si>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</si>
  <si>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</si>
  <si>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</si>
  <si>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</si>
  <si>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</si>
  <si>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</si>
  <si>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</si>
  <si>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</si>
  <si>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</si>
  <si>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</si>
  <si>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</si>
  <si>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</si>
  <si>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PremiumSS6R5only</t>
    <phoneticPr fontId="21"/>
  </si>
  <si>
    <t>tables_614010</t>
    <phoneticPr fontId="21"/>
  </si>
  <si>
    <t>tables_614100</t>
    <phoneticPr fontId="21"/>
  </si>
  <si>
    <t>tables_settle_614100</t>
    <phoneticPr fontId="21"/>
  </si>
  <si>
    <t>tables_settle_614105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</si>
</sst>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outline/>
      <sz val="10"/>
      <color theme="1"/>
      <name val="ＭＳ Ｐゴシック"/>
      <family val="3"/>
      <charset val="128"/>
      <scheme val="minor"/>
    </font>
    <font>
      <outline/>
      <sz val="10"/>
      <name val="ＭＳ Ｐゴシック"/>
      <family val="3"/>
      <charset val="128"/>
    </font>
    <font>
      <outline/>
      <sz val="10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7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59" fillId="3" borderId="1" xfId="2" applyFont="1" applyFill="1" applyBorder="1" applyAlignment="1">
      <alignment vertical="center"/>
    </xf>
    <xf numFmtId="0" fontId="60" fillId="29" borderId="1" xfId="0" applyFont="1" applyFill="1" applyBorder="1"/>
    <xf numFmtId="177" fontId="60" fillId="29" borderId="1" xfId="3575" applyNumberFormat="1" applyFont="1" applyFill="1" applyBorder="1"/>
    <xf numFmtId="0" fontId="61" fillId="3" borderId="1" xfId="0" applyFont="1" applyFill="1" applyBorder="1" applyAlignment="1">
      <alignment vertical="center"/>
    </xf>
    <xf numFmtId="0" fontId="53" fillId="4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1697</v>
          </cell>
          <cell r="B1586" t="str">
            <v>ja</v>
          </cell>
          <cell r="C1586" t="str">
            <v>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</row>
        <row r="1587">
          <cell r="A1587">
            <v>1698</v>
          </cell>
          <cell r="B1587" t="str">
            <v>ja</v>
          </cell>
          <cell r="C1587" t="str">
            <v>ガーネット(結婚)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</row>
        <row r="1588">
          <cell r="A1588">
            <v>1699</v>
          </cell>
          <cell r="B1588" t="str">
            <v>ja</v>
          </cell>
          <cell r="C1588" t="str">
            <v>花嫁アマテラス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</row>
        <row r="1589">
          <cell r="A1589">
            <v>1700</v>
          </cell>
          <cell r="B1589" t="str">
            <v>ja</v>
          </cell>
          <cell r="C1589" t="str">
            <v>アマテラス(結婚)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1701</v>
          </cell>
          <cell r="B1590" t="str">
            <v>ja</v>
          </cell>
          <cell r="C1590" t="str">
            <v>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1702</v>
          </cell>
          <cell r="B1591" t="str">
            <v>ja</v>
          </cell>
          <cell r="C1591" t="str">
            <v>フォルトゥナ(結婚)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1703</v>
          </cell>
          <cell r="B1592" t="str">
            <v>ja</v>
          </cell>
          <cell r="C1592" t="str">
            <v>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1704</v>
          </cell>
          <cell r="B1593" t="str">
            <v>ja</v>
          </cell>
          <cell r="C1593" t="str">
            <v>リリィ(結婚)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1705</v>
          </cell>
          <cell r="B1594" t="str">
            <v>ja</v>
          </cell>
          <cell r="C1594" t="str">
            <v>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</row>
        <row r="1595">
          <cell r="A1595">
            <v>1706</v>
          </cell>
          <cell r="B1595" t="str">
            <v>ja</v>
          </cell>
          <cell r="C1595" t="str">
            <v>白雪姫(結婚)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</row>
        <row r="1596">
          <cell r="A1596">
            <v>1707</v>
          </cell>
          <cell r="B1596" t="str">
            <v>ja</v>
          </cell>
          <cell r="C1596" t="str">
            <v>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</row>
        <row r="1597">
          <cell r="A1597">
            <v>1708</v>
          </cell>
          <cell r="B1597" t="str">
            <v>ja</v>
          </cell>
          <cell r="C1597" t="str">
            <v>バステト(結婚)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</row>
        <row r="1598">
          <cell r="A1598">
            <v>1709</v>
          </cell>
          <cell r="B1598" t="str">
            <v>ja</v>
          </cell>
          <cell r="C1598" t="str">
            <v>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1710</v>
          </cell>
          <cell r="B1599" t="str">
            <v>ja</v>
          </cell>
          <cell r="C1599" t="str">
            <v>イズン(結婚)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</row>
        <row r="1600">
          <cell r="A1600">
            <v>1711</v>
          </cell>
          <cell r="B1600" t="str">
            <v>ja</v>
          </cell>
          <cell r="C1600" t="str">
            <v>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</row>
        <row r="1601">
          <cell r="A1601">
            <v>1712</v>
          </cell>
          <cell r="B1601" t="str">
            <v>ja</v>
          </cell>
          <cell r="C1601" t="str">
            <v>諸葛亮(結婚)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1713</v>
          </cell>
          <cell r="B1602" t="str">
            <v>ja</v>
          </cell>
          <cell r="C1602" t="str">
            <v>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1714</v>
          </cell>
          <cell r="B1603" t="str">
            <v>ja</v>
          </cell>
          <cell r="C1603" t="str">
            <v>ジークフリート(結婚)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</row>
        <row r="1604">
          <cell r="A1604">
            <v>1715</v>
          </cell>
          <cell r="B1604" t="str">
            <v>ja</v>
          </cell>
          <cell r="C1604" t="str">
            <v>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1716</v>
          </cell>
          <cell r="B1605" t="str">
            <v>ja</v>
          </cell>
          <cell r="C1605" t="str">
            <v>アマラ(結婚)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ra</v>
          </cell>
          <cell r="L1621" t="str">
            <v>ラグランジュチャレンジ</v>
          </cell>
          <cell r="M1621" t="str">
            <v>unknown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ra</v>
          </cell>
          <cell r="L1622" t="str">
            <v>ラグランジュチャレンジ</v>
          </cell>
          <cell r="M1622" t="str">
            <v>human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ra</v>
          </cell>
          <cell r="L1623" t="str">
            <v>ラグランジュチャレンジ</v>
          </cell>
          <cell r="M1623" t="str">
            <v>animal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ra</v>
          </cell>
          <cell r="L1624" t="str">
            <v>ラグランジュチャレンジ</v>
          </cell>
          <cell r="M1624" t="str">
            <v>animal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ra</v>
          </cell>
          <cell r="L1625" t="str">
            <v>ラグランジュチャレンジ</v>
          </cell>
          <cell r="M1625" t="str">
            <v>god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ra</v>
          </cell>
          <cell r="L1626" t="str">
            <v>ラグランジュチャレンジ</v>
          </cell>
          <cell r="M1626" t="str">
            <v>god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ra</v>
          </cell>
          <cell r="L1627" t="str">
            <v>ラグランジュチャレンジ</v>
          </cell>
          <cell r="M1627" t="str">
            <v>animal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ra</v>
          </cell>
          <cell r="L1628" t="str">
            <v>ラグランジュチャレンジ</v>
          </cell>
          <cell r="M1628" t="str">
            <v>god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ra</v>
          </cell>
          <cell r="L1629" t="str">
            <v>ラグランジュチャレンジ</v>
          </cell>
          <cell r="M1629" t="str">
            <v>human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ra</v>
          </cell>
          <cell r="L1630" t="str">
            <v>ラグランジュチャレンジ</v>
          </cell>
          <cell r="M1630" t="str">
            <v>human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614010</v>
      </c>
      <c r="D2" s="19" t="s">
        <v>45</v>
      </c>
      <c r="E2" s="17" t="str">
        <f t="shared" ref="E2" si="1">B2&amp;C2&amp;D2</f>
        <v>gacha_select_tables_614010.tmp</v>
      </c>
      <c r="F2" s="106" t="s">
        <v>256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8" si="2">RIGHT(F3,6)</f>
        <v>614100</v>
      </c>
      <c r="D3" s="19" t="s">
        <v>45</v>
      </c>
      <c r="E3" s="17" t="str">
        <f t="shared" ref="E3:E11" si="3">B3&amp;C3&amp;D3</f>
        <v>gacha_select_tables_614100.tmp</v>
      </c>
      <c r="F3" s="106" t="s">
        <v>257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251</v>
      </c>
      <c r="B4" s="93" t="s">
        <v>247</v>
      </c>
      <c r="C4" s="94" t="str">
        <f t="shared" si="2"/>
        <v>614100</v>
      </c>
      <c r="D4" s="19" t="s">
        <v>248</v>
      </c>
      <c r="E4" s="17" t="str">
        <f t="shared" si="3"/>
        <v>gacha_settle_tables_614100.tmp</v>
      </c>
      <c r="F4" s="106" t="s">
        <v>258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5" t="s">
        <v>251</v>
      </c>
      <c r="B5" s="93" t="s">
        <v>247</v>
      </c>
      <c r="C5" s="94" t="str">
        <f t="shared" ref="C5" si="4">RIGHT(F5,6)</f>
        <v>614105</v>
      </c>
      <c r="D5" s="19" t="s">
        <v>248</v>
      </c>
      <c r="E5" s="17" t="str">
        <f t="shared" ref="E5" si="5">B5&amp;C5&amp;D5</f>
        <v>gacha_settle_tables_614105.tmp</v>
      </c>
      <c r="F5" s="106" t="s">
        <v>259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ref="E6:E8" si="6">B6&amp;C6&amp;D6</f>
        <v>gacha_select_tables_363104.tmp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ref="C7" si="7">RIGHT(F7,6)</f>
        <v>363105</v>
      </c>
      <c r="D7" s="19" t="s">
        <v>45</v>
      </c>
      <c r="E7" s="17" t="str">
        <f t="shared" ref="E7" si="8">B7&amp;C7&amp;D7</f>
        <v>gacha_select_tables_363105.tmp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6"/>
        <v>gacha_select_tables_363100.tmp</v>
      </c>
      <c r="F8" s="89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6" t="s">
        <v>241</v>
      </c>
      <c r="B9" s="27" t="s">
        <v>50</v>
      </c>
      <c r="C9" s="32">
        <v>591</v>
      </c>
      <c r="D9" s="19" t="s">
        <v>46</v>
      </c>
      <c r="E9" s="17" t="str">
        <f t="shared" si="3"/>
        <v>gacha_bonus_tables_591.tmp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6" t="s">
        <v>241</v>
      </c>
      <c r="B10" s="19" t="s">
        <v>48</v>
      </c>
      <c r="C10" s="32">
        <v>591</v>
      </c>
      <c r="D10" s="19" t="s">
        <v>46</v>
      </c>
      <c r="E10" s="17" t="str">
        <f t="shared" si="3"/>
        <v>gifts_tmp_591.tmp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86" t="s">
        <v>241</v>
      </c>
      <c r="B11" s="19" t="s">
        <v>49</v>
      </c>
      <c r="C11" s="32">
        <v>591</v>
      </c>
      <c r="D11" s="19" t="s">
        <v>46</v>
      </c>
      <c r="E11" s="17" t="str">
        <f t="shared" si="3"/>
        <v>gifts_i18n_591.tmp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L3" sqref="L3:L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1703</v>
      </c>
      <c r="M3" s="37" t="str">
        <f>VLOOKUP(L3,[1]characters!$A:$C,3,FALSE)</f>
        <v>リリィ</v>
      </c>
      <c r="N3" s="63">
        <v>1.2999999999999999E-2</v>
      </c>
      <c r="O3" s="37">
        <f>VLOOKUP(L3,[1]characters!$A:$I,9,FALSE)</f>
        <v>6</v>
      </c>
      <c r="P3" s="37" t="str">
        <f>VLOOKUP(L3,[1]characters!$A:$J,10,FALSE)</f>
        <v>PremiumSSw</v>
      </c>
      <c r="Q3" s="37" t="str">
        <f>VLOOKUP(L3,tables_614010!B:C,2,FALSE)</f>
        <v>PremiumSS6R5only</v>
      </c>
      <c r="R3" s="62">
        <f t="shared" ref="R3:R20" si="1">N3*A$37</f>
        <v>1891500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5">
        <v>1705</v>
      </c>
      <c r="M4" s="37" t="str">
        <f>VLOOKUP(L4,[1]characters!$A:$C,3,FALSE)</f>
        <v>白雪姫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VLOOKUP(L4,tables_614010!B:C,2,FALSE)</f>
        <v>PremiumSS6R5only</v>
      </c>
      <c r="R4" s="62">
        <f t="shared" si="1"/>
        <v>2910000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6.2666666666666676E-4</v>
      </c>
      <c r="F5">
        <f>(COUNTIF(tables_614010!C:C,input_614010!A28)+COUNTIF(tables_614010!C:C,input_614010!A29))</f>
        <v>75</v>
      </c>
      <c r="H5" s="83">
        <v>5.2999999999999999E-2</v>
      </c>
      <c r="I5" s="31">
        <v>0</v>
      </c>
      <c r="L5" s="105">
        <v>1707</v>
      </c>
      <c r="M5" s="37" t="str">
        <f>VLOOKUP(L5,[1]characters!$A:$C,3,FALSE)</f>
        <v>バステト</v>
      </c>
      <c r="N5" s="63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VLOOKUP(L5,tables_614010!B:C,2,FALSE)</f>
        <v>PremiumSS6R5only</v>
      </c>
      <c r="R5" s="62">
        <f t="shared" si="1"/>
        <v>2910000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0.35</v>
      </c>
      <c r="D6" t="s">
        <v>202</v>
      </c>
      <c r="E6" s="76">
        <f>(B10-H6)/(F6-I6)</f>
        <v>9.2783505154639175E-3</v>
      </c>
      <c r="F6">
        <f>(COUNTIF(tables_614010!C:C,input_614010!A25)+COUNTIF(tables_614010!C:C,input_614010!A18)+COUNTIF(tables_614010!C:C,input_614010!A20)+COUNTIF(tables_614010!C:C,input_614010!A22))</f>
        <v>97</v>
      </c>
      <c r="H6" s="88">
        <v>0</v>
      </c>
      <c r="I6" s="31">
        <v>0</v>
      </c>
      <c r="L6" s="5">
        <v>1713</v>
      </c>
      <c r="M6" s="37" t="str">
        <f>VLOOKUP(L6,[1]characters!$A:$C,3,FALSE)</f>
        <v>ジークフリート</v>
      </c>
      <c r="N6" s="63">
        <v>7.4999999999999997E-2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VLOOKUP(L6,tables_614010!B:C,2,FALSE)</f>
        <v>Premium5R3less</v>
      </c>
      <c r="R6" s="62">
        <f t="shared" si="1"/>
        <v>10912500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0.25</v>
      </c>
      <c r="L7" s="5">
        <v>1715</v>
      </c>
      <c r="M7" s="37" t="str">
        <f>VLOOKUP(L7,[1]characters!$A:$C,3,FALSE)</f>
        <v>アマラ</v>
      </c>
      <c r="N7" s="63">
        <v>7.4999999999999997E-2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VLOOKUP(L7,tables_614010!B:C,2,FALSE)</f>
        <v>Premium5R3less</v>
      </c>
      <c r="R7" s="62">
        <f t="shared" si="1"/>
        <v>10912500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VLOOKUP(L8,tables_614010!B:C,2,FALSE)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VLOOKUP(L9,tables_614010!B:C,2,FALSE)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VLOOKUP(L10,tables_614010!B:C,2,FALSE)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VLOOKUP(L11,tables_614010!B:C,2,FALSE)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VLOOKUP(L12,tables_614010!B:C,2,FALSE)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VLOOKUP(L13,tables_614010!B:C,2,FALSE)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VLOOKUP(L14,tables_614010!B:C,2,FALSE)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VLOOKUP(L15,tables_614010!B:C,2,FALSE)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VLOOKUP(L16,tables_614010!B:C,2,FALSE)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0.19216494845360824</v>
      </c>
      <c r="C17" s="84">
        <f t="shared" ref="C17:C32" si="2">SUMIF(Q:Q,A17,N:N)</f>
        <v>0</v>
      </c>
      <c r="D17" s="74">
        <f t="shared" ref="D17:D33" si="3">B17-C17</f>
        <v>0.19216494845360824</v>
      </c>
      <c r="E17">
        <f>COUNTIF(tables_614010!C:C,input_614010!A17)-COUNTIF(Q:Q,A17)</f>
        <v>20</v>
      </c>
      <c r="F17" s="43">
        <f>IFERROR(B17/E17,0)</f>
        <v>9.6082474226804118E-3</v>
      </c>
      <c r="G17">
        <f t="shared" ref="G17:G32" si="4">A$37*B17</f>
        <v>27960000</v>
      </c>
      <c r="H17">
        <f t="shared" ref="H17:H32" si="5">IFERROR(ROUND(G17/E17,5),0)</f>
        <v>1398000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VLOOKUP(L17,tables_614010!B:C,2,FALSE)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B$6-B20-B22-B25-B27-B31</f>
        <v>8.6788453608247398E-2</v>
      </c>
      <c r="C18" s="84">
        <f t="shared" si="2"/>
        <v>0</v>
      </c>
      <c r="D18" s="74">
        <f t="shared" si="3"/>
        <v>8.6788453608247398E-2</v>
      </c>
      <c r="E18">
        <f>COUNTIF(tables_614010!C:C,input_614010!A18)-COUNTIF(Q:Q,A18)</f>
        <v>20</v>
      </c>
      <c r="F18" s="43">
        <f>IFERROR(B18/E18,0)</f>
        <v>4.3394226804123696E-3</v>
      </c>
      <c r="G18">
        <f t="shared" si="4"/>
        <v>12627719.999999996</v>
      </c>
      <c r="H18">
        <f t="shared" si="5"/>
        <v>631386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VLOOKUP(L18,tables_614010!B:C,2,FALSE)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0.19298969072164951</v>
      </c>
      <c r="C19" s="84">
        <f t="shared" si="2"/>
        <v>0</v>
      </c>
      <c r="D19" s="74">
        <f t="shared" si="3"/>
        <v>0.19298969072164951</v>
      </c>
      <c r="E19">
        <f>COUNTIF(tables_614010!C:C,input_614010!A19)-COUNTIF(Q:Q,A19)</f>
        <v>52</v>
      </c>
      <c r="F19" s="43">
        <f t="shared" ref="F19:F32" si="8">IFERROR(B19/E19,0)</f>
        <v>3.7113402061855674E-3</v>
      </c>
      <c r="G19">
        <f t="shared" si="4"/>
        <v>28080000.000000004</v>
      </c>
      <c r="H19">
        <f t="shared" si="5"/>
        <v>540000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VLOOKUP(L19,tables_614010!B:C,2,FALSE)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0.16886597938144329</v>
      </c>
      <c r="C20" s="84">
        <f t="shared" si="2"/>
        <v>0</v>
      </c>
      <c r="D20" s="74">
        <f t="shared" si="3"/>
        <v>0.16886597938144329</v>
      </c>
      <c r="E20">
        <f>COUNTIF(tables_614010!C:C,input_614010!A20)-COUNTIF(Q:Q,A20)</f>
        <v>52</v>
      </c>
      <c r="F20" s="43">
        <f t="shared" si="8"/>
        <v>3.2474226804123712E-3</v>
      </c>
      <c r="G20">
        <f t="shared" si="4"/>
        <v>24570000</v>
      </c>
      <c r="H20">
        <f t="shared" si="5"/>
        <v>472500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VLOOKUP(L20,tables_614010!B:C,2,FALSE)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B7-B23-B26-B28-B29-B32-C23-C30</f>
        <v>8.1264948453608349E-3</v>
      </c>
      <c r="C21" s="84">
        <f t="shared" si="2"/>
        <v>0</v>
      </c>
      <c r="D21" s="74">
        <f t="shared" si="3"/>
        <v>8.1264948453608349E-3</v>
      </c>
      <c r="E21">
        <f>COUNTIF(tables_614010!C:C,input_614010!A21)-COUNTIF(Q:Q,A21)</f>
        <v>52</v>
      </c>
      <c r="F21" s="43">
        <f t="shared" si="8"/>
        <v>1.5627874702616991E-4</v>
      </c>
      <c r="G21">
        <f t="shared" si="4"/>
        <v>1182405.0000000014</v>
      </c>
      <c r="H21">
        <f t="shared" si="5"/>
        <v>22738.557690000001</v>
      </c>
      <c r="I21">
        <f t="shared" si="6"/>
        <v>0.55769000000145752</v>
      </c>
      <c r="J21">
        <f t="shared" si="7"/>
        <v>1.793110868040285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E$6*E22*B$6</f>
        <v>6.8195876288659793E-2</v>
      </c>
      <c r="C22" s="84">
        <f t="shared" si="2"/>
        <v>0</v>
      </c>
      <c r="D22" s="74">
        <f t="shared" si="3"/>
        <v>6.8195876288659793E-2</v>
      </c>
      <c r="E22">
        <f>COUNTIF(tables_614010!C:C,input_614010!A22)-COUNTIF(Q:Q,A22)</f>
        <v>21</v>
      </c>
      <c r="F22" s="43">
        <f t="shared" si="8"/>
        <v>3.2474226804123712E-3</v>
      </c>
      <c r="G22">
        <f t="shared" si="4"/>
        <v>9922500</v>
      </c>
      <c r="H22">
        <f t="shared" si="5"/>
        <v>472500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E23*E6*B7*0.07</f>
        <v>4.3840206185567013E-3</v>
      </c>
      <c r="C23" s="84">
        <f t="shared" si="2"/>
        <v>0.15</v>
      </c>
      <c r="D23" s="74">
        <f t="shared" si="3"/>
        <v>-0.1456159793814433</v>
      </c>
      <c r="E23">
        <f>COUNTIF(tables_614010!C:C,input_614010!A23)-COUNTIF(Q:Q,A23)</f>
        <v>27</v>
      </c>
      <c r="F23" s="43">
        <f t="shared" si="8"/>
        <v>1.6237113402061857E-4</v>
      </c>
      <c r="G23">
        <f t="shared" si="4"/>
        <v>637875</v>
      </c>
      <c r="H23">
        <f t="shared" si="5"/>
        <v>23625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1.4845360824742269E-2</v>
      </c>
      <c r="C24" s="84">
        <f t="shared" si="2"/>
        <v>0</v>
      </c>
      <c r="D24" s="74">
        <f t="shared" si="3"/>
        <v>1.4845360824742269E-2</v>
      </c>
      <c r="E24">
        <f>COUNTIF(tables_614010!C:C,input_614010!A24)-COUNTIF(Q:Q,A24)</f>
        <v>4</v>
      </c>
      <c r="F24" s="43">
        <f t="shared" si="8"/>
        <v>3.7113402061855674E-3</v>
      </c>
      <c r="G24">
        <f t="shared" si="4"/>
        <v>2160000</v>
      </c>
      <c r="H24">
        <f t="shared" si="5"/>
        <v>540000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1.2989690721649483E-2</v>
      </c>
      <c r="C25" s="84">
        <f t="shared" si="2"/>
        <v>0</v>
      </c>
      <c r="D25" s="74">
        <f t="shared" si="3"/>
        <v>1.2989690721649483E-2</v>
      </c>
      <c r="E25">
        <f>COUNTIF(tables_614010!C:C,input_614010!A25)-COUNTIF(Q:Q,A25)</f>
        <v>4</v>
      </c>
      <c r="F25" s="43">
        <f t="shared" si="8"/>
        <v>3.2474226804123708E-3</v>
      </c>
      <c r="G25">
        <f t="shared" si="4"/>
        <v>1889999.9999999998</v>
      </c>
      <c r="H25">
        <f t="shared" si="5"/>
        <v>472500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E$6*B$7*E26*0.07</f>
        <v>6.4948453608247429E-4</v>
      </c>
      <c r="C26" s="84">
        <f t="shared" si="2"/>
        <v>0</v>
      </c>
      <c r="D26" s="74">
        <f t="shared" si="3"/>
        <v>6.4948453608247429E-4</v>
      </c>
      <c r="E26">
        <f>COUNTIF(tables_614010!C:C,input_614010!A26)-COUNTIF(Q:Q,A26)</f>
        <v>4</v>
      </c>
      <c r="F26" s="43">
        <f t="shared" si="8"/>
        <v>1.6237113402061857E-4</v>
      </c>
      <c r="G26">
        <f t="shared" si="4"/>
        <v>94500.000000000015</v>
      </c>
      <c r="H26">
        <f t="shared" si="5"/>
        <v>23625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1.3160000000000002E-2</v>
      </c>
      <c r="C27" s="84">
        <f t="shared" si="2"/>
        <v>0</v>
      </c>
      <c r="D27" s="74">
        <f t="shared" si="3"/>
        <v>1.3160000000000002E-2</v>
      </c>
      <c r="E27">
        <f>COUNTIF(tables_614010!C:C,input_614010!A27)-COUNTIF(Q:Q,A27)</f>
        <v>28</v>
      </c>
      <c r="F27" s="43">
        <f>IFERROR(B27/E27,0)</f>
        <v>4.7000000000000004E-4</v>
      </c>
      <c r="G27">
        <f t="shared" si="4"/>
        <v>1914780.0000000002</v>
      </c>
      <c r="H27">
        <f t="shared" si="5"/>
        <v>68385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4.3866666666666672E-3</v>
      </c>
      <c r="C28" s="84">
        <f t="shared" si="2"/>
        <v>0</v>
      </c>
      <c r="D28" s="74">
        <f t="shared" si="3"/>
        <v>4.3866666666666672E-3</v>
      </c>
      <c r="E28">
        <f>COUNTIF(tables_614010!C:C,input_614010!A28)-COUNTIF(Q:Q,A28)</f>
        <v>28</v>
      </c>
      <c r="F28" s="43">
        <f t="shared" si="8"/>
        <v>1.5666666666666669E-4</v>
      </c>
      <c r="G28">
        <f t="shared" si="4"/>
        <v>638260.00000000012</v>
      </c>
      <c r="H28">
        <f t="shared" si="5"/>
        <v>22795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2.9453333333333338E-2</v>
      </c>
      <c r="C29" s="84">
        <f t="shared" si="2"/>
        <v>0</v>
      </c>
      <c r="D29" s="74">
        <f t="shared" si="3"/>
        <v>2.9453333333333338E-2</v>
      </c>
      <c r="E29">
        <f>COUNTIF(tables_614010!C:C,input_614010!A29)-COUNTIF(Q:Q,A29)</f>
        <v>47</v>
      </c>
      <c r="F29" s="43">
        <f t="shared" si="8"/>
        <v>6.2666666666666676E-4</v>
      </c>
      <c r="G29">
        <f t="shared" si="4"/>
        <v>4285460.0000000009</v>
      </c>
      <c r="H29">
        <f t="shared" si="5"/>
        <v>91180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255</v>
      </c>
      <c r="B30" s="56">
        <f>E$5*E30</f>
        <v>0</v>
      </c>
      <c r="C30" s="84">
        <f t="shared" si="2"/>
        <v>5.3000000000000005E-2</v>
      </c>
      <c r="D30" s="74">
        <f t="shared" ref="D30" si="9">B30-C30</f>
        <v>-5.3000000000000005E-2</v>
      </c>
      <c r="E30">
        <f>COUNTIF(tables_614010!C:C,input_614010!A30)-COUNTIF(Q:Q,A30)</f>
        <v>0</v>
      </c>
      <c r="F30" s="43">
        <f t="shared" ref="F30" si="10">IFERROR(B30/E30,0)</f>
        <v>0</v>
      </c>
      <c r="G30">
        <f t="shared" si="4"/>
        <v>0</v>
      </c>
      <c r="H30">
        <f t="shared" ref="H30" si="11">IFERROR(ROUND(G30/E30,5),0)</f>
        <v>0</v>
      </c>
      <c r="I30">
        <f t="shared" ref="I30" si="12">MOD(H30,1)</f>
        <v>0</v>
      </c>
      <c r="J30">
        <f t="shared" ref="J30" si="13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4">
        <f t="shared" si="2"/>
        <v>0</v>
      </c>
      <c r="D31" s="74">
        <f t="shared" si="3"/>
        <v>0</v>
      </c>
      <c r="E31">
        <f>COUNTIF(tables_614010!C:C,input_614010!A31)-COUNTIF(Q:Q,A31)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B12</f>
        <v>0</v>
      </c>
      <c r="C32" s="84">
        <f t="shared" si="2"/>
        <v>0</v>
      </c>
      <c r="D32" s="74">
        <f t="shared" si="3"/>
        <v>0</v>
      </c>
      <c r="E32">
        <f>COUNTIF(tables_614010!C:C,input_614010!A32)-COUNTIF(Q:Q,A32)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0.79699999999999993</v>
      </c>
      <c r="C33" s="41">
        <f>SUM(C19:C32)</f>
        <v>0.20300000000000001</v>
      </c>
      <c r="D33" s="42">
        <f t="shared" si="3"/>
        <v>0.59399999999999986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/>
      <c r="F35" s="55"/>
    </row>
    <row r="36" spans="1:18" x14ac:dyDescent="0.15">
      <c r="A36" t="s">
        <v>73</v>
      </c>
    </row>
    <row r="37" spans="1:18" x14ac:dyDescent="0.15">
      <c r="A37" s="31">
        <f>LCM(F5-I5,F6-I6)*1000*2*2*5</f>
        <v>145500000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SUMIF(tables_614010!C:C,input_614010!A41,tables_614010!O:O)</f>
        <v>28080000</v>
      </c>
      <c r="C41" s="54">
        <f t="shared" ref="C41:C47" ca="1" si="14">B41/B$48</f>
        <v>0.49800085820125672</v>
      </c>
      <c r="E41">
        <v>3</v>
      </c>
      <c r="F41">
        <f ca="1">SUMIF(tables_614010!J:J,input_614010!E41,tables_614010!O:O)</f>
        <v>58200000</v>
      </c>
      <c r="G41">
        <f ca="1">F41/A37</f>
        <v>0.4</v>
      </c>
    </row>
    <row r="42" spans="1:18" x14ac:dyDescent="0.15">
      <c r="A42" s="33" t="s">
        <v>104</v>
      </c>
      <c r="B42">
        <f ca="1">SUMIF(tables_614010!C:C,input_614010!A42,tables_614010!O:O)</f>
        <v>24570000</v>
      </c>
      <c r="C42" s="54">
        <f t="shared" ca="1" si="14"/>
        <v>0.43575075092609961</v>
      </c>
      <c r="E42">
        <v>4</v>
      </c>
      <c r="F42">
        <f ca="1">SUMIF(tables_614010!J:J,input_614010!E42,tables_614010!O:O)</f>
        <v>50925000</v>
      </c>
      <c r="G42">
        <f ca="1">F42/A37</f>
        <v>0.35</v>
      </c>
    </row>
    <row r="43" spans="1:18" x14ac:dyDescent="0.15">
      <c r="A43" s="33" t="s">
        <v>106</v>
      </c>
      <c r="B43">
        <f ca="1">SUMIF(tables_614010!C:C,input_614010!A43,tables_614010!O:O)</f>
        <v>1914780</v>
      </c>
      <c r="C43" s="54">
        <f t="shared" ca="1" si="14"/>
        <v>3.3958763649095523E-2</v>
      </c>
      <c r="E43">
        <v>5</v>
      </c>
      <c r="F43">
        <f ca="1">SUMIF(tables_614010!J:J,input_614010!E43,tables_614010!O:O)</f>
        <v>28663499.999880001</v>
      </c>
      <c r="G43">
        <f ca="1">F43/A37</f>
        <v>0.19699999999917525</v>
      </c>
    </row>
    <row r="44" spans="1:18" x14ac:dyDescent="0.15">
      <c r="A44" s="33" t="s">
        <v>109</v>
      </c>
      <c r="B44">
        <f>SUMIF(tables_614010!C:C,input_614010!A44,tables_614010!O:O)</f>
        <v>0</v>
      </c>
      <c r="C44" s="54">
        <f t="shared" ca="1" si="14"/>
        <v>0</v>
      </c>
      <c r="E44">
        <v>6</v>
      </c>
      <c r="F44">
        <f>SUMIF(tables_614010!J:J,input_614010!E44,tables_614010!O:O)</f>
        <v>7711500</v>
      </c>
      <c r="G44">
        <f>F44/A37</f>
        <v>5.2999999999999999E-2</v>
      </c>
    </row>
    <row r="45" spans="1:18" x14ac:dyDescent="0.15">
      <c r="A45" s="33" t="s">
        <v>105</v>
      </c>
      <c r="B45">
        <f ca="1">SUMIF(tables_614010!C:C,input_614010!A45,tables_614010!O:O)</f>
        <v>1182404.9998800005</v>
      </c>
      <c r="C45" s="54">
        <f t="shared" ca="1" si="14"/>
        <v>2.0970039340516278E-2</v>
      </c>
      <c r="E45" t="s">
        <v>54</v>
      </c>
      <c r="F45" s="55"/>
    </row>
    <row r="46" spans="1:18" x14ac:dyDescent="0.15">
      <c r="A46" s="33" t="s">
        <v>107</v>
      </c>
      <c r="B46">
        <f ca="1">SUMIF(tables_614010!C:C,input_614010!A46,tables_614010!O:O)</f>
        <v>638260</v>
      </c>
      <c r="C46" s="54">
        <f t="shared" ca="1" si="14"/>
        <v>1.1319587883031841E-2</v>
      </c>
      <c r="E46" t="s">
        <v>204</v>
      </c>
      <c r="F46" s="55">
        <f ca="1">SUMIF(tables_614010!I:I,input_614010!E46,tables_614010!P:P)</f>
        <v>0.27992762886621031</v>
      </c>
    </row>
    <row r="47" spans="1:18" x14ac:dyDescent="0.15">
      <c r="A47" s="33" t="s">
        <v>108</v>
      </c>
      <c r="B47">
        <f>SUMIF(tables_614010!C:C,input_614010!A47,tables_614010!O:O)</f>
        <v>0</v>
      </c>
      <c r="C47" s="54">
        <f t="shared" ca="1" si="14"/>
        <v>0</v>
      </c>
      <c r="E47" t="s">
        <v>205</v>
      </c>
      <c r="F47" s="55">
        <f ca="1">SUMIF(tables_614010!I:I,input_614010!E47,tables_614010!P:P)</f>
        <v>0.14231910983331336</v>
      </c>
    </row>
    <row r="48" spans="1:18" x14ac:dyDescent="0.15">
      <c r="A48" s="39" t="s">
        <v>59</v>
      </c>
      <c r="B48">
        <f ca="1">SUM(B41:B47)</f>
        <v>56385444.999880001</v>
      </c>
      <c r="C48" s="55">
        <f ca="1">SUM(C41:C47)</f>
        <v>1</v>
      </c>
      <c r="E48" t="s">
        <v>206</v>
      </c>
      <c r="F48" s="55">
        <f ca="1">SUMIF(tables_614010!I:I,input_614010!E48,tables_614010!P:P)</f>
        <v>0.47775326130039419</v>
      </c>
    </row>
    <row r="49" spans="5:7" x14ac:dyDescent="0.15">
      <c r="E49" t="s">
        <v>207</v>
      </c>
      <c r="F49" s="55">
        <f ca="1">SUMIF(tables_614010!I:I,input_614010!E49,tables_614010!P:P)</f>
        <v>8.073333333340002E-2</v>
      </c>
      <c r="G49" s="55"/>
    </row>
    <row r="50" spans="5:7" x14ac:dyDescent="0.15">
      <c r="E50" t="s">
        <v>249</v>
      </c>
      <c r="F50" s="55">
        <f ca="1">SUMIF(tables_614010!I:I,input_614010!E50,tables_614010!P:P)</f>
        <v>1.9266666666682572E-2</v>
      </c>
    </row>
    <row r="51" spans="5:7" x14ac:dyDescent="0.15">
      <c r="E51" t="s">
        <v>254</v>
      </c>
      <c r="F51" s="55">
        <f>SUMIF(tables_614010!I:I,input_614010!E51,tables_614010!P:P)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17" activePane="bottomLeft" state="frozen"/>
      <selection activeCell="H276" sqref="H276"/>
      <selection pane="bottomLeft" activeCell="B361" sqref="B361:B36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input_614010!A$2</f>
        <v>614010</v>
      </c>
      <c r="B2" s="97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IFERROR(VLOOKUP(B2,input_614010!L:R,7,FALSE),VLOOKUP(tables_614010!C2,input_614010!A:H,8,FALSE))</f>
        <v>1398000</v>
      </c>
      <c r="P2" s="46">
        <f t="shared" ref="P2:P65" ca="1" si="1">O2/SUM(O:O)</f>
        <v>9.6082474226883447E-3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input_614010!A$2</f>
        <v>614010</v>
      </c>
      <c r="B3" s="97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IFERROR(VLOOKUP(B3,input_614010!L:R,7,FALSE),VLOOKUP(tables_614010!C3,input_614010!A:H,8,FALSE))</f>
        <v>631386</v>
      </c>
      <c r="P3" s="46">
        <f t="shared" ca="1" si="1"/>
        <v>4.3394226804159544E-3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input_614010!A$2</f>
        <v>614010</v>
      </c>
      <c r="B4" s="97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IFERROR(VLOOKUP(B4,input_614010!L:R,7,FALSE),VLOOKUP(tables_614010!C4,input_614010!A:H,8,FALSE))</f>
        <v>1398000</v>
      </c>
      <c r="P4" s="46">
        <f t="shared" ca="1" si="1"/>
        <v>9.6082474226883447E-3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input_614010!A$2</f>
        <v>614010</v>
      </c>
      <c r="B5" s="97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IFERROR(VLOOKUP(B5,input_614010!L:R,7,FALSE),VLOOKUP(tables_614010!C5,input_614010!A:H,8,FALSE))</f>
        <v>631386</v>
      </c>
      <c r="P5" s="46">
        <f t="shared" ca="1" si="1"/>
        <v>4.3394226804159544E-3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input_614010!A$2</f>
        <v>614010</v>
      </c>
      <c r="B6" s="97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IFERROR(VLOOKUP(B6,input_614010!L:R,7,FALSE),VLOOKUP(tables_614010!C6,input_614010!A:H,8,FALSE))</f>
        <v>1398000</v>
      </c>
      <c r="P6" s="46">
        <f t="shared" ca="1" si="1"/>
        <v>9.6082474226883447E-3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input_614010!A$2</f>
        <v>614010</v>
      </c>
      <c r="B7" s="97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IFERROR(VLOOKUP(B7,input_614010!L:R,7,FALSE),VLOOKUP(tables_614010!C7,input_614010!A:H,8,FALSE))</f>
        <v>631386</v>
      </c>
      <c r="P7" s="46">
        <f t="shared" ca="1" si="1"/>
        <v>4.3394226804159544E-3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input_614010!A$2</f>
        <v>614010</v>
      </c>
      <c r="B8" s="97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IFERROR(VLOOKUP(B8,input_614010!L:R,7,FALSE),VLOOKUP(tables_614010!C8,input_614010!A:H,8,FALSE))</f>
        <v>1398000</v>
      </c>
      <c r="P8" s="46">
        <f t="shared" ca="1" si="1"/>
        <v>9.6082474226883447E-3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input_614010!A$2</f>
        <v>614010</v>
      </c>
      <c r="B9" s="97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IFERROR(VLOOKUP(B9,input_614010!L:R,7,FALSE),VLOOKUP(tables_614010!C9,input_614010!A:H,8,FALSE))</f>
        <v>631386</v>
      </c>
      <c r="P9" s="46">
        <f t="shared" ca="1" si="1"/>
        <v>4.3394226804159544E-3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input_614010!A$2</f>
        <v>614010</v>
      </c>
      <c r="B10" s="97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IFERROR(VLOOKUP(B10,input_614010!L:R,7,FALSE),VLOOKUP(tables_614010!C10,input_614010!A:H,8,FALSE))</f>
        <v>1398000</v>
      </c>
      <c r="P10" s="46">
        <f t="shared" ca="1" si="1"/>
        <v>9.6082474226883447E-3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input_614010!A$2</f>
        <v>614010</v>
      </c>
      <c r="B11" s="97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IFERROR(VLOOKUP(B11,input_614010!L:R,7,FALSE),VLOOKUP(tables_614010!C11,input_614010!A:H,8,FALSE))</f>
        <v>631386</v>
      </c>
      <c r="P11" s="46">
        <f t="shared" ca="1" si="1"/>
        <v>4.3394226804159544E-3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input_614010!A$2</f>
        <v>614010</v>
      </c>
      <c r="B12" s="9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IFERROR(VLOOKUP(B12,input_614010!L:R,7,FALSE),VLOOKUP(tables_614010!C12,input_614010!A:H,8,FALSE))</f>
        <v>1398000</v>
      </c>
      <c r="P12" s="46">
        <f t="shared" ca="1" si="1"/>
        <v>9.6082474226883447E-3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input_614010!A$2</f>
        <v>614010</v>
      </c>
      <c r="B13" s="9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IFERROR(VLOOKUP(B13,input_614010!L:R,7,FALSE),VLOOKUP(tables_614010!C13,input_614010!A:H,8,FALSE))</f>
        <v>631386</v>
      </c>
      <c r="P13" s="46">
        <f t="shared" ca="1" si="1"/>
        <v>4.3394226804159544E-3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input_614010!A$2</f>
        <v>614010</v>
      </c>
      <c r="B14" s="97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IFERROR(VLOOKUP(B14,input_614010!L:R,7,FALSE),VLOOKUP(tables_614010!C14,input_614010!A:H,8,FALSE))</f>
        <v>1398000</v>
      </c>
      <c r="P14" s="46">
        <f t="shared" ca="1" si="1"/>
        <v>9.6082474226883447E-3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input_614010!A$2</f>
        <v>614010</v>
      </c>
      <c r="B15" s="97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IFERROR(VLOOKUP(B15,input_614010!L:R,7,FALSE),VLOOKUP(tables_614010!C15,input_614010!A:H,8,FALSE))</f>
        <v>631386</v>
      </c>
      <c r="P15" s="46">
        <f t="shared" ca="1" si="1"/>
        <v>4.3394226804159544E-3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input_614010!A$2</f>
        <v>614010</v>
      </c>
      <c r="B16" s="97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IFERROR(VLOOKUP(B16,input_614010!L:R,7,FALSE),VLOOKUP(tables_614010!C16,input_614010!A:H,8,FALSE))</f>
        <v>1398000</v>
      </c>
      <c r="P16" s="46">
        <f t="shared" ca="1" si="1"/>
        <v>9.6082474226883447E-3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input_614010!A$2</f>
        <v>614010</v>
      </c>
      <c r="B17" s="97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IFERROR(VLOOKUP(B17,input_614010!L:R,7,FALSE),VLOOKUP(tables_614010!C17,input_614010!A:H,8,FALSE))</f>
        <v>631386</v>
      </c>
      <c r="P17" s="46">
        <f t="shared" ca="1" si="1"/>
        <v>4.3394226804159544E-3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input_614010!A$2</f>
        <v>614010</v>
      </c>
      <c r="B18" s="97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IFERROR(VLOOKUP(B18,input_614010!L:R,7,FALSE),VLOOKUP(tables_614010!C18,input_614010!A:H,8,FALSE))</f>
        <v>1398000</v>
      </c>
      <c r="P18" s="46">
        <f t="shared" ca="1" si="1"/>
        <v>9.6082474226883447E-3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input_614010!A$2</f>
        <v>614010</v>
      </c>
      <c r="B19" s="97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IFERROR(VLOOKUP(B19,input_614010!L:R,7,FALSE),VLOOKUP(tables_614010!C19,input_614010!A:H,8,FALSE))</f>
        <v>631386</v>
      </c>
      <c r="P19" s="46">
        <f t="shared" ca="1" si="1"/>
        <v>4.3394226804159544E-3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input_614010!A$2</f>
        <v>614010</v>
      </c>
      <c r="B20" s="97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IFERROR(VLOOKUP(B20,input_614010!L:R,7,FALSE),VLOOKUP(tables_614010!C20,input_614010!A:H,8,FALSE))</f>
        <v>1398000</v>
      </c>
      <c r="P20" s="46">
        <f t="shared" ca="1" si="1"/>
        <v>9.6082474226883447E-3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input_614010!A$2</f>
        <v>614010</v>
      </c>
      <c r="B21" s="97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IFERROR(VLOOKUP(B21,input_614010!L:R,7,FALSE),VLOOKUP(tables_614010!C21,input_614010!A:H,8,FALSE))</f>
        <v>631386</v>
      </c>
      <c r="P21" s="46">
        <f t="shared" ca="1" si="1"/>
        <v>4.3394226804159544E-3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input_614010!A$2</f>
        <v>614010</v>
      </c>
      <c r="B22" s="97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IFERROR(VLOOKUP(B22,input_614010!L:R,7,FALSE),VLOOKUP(tables_614010!C22,input_614010!A:H,8,FALSE))</f>
        <v>1398000</v>
      </c>
      <c r="P22" s="46">
        <f t="shared" ca="1" si="1"/>
        <v>9.6082474226883447E-3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input_614010!A$2</f>
        <v>614010</v>
      </c>
      <c r="B23" s="97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IFERROR(VLOOKUP(B23,input_614010!L:R,7,FALSE),VLOOKUP(tables_614010!C23,input_614010!A:H,8,FALSE))</f>
        <v>631386</v>
      </c>
      <c r="P23" s="46">
        <f t="shared" ca="1" si="1"/>
        <v>4.3394226804159544E-3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input_614010!A$2</f>
        <v>614010</v>
      </c>
      <c r="B24" s="97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IFERROR(VLOOKUP(B24,input_614010!L:R,7,FALSE),VLOOKUP(tables_614010!C24,input_614010!A:H,8,FALSE))</f>
        <v>1398000</v>
      </c>
      <c r="P24" s="46">
        <f t="shared" ca="1" si="1"/>
        <v>9.6082474226883447E-3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input_614010!A$2</f>
        <v>614010</v>
      </c>
      <c r="B25" s="97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IFERROR(VLOOKUP(B25,input_614010!L:R,7,FALSE),VLOOKUP(tables_614010!C25,input_614010!A:H,8,FALSE))</f>
        <v>631386</v>
      </c>
      <c r="P25" s="46">
        <f t="shared" ca="1" si="1"/>
        <v>4.3394226804159544E-3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input_614010!A$2</f>
        <v>614010</v>
      </c>
      <c r="B26" s="97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IFERROR(VLOOKUP(B26,input_614010!L:R,7,FALSE),VLOOKUP(tables_614010!C26,input_614010!A:H,8,FALSE))</f>
        <v>1398000</v>
      </c>
      <c r="P26" s="46">
        <f t="shared" ca="1" si="1"/>
        <v>9.6082474226883447E-3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input_614010!A$2</f>
        <v>614010</v>
      </c>
      <c r="B27" s="97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IFERROR(VLOOKUP(B27,input_614010!L:R,7,FALSE),VLOOKUP(tables_614010!C27,input_614010!A:H,8,FALSE))</f>
        <v>631386</v>
      </c>
      <c r="P27" s="46">
        <f t="shared" ca="1" si="1"/>
        <v>4.3394226804159544E-3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input_614010!A$2</f>
        <v>614010</v>
      </c>
      <c r="B28" s="97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IFERROR(VLOOKUP(B28,input_614010!L:R,7,FALSE),VLOOKUP(tables_614010!C28,input_614010!A:H,8,FALSE))</f>
        <v>1398000</v>
      </c>
      <c r="P28" s="46">
        <f t="shared" ca="1" si="1"/>
        <v>9.6082474226883447E-3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input_614010!A$2</f>
        <v>614010</v>
      </c>
      <c r="B29" s="97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IFERROR(VLOOKUP(B29,input_614010!L:R,7,FALSE),VLOOKUP(tables_614010!C29,input_614010!A:H,8,FALSE))</f>
        <v>631386</v>
      </c>
      <c r="P29" s="46">
        <f t="shared" ca="1" si="1"/>
        <v>4.3394226804159544E-3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input_614010!A$2</f>
        <v>614010</v>
      </c>
      <c r="B30" s="97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IFERROR(VLOOKUP(B30,input_614010!L:R,7,FALSE),VLOOKUP(tables_614010!C30,input_614010!A:H,8,FALSE))</f>
        <v>1398000</v>
      </c>
      <c r="P30" s="46">
        <f t="shared" ca="1" si="1"/>
        <v>9.6082474226883447E-3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input_614010!A$2</f>
        <v>614010</v>
      </c>
      <c r="B31" s="97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IFERROR(VLOOKUP(B31,input_614010!L:R,7,FALSE),VLOOKUP(tables_614010!C31,input_614010!A:H,8,FALSE))</f>
        <v>631386</v>
      </c>
      <c r="P31" s="46">
        <f t="shared" ca="1" si="1"/>
        <v>4.3394226804159544E-3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input_614010!A$2</f>
        <v>614010</v>
      </c>
      <c r="B32" s="97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IFERROR(VLOOKUP(B32,input_614010!L:R,7,FALSE),VLOOKUP(tables_614010!C32,input_614010!A:H,8,FALSE))</f>
        <v>1398000</v>
      </c>
      <c r="P32" s="46">
        <f t="shared" ca="1" si="1"/>
        <v>9.6082474226883447E-3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input_614010!A$2</f>
        <v>614010</v>
      </c>
      <c r="B33" s="97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IFERROR(VLOOKUP(B33,input_614010!L:R,7,FALSE),VLOOKUP(tables_614010!C33,input_614010!A:H,8,FALSE))</f>
        <v>631386</v>
      </c>
      <c r="P33" s="46">
        <f t="shared" ca="1" si="1"/>
        <v>4.3394226804159544E-3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input_614010!A$2</f>
        <v>614010</v>
      </c>
      <c r="B34" s="97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IFERROR(VLOOKUP(B34,input_614010!L:R,7,FALSE),VLOOKUP(tables_614010!C34,input_614010!A:H,8,FALSE))</f>
        <v>1398000</v>
      </c>
      <c r="P34" s="46">
        <f t="shared" ca="1" si="1"/>
        <v>9.6082474226883447E-3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input_614010!A$2</f>
        <v>614010</v>
      </c>
      <c r="B35" s="97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IFERROR(VLOOKUP(B35,input_614010!L:R,7,FALSE),VLOOKUP(tables_614010!C35,input_614010!A:H,8,FALSE))</f>
        <v>631386</v>
      </c>
      <c r="P35" s="46">
        <f t="shared" ca="1" si="1"/>
        <v>4.3394226804159544E-3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input_614010!A$2</f>
        <v>614010</v>
      </c>
      <c r="B36" s="97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IFERROR(VLOOKUP(B36,input_614010!L:R,7,FALSE),VLOOKUP(tables_614010!C36,input_614010!A:H,8,FALSE))</f>
        <v>1398000</v>
      </c>
      <c r="P36" s="46">
        <f t="shared" ca="1" si="1"/>
        <v>9.6082474226883447E-3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input_614010!A$2</f>
        <v>614010</v>
      </c>
      <c r="B37" s="97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IFERROR(VLOOKUP(B37,input_614010!L:R,7,FALSE),VLOOKUP(tables_614010!C37,input_614010!A:H,8,FALSE))</f>
        <v>631386</v>
      </c>
      <c r="P37" s="46">
        <f t="shared" ca="1" si="1"/>
        <v>4.3394226804159544E-3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input_614010!A$2</f>
        <v>614010</v>
      </c>
      <c r="B38" s="97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IFERROR(VLOOKUP(B38,input_614010!L:R,7,FALSE),VLOOKUP(tables_614010!C38,input_614010!A:H,8,FALSE))</f>
        <v>1398000</v>
      </c>
      <c r="P38" s="46">
        <f t="shared" ca="1" si="1"/>
        <v>9.6082474226883447E-3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input_614010!A$2</f>
        <v>614010</v>
      </c>
      <c r="B39" s="97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IFERROR(VLOOKUP(B39,input_614010!L:R,7,FALSE),VLOOKUP(tables_614010!C39,input_614010!A:H,8,FALSE))</f>
        <v>631386</v>
      </c>
      <c r="P39" s="46">
        <f t="shared" ca="1" si="1"/>
        <v>4.3394226804159544E-3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input_614010!A$2</f>
        <v>614010</v>
      </c>
      <c r="B40" s="97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IFERROR(VLOOKUP(B40,input_614010!L:R,7,FALSE),VLOOKUP(tables_614010!C40,input_614010!A:H,8,FALSE))</f>
        <v>1398000</v>
      </c>
      <c r="P40" s="46">
        <f t="shared" ca="1" si="1"/>
        <v>9.6082474226883447E-3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input_614010!A$2</f>
        <v>614010</v>
      </c>
      <c r="B41" s="97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IFERROR(VLOOKUP(B41,input_614010!L:R,7,FALSE),VLOOKUP(tables_614010!C41,input_614010!A:H,8,FALSE))</f>
        <v>631386</v>
      </c>
      <c r="P41" s="46">
        <f t="shared" ca="1" si="1"/>
        <v>4.3394226804159544E-3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input_614010!A$2</f>
        <v>614010</v>
      </c>
      <c r="B42" s="97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IFERROR(VLOOKUP(B42,input_614010!L:R,7,FALSE),VLOOKUP(tables_614010!C42,input_614010!A:H,8,FALSE))</f>
        <v>540000</v>
      </c>
      <c r="P42" s="46">
        <f t="shared" ca="1" si="1"/>
        <v>3.7113402061886313E-3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input_614010!A$2</f>
        <v>614010</v>
      </c>
      <c r="B43" s="97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IFERROR(VLOOKUP(B43,input_614010!L:R,7,FALSE),VLOOKUP(tables_614010!C43,input_614010!A:H,8,FALSE))</f>
        <v>472500</v>
      </c>
      <c r="P43" s="46">
        <f t="shared" ca="1" si="1"/>
        <v>3.2474226804150522E-3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input_614010!A$2</f>
        <v>614010</v>
      </c>
      <c r="B44" s="97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IFERROR(VLOOKUP(B44,input_614010!L:R,7,FALSE),VLOOKUP(tables_614010!C44,input_614010!A:H,8,FALSE))</f>
        <v>23625</v>
      </c>
      <c r="P44" s="46">
        <f t="shared" ca="1" si="1"/>
        <v>1.6237113402075261E-4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input_614010!A$2</f>
        <v>614010</v>
      </c>
      <c r="B45" s="97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IFERROR(VLOOKUP(B45,input_614010!L:R,7,FALSE),VLOOKUP(tables_614010!C45,input_614010!A:H,8,FALSE))</f>
        <v>540000</v>
      </c>
      <c r="P45" s="46">
        <f t="shared" ca="1" si="1"/>
        <v>3.7113402061886313E-3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input_614010!A$2</f>
        <v>614010</v>
      </c>
      <c r="B46" s="97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IFERROR(VLOOKUP(B46,input_614010!L:R,7,FALSE),VLOOKUP(tables_614010!C46,input_614010!A:H,8,FALSE))</f>
        <v>472500</v>
      </c>
      <c r="P46" s="46">
        <f t="shared" ca="1" si="1"/>
        <v>3.2474226804150522E-3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input_614010!A$2</f>
        <v>614010</v>
      </c>
      <c r="B47" s="97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IFERROR(VLOOKUP(B47,input_614010!L:R,7,FALSE),VLOOKUP(tables_614010!C47,input_614010!A:H,8,FALSE))</f>
        <v>23625</v>
      </c>
      <c r="P47" s="46">
        <f t="shared" ca="1" si="1"/>
        <v>1.6237113402075261E-4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input_614010!A$2</f>
        <v>614010</v>
      </c>
      <c r="B48" s="97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IFERROR(VLOOKUP(B48,input_614010!L:R,7,FALSE),VLOOKUP(tables_614010!C48,input_614010!A:H,8,FALSE))</f>
        <v>540000</v>
      </c>
      <c r="P48" s="46">
        <f t="shared" ca="1" si="1"/>
        <v>3.7113402061886313E-3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input_614010!A$2</f>
        <v>614010</v>
      </c>
      <c r="B49" s="97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IFERROR(VLOOKUP(B49,input_614010!L:R,7,FALSE),VLOOKUP(tables_614010!C49,input_614010!A:H,8,FALSE))</f>
        <v>472500</v>
      </c>
      <c r="P49" s="46">
        <f t="shared" ca="1" si="1"/>
        <v>3.2474226804150522E-3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input_614010!A$2</f>
        <v>614010</v>
      </c>
      <c r="B50" s="97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IFERROR(VLOOKUP(B50,input_614010!L:R,7,FALSE),VLOOKUP(tables_614010!C50,input_614010!A:H,8,FALSE))</f>
        <v>23625</v>
      </c>
      <c r="P50" s="46">
        <f t="shared" ca="1" si="1"/>
        <v>1.6237113402075261E-4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input_614010!A$2</f>
        <v>614010</v>
      </c>
      <c r="B51" s="97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IFERROR(VLOOKUP(B51,input_614010!L:R,7,FALSE),VLOOKUP(tables_614010!C51,input_614010!A:H,8,FALSE))</f>
        <v>540000</v>
      </c>
      <c r="P51" s="46">
        <f t="shared" ca="1" si="1"/>
        <v>3.7113402061886313E-3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input_614010!A$2</f>
        <v>614010</v>
      </c>
      <c r="B52" s="97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IFERROR(VLOOKUP(B52,input_614010!L:R,7,FALSE),VLOOKUP(tables_614010!C52,input_614010!A:H,8,FALSE))</f>
        <v>472500</v>
      </c>
      <c r="P52" s="46">
        <f t="shared" ca="1" si="1"/>
        <v>3.2474226804150522E-3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input_614010!A$2</f>
        <v>614010</v>
      </c>
      <c r="B53" s="97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IFERROR(VLOOKUP(B53,input_614010!L:R,7,FALSE),VLOOKUP(tables_614010!C53,input_614010!A:H,8,FALSE))</f>
        <v>22738.557690000001</v>
      </c>
      <c r="P53" s="46">
        <f t="shared" ca="1" si="1"/>
        <v>1.5627874701043833E-4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input_614010!A$2</f>
        <v>614010</v>
      </c>
      <c r="B54" s="97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IFERROR(VLOOKUP(B54,input_614010!L:R,7,FALSE),VLOOKUP(tables_614010!C54,input_614010!A:H,8,FALSE))</f>
        <v>540000</v>
      </c>
      <c r="P54" s="46">
        <f t="shared" ca="1" si="1"/>
        <v>3.7113402061886313E-3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input_614010!A$2</f>
        <v>614010</v>
      </c>
      <c r="B55" s="97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IFERROR(VLOOKUP(B55,input_614010!L:R,7,FALSE),VLOOKUP(tables_614010!C55,input_614010!A:H,8,FALSE))</f>
        <v>472500</v>
      </c>
      <c r="P55" s="46">
        <f t="shared" ca="1" si="1"/>
        <v>3.2474226804150522E-3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input_614010!A$2</f>
        <v>614010</v>
      </c>
      <c r="B56" s="97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IFERROR(VLOOKUP(B56,input_614010!L:R,7,FALSE),VLOOKUP(tables_614010!C56,input_614010!A:H,8,FALSE))</f>
        <v>22738.557690000001</v>
      </c>
      <c r="P56" s="46">
        <f t="shared" ca="1" si="1"/>
        <v>1.5627874701043833E-4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input_614010!A$2</f>
        <v>614010</v>
      </c>
      <c r="B57" s="97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IFERROR(VLOOKUP(B57,input_614010!L:R,7,FALSE),VLOOKUP(tables_614010!C57,input_614010!A:H,8,FALSE))</f>
        <v>540000</v>
      </c>
      <c r="P57" s="46">
        <f t="shared" ca="1" si="1"/>
        <v>3.7113402061886313E-3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input_614010!A$2</f>
        <v>614010</v>
      </c>
      <c r="B58" s="97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IFERROR(VLOOKUP(B58,input_614010!L:R,7,FALSE),VLOOKUP(tables_614010!C58,input_614010!A:H,8,FALSE))</f>
        <v>472500</v>
      </c>
      <c r="P58" s="46">
        <f t="shared" ca="1" si="1"/>
        <v>3.2474226804150522E-3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input_614010!A$2</f>
        <v>614010</v>
      </c>
      <c r="B59" s="97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IFERROR(VLOOKUP(B59,input_614010!L:R,7,FALSE),VLOOKUP(tables_614010!C59,input_614010!A:H,8,FALSE))</f>
        <v>22738.557690000001</v>
      </c>
      <c r="P59" s="46">
        <f t="shared" ca="1" si="1"/>
        <v>1.5627874701043833E-4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input_614010!A$2</f>
        <v>614010</v>
      </c>
      <c r="B60" s="97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IFERROR(VLOOKUP(B60,input_614010!L:R,7,FALSE),VLOOKUP(tables_614010!C60,input_614010!A:H,8,FALSE))</f>
        <v>540000</v>
      </c>
      <c r="P60" s="46">
        <f t="shared" ca="1" si="1"/>
        <v>3.7113402061886313E-3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input_614010!A$2</f>
        <v>614010</v>
      </c>
      <c r="B61" s="97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IFERROR(VLOOKUP(B61,input_614010!L:R,7,FALSE),VLOOKUP(tables_614010!C61,input_614010!A:H,8,FALSE))</f>
        <v>472500</v>
      </c>
      <c r="P61" s="46">
        <f t="shared" ca="1" si="1"/>
        <v>3.2474226804150522E-3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input_614010!A$2</f>
        <v>614010</v>
      </c>
      <c r="B62" s="9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IFERROR(VLOOKUP(B62,input_614010!L:R,7,FALSE),VLOOKUP(tables_614010!C62,input_614010!A:H,8,FALSE))</f>
        <v>22738.557690000001</v>
      </c>
      <c r="P62" s="46">
        <f t="shared" ca="1" si="1"/>
        <v>1.5627874701043833E-4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input_614010!A$2</f>
        <v>614010</v>
      </c>
      <c r="B63" s="9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IFERROR(VLOOKUP(B63,input_614010!L:R,7,FALSE),VLOOKUP(tables_614010!C63,input_614010!A:H,8,FALSE))</f>
        <v>540000</v>
      </c>
      <c r="P63" s="46">
        <f t="shared" ca="1" si="1"/>
        <v>3.7113402061886313E-3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input_614010!A$2</f>
        <v>614010</v>
      </c>
      <c r="B64" s="9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IFERROR(VLOOKUP(B64,input_614010!L:R,7,FALSE),VLOOKUP(tables_614010!C64,input_614010!A:H,8,FALSE))</f>
        <v>472500</v>
      </c>
      <c r="P64" s="46">
        <f t="shared" ca="1" si="1"/>
        <v>3.2474226804150522E-3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input_614010!A$2</f>
        <v>614010</v>
      </c>
      <c r="B65" s="9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IFERROR(VLOOKUP(B65,input_614010!L:R,7,FALSE),VLOOKUP(tables_614010!C65,input_614010!A:H,8,FALSE))</f>
        <v>22738.557690000001</v>
      </c>
      <c r="P65" s="46">
        <f t="shared" ca="1" si="1"/>
        <v>1.5627874701043833E-4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input_614010!A$2</f>
        <v>614010</v>
      </c>
      <c r="B66" s="97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IFERROR(VLOOKUP(B66,input_614010!L:R,7,FALSE),VLOOKUP(tables_614010!C66,input_614010!A:H,8,FALSE))</f>
        <v>540000</v>
      </c>
      <c r="P66" s="46">
        <f t="shared" ref="P66:P129" ca="1" si="4">O66/SUM(O:O)</f>
        <v>3.7113402061886313E-3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input_614010!A$2</f>
        <v>614010</v>
      </c>
      <c r="B67" s="97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IFERROR(VLOOKUP(B67,input_614010!L:R,7,FALSE),VLOOKUP(tables_614010!C67,input_614010!A:H,8,FALSE))</f>
        <v>472500</v>
      </c>
      <c r="P67" s="46">
        <f t="shared" ca="1" si="4"/>
        <v>3.2474226804150522E-3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input_614010!A$2</f>
        <v>614010</v>
      </c>
      <c r="B68" s="97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IFERROR(VLOOKUP(B68,input_614010!L:R,7,FALSE),VLOOKUP(tables_614010!C68,input_614010!A:H,8,FALSE))</f>
        <v>22738.557690000001</v>
      </c>
      <c r="P68" s="46">
        <f t="shared" ca="1" si="4"/>
        <v>1.5627874701043833E-4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input_614010!A$2</f>
        <v>614010</v>
      </c>
      <c r="B69" s="97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IFERROR(VLOOKUP(B69,input_614010!L:R,7,FALSE),VLOOKUP(tables_614010!C69,input_614010!A:H,8,FALSE))</f>
        <v>540000</v>
      </c>
      <c r="P69" s="46">
        <f t="shared" ca="1" si="4"/>
        <v>3.7113402061886313E-3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input_614010!A$2</f>
        <v>614010</v>
      </c>
      <c r="B70" s="97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IFERROR(VLOOKUP(B70,input_614010!L:R,7,FALSE),VLOOKUP(tables_614010!C70,input_614010!A:H,8,FALSE))</f>
        <v>472500</v>
      </c>
      <c r="P70" s="46">
        <f t="shared" ca="1" si="4"/>
        <v>3.2474226804150522E-3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input_614010!A$2</f>
        <v>614010</v>
      </c>
      <c r="B71" s="97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IFERROR(VLOOKUP(B71,input_614010!L:R,7,FALSE),VLOOKUP(tables_614010!C71,input_614010!A:H,8,FALSE))</f>
        <v>22738.557690000001</v>
      </c>
      <c r="P71" s="46">
        <f t="shared" ca="1" si="4"/>
        <v>1.5627874701043833E-4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input_614010!A$2</f>
        <v>614010</v>
      </c>
      <c r="B72" s="97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IFERROR(VLOOKUP(B72,input_614010!L:R,7,FALSE),VLOOKUP(tables_614010!C72,input_614010!A:H,8,FALSE))</f>
        <v>540000</v>
      </c>
      <c r="P72" s="46">
        <f t="shared" ca="1" si="4"/>
        <v>3.7113402061886313E-3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input_614010!A$2</f>
        <v>614010</v>
      </c>
      <c r="B73" s="97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IFERROR(VLOOKUP(B73,input_614010!L:R,7,FALSE),VLOOKUP(tables_614010!C73,input_614010!A:H,8,FALSE))</f>
        <v>472500</v>
      </c>
      <c r="P73" s="46">
        <f t="shared" ca="1" si="4"/>
        <v>3.2474226804150522E-3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input_614010!A$2</f>
        <v>614010</v>
      </c>
      <c r="B74" s="97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IFERROR(VLOOKUP(B74,input_614010!L:R,7,FALSE),VLOOKUP(tables_614010!C74,input_614010!A:H,8,FALSE))</f>
        <v>22738.557690000001</v>
      </c>
      <c r="P74" s="46">
        <f t="shared" ca="1" si="4"/>
        <v>1.5627874701043833E-4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input_614010!A$2</f>
        <v>614010</v>
      </c>
      <c r="B75" s="97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IFERROR(VLOOKUP(B75,input_614010!L:R,7,FALSE),VLOOKUP(tables_614010!C75,input_614010!A:H,8,FALSE))</f>
        <v>540000</v>
      </c>
      <c r="P75" s="46">
        <f t="shared" ca="1" si="4"/>
        <v>3.7113402061886313E-3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input_614010!A$2</f>
        <v>614010</v>
      </c>
      <c r="B76" s="97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IFERROR(VLOOKUP(B76,input_614010!L:R,7,FALSE),VLOOKUP(tables_614010!C76,input_614010!A:H,8,FALSE))</f>
        <v>472500</v>
      </c>
      <c r="P76" s="46">
        <f t="shared" ca="1" si="4"/>
        <v>3.2474226804150522E-3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input_614010!A$2</f>
        <v>614010</v>
      </c>
      <c r="B77" s="99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IFERROR(VLOOKUP(B77,input_614010!L:R,7,FALSE),VLOOKUP(tables_614010!C77,input_614010!A:H,8,FALSE))</f>
        <v>22738.557690000001</v>
      </c>
      <c r="P77" s="46">
        <f t="shared" ca="1" si="4"/>
        <v>1.5627874701043833E-4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input_614010!A$2</f>
        <v>614010</v>
      </c>
      <c r="B78" s="99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IFERROR(VLOOKUP(B78,input_614010!L:R,7,FALSE),VLOOKUP(tables_614010!C78,input_614010!A:H,8,FALSE))</f>
        <v>540000</v>
      </c>
      <c r="P78" s="46">
        <f t="shared" ca="1" si="4"/>
        <v>3.7113402061886313E-3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input_614010!A$2</f>
        <v>614010</v>
      </c>
      <c r="B79" s="99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IFERROR(VLOOKUP(B79,input_614010!L:R,7,FALSE),VLOOKUP(tables_614010!C79,input_614010!A:H,8,FALSE))</f>
        <v>472500</v>
      </c>
      <c r="P79" s="46">
        <f t="shared" ca="1" si="4"/>
        <v>3.2474226804150522E-3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input_614010!A$2</f>
        <v>614010</v>
      </c>
      <c r="B80" s="99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IFERROR(VLOOKUP(B80,input_614010!L:R,7,FALSE),VLOOKUP(tables_614010!C80,input_614010!A:H,8,FALSE))</f>
        <v>22738.557690000001</v>
      </c>
      <c r="P80" s="46">
        <f t="shared" ca="1" si="4"/>
        <v>1.5627874701043833E-4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input_614010!A$2</f>
        <v>614010</v>
      </c>
      <c r="B81" s="99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IFERROR(VLOOKUP(B81,input_614010!L:R,7,FALSE),VLOOKUP(tables_614010!C81,input_614010!A:H,8,FALSE))</f>
        <v>540000</v>
      </c>
      <c r="P81" s="46">
        <f t="shared" ca="1" si="4"/>
        <v>3.7113402061886313E-3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input_614010!A$2</f>
        <v>614010</v>
      </c>
      <c r="B82" s="99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IFERROR(VLOOKUP(B82,input_614010!L:R,7,FALSE),VLOOKUP(tables_614010!C82,input_614010!A:H,8,FALSE))</f>
        <v>472500</v>
      </c>
      <c r="P82" s="46">
        <f t="shared" ca="1" si="4"/>
        <v>3.2474226804150522E-3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input_614010!A$2</f>
        <v>614010</v>
      </c>
      <c r="B83" s="99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IFERROR(VLOOKUP(B83,input_614010!L:R,7,FALSE),VLOOKUP(tables_614010!C83,input_614010!A:H,8,FALSE))</f>
        <v>22738.557690000001</v>
      </c>
      <c r="P83" s="46">
        <f t="shared" ca="1" si="4"/>
        <v>1.5627874701043833E-4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input_614010!A$2</f>
        <v>614010</v>
      </c>
      <c r="B84" s="99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IFERROR(VLOOKUP(B84,input_614010!L:R,7,FALSE),VLOOKUP(tables_614010!C84,input_614010!A:H,8,FALSE))</f>
        <v>540000</v>
      </c>
      <c r="P84" s="46">
        <f t="shared" ca="1" si="4"/>
        <v>3.7113402061886313E-3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input_614010!A$2</f>
        <v>614010</v>
      </c>
      <c r="B85" s="99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IFERROR(VLOOKUP(B85,input_614010!L:R,7,FALSE),VLOOKUP(tables_614010!C85,input_614010!A:H,8,FALSE))</f>
        <v>472500</v>
      </c>
      <c r="P85" s="46">
        <f t="shared" ca="1" si="4"/>
        <v>3.2474226804150522E-3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input_614010!A$2</f>
        <v>614010</v>
      </c>
      <c r="B86" s="99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IFERROR(VLOOKUP(B86,input_614010!L:R,7,FALSE),VLOOKUP(tables_614010!C86,input_614010!A:H,8,FALSE))</f>
        <v>22738.557690000001</v>
      </c>
      <c r="P86" s="46">
        <f t="shared" ca="1" si="4"/>
        <v>1.5627874701043833E-4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input_614010!A$2</f>
        <v>614010</v>
      </c>
      <c r="B87" s="99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IFERROR(VLOOKUP(B87,input_614010!L:R,7,FALSE),VLOOKUP(tables_614010!C87,input_614010!A:H,8,FALSE))</f>
        <v>540000</v>
      </c>
      <c r="P87" s="46">
        <f t="shared" ca="1" si="4"/>
        <v>3.7113402061886313E-3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input_614010!A$2</f>
        <v>614010</v>
      </c>
      <c r="B88" s="99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IFERROR(VLOOKUP(B88,input_614010!L:R,7,FALSE),VLOOKUP(tables_614010!C88,input_614010!A:H,8,FALSE))</f>
        <v>472500</v>
      </c>
      <c r="P88" s="46">
        <f t="shared" ca="1" si="4"/>
        <v>3.2474226804150522E-3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input_614010!A$2</f>
        <v>614010</v>
      </c>
      <c r="B89" s="99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IFERROR(VLOOKUP(B89,input_614010!L:R,7,FALSE),VLOOKUP(tables_614010!C89,input_614010!A:H,8,FALSE))</f>
        <v>22738.557690000001</v>
      </c>
      <c r="P89" s="46">
        <f t="shared" ca="1" si="4"/>
        <v>1.5627874701043833E-4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input_614010!A$2</f>
        <v>614010</v>
      </c>
      <c r="B90" s="99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IFERROR(VLOOKUP(B90,input_614010!L:R,7,FALSE),VLOOKUP(tables_614010!C90,input_614010!A:H,8,FALSE))</f>
        <v>540000</v>
      </c>
      <c r="P90" s="46">
        <f t="shared" ca="1" si="4"/>
        <v>3.7113402061886313E-3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input_614010!A$2</f>
        <v>614010</v>
      </c>
      <c r="B91" s="99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IFERROR(VLOOKUP(B91,input_614010!L:R,7,FALSE),VLOOKUP(tables_614010!C91,input_614010!A:H,8,FALSE))</f>
        <v>472500</v>
      </c>
      <c r="P91" s="46">
        <f t="shared" ca="1" si="4"/>
        <v>3.2474226804150522E-3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input_614010!A$2</f>
        <v>614010</v>
      </c>
      <c r="B92" s="99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IFERROR(VLOOKUP(B92,input_614010!L:R,7,FALSE),VLOOKUP(tables_614010!C92,input_614010!A:H,8,FALSE))</f>
        <v>22738.557690000001</v>
      </c>
      <c r="P92" s="46">
        <f t="shared" ca="1" si="4"/>
        <v>1.5627874701043833E-4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input_614010!A$2</f>
        <v>614010</v>
      </c>
      <c r="B93" s="99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IFERROR(VLOOKUP(B93,input_614010!L:R,7,FALSE),VLOOKUP(tables_614010!C93,input_614010!A:H,8,FALSE))</f>
        <v>540000</v>
      </c>
      <c r="P93" s="46">
        <f t="shared" ca="1" si="4"/>
        <v>3.7113402061886313E-3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input_614010!A$2</f>
        <v>614010</v>
      </c>
      <c r="B94" s="99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IFERROR(VLOOKUP(B94,input_614010!L:R,7,FALSE),VLOOKUP(tables_614010!C94,input_614010!A:H,8,FALSE))</f>
        <v>472500</v>
      </c>
      <c r="P94" s="46">
        <f t="shared" ca="1" si="4"/>
        <v>3.2474226804150522E-3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input_614010!A$2</f>
        <v>614010</v>
      </c>
      <c r="B95" s="99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IFERROR(VLOOKUP(B95,input_614010!L:R,7,FALSE),VLOOKUP(tables_614010!C95,input_614010!A:H,8,FALSE))</f>
        <v>22738.557690000001</v>
      </c>
      <c r="P95" s="46">
        <f t="shared" ca="1" si="4"/>
        <v>1.5627874701043833E-4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input_614010!A$2</f>
        <v>614010</v>
      </c>
      <c r="B96" s="99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IFERROR(VLOOKUP(B96,input_614010!L:R,7,FALSE),VLOOKUP(tables_614010!C96,input_614010!A:H,8,FALSE))</f>
        <v>540000</v>
      </c>
      <c r="P96" s="46">
        <f t="shared" ca="1" si="4"/>
        <v>3.7113402061886313E-3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input_614010!A$2</f>
        <v>614010</v>
      </c>
      <c r="B97" s="99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IFERROR(VLOOKUP(B97,input_614010!L:R,7,FALSE),VLOOKUP(tables_614010!C97,input_614010!A:H,8,FALSE))</f>
        <v>472500</v>
      </c>
      <c r="P97" s="46">
        <f t="shared" ca="1" si="4"/>
        <v>3.2474226804150522E-3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input_614010!A$2</f>
        <v>614010</v>
      </c>
      <c r="B98" s="99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IFERROR(VLOOKUP(B98,input_614010!L:R,7,FALSE),VLOOKUP(tables_614010!C98,input_614010!A:H,8,FALSE))</f>
        <v>22738.557690000001</v>
      </c>
      <c r="P98" s="46">
        <f t="shared" ca="1" si="4"/>
        <v>1.5627874701043833E-4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input_614010!A$2</f>
        <v>614010</v>
      </c>
      <c r="B99" s="99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IFERROR(VLOOKUP(B99,input_614010!L:R,7,FALSE),VLOOKUP(tables_614010!C99,input_614010!A:H,8,FALSE))</f>
        <v>540000</v>
      </c>
      <c r="P99" s="46">
        <f t="shared" ca="1" si="4"/>
        <v>3.7113402061886313E-3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input_614010!A$2</f>
        <v>614010</v>
      </c>
      <c r="B100" s="99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IFERROR(VLOOKUP(B100,input_614010!L:R,7,FALSE),VLOOKUP(tables_614010!C100,input_614010!A:H,8,FALSE))</f>
        <v>472500</v>
      </c>
      <c r="P100" s="46">
        <f t="shared" ca="1" si="4"/>
        <v>3.2474226804150522E-3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input_614010!A$2</f>
        <v>614010</v>
      </c>
      <c r="B101" s="99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IFERROR(VLOOKUP(B101,input_614010!L:R,7,FALSE),VLOOKUP(tables_614010!C101,input_614010!A:H,8,FALSE))</f>
        <v>22738.557690000001</v>
      </c>
      <c r="P101" s="46">
        <f t="shared" ca="1" si="4"/>
        <v>1.5627874701043833E-4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input_614010!A$2</f>
        <v>614010</v>
      </c>
      <c r="B102" s="99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IFERROR(VLOOKUP(B102,input_614010!L:R,7,FALSE),VLOOKUP(tables_614010!C102,input_614010!A:H,8,FALSE))</f>
        <v>540000</v>
      </c>
      <c r="P102" s="46">
        <f t="shared" ca="1" si="4"/>
        <v>3.7113402061886313E-3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input_614010!A$2</f>
        <v>614010</v>
      </c>
      <c r="B103" s="99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IFERROR(VLOOKUP(B103,input_614010!L:R,7,FALSE),VLOOKUP(tables_614010!C103,input_614010!A:H,8,FALSE))</f>
        <v>472500</v>
      </c>
      <c r="P103" s="46">
        <f t="shared" ca="1" si="4"/>
        <v>3.2474226804150522E-3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input_614010!A$2</f>
        <v>614010</v>
      </c>
      <c r="B104" s="99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IFERROR(VLOOKUP(B104,input_614010!L:R,7,FALSE),VLOOKUP(tables_614010!C104,input_614010!A:H,8,FALSE))</f>
        <v>22738.557690000001</v>
      </c>
      <c r="P104" s="46">
        <f t="shared" ca="1" si="4"/>
        <v>1.5627874701043833E-4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input_614010!A$2</f>
        <v>614010</v>
      </c>
      <c r="B105" s="99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IFERROR(VLOOKUP(B105,input_614010!L:R,7,FALSE),VLOOKUP(tables_614010!C105,input_614010!A:H,8,FALSE))</f>
        <v>540000</v>
      </c>
      <c r="P105" s="46">
        <f t="shared" ca="1" si="4"/>
        <v>3.7113402061886313E-3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input_614010!A$2</f>
        <v>614010</v>
      </c>
      <c r="B106" s="99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IFERROR(VLOOKUP(B106,input_614010!L:R,7,FALSE),VLOOKUP(tables_614010!C106,input_614010!A:H,8,FALSE))</f>
        <v>472500</v>
      </c>
      <c r="P106" s="46">
        <f t="shared" ca="1" si="4"/>
        <v>3.2474226804150522E-3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input_614010!A$2</f>
        <v>614010</v>
      </c>
      <c r="B107" s="99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IFERROR(VLOOKUP(B107,input_614010!L:R,7,FALSE),VLOOKUP(tables_614010!C107,input_614010!A:H,8,FALSE))</f>
        <v>22738.557690000001</v>
      </c>
      <c r="P107" s="46">
        <f t="shared" ca="1" si="4"/>
        <v>1.5627874701043833E-4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input_614010!A$2</f>
        <v>614010</v>
      </c>
      <c r="B108" s="99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IFERROR(VLOOKUP(B108,input_614010!L:R,7,FALSE),VLOOKUP(tables_614010!C108,input_614010!A:H,8,FALSE))</f>
        <v>540000</v>
      </c>
      <c r="P108" s="46">
        <f t="shared" ca="1" si="4"/>
        <v>3.7113402061886313E-3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input_614010!A$2</f>
        <v>614010</v>
      </c>
      <c r="B109" s="99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IFERROR(VLOOKUP(B109,input_614010!L:R,7,FALSE),VLOOKUP(tables_614010!C109,input_614010!A:H,8,FALSE))</f>
        <v>472500</v>
      </c>
      <c r="P109" s="46">
        <f t="shared" ca="1" si="4"/>
        <v>3.2474226804150522E-3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input_614010!A$2</f>
        <v>614010</v>
      </c>
      <c r="B110" s="99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IFERROR(VLOOKUP(B110,input_614010!L:R,7,FALSE),VLOOKUP(tables_614010!C110,input_614010!A:H,8,FALSE))</f>
        <v>22738.557690000001</v>
      </c>
      <c r="P110" s="46">
        <f t="shared" ca="1" si="4"/>
        <v>1.5627874701043833E-4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input_614010!A$2</f>
        <v>614010</v>
      </c>
      <c r="B111" s="99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IFERROR(VLOOKUP(B111,input_614010!L:R,7,FALSE),VLOOKUP(tables_614010!C111,input_614010!A:H,8,FALSE))</f>
        <v>540000</v>
      </c>
      <c r="P111" s="46">
        <f t="shared" ca="1" si="4"/>
        <v>3.7113402061886313E-3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input_614010!A$2</f>
        <v>614010</v>
      </c>
      <c r="B112" s="99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IFERROR(VLOOKUP(B112,input_614010!L:R,7,FALSE),VLOOKUP(tables_614010!C112,input_614010!A:H,8,FALSE))</f>
        <v>472500</v>
      </c>
      <c r="P112" s="46">
        <f t="shared" ca="1" si="4"/>
        <v>3.2474226804150522E-3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input_614010!A$2</f>
        <v>614010</v>
      </c>
      <c r="B113" s="99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IFERROR(VLOOKUP(B113,input_614010!L:R,7,FALSE),VLOOKUP(tables_614010!C113,input_614010!A:H,8,FALSE))</f>
        <v>23625</v>
      </c>
      <c r="P113" s="46">
        <f t="shared" ca="1" si="4"/>
        <v>1.6237113402075261E-4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input_614010!A$2</f>
        <v>614010</v>
      </c>
      <c r="B114" s="99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IFERROR(VLOOKUP(B114,input_614010!L:R,7,FALSE),VLOOKUP(tables_614010!C114,input_614010!A:H,8,FALSE))</f>
        <v>540000</v>
      </c>
      <c r="P114" s="46">
        <f t="shared" ca="1" si="4"/>
        <v>3.7113402061886313E-3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input_614010!A$2</f>
        <v>614010</v>
      </c>
      <c r="B115" s="99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IFERROR(VLOOKUP(B115,input_614010!L:R,7,FALSE),VLOOKUP(tables_614010!C115,input_614010!A:H,8,FALSE))</f>
        <v>472500</v>
      </c>
      <c r="P115" s="46">
        <f t="shared" ca="1" si="4"/>
        <v>3.2474226804150522E-3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input_614010!A$2</f>
        <v>614010</v>
      </c>
      <c r="B116" s="99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IFERROR(VLOOKUP(B116,input_614010!L:R,7,FALSE),VLOOKUP(tables_614010!C116,input_614010!A:H,8,FALSE))</f>
        <v>22738.557690000001</v>
      </c>
      <c r="P116" s="46">
        <f t="shared" ca="1" si="4"/>
        <v>1.5627874701043833E-4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input_614010!A$2</f>
        <v>614010</v>
      </c>
      <c r="B117" s="99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IFERROR(VLOOKUP(B117,input_614010!L:R,7,FALSE),VLOOKUP(tables_614010!C117,input_614010!A:H,8,FALSE))</f>
        <v>540000</v>
      </c>
      <c r="P117" s="46">
        <f t="shared" ca="1" si="4"/>
        <v>3.7113402061886313E-3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input_614010!A$2</f>
        <v>614010</v>
      </c>
      <c r="B118" s="99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IFERROR(VLOOKUP(B118,input_614010!L:R,7,FALSE),VLOOKUP(tables_614010!C118,input_614010!A:H,8,FALSE))</f>
        <v>472500</v>
      </c>
      <c r="P118" s="46">
        <f t="shared" ca="1" si="4"/>
        <v>3.2474226804150522E-3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input_614010!A$2</f>
        <v>614010</v>
      </c>
      <c r="B119" s="99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IFERROR(VLOOKUP(B119,input_614010!L:R,7,FALSE),VLOOKUP(tables_614010!C119,input_614010!A:H,8,FALSE))</f>
        <v>22738.557690000001</v>
      </c>
      <c r="P119" s="46">
        <f t="shared" ca="1" si="4"/>
        <v>1.5627874701043833E-4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input_614010!A$2</f>
        <v>614010</v>
      </c>
      <c r="B120" s="99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IFERROR(VLOOKUP(B120,input_614010!L:R,7,FALSE),VLOOKUP(tables_614010!C120,input_614010!A:H,8,FALSE))</f>
        <v>540000</v>
      </c>
      <c r="P120" s="46">
        <f t="shared" ca="1" si="4"/>
        <v>3.7113402061886313E-3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input_614010!A$2</f>
        <v>614010</v>
      </c>
      <c r="B121" s="99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IFERROR(VLOOKUP(B121,input_614010!L:R,7,FALSE),VLOOKUP(tables_614010!C121,input_614010!A:H,8,FALSE))</f>
        <v>472500</v>
      </c>
      <c r="P121" s="46">
        <f t="shared" ca="1" si="4"/>
        <v>3.2474226804150522E-3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input_614010!A$2</f>
        <v>614010</v>
      </c>
      <c r="B122" s="99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IFERROR(VLOOKUP(B122,input_614010!L:R,7,FALSE),VLOOKUP(tables_614010!C122,input_614010!A:H,8,FALSE))</f>
        <v>22738.557690000001</v>
      </c>
      <c r="P122" s="46">
        <f t="shared" ca="1" si="4"/>
        <v>1.5627874701043833E-4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input_614010!A$2</f>
        <v>614010</v>
      </c>
      <c r="B123" s="99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IFERROR(VLOOKUP(B123,input_614010!L:R,7,FALSE),VLOOKUP(tables_614010!C123,input_614010!A:H,8,FALSE))</f>
        <v>540000</v>
      </c>
      <c r="P123" s="46">
        <f t="shared" ca="1" si="4"/>
        <v>3.7113402061886313E-3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input_614010!A$2</f>
        <v>614010</v>
      </c>
      <c r="B124" s="99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IFERROR(VLOOKUP(B124,input_614010!L:R,7,FALSE),VLOOKUP(tables_614010!C124,input_614010!A:H,8,FALSE))</f>
        <v>472500</v>
      </c>
      <c r="P124" s="46">
        <f t="shared" ca="1" si="4"/>
        <v>3.2474226804150522E-3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input_614010!A$2</f>
        <v>614010</v>
      </c>
      <c r="B125" s="97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IFERROR(VLOOKUP(B125,input_614010!L:R,7,FALSE),VLOOKUP(tables_614010!C125,input_614010!A:H,8,FALSE))</f>
        <v>22738.557690000001</v>
      </c>
      <c r="P125" s="46">
        <f t="shared" ca="1" si="4"/>
        <v>1.5627874701043833E-4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input_614010!A$2</f>
        <v>614010</v>
      </c>
      <c r="B126" s="97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IFERROR(VLOOKUP(B126,input_614010!L:R,7,FALSE),VLOOKUP(tables_614010!C126,input_614010!A:H,8,FALSE))</f>
        <v>540000</v>
      </c>
      <c r="P126" s="46">
        <f t="shared" ca="1" si="4"/>
        <v>3.7113402061886313E-3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input_614010!A$2</f>
        <v>614010</v>
      </c>
      <c r="B127" s="97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IFERROR(VLOOKUP(B127,input_614010!L:R,7,FALSE),VLOOKUP(tables_614010!C127,input_614010!A:H,8,FALSE))</f>
        <v>472500</v>
      </c>
      <c r="P127" s="46">
        <f t="shared" ca="1" si="4"/>
        <v>3.2474226804150522E-3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input_614010!A$2</f>
        <v>614010</v>
      </c>
      <c r="B128" s="97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IFERROR(VLOOKUP(B128,input_614010!L:R,7,FALSE),VLOOKUP(tables_614010!C128,input_614010!A:H,8,FALSE))</f>
        <v>22738.557690000001</v>
      </c>
      <c r="P128" s="46">
        <f t="shared" ca="1" si="4"/>
        <v>1.5627874701043833E-4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input_614010!A$2</f>
        <v>614010</v>
      </c>
      <c r="B129" s="97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IFERROR(VLOOKUP(B129,input_614010!L:R,7,FALSE),VLOOKUP(tables_614010!C129,input_614010!A:H,8,FALSE))</f>
        <v>540000</v>
      </c>
      <c r="P129" s="46">
        <f t="shared" ca="1" si="4"/>
        <v>3.7113402061886313E-3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input_614010!A$2</f>
        <v>614010</v>
      </c>
      <c r="B130" s="97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IFERROR(VLOOKUP(B130,input_614010!L:R,7,FALSE),VLOOKUP(tables_614010!C130,input_614010!A:H,8,FALSE))</f>
        <v>472500</v>
      </c>
      <c r="P130" s="46">
        <f t="shared" ref="P130:P193" ca="1" si="7">O130/SUM(O:O)</f>
        <v>3.2474226804150522E-3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input_614010!A$2</f>
        <v>614010</v>
      </c>
      <c r="B131" s="97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IFERROR(VLOOKUP(B131,input_614010!L:R,7,FALSE),VLOOKUP(tables_614010!C131,input_614010!A:H,8,FALSE))</f>
        <v>22738.557690000001</v>
      </c>
      <c r="P131" s="46">
        <f t="shared" ca="1" si="7"/>
        <v>1.5627874701043833E-4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input_614010!A$2</f>
        <v>614010</v>
      </c>
      <c r="B132" s="97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IFERROR(VLOOKUP(B132,input_614010!L:R,7,FALSE),VLOOKUP(tables_614010!C132,input_614010!A:H,8,FALSE))</f>
        <v>540000</v>
      </c>
      <c r="P132" s="46">
        <f t="shared" ca="1" si="7"/>
        <v>3.7113402061886313E-3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input_614010!A$2</f>
        <v>614010</v>
      </c>
      <c r="B133" s="97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IFERROR(VLOOKUP(B133,input_614010!L:R,7,FALSE),VLOOKUP(tables_614010!C133,input_614010!A:H,8,FALSE))</f>
        <v>472500</v>
      </c>
      <c r="P133" s="46">
        <f t="shared" ca="1" si="7"/>
        <v>3.2474226804150522E-3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input_614010!A$2</f>
        <v>614010</v>
      </c>
      <c r="B134" s="97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IFERROR(VLOOKUP(B134,input_614010!L:R,7,FALSE),VLOOKUP(tables_614010!C134,input_614010!A:H,8,FALSE))</f>
        <v>22738.557690000001</v>
      </c>
      <c r="P134" s="46">
        <f t="shared" ca="1" si="7"/>
        <v>1.5627874701043833E-4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input_614010!A$2</f>
        <v>614010</v>
      </c>
      <c r="B135" s="97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IFERROR(VLOOKUP(B135,input_614010!L:R,7,FALSE),VLOOKUP(tables_614010!C135,input_614010!A:H,8,FALSE))</f>
        <v>540000</v>
      </c>
      <c r="P135" s="46">
        <f t="shared" ca="1" si="7"/>
        <v>3.7113402061886313E-3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input_614010!A$2</f>
        <v>614010</v>
      </c>
      <c r="B136" s="9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IFERROR(VLOOKUP(B136,input_614010!L:R,7,FALSE),VLOOKUP(tables_614010!C136,input_614010!A:H,8,FALSE))</f>
        <v>472500</v>
      </c>
      <c r="P136" s="46">
        <f t="shared" ca="1" si="7"/>
        <v>3.2474226804150522E-3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input_614010!A$2</f>
        <v>614010</v>
      </c>
      <c r="B137" s="9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IFERROR(VLOOKUP(B137,input_614010!L:R,7,FALSE),VLOOKUP(tables_614010!C137,input_614010!A:H,8,FALSE))</f>
        <v>22738.557690000001</v>
      </c>
      <c r="P137" s="46">
        <f t="shared" ca="1" si="7"/>
        <v>1.5627874701043833E-4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input_614010!A$2</f>
        <v>614010</v>
      </c>
      <c r="B138" s="97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IFERROR(VLOOKUP(B138,input_614010!L:R,7,FALSE),VLOOKUP(tables_614010!C138,input_614010!A:H,8,FALSE))</f>
        <v>68385</v>
      </c>
      <c r="P138" s="46">
        <f t="shared" ca="1" si="7"/>
        <v>4.7000000000038808E-4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input_614010!A$2</f>
        <v>614010</v>
      </c>
      <c r="B139" s="97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IFERROR(VLOOKUP(B139,input_614010!L:R,7,FALSE),VLOOKUP(tables_614010!C139,input_614010!A:H,8,FALSE))</f>
        <v>22795</v>
      </c>
      <c r="P139" s="46">
        <f t="shared" ca="1" si="7"/>
        <v>1.5666666666679601E-4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input_614010!A$2</f>
        <v>614010</v>
      </c>
      <c r="B140" s="97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IFERROR(VLOOKUP(B140,input_614010!L:R,7,FALSE),VLOOKUP(tables_614010!C140,input_614010!A:H,8,FALSE))</f>
        <v>68385</v>
      </c>
      <c r="P140" s="46">
        <f t="shared" ca="1" si="7"/>
        <v>4.7000000000038808E-4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input_614010!A$2</f>
        <v>614010</v>
      </c>
      <c r="B141" s="97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IFERROR(VLOOKUP(B141,input_614010!L:R,7,FALSE),VLOOKUP(tables_614010!C141,input_614010!A:H,8,FALSE))</f>
        <v>22795</v>
      </c>
      <c r="P141" s="46">
        <f t="shared" ca="1" si="7"/>
        <v>1.5666666666679601E-4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input_614010!A$2</f>
        <v>614010</v>
      </c>
      <c r="B142" s="97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IFERROR(VLOOKUP(B142,input_614010!L:R,7,FALSE),VLOOKUP(tables_614010!C142,input_614010!A:H,8,FALSE))</f>
        <v>68385</v>
      </c>
      <c r="P142" s="46">
        <f t="shared" ca="1" si="7"/>
        <v>4.7000000000038808E-4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input_614010!A$2</f>
        <v>614010</v>
      </c>
      <c r="B143" s="97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IFERROR(VLOOKUP(B143,input_614010!L:R,7,FALSE),VLOOKUP(tables_614010!C143,input_614010!A:H,8,FALSE))</f>
        <v>22795</v>
      </c>
      <c r="P143" s="46">
        <f t="shared" ca="1" si="7"/>
        <v>1.5666666666679601E-4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input_614010!A$2</f>
        <v>614010</v>
      </c>
      <c r="B144" s="97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IFERROR(VLOOKUP(B144,input_614010!L:R,7,FALSE),VLOOKUP(tables_614010!C144,input_614010!A:H,8,FALSE))</f>
        <v>68385</v>
      </c>
      <c r="P144" s="46">
        <f t="shared" ca="1" si="7"/>
        <v>4.7000000000038808E-4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input_614010!A$2</f>
        <v>614010</v>
      </c>
      <c r="B145" s="97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IFERROR(VLOOKUP(B145,input_614010!L:R,7,FALSE),VLOOKUP(tables_614010!C145,input_614010!A:H,8,FALSE))</f>
        <v>22795</v>
      </c>
      <c r="P145" s="46">
        <f t="shared" ca="1" si="7"/>
        <v>1.5666666666679601E-4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input_614010!A$2</f>
        <v>614010</v>
      </c>
      <c r="B146" s="97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IFERROR(VLOOKUP(B146,input_614010!L:R,7,FALSE),VLOOKUP(tables_614010!C146,input_614010!A:H,8,FALSE))</f>
        <v>540000</v>
      </c>
      <c r="P146" s="46">
        <f t="shared" ca="1" si="7"/>
        <v>3.7113402061886313E-3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input_614010!A$2</f>
        <v>614010</v>
      </c>
      <c r="B147" s="97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IFERROR(VLOOKUP(B147,input_614010!L:R,7,FALSE),VLOOKUP(tables_614010!C147,input_614010!A:H,8,FALSE))</f>
        <v>472500</v>
      </c>
      <c r="P147" s="46">
        <f t="shared" ca="1" si="7"/>
        <v>3.2474226804150522E-3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input_614010!A$2</f>
        <v>614010</v>
      </c>
      <c r="B148" s="97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IFERROR(VLOOKUP(B148,input_614010!L:R,7,FALSE),VLOOKUP(tables_614010!C148,input_614010!A:H,8,FALSE))</f>
        <v>22738.557690000001</v>
      </c>
      <c r="P148" s="46">
        <f t="shared" ca="1" si="7"/>
        <v>1.5627874701043833E-4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input_614010!A$2</f>
        <v>614010</v>
      </c>
      <c r="B149" s="97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IFERROR(VLOOKUP(B149,input_614010!L:R,7,FALSE),VLOOKUP(tables_614010!C149,input_614010!A:H,8,FALSE))</f>
        <v>68385</v>
      </c>
      <c r="P149" s="46">
        <f t="shared" ca="1" si="7"/>
        <v>4.7000000000038808E-4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input_614010!A$2</f>
        <v>614010</v>
      </c>
      <c r="B150" s="97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IFERROR(VLOOKUP(B150,input_614010!L:R,7,FALSE),VLOOKUP(tables_614010!C150,input_614010!A:H,8,FALSE))</f>
        <v>22795</v>
      </c>
      <c r="P150" s="46">
        <f t="shared" ca="1" si="7"/>
        <v>1.5666666666679601E-4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input_614010!A$2</f>
        <v>614010</v>
      </c>
      <c r="B151" s="97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IFERROR(VLOOKUP(B151,input_614010!L:R,7,FALSE),VLOOKUP(tables_614010!C151,input_614010!A:H,8,FALSE))</f>
        <v>68385</v>
      </c>
      <c r="P151" s="46">
        <f t="shared" ca="1" si="7"/>
        <v>4.7000000000038808E-4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input_614010!A$2</f>
        <v>614010</v>
      </c>
      <c r="B152" s="97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IFERROR(VLOOKUP(B152,input_614010!L:R,7,FALSE),VLOOKUP(tables_614010!C152,input_614010!A:H,8,FALSE))</f>
        <v>22795</v>
      </c>
      <c r="P152" s="46">
        <f t="shared" ca="1" si="7"/>
        <v>1.5666666666679601E-4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input_614010!A$2</f>
        <v>614010</v>
      </c>
      <c r="B153" s="97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IFERROR(VLOOKUP(B153,input_614010!L:R,7,FALSE),VLOOKUP(tables_614010!C153,input_614010!A:H,8,FALSE))</f>
        <v>540000</v>
      </c>
      <c r="P153" s="46">
        <f t="shared" ca="1" si="7"/>
        <v>3.7113402061886313E-3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input_614010!A$2</f>
        <v>614010</v>
      </c>
      <c r="B154" s="97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IFERROR(VLOOKUP(B154,input_614010!L:R,7,FALSE),VLOOKUP(tables_614010!C154,input_614010!A:H,8,FALSE))</f>
        <v>472500</v>
      </c>
      <c r="P154" s="46">
        <f t="shared" ca="1" si="7"/>
        <v>3.2474226804150522E-3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input_614010!A$2</f>
        <v>614010</v>
      </c>
      <c r="B155" s="97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IFERROR(VLOOKUP(B155,input_614010!L:R,7,FALSE),VLOOKUP(tables_614010!C155,input_614010!A:H,8,FALSE))</f>
        <v>22738.557690000001</v>
      </c>
      <c r="P155" s="46">
        <f t="shared" ca="1" si="7"/>
        <v>1.5627874701043833E-4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input_614010!A$2</f>
        <v>614010</v>
      </c>
      <c r="B156" s="97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IFERROR(VLOOKUP(B156,input_614010!L:R,7,FALSE),VLOOKUP(tables_614010!C156,input_614010!A:H,8,FALSE))</f>
        <v>68385</v>
      </c>
      <c r="P156" s="46">
        <f t="shared" ca="1" si="7"/>
        <v>4.7000000000038808E-4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input_614010!A$2</f>
        <v>614010</v>
      </c>
      <c r="B157" s="97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IFERROR(VLOOKUP(B157,input_614010!L:R,7,FALSE),VLOOKUP(tables_614010!C157,input_614010!A:H,8,FALSE))</f>
        <v>22795</v>
      </c>
      <c r="P157" s="46">
        <f t="shared" ca="1" si="7"/>
        <v>1.5666666666679601E-4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input_614010!A$2</f>
        <v>614010</v>
      </c>
      <c r="B158" s="97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IFERROR(VLOOKUP(B158,input_614010!L:R,7,FALSE),VLOOKUP(tables_614010!C158,input_614010!A:H,8,FALSE))</f>
        <v>540000</v>
      </c>
      <c r="P158" s="46">
        <f t="shared" ca="1" si="7"/>
        <v>3.7113402061886313E-3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input_614010!A$2</f>
        <v>614010</v>
      </c>
      <c r="B159" s="97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IFERROR(VLOOKUP(B159,input_614010!L:R,7,FALSE),VLOOKUP(tables_614010!C159,input_614010!A:H,8,FALSE))</f>
        <v>472500</v>
      </c>
      <c r="P159" s="46">
        <f t="shared" ca="1" si="7"/>
        <v>3.2474226804150522E-3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input_614010!A$2</f>
        <v>614010</v>
      </c>
      <c r="B160" s="97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IFERROR(VLOOKUP(B160,input_614010!L:R,7,FALSE),VLOOKUP(tables_614010!C160,input_614010!A:H,8,FALSE))</f>
        <v>22738.557690000001</v>
      </c>
      <c r="P160" s="46">
        <f t="shared" ca="1" si="7"/>
        <v>1.5627874701043833E-4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input_614010!A$2</f>
        <v>614010</v>
      </c>
      <c r="B161" s="97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IFERROR(VLOOKUP(B161,input_614010!L:R,7,FALSE),VLOOKUP(tables_614010!C161,input_614010!A:H,8,FALSE))</f>
        <v>540000</v>
      </c>
      <c r="P161" s="46">
        <f t="shared" ca="1" si="7"/>
        <v>3.7113402061886313E-3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input_614010!A$2</f>
        <v>614010</v>
      </c>
      <c r="B162" s="97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IFERROR(VLOOKUP(B162,input_614010!L:R,7,FALSE),VLOOKUP(tables_614010!C162,input_614010!A:H,8,FALSE))</f>
        <v>472500</v>
      </c>
      <c r="P162" s="46">
        <f t="shared" ca="1" si="7"/>
        <v>3.2474226804150522E-3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input_614010!A$2</f>
        <v>614010</v>
      </c>
      <c r="B163" s="97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IFERROR(VLOOKUP(B163,input_614010!L:R,7,FALSE),VLOOKUP(tables_614010!C163,input_614010!A:H,8,FALSE))</f>
        <v>22738.557690000001</v>
      </c>
      <c r="P163" s="46">
        <f t="shared" ca="1" si="7"/>
        <v>1.5627874701043833E-4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input_614010!A$2</f>
        <v>614010</v>
      </c>
      <c r="B164" s="97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IFERROR(VLOOKUP(B164,input_614010!L:R,7,FALSE),VLOOKUP(tables_614010!C164,input_614010!A:H,8,FALSE))</f>
        <v>68385</v>
      </c>
      <c r="P164" s="46">
        <f t="shared" ca="1" si="7"/>
        <v>4.7000000000038808E-4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input_614010!A$2</f>
        <v>614010</v>
      </c>
      <c r="B165" s="97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IFERROR(VLOOKUP(B165,input_614010!L:R,7,FALSE),VLOOKUP(tables_614010!C165,input_614010!A:H,8,FALSE))</f>
        <v>22795</v>
      </c>
      <c r="P165" s="46">
        <f t="shared" ca="1" si="7"/>
        <v>1.5666666666679601E-4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input_614010!A$2</f>
        <v>614010</v>
      </c>
      <c r="B166" s="97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IFERROR(VLOOKUP(B166,input_614010!L:R,7,FALSE),VLOOKUP(tables_614010!C166,input_614010!A:H,8,FALSE))</f>
        <v>540000</v>
      </c>
      <c r="P166" s="46">
        <f t="shared" ca="1" si="7"/>
        <v>3.7113402061886313E-3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input_614010!A$2</f>
        <v>614010</v>
      </c>
      <c r="B167" s="97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IFERROR(VLOOKUP(B167,input_614010!L:R,7,FALSE),VLOOKUP(tables_614010!C167,input_614010!A:H,8,FALSE))</f>
        <v>472500</v>
      </c>
      <c r="P167" s="46">
        <f t="shared" ca="1" si="7"/>
        <v>3.2474226804150522E-3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input_614010!A$2</f>
        <v>614010</v>
      </c>
      <c r="B168" s="97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IFERROR(VLOOKUP(B168,input_614010!L:R,7,FALSE),VLOOKUP(tables_614010!C168,input_614010!A:H,8,FALSE))</f>
        <v>22738.557690000001</v>
      </c>
      <c r="P168" s="46">
        <f t="shared" ca="1" si="7"/>
        <v>1.5627874701043833E-4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input_614010!A$2</f>
        <v>614010</v>
      </c>
      <c r="B169" s="97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IFERROR(VLOOKUP(B169,input_614010!L:R,7,FALSE),VLOOKUP(tables_614010!C169,input_614010!A:H,8,FALSE))</f>
        <v>68385</v>
      </c>
      <c r="P169" s="46">
        <f t="shared" ca="1" si="7"/>
        <v>4.7000000000038808E-4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input_614010!A$2</f>
        <v>614010</v>
      </c>
      <c r="B170" s="97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IFERROR(VLOOKUP(B170,input_614010!L:R,7,FALSE),VLOOKUP(tables_614010!C170,input_614010!A:H,8,FALSE))</f>
        <v>22795</v>
      </c>
      <c r="P170" s="46">
        <f t="shared" ca="1" si="7"/>
        <v>1.5666666666679601E-4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input_614010!A$2</f>
        <v>614010</v>
      </c>
      <c r="B171" s="97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IFERROR(VLOOKUP(B171,input_614010!L:R,7,FALSE),VLOOKUP(tables_614010!C171,input_614010!A:H,8,FALSE))</f>
        <v>540000</v>
      </c>
      <c r="P171" s="46">
        <f t="shared" ca="1" si="7"/>
        <v>3.7113402061886313E-3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input_614010!A$2</f>
        <v>614010</v>
      </c>
      <c r="B172" s="97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IFERROR(VLOOKUP(B172,input_614010!L:R,7,FALSE),VLOOKUP(tables_614010!C172,input_614010!A:H,8,FALSE))</f>
        <v>472500</v>
      </c>
      <c r="P172" s="46">
        <f t="shared" ca="1" si="7"/>
        <v>3.2474226804150522E-3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input_614010!A$2</f>
        <v>614010</v>
      </c>
      <c r="B173" s="97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IFERROR(VLOOKUP(B173,input_614010!L:R,7,FALSE),VLOOKUP(tables_614010!C173,input_614010!A:H,8,FALSE))</f>
        <v>22738.557690000001</v>
      </c>
      <c r="P173" s="46">
        <f t="shared" ca="1" si="7"/>
        <v>1.5627874701043833E-4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input_614010!A$2</f>
        <v>614010</v>
      </c>
      <c r="B174" s="97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IFERROR(VLOOKUP(B174,input_614010!L:R,7,FALSE),VLOOKUP(tables_614010!C174,input_614010!A:H,8,FALSE))</f>
        <v>68385</v>
      </c>
      <c r="P174" s="46">
        <f t="shared" ca="1" si="7"/>
        <v>4.7000000000038808E-4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input_614010!A$2</f>
        <v>614010</v>
      </c>
      <c r="B175" s="97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IFERROR(VLOOKUP(B175,input_614010!L:R,7,FALSE),VLOOKUP(tables_614010!C175,input_614010!A:H,8,FALSE))</f>
        <v>22795</v>
      </c>
      <c r="P175" s="46">
        <f t="shared" ca="1" si="7"/>
        <v>1.5666666666679601E-4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input_614010!A$2</f>
        <v>614010</v>
      </c>
      <c r="B176" s="97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IFERROR(VLOOKUP(B176,input_614010!L:R,7,FALSE),VLOOKUP(tables_614010!C176,input_614010!A:H,8,FALSE))</f>
        <v>68385</v>
      </c>
      <c r="P176" s="46">
        <f t="shared" ca="1" si="7"/>
        <v>4.7000000000038808E-4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input_614010!A$2</f>
        <v>614010</v>
      </c>
      <c r="B177" s="97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IFERROR(VLOOKUP(B177,input_614010!L:R,7,FALSE),VLOOKUP(tables_614010!C177,input_614010!A:H,8,FALSE))</f>
        <v>22795</v>
      </c>
      <c r="P177" s="46">
        <f t="shared" ca="1" si="7"/>
        <v>1.5666666666679601E-4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input_614010!A$2</f>
        <v>614010</v>
      </c>
      <c r="B178" s="97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IFERROR(VLOOKUP(B178,input_614010!L:R,7,FALSE),VLOOKUP(tables_614010!C178,input_614010!A:H,8,FALSE))</f>
        <v>540000</v>
      </c>
      <c r="P178" s="46">
        <f t="shared" ca="1" si="7"/>
        <v>3.7113402061886313E-3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input_614010!A$2</f>
        <v>614010</v>
      </c>
      <c r="B179" s="97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IFERROR(VLOOKUP(B179,input_614010!L:R,7,FALSE),VLOOKUP(tables_614010!C179,input_614010!A:H,8,FALSE))</f>
        <v>472500</v>
      </c>
      <c r="P179" s="46">
        <f t="shared" ca="1" si="7"/>
        <v>3.2474226804150522E-3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input_614010!A$2</f>
        <v>614010</v>
      </c>
      <c r="B180" s="97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IFERROR(VLOOKUP(B180,input_614010!L:R,7,FALSE),VLOOKUP(tables_614010!C180,input_614010!A:H,8,FALSE))</f>
        <v>22738.557690000001</v>
      </c>
      <c r="P180" s="46">
        <f t="shared" ca="1" si="7"/>
        <v>1.5627874701043833E-4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input_614010!A$2</f>
        <v>614010</v>
      </c>
      <c r="B181" s="97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IFERROR(VLOOKUP(B181,input_614010!L:R,7,FALSE),VLOOKUP(tables_614010!C181,input_614010!A:H,8,FALSE))</f>
        <v>540000</v>
      </c>
      <c r="P181" s="46">
        <f t="shared" ca="1" si="7"/>
        <v>3.7113402061886313E-3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input_614010!A$2</f>
        <v>614010</v>
      </c>
      <c r="B182" s="97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IFERROR(VLOOKUP(B182,input_614010!L:R,7,FALSE),VLOOKUP(tables_614010!C182,input_614010!A:H,8,FALSE))</f>
        <v>472500</v>
      </c>
      <c r="P182" s="46">
        <f t="shared" ca="1" si="7"/>
        <v>3.2474226804150522E-3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input_614010!A$2</f>
        <v>614010</v>
      </c>
      <c r="B183" s="97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IFERROR(VLOOKUP(B183,input_614010!L:R,7,FALSE),VLOOKUP(tables_614010!C183,input_614010!A:H,8,FALSE))</f>
        <v>22738.557690000001</v>
      </c>
      <c r="P183" s="46">
        <f t="shared" ca="1" si="7"/>
        <v>1.5627874701043833E-4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input_614010!A$2</f>
        <v>614010</v>
      </c>
      <c r="B184" s="97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IFERROR(VLOOKUP(B184,input_614010!L:R,7,FALSE),VLOOKUP(tables_614010!C184,input_614010!A:H,8,FALSE))</f>
        <v>68385</v>
      </c>
      <c r="P184" s="46">
        <f t="shared" ca="1" si="7"/>
        <v>4.7000000000038808E-4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input_614010!A$2</f>
        <v>614010</v>
      </c>
      <c r="B185" s="97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IFERROR(VLOOKUP(B185,input_614010!L:R,7,FALSE),VLOOKUP(tables_614010!C185,input_614010!A:H,8,FALSE))</f>
        <v>22795</v>
      </c>
      <c r="P185" s="46">
        <f t="shared" ca="1" si="7"/>
        <v>1.5666666666679601E-4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input_614010!A$2</f>
        <v>614010</v>
      </c>
      <c r="B186" s="9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IFERROR(VLOOKUP(B186,input_614010!L:R,7,FALSE),VLOOKUP(tables_614010!C186,input_614010!A:H,8,FALSE))</f>
        <v>540000</v>
      </c>
      <c r="P186" s="46">
        <f t="shared" ca="1" si="7"/>
        <v>3.7113402061886313E-3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input_614010!A$2</f>
        <v>614010</v>
      </c>
      <c r="B187" s="9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IFERROR(VLOOKUP(B187,input_614010!L:R,7,FALSE),VLOOKUP(tables_614010!C187,input_614010!A:H,8,FALSE))</f>
        <v>472500</v>
      </c>
      <c r="P187" s="46">
        <f t="shared" ca="1" si="7"/>
        <v>3.2474226804150522E-3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input_614010!A$2</f>
        <v>614010</v>
      </c>
      <c r="B188" s="9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IFERROR(VLOOKUP(B188,input_614010!L:R,7,FALSE),VLOOKUP(tables_614010!C188,input_614010!A:H,8,FALSE))</f>
        <v>22738.557690000001</v>
      </c>
      <c r="P188" s="46">
        <f t="shared" ca="1" si="7"/>
        <v>1.5627874701043833E-4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input_614010!A$2</f>
        <v>614010</v>
      </c>
      <c r="B189" s="9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IFERROR(VLOOKUP(B189,input_614010!L:R,7,FALSE),VLOOKUP(tables_614010!C189,input_614010!A:H,8,FALSE))</f>
        <v>68385</v>
      </c>
      <c r="P189" s="46">
        <f t="shared" ca="1" si="7"/>
        <v>4.7000000000038808E-4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input_614010!A$2</f>
        <v>614010</v>
      </c>
      <c r="B190" s="97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IFERROR(VLOOKUP(B190,input_614010!L:R,7,FALSE),VLOOKUP(tables_614010!C190,input_614010!A:H,8,FALSE))</f>
        <v>22795</v>
      </c>
      <c r="P190" s="46">
        <f t="shared" ca="1" si="7"/>
        <v>1.5666666666679601E-4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input_614010!A$2</f>
        <v>614010</v>
      </c>
      <c r="B191" s="97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IFERROR(VLOOKUP(B191,input_614010!L:R,7,FALSE),VLOOKUP(tables_614010!C191,input_614010!A:H,8,FALSE))</f>
        <v>68385</v>
      </c>
      <c r="P191" s="46">
        <f t="shared" ca="1" si="7"/>
        <v>4.7000000000038808E-4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input_614010!A$2</f>
        <v>614010</v>
      </c>
      <c r="B192" s="97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IFERROR(VLOOKUP(B192,input_614010!L:R,7,FALSE),VLOOKUP(tables_614010!C192,input_614010!A:H,8,FALSE))</f>
        <v>22795</v>
      </c>
      <c r="P192" s="46">
        <f t="shared" ca="1" si="7"/>
        <v>1.5666666666679601E-4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input_614010!A$2</f>
        <v>614010</v>
      </c>
      <c r="B193" s="97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IFERROR(VLOOKUP(B193,input_614010!L:R,7,FALSE),VLOOKUP(tables_614010!C193,input_614010!A:H,8,FALSE))</f>
        <v>540000</v>
      </c>
      <c r="P193" s="46">
        <f t="shared" ca="1" si="7"/>
        <v>3.7113402061886313E-3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input_614010!A$2</f>
        <v>614010</v>
      </c>
      <c r="B194" s="97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IFERROR(VLOOKUP(B194,input_614010!L:R,7,FALSE),VLOOKUP(tables_614010!C194,input_614010!A:H,8,FALSE))</f>
        <v>472500</v>
      </c>
      <c r="P194" s="46">
        <f t="shared" ref="P194:P257" ca="1" si="10">O194/SUM(O:O)</f>
        <v>3.2474226804150522E-3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input_614010!A$2</f>
        <v>614010</v>
      </c>
      <c r="B195" s="97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IFERROR(VLOOKUP(B195,input_614010!L:R,7,FALSE),VLOOKUP(tables_614010!C195,input_614010!A:H,8,FALSE))</f>
        <v>22738.557690000001</v>
      </c>
      <c r="P195" s="46">
        <f t="shared" ca="1" si="10"/>
        <v>1.5627874701043833E-4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input_614010!A$2</f>
        <v>614010</v>
      </c>
      <c r="B196" s="97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IFERROR(VLOOKUP(B196,input_614010!L:R,7,FALSE),VLOOKUP(tables_614010!C196,input_614010!A:H,8,FALSE))</f>
        <v>68385</v>
      </c>
      <c r="P196" s="46">
        <f t="shared" ca="1" si="10"/>
        <v>4.7000000000038808E-4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input_614010!A$2</f>
        <v>614010</v>
      </c>
      <c r="B197" s="97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IFERROR(VLOOKUP(B197,input_614010!L:R,7,FALSE),VLOOKUP(tables_614010!C197,input_614010!A:H,8,FALSE))</f>
        <v>22795</v>
      </c>
      <c r="P197" s="46">
        <f t="shared" ca="1" si="10"/>
        <v>1.5666666666679601E-4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input_614010!A$2</f>
        <v>614010</v>
      </c>
      <c r="B198" s="97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IFERROR(VLOOKUP(B198,input_614010!L:R,7,FALSE),VLOOKUP(tables_614010!C198,input_614010!A:H,8,FALSE))</f>
        <v>540000</v>
      </c>
      <c r="P198" s="46">
        <f t="shared" ca="1" si="10"/>
        <v>3.7113402061886313E-3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input_614010!A$2</f>
        <v>614010</v>
      </c>
      <c r="B199" s="97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IFERROR(VLOOKUP(B199,input_614010!L:R,7,FALSE),VLOOKUP(tables_614010!C199,input_614010!A:H,8,FALSE))</f>
        <v>472500</v>
      </c>
      <c r="P199" s="46">
        <f t="shared" ca="1" si="10"/>
        <v>3.2474226804150522E-3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input_614010!A$2</f>
        <v>614010</v>
      </c>
      <c r="B200" s="97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IFERROR(VLOOKUP(B200,input_614010!L:R,7,FALSE),VLOOKUP(tables_614010!C200,input_614010!A:H,8,FALSE))</f>
        <v>22738.557690000001</v>
      </c>
      <c r="P200" s="46">
        <f t="shared" ca="1" si="10"/>
        <v>1.5627874701043833E-4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input_614010!A$2</f>
        <v>614010</v>
      </c>
      <c r="B201" s="97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IFERROR(VLOOKUP(B201,input_614010!L:R,7,FALSE),VLOOKUP(tables_614010!C201,input_614010!A:H,8,FALSE))</f>
        <v>68385</v>
      </c>
      <c r="P201" s="46">
        <f t="shared" ca="1" si="10"/>
        <v>4.7000000000038808E-4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input_614010!A$2</f>
        <v>614010</v>
      </c>
      <c r="B202" s="97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IFERROR(VLOOKUP(B202,input_614010!L:R,7,FALSE),VLOOKUP(tables_614010!C202,input_614010!A:H,8,FALSE))</f>
        <v>22795</v>
      </c>
      <c r="P202" s="46">
        <f t="shared" ca="1" si="10"/>
        <v>1.5666666666679601E-4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input_614010!A$2</f>
        <v>614010</v>
      </c>
      <c r="B203" s="97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IFERROR(VLOOKUP(B203,input_614010!L:R,7,FALSE),VLOOKUP(tables_614010!C203,input_614010!A:H,8,FALSE))</f>
        <v>540000</v>
      </c>
      <c r="P203" s="46">
        <f t="shared" ca="1" si="10"/>
        <v>3.7113402061886313E-3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input_614010!A$2</f>
        <v>614010</v>
      </c>
      <c r="B204" s="97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IFERROR(VLOOKUP(B204,input_614010!L:R,7,FALSE),VLOOKUP(tables_614010!C204,input_614010!A:H,8,FALSE))</f>
        <v>472500</v>
      </c>
      <c r="P204" s="46">
        <f t="shared" ca="1" si="10"/>
        <v>3.2474226804150522E-3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input_614010!A$2</f>
        <v>614010</v>
      </c>
      <c r="B205" s="97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IFERROR(VLOOKUP(B205,input_614010!L:R,7,FALSE),VLOOKUP(tables_614010!C205,input_614010!A:H,8,FALSE))</f>
        <v>22738.557690000001</v>
      </c>
      <c r="P205" s="46">
        <f t="shared" ca="1" si="10"/>
        <v>1.5627874701043833E-4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input_614010!A$2</f>
        <v>614010</v>
      </c>
      <c r="B206" s="97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IFERROR(VLOOKUP(B206,input_614010!L:R,7,FALSE),VLOOKUP(tables_614010!C206,input_614010!A:H,8,FALSE))</f>
        <v>68385</v>
      </c>
      <c r="P206" s="46">
        <f t="shared" ca="1" si="10"/>
        <v>4.7000000000038808E-4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input_614010!A$2</f>
        <v>614010</v>
      </c>
      <c r="B207" s="97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IFERROR(VLOOKUP(B207,input_614010!L:R,7,FALSE),VLOOKUP(tables_614010!C207,input_614010!A:H,8,FALSE))</f>
        <v>22795</v>
      </c>
      <c r="P207" s="46">
        <f t="shared" ca="1" si="10"/>
        <v>1.5666666666679601E-4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input_614010!A$2</f>
        <v>614010</v>
      </c>
      <c r="B208" s="97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IFERROR(VLOOKUP(B208,input_614010!L:R,7,FALSE),VLOOKUP(tables_614010!C208,input_614010!A:H,8,FALSE))</f>
        <v>68385</v>
      </c>
      <c r="P208" s="46">
        <f t="shared" ca="1" si="10"/>
        <v>4.7000000000038808E-4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input_614010!A$2</f>
        <v>614010</v>
      </c>
      <c r="B209" s="97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IFERROR(VLOOKUP(B209,input_614010!L:R,7,FALSE),VLOOKUP(tables_614010!C209,input_614010!A:H,8,FALSE))</f>
        <v>22795</v>
      </c>
      <c r="P209" s="46">
        <f t="shared" ca="1" si="10"/>
        <v>1.5666666666679601E-4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input_614010!A$2</f>
        <v>614010</v>
      </c>
      <c r="B210" s="97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IFERROR(VLOOKUP(B210,input_614010!L:R,7,FALSE),VLOOKUP(tables_614010!C210,input_614010!A:H,8,FALSE))</f>
        <v>540000</v>
      </c>
      <c r="P210" s="46">
        <f t="shared" ca="1" si="10"/>
        <v>3.7113402061886313E-3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input_614010!A$2</f>
        <v>614010</v>
      </c>
      <c r="B211" s="97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IFERROR(VLOOKUP(B211,input_614010!L:R,7,FALSE),VLOOKUP(tables_614010!C211,input_614010!A:H,8,FALSE))</f>
        <v>472500</v>
      </c>
      <c r="P211" s="46">
        <f t="shared" ca="1" si="10"/>
        <v>3.2474226804150522E-3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input_614010!A$2</f>
        <v>614010</v>
      </c>
      <c r="B212" s="97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IFERROR(VLOOKUP(B212,input_614010!L:R,7,FALSE),VLOOKUP(tables_614010!C212,input_614010!A:H,8,FALSE))</f>
        <v>22738.557690000001</v>
      </c>
      <c r="P212" s="46">
        <f t="shared" ca="1" si="10"/>
        <v>1.5627874701043833E-4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input_614010!A$2</f>
        <v>614010</v>
      </c>
      <c r="B213" s="97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IFERROR(VLOOKUP(B213,input_614010!L:R,7,FALSE),VLOOKUP(tables_614010!C213,input_614010!A:H,8,FALSE))</f>
        <v>68385</v>
      </c>
      <c r="P213" s="46">
        <f t="shared" ca="1" si="10"/>
        <v>4.7000000000038808E-4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input_614010!A$2</f>
        <v>614010</v>
      </c>
      <c r="B214" s="97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IFERROR(VLOOKUP(B214,input_614010!L:R,7,FALSE),VLOOKUP(tables_614010!C214,input_614010!A:H,8,FALSE))</f>
        <v>22795</v>
      </c>
      <c r="P214" s="46">
        <f t="shared" ca="1" si="10"/>
        <v>1.5666666666679601E-4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input_614010!A$2</f>
        <v>614010</v>
      </c>
      <c r="B215" s="97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IFERROR(VLOOKUP(B215,input_614010!L:R,7,FALSE),VLOOKUP(tables_614010!C215,input_614010!A:H,8,FALSE))</f>
        <v>23625</v>
      </c>
      <c r="P215" s="46">
        <f t="shared" ca="1" si="10"/>
        <v>1.6237113402075261E-4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input_614010!A$2</f>
        <v>614010</v>
      </c>
      <c r="B216" s="97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IFERROR(VLOOKUP(B216,input_614010!L:R,7,FALSE),VLOOKUP(tables_614010!C216,input_614010!A:H,8,FALSE))</f>
        <v>23625</v>
      </c>
      <c r="P216" s="46">
        <f t="shared" ca="1" si="10"/>
        <v>1.6237113402075261E-4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input_614010!A$2</f>
        <v>614010</v>
      </c>
      <c r="B217" s="97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IFERROR(VLOOKUP(B217,input_614010!L:R,7,FALSE),VLOOKUP(tables_614010!C217,input_614010!A:H,8,FALSE))</f>
        <v>23625</v>
      </c>
      <c r="P217" s="46">
        <f t="shared" ca="1" si="10"/>
        <v>1.6237113402075261E-4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input_614010!A$2</f>
        <v>614010</v>
      </c>
      <c r="B218" s="97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IFERROR(VLOOKUP(B218,input_614010!L:R,7,FALSE),VLOOKUP(tables_614010!C218,input_614010!A:H,8,FALSE))</f>
        <v>23625</v>
      </c>
      <c r="P218" s="46">
        <f t="shared" ca="1" si="10"/>
        <v>1.6237113402075261E-4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input_614010!A$2</f>
        <v>614010</v>
      </c>
      <c r="B219" s="97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IFERROR(VLOOKUP(B219,input_614010!L:R,7,FALSE),VLOOKUP(tables_614010!C219,input_614010!A:H,8,FALSE))</f>
        <v>23625</v>
      </c>
      <c r="P219" s="46">
        <f t="shared" ca="1" si="10"/>
        <v>1.6237113402075261E-4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input_614010!A$2</f>
        <v>614010</v>
      </c>
      <c r="B220" s="97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IFERROR(VLOOKUP(B220,input_614010!L:R,7,FALSE),VLOOKUP(tables_614010!C220,input_614010!A:H,8,FALSE))</f>
        <v>23625</v>
      </c>
      <c r="P220" s="46">
        <f t="shared" ca="1" si="10"/>
        <v>1.6237113402075261E-4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input_614010!A$2</f>
        <v>614010</v>
      </c>
      <c r="B221" s="97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IFERROR(VLOOKUP(B221,input_614010!L:R,7,FALSE),VLOOKUP(tables_614010!C221,input_614010!A:H,8,FALSE))</f>
        <v>68385</v>
      </c>
      <c r="P221" s="46">
        <f t="shared" ca="1" si="10"/>
        <v>4.7000000000038808E-4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input_614010!A$2</f>
        <v>614010</v>
      </c>
      <c r="B222" s="97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IFERROR(VLOOKUP(B222,input_614010!L:R,7,FALSE),VLOOKUP(tables_614010!C222,input_614010!A:H,8,FALSE))</f>
        <v>22795</v>
      </c>
      <c r="P222" s="46">
        <f t="shared" ca="1" si="10"/>
        <v>1.5666666666679601E-4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input_614010!A$2</f>
        <v>614010</v>
      </c>
      <c r="B223" s="97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IFERROR(VLOOKUP(B223,input_614010!L:R,7,FALSE),VLOOKUP(tables_614010!C223,input_614010!A:H,8,FALSE))</f>
        <v>540000</v>
      </c>
      <c r="P223" s="46">
        <f t="shared" ca="1" si="10"/>
        <v>3.7113402061886313E-3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input_614010!A$2</f>
        <v>614010</v>
      </c>
      <c r="B224" s="97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IFERROR(VLOOKUP(B224,input_614010!L:R,7,FALSE),VLOOKUP(tables_614010!C224,input_614010!A:H,8,FALSE))</f>
        <v>472500</v>
      </c>
      <c r="P224" s="46">
        <f t="shared" ca="1" si="10"/>
        <v>3.2474226804150522E-3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input_614010!A$2</f>
        <v>614010</v>
      </c>
      <c r="B225" s="97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IFERROR(VLOOKUP(B225,input_614010!L:R,7,FALSE),VLOOKUP(tables_614010!C225,input_614010!A:H,8,FALSE))</f>
        <v>22738.557690000001</v>
      </c>
      <c r="P225" s="46">
        <f t="shared" ca="1" si="10"/>
        <v>1.5627874701043833E-4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input_614010!A$2</f>
        <v>614010</v>
      </c>
      <c r="B226" s="97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IFERROR(VLOOKUP(B226,input_614010!L:R,7,FALSE),VLOOKUP(tables_614010!C226,input_614010!A:H,8,FALSE))</f>
        <v>540000</v>
      </c>
      <c r="P226" s="46">
        <f t="shared" ca="1" si="10"/>
        <v>3.7113402061886313E-3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input_614010!A$2</f>
        <v>614010</v>
      </c>
      <c r="B227" s="97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IFERROR(VLOOKUP(B227,input_614010!L:R,7,FALSE),VLOOKUP(tables_614010!C227,input_614010!A:H,8,FALSE))</f>
        <v>472500</v>
      </c>
      <c r="P227" s="46">
        <f t="shared" ca="1" si="10"/>
        <v>3.2474226804150522E-3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input_614010!A$2</f>
        <v>614010</v>
      </c>
      <c r="B228" s="97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IFERROR(VLOOKUP(B228,input_614010!L:R,7,FALSE),VLOOKUP(tables_614010!C228,input_614010!A:H,8,FALSE))</f>
        <v>22738.557690000001</v>
      </c>
      <c r="P228" s="46">
        <f t="shared" ca="1" si="10"/>
        <v>1.5627874701043833E-4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input_614010!A$2</f>
        <v>614010</v>
      </c>
      <c r="B229" s="97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IFERROR(VLOOKUP(B229,input_614010!L:R,7,FALSE),VLOOKUP(tables_614010!C229,input_614010!A:H,8,FALSE))</f>
        <v>68385</v>
      </c>
      <c r="P229" s="46">
        <f t="shared" ca="1" si="10"/>
        <v>4.7000000000038808E-4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input_614010!A$2</f>
        <v>614010</v>
      </c>
      <c r="B230" s="97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IFERROR(VLOOKUP(B230,input_614010!L:R,7,FALSE),VLOOKUP(tables_614010!C230,input_614010!A:H,8,FALSE))</f>
        <v>22795</v>
      </c>
      <c r="P230" s="46">
        <f t="shared" ca="1" si="10"/>
        <v>1.5666666666679601E-4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input_614010!A$2</f>
        <v>614010</v>
      </c>
      <c r="B231" s="97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IFERROR(VLOOKUP(B231,input_614010!L:R,7,FALSE),VLOOKUP(tables_614010!C231,input_614010!A:H,8,FALSE))</f>
        <v>540000</v>
      </c>
      <c r="P231" s="46">
        <f t="shared" ca="1" si="10"/>
        <v>3.7113402061886313E-3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input_614010!A$2</f>
        <v>614010</v>
      </c>
      <c r="B232" s="97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IFERROR(VLOOKUP(B232,input_614010!L:R,7,FALSE),VLOOKUP(tables_614010!C232,input_614010!A:H,8,FALSE))</f>
        <v>472500</v>
      </c>
      <c r="P232" s="46">
        <f t="shared" ca="1" si="10"/>
        <v>3.2474226804150522E-3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input_614010!A$2</f>
        <v>614010</v>
      </c>
      <c r="B233" s="97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IFERROR(VLOOKUP(B233,input_614010!L:R,7,FALSE),VLOOKUP(tables_614010!C233,input_614010!A:H,8,FALSE))</f>
        <v>22738.557690000001</v>
      </c>
      <c r="P233" s="46">
        <f t="shared" ca="1" si="10"/>
        <v>1.5627874701043833E-4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input_614010!A$2</f>
        <v>614010</v>
      </c>
      <c r="B234" s="97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IFERROR(VLOOKUP(B234,input_614010!L:R,7,FALSE),VLOOKUP(tables_614010!C234,input_614010!A:H,8,FALSE))</f>
        <v>540000</v>
      </c>
      <c r="P234" s="46">
        <f t="shared" ca="1" si="10"/>
        <v>3.7113402061886313E-3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input_614010!A$2</f>
        <v>614010</v>
      </c>
      <c r="B235" s="97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IFERROR(VLOOKUP(B235,input_614010!L:R,7,FALSE),VLOOKUP(tables_614010!C235,input_614010!A:H,8,FALSE))</f>
        <v>472500</v>
      </c>
      <c r="P235" s="46">
        <f t="shared" ca="1" si="10"/>
        <v>3.2474226804150522E-3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input_614010!A$2</f>
        <v>614010</v>
      </c>
      <c r="B236" s="97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IFERROR(VLOOKUP(B236,input_614010!L:R,7,FALSE),VLOOKUP(tables_614010!C236,input_614010!A:H,8,FALSE))</f>
        <v>22738.557690000001</v>
      </c>
      <c r="P236" s="46">
        <f t="shared" ca="1" si="10"/>
        <v>1.5627874701043833E-4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input_614010!A$2</f>
        <v>614010</v>
      </c>
      <c r="B237" s="97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IFERROR(VLOOKUP(B237,input_614010!L:R,7,FALSE),VLOOKUP(tables_614010!C237,input_614010!A:H,8,FALSE))</f>
        <v>68385</v>
      </c>
      <c r="P237" s="46">
        <f t="shared" ca="1" si="10"/>
        <v>4.7000000000038808E-4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input_614010!A$2</f>
        <v>614010</v>
      </c>
      <c r="B238" s="97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IFERROR(VLOOKUP(B238,input_614010!L:R,7,FALSE),VLOOKUP(tables_614010!C238,input_614010!A:H,8,FALSE))</f>
        <v>22795</v>
      </c>
      <c r="P238" s="46">
        <f t="shared" ca="1" si="10"/>
        <v>1.5666666666679601E-4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input_614010!A$2</f>
        <v>614010</v>
      </c>
      <c r="B239" s="97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IFERROR(VLOOKUP(B239,input_614010!L:R,7,FALSE),VLOOKUP(tables_614010!C239,input_614010!A:H,8,FALSE))</f>
        <v>540000</v>
      </c>
      <c r="P239" s="46">
        <f t="shared" ca="1" si="10"/>
        <v>3.7113402061886313E-3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input_614010!A$2</f>
        <v>614010</v>
      </c>
      <c r="B240" s="97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IFERROR(VLOOKUP(B240,input_614010!L:R,7,FALSE),VLOOKUP(tables_614010!C240,input_614010!A:H,8,FALSE))</f>
        <v>472500</v>
      </c>
      <c r="P240" s="46">
        <f t="shared" ca="1" si="10"/>
        <v>3.2474226804150522E-3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input_614010!A$2</f>
        <v>614010</v>
      </c>
      <c r="B241" s="97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IFERROR(VLOOKUP(B241,input_614010!L:R,7,FALSE),VLOOKUP(tables_614010!C241,input_614010!A:H,8,FALSE))</f>
        <v>22738.557690000001</v>
      </c>
      <c r="P241" s="46">
        <f t="shared" ca="1" si="10"/>
        <v>1.5627874701043833E-4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input_614010!A$2</f>
        <v>614010</v>
      </c>
      <c r="B242" s="97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IFERROR(VLOOKUP(B242,input_614010!L:R,7,FALSE),VLOOKUP(tables_614010!C242,input_614010!A:H,8,FALSE))</f>
        <v>68385</v>
      </c>
      <c r="P242" s="46">
        <f t="shared" ca="1" si="10"/>
        <v>4.7000000000038808E-4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input_614010!A$2</f>
        <v>614010</v>
      </c>
      <c r="B243" s="97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IFERROR(VLOOKUP(B243,input_614010!L:R,7,FALSE),VLOOKUP(tables_614010!C243,input_614010!A:H,8,FALSE))</f>
        <v>22795</v>
      </c>
      <c r="P243" s="46">
        <f t="shared" ca="1" si="10"/>
        <v>1.5666666666679601E-4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input_614010!A$2</f>
        <v>614010</v>
      </c>
      <c r="B244" s="97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IFERROR(VLOOKUP(B244,input_614010!L:R,7,FALSE),VLOOKUP(tables_614010!C244,input_614010!A:H,8,FALSE))</f>
        <v>68385</v>
      </c>
      <c r="P244" s="46">
        <f t="shared" ca="1" si="10"/>
        <v>4.7000000000038808E-4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input_614010!A$2</f>
        <v>614010</v>
      </c>
      <c r="B245" s="97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IFERROR(VLOOKUP(B245,input_614010!L:R,7,FALSE),VLOOKUP(tables_614010!C245,input_614010!A:H,8,FALSE))</f>
        <v>22795</v>
      </c>
      <c r="P245" s="46">
        <f t="shared" ca="1" si="10"/>
        <v>1.5666666666679601E-4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input_614010!A$2</f>
        <v>614010</v>
      </c>
      <c r="B246" s="97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IFERROR(VLOOKUP(B246,input_614010!L:R,7,FALSE),VLOOKUP(tables_614010!C246,input_614010!A:H,8,FALSE))</f>
        <v>540000</v>
      </c>
      <c r="P246" s="46">
        <f t="shared" ca="1" si="10"/>
        <v>3.7113402061886313E-3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input_614010!A$2</f>
        <v>614010</v>
      </c>
      <c r="B247" s="97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IFERROR(VLOOKUP(B247,input_614010!L:R,7,FALSE),VLOOKUP(tables_614010!C247,input_614010!A:H,8,FALSE))</f>
        <v>472500</v>
      </c>
      <c r="P247" s="46">
        <f t="shared" ca="1" si="10"/>
        <v>3.2474226804150522E-3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input_614010!A$2</f>
        <v>614010</v>
      </c>
      <c r="B248" s="97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IFERROR(VLOOKUP(B248,input_614010!L:R,7,FALSE),VLOOKUP(tables_614010!C248,input_614010!A:H,8,FALSE))</f>
        <v>22738.557690000001</v>
      </c>
      <c r="P248" s="46">
        <f t="shared" ca="1" si="10"/>
        <v>1.5627874701043833E-4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input_614010!A$2</f>
        <v>614010</v>
      </c>
      <c r="B249" s="97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IFERROR(VLOOKUP(B249,input_614010!L:R,7,FALSE),VLOOKUP(tables_614010!C249,input_614010!A:H,8,FALSE))</f>
        <v>540000</v>
      </c>
      <c r="P249" s="46">
        <f t="shared" ca="1" si="10"/>
        <v>3.7113402061886313E-3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input_614010!A$2</f>
        <v>614010</v>
      </c>
      <c r="B250" s="97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IFERROR(VLOOKUP(B250,input_614010!L:R,7,FALSE),VLOOKUP(tables_614010!C250,input_614010!A:H,8,FALSE))</f>
        <v>472500</v>
      </c>
      <c r="P250" s="46">
        <f t="shared" ca="1" si="10"/>
        <v>3.2474226804150522E-3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input_614010!A$2</f>
        <v>614010</v>
      </c>
      <c r="B251" s="97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IFERROR(VLOOKUP(B251,input_614010!L:R,7,FALSE),VLOOKUP(tables_614010!C251,input_614010!A:H,8,FALSE))</f>
        <v>22738.557690000001</v>
      </c>
      <c r="P251" s="46">
        <f t="shared" ca="1" si="10"/>
        <v>1.5627874701043833E-4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input_614010!A$2</f>
        <v>614010</v>
      </c>
      <c r="B252" s="97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IFERROR(VLOOKUP(B252,input_614010!L:R,7,FALSE),VLOOKUP(tables_614010!C252,input_614010!A:H,8,FALSE))</f>
        <v>540000</v>
      </c>
      <c r="P252" s="46">
        <f t="shared" ca="1" si="10"/>
        <v>3.7113402061886313E-3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input_614010!A$2</f>
        <v>614010</v>
      </c>
      <c r="B253" s="97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IFERROR(VLOOKUP(B253,input_614010!L:R,7,FALSE),VLOOKUP(tables_614010!C253,input_614010!A:H,8,FALSE))</f>
        <v>472500</v>
      </c>
      <c r="P253" s="46">
        <f t="shared" ca="1" si="10"/>
        <v>3.2474226804150522E-3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input_614010!A$2</f>
        <v>614010</v>
      </c>
      <c r="B254" s="97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IFERROR(VLOOKUP(B254,input_614010!L:R,7,FALSE),VLOOKUP(tables_614010!C254,input_614010!A:H,8,FALSE))</f>
        <v>22738.557690000001</v>
      </c>
      <c r="P254" s="46">
        <f t="shared" ca="1" si="10"/>
        <v>1.5627874701043833E-4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input_614010!A$2</f>
        <v>614010</v>
      </c>
      <c r="B255" s="97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IFERROR(VLOOKUP(B255,input_614010!L:R,7,FALSE),VLOOKUP(tables_614010!C255,input_614010!A:H,8,FALSE))</f>
        <v>540000</v>
      </c>
      <c r="P255" s="46">
        <f t="shared" ca="1" si="10"/>
        <v>3.7113402061886313E-3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input_614010!A$2</f>
        <v>614010</v>
      </c>
      <c r="B256" s="97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IFERROR(VLOOKUP(B256,input_614010!L:R,7,FALSE),VLOOKUP(tables_614010!C256,input_614010!A:H,8,FALSE))</f>
        <v>472500</v>
      </c>
      <c r="P256" s="46">
        <f t="shared" ca="1" si="10"/>
        <v>3.2474226804150522E-3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input_614010!A$2</f>
        <v>614010</v>
      </c>
      <c r="B257" s="97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IFERROR(VLOOKUP(B257,input_614010!L:R,7,FALSE),VLOOKUP(tables_614010!C257,input_614010!A:H,8,FALSE))</f>
        <v>22738.557690000001</v>
      </c>
      <c r="P257" s="46">
        <f t="shared" ca="1" si="10"/>
        <v>1.5627874701043833E-4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input_614010!A$2</f>
        <v>614010</v>
      </c>
      <c r="B258" s="97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IFERROR(VLOOKUP(B258,input_614010!L:R,7,FALSE),VLOOKUP(tables_614010!C258,input_614010!A:H,8,FALSE))</f>
        <v>68385</v>
      </c>
      <c r="P258" s="46">
        <f t="shared" ref="P258:P321" ca="1" si="13">O258/SUM(O:O)</f>
        <v>4.7000000000038808E-4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input_614010!A$2</f>
        <v>614010</v>
      </c>
      <c r="B259" s="97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IFERROR(VLOOKUP(B259,input_614010!L:R,7,FALSE),VLOOKUP(tables_614010!C259,input_614010!A:H,8,FALSE))</f>
        <v>22795</v>
      </c>
      <c r="P259" s="46">
        <f t="shared" ca="1" si="13"/>
        <v>1.5666666666679601E-4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input_614010!A$2</f>
        <v>614010</v>
      </c>
      <c r="B260" s="97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IFERROR(VLOOKUP(B260,input_614010!L:R,7,FALSE),VLOOKUP(tables_614010!C260,input_614010!A:H,8,FALSE))</f>
        <v>68385</v>
      </c>
      <c r="P260" s="46">
        <f t="shared" ca="1" si="13"/>
        <v>4.7000000000038808E-4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input_614010!A$2</f>
        <v>614010</v>
      </c>
      <c r="B261" s="97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IFERROR(VLOOKUP(B261,input_614010!L:R,7,FALSE),VLOOKUP(tables_614010!C261,input_614010!A:H,8,FALSE))</f>
        <v>22795</v>
      </c>
      <c r="P261" s="46">
        <f t="shared" ca="1" si="13"/>
        <v>1.5666666666679601E-4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input_614010!A$2</f>
        <v>614010</v>
      </c>
      <c r="B262" s="97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IFERROR(VLOOKUP(B262,input_614010!L:R,7,FALSE),VLOOKUP(tables_614010!C262,input_614010!A:H,8,FALSE))</f>
        <v>472500</v>
      </c>
      <c r="P262" s="46">
        <f t="shared" ca="1" si="13"/>
        <v>3.2474226804150522E-3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input_614010!A$2</f>
        <v>614010</v>
      </c>
      <c r="B263" s="97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IFERROR(VLOOKUP(B263,input_614010!L:R,7,FALSE),VLOOKUP(tables_614010!C263,input_614010!A:H,8,FALSE))</f>
        <v>23625</v>
      </c>
      <c r="P263" s="46">
        <f t="shared" ca="1" si="13"/>
        <v>1.6237113402075261E-4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input_614010!A$2</f>
        <v>614010</v>
      </c>
      <c r="B264" s="97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IFERROR(VLOOKUP(B264,input_614010!L:R,7,FALSE),VLOOKUP(tables_614010!C264,input_614010!A:H,8,FALSE))</f>
        <v>472500</v>
      </c>
      <c r="P264" s="46">
        <f t="shared" ca="1" si="13"/>
        <v>3.2474226804150522E-3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input_614010!A$2</f>
        <v>614010</v>
      </c>
      <c r="B265" s="97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IFERROR(VLOOKUP(B265,input_614010!L:R,7,FALSE),VLOOKUP(tables_614010!C265,input_614010!A:H,8,FALSE))</f>
        <v>23625</v>
      </c>
      <c r="P265" s="46">
        <f t="shared" ca="1" si="13"/>
        <v>1.6237113402075261E-4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input_614010!A$2</f>
        <v>614010</v>
      </c>
      <c r="B266" s="97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IFERROR(VLOOKUP(B266,input_614010!L:R,7,FALSE),VLOOKUP(tables_614010!C266,input_614010!A:H,8,FALSE))</f>
        <v>91180</v>
      </c>
      <c r="P266" s="46">
        <f t="shared" ca="1" si="13"/>
        <v>6.2666666666718403E-4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input_614010!A$2</f>
        <v>614010</v>
      </c>
      <c r="B267" s="97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IFERROR(VLOOKUP(B267,input_614010!L:R,7,FALSE),VLOOKUP(tables_614010!C267,input_614010!A:H,8,FALSE))</f>
        <v>91180</v>
      </c>
      <c r="P267" s="46">
        <f t="shared" ca="1" si="13"/>
        <v>6.2666666666718403E-4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input_614010!A$2</f>
        <v>614010</v>
      </c>
      <c r="B268" s="97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IFERROR(VLOOKUP(B268,input_614010!L:R,7,FALSE),VLOOKUP(tables_614010!C268,input_614010!A:H,8,FALSE))</f>
        <v>91180</v>
      </c>
      <c r="P268" s="46">
        <f t="shared" ca="1" si="13"/>
        <v>6.2666666666718403E-4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input_614010!A$2</f>
        <v>614010</v>
      </c>
      <c r="B269" s="97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IFERROR(VLOOKUP(B269,input_614010!L:R,7,FALSE),VLOOKUP(tables_614010!C269,input_614010!A:H,8,FALSE))</f>
        <v>91180</v>
      </c>
      <c r="P269" s="46">
        <f t="shared" ca="1" si="13"/>
        <v>6.2666666666718403E-4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input_614010!A$2</f>
        <v>614010</v>
      </c>
      <c r="B270" s="97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IFERROR(VLOOKUP(B270,input_614010!L:R,7,FALSE),VLOOKUP(tables_614010!C270,input_614010!A:H,8,FALSE))</f>
        <v>472500</v>
      </c>
      <c r="P270" s="46">
        <f t="shared" ca="1" si="13"/>
        <v>3.2474226804150522E-3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input_614010!A$2</f>
        <v>614010</v>
      </c>
      <c r="B271" s="9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IFERROR(VLOOKUP(B271,input_614010!L:R,7,FALSE),VLOOKUP(tables_614010!C271,input_614010!A:H,8,FALSE))</f>
        <v>23625</v>
      </c>
      <c r="P271" s="46">
        <f t="shared" ca="1" si="13"/>
        <v>1.6237113402075261E-4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input_614010!A$2</f>
        <v>614010</v>
      </c>
      <c r="B272" s="9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IFERROR(VLOOKUP(B272,input_614010!L:R,7,FALSE),VLOOKUP(tables_614010!C272,input_614010!A:H,8,FALSE))</f>
        <v>472500</v>
      </c>
      <c r="P272" s="46">
        <f t="shared" ca="1" si="13"/>
        <v>3.2474226804150522E-3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input_614010!A$2</f>
        <v>614010</v>
      </c>
      <c r="B273" s="9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IFERROR(VLOOKUP(B273,input_614010!L:R,7,FALSE),VLOOKUP(tables_614010!C273,input_614010!A:H,8,FALSE))</f>
        <v>23625</v>
      </c>
      <c r="P273" s="46">
        <f t="shared" ca="1" si="13"/>
        <v>1.6237113402075261E-4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input_614010!A$2</f>
        <v>614010</v>
      </c>
      <c r="B274" s="9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IFERROR(VLOOKUP(B274,input_614010!L:R,7,FALSE),VLOOKUP(tables_614010!C274,input_614010!A:H,8,FALSE))</f>
        <v>68385</v>
      </c>
      <c r="P274" s="46">
        <f t="shared" ca="1" si="13"/>
        <v>4.7000000000038808E-4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input_614010!A$2</f>
        <v>614010</v>
      </c>
      <c r="B275" s="9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IFERROR(VLOOKUP(B275,input_614010!L:R,7,FALSE),VLOOKUP(tables_614010!C275,input_614010!A:H,8,FALSE))</f>
        <v>22795</v>
      </c>
      <c r="P275" s="46">
        <f t="shared" ca="1" si="13"/>
        <v>1.5666666666679601E-4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input_614010!A$2</f>
        <v>614010</v>
      </c>
      <c r="B276" s="9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IFERROR(VLOOKUP(B276,input_614010!L:R,7,FALSE),VLOOKUP(tables_614010!C276,input_614010!A:H,8,FALSE))</f>
        <v>68385</v>
      </c>
      <c r="P276" s="46">
        <f t="shared" ca="1" si="13"/>
        <v>4.7000000000038808E-4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input_614010!A$2</f>
        <v>614010</v>
      </c>
      <c r="B277" s="9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IFERROR(VLOOKUP(B277,input_614010!L:R,7,FALSE),VLOOKUP(tables_614010!C277,input_614010!A:H,8,FALSE))</f>
        <v>22795</v>
      </c>
      <c r="P277" s="46">
        <f t="shared" ca="1" si="13"/>
        <v>1.5666666666679601E-4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input_614010!A$2</f>
        <v>614010</v>
      </c>
      <c r="B278" s="9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IFERROR(VLOOKUP(B278,input_614010!L:R,7,FALSE),VLOOKUP(tables_614010!C278,input_614010!A:H,8,FALSE))</f>
        <v>540000</v>
      </c>
      <c r="P278" s="46">
        <f t="shared" ca="1" si="13"/>
        <v>3.7113402061886313E-3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input_614010!A$2</f>
        <v>614010</v>
      </c>
      <c r="B279" s="9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IFERROR(VLOOKUP(B279,input_614010!L:R,7,FALSE),VLOOKUP(tables_614010!C279,input_614010!A:H,8,FALSE))</f>
        <v>472500</v>
      </c>
      <c r="P279" s="46">
        <f t="shared" ca="1" si="13"/>
        <v>3.2474226804150522E-3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input_614010!A$2</f>
        <v>614010</v>
      </c>
      <c r="B280" s="9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IFERROR(VLOOKUP(B280,input_614010!L:R,7,FALSE),VLOOKUP(tables_614010!C280,input_614010!A:H,8,FALSE))</f>
        <v>22738.557690000001</v>
      </c>
      <c r="P280" s="46">
        <f t="shared" ca="1" si="13"/>
        <v>1.5627874701043833E-4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input_614010!A$2</f>
        <v>614010</v>
      </c>
      <c r="B281" s="9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IFERROR(VLOOKUP(B281,input_614010!L:R,7,FALSE),VLOOKUP(tables_614010!C281,input_614010!A:H,8,FALSE))</f>
        <v>540000</v>
      </c>
      <c r="P281" s="46">
        <f t="shared" ca="1" si="13"/>
        <v>3.7113402061886313E-3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input_614010!A$2</f>
        <v>614010</v>
      </c>
      <c r="B282" s="9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IFERROR(VLOOKUP(B282,input_614010!L:R,7,FALSE),VLOOKUP(tables_614010!C282,input_614010!A:H,8,FALSE))</f>
        <v>472500</v>
      </c>
      <c r="P282" s="46">
        <f t="shared" ca="1" si="13"/>
        <v>3.2474226804150522E-3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input_614010!A$2</f>
        <v>614010</v>
      </c>
      <c r="B283" s="99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IFERROR(VLOOKUP(B283,input_614010!L:R,7,FALSE),VLOOKUP(tables_614010!C283,input_614010!A:H,8,FALSE))</f>
        <v>22738.557690000001</v>
      </c>
      <c r="P283" s="46">
        <f t="shared" ca="1" si="13"/>
        <v>1.5627874701043833E-4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input_614010!A$2</f>
        <v>614010</v>
      </c>
      <c r="B284" s="99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IFERROR(VLOOKUP(B284,input_614010!L:R,7,FALSE),VLOOKUP(tables_614010!C284,input_614010!A:H,8,FALSE))</f>
        <v>91180</v>
      </c>
      <c r="P284" s="46">
        <f t="shared" ca="1" si="13"/>
        <v>6.2666666666718403E-4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input_614010!A$2</f>
        <v>614010</v>
      </c>
      <c r="B285" s="99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IFERROR(VLOOKUP(B285,input_614010!L:R,7,FALSE),VLOOKUP(tables_614010!C285,input_614010!A:H,8,FALSE))</f>
        <v>91180</v>
      </c>
      <c r="P285" s="46">
        <f t="shared" ca="1" si="13"/>
        <v>6.2666666666718403E-4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input_614010!A$2</f>
        <v>614010</v>
      </c>
      <c r="B286" s="99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IFERROR(VLOOKUP(B286,input_614010!L:R,7,FALSE),VLOOKUP(tables_614010!C286,input_614010!A:H,8,FALSE))</f>
        <v>472500</v>
      </c>
      <c r="P286" s="46">
        <f t="shared" ca="1" si="13"/>
        <v>3.2474226804150522E-3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input_614010!A$2</f>
        <v>614010</v>
      </c>
      <c r="B287" s="99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IFERROR(VLOOKUP(B287,input_614010!L:R,7,FALSE),VLOOKUP(tables_614010!C287,input_614010!A:H,8,FALSE))</f>
        <v>23625</v>
      </c>
      <c r="P287" s="46">
        <f t="shared" ca="1" si="13"/>
        <v>1.6237113402075261E-4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input_614010!A$2</f>
        <v>614010</v>
      </c>
      <c r="B288" s="99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IFERROR(VLOOKUP(B288,input_614010!L:R,7,FALSE),VLOOKUP(tables_614010!C288,input_614010!A:H,8,FALSE))</f>
        <v>472500</v>
      </c>
      <c r="P288" s="46">
        <f t="shared" ca="1" si="13"/>
        <v>3.2474226804150522E-3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input_614010!A$2</f>
        <v>614010</v>
      </c>
      <c r="B289" s="99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IFERROR(VLOOKUP(B289,input_614010!L:R,7,FALSE),VLOOKUP(tables_614010!C289,input_614010!A:H,8,FALSE))</f>
        <v>23625</v>
      </c>
      <c r="P289" s="46">
        <f t="shared" ca="1" si="13"/>
        <v>1.6237113402075261E-4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input_614010!A$2</f>
        <v>614010</v>
      </c>
      <c r="B290" s="99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IFERROR(VLOOKUP(B290,input_614010!L:R,7,FALSE),VLOOKUP(tables_614010!C290,input_614010!A:H,8,FALSE))</f>
        <v>472500</v>
      </c>
      <c r="P290" s="46">
        <f t="shared" ca="1" si="13"/>
        <v>3.2474226804150522E-3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input_614010!A$2</f>
        <v>614010</v>
      </c>
      <c r="B291" s="99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IFERROR(VLOOKUP(B291,input_614010!L:R,7,FALSE),VLOOKUP(tables_614010!C291,input_614010!A:H,8,FALSE))</f>
        <v>23625</v>
      </c>
      <c r="P291" s="46">
        <f t="shared" ca="1" si="13"/>
        <v>1.6237113402075261E-4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input_614010!A$2</f>
        <v>614010</v>
      </c>
      <c r="B292" s="99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IFERROR(VLOOKUP(B292,input_614010!L:R,7,FALSE),VLOOKUP(tables_614010!C292,input_614010!A:H,8,FALSE))</f>
        <v>472500</v>
      </c>
      <c r="P292" s="46">
        <f t="shared" ca="1" si="13"/>
        <v>3.2474226804150522E-3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input_614010!A$2</f>
        <v>614010</v>
      </c>
      <c r="B293" s="99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IFERROR(VLOOKUP(B293,input_614010!L:R,7,FALSE),VLOOKUP(tables_614010!C293,input_614010!A:H,8,FALSE))</f>
        <v>23625</v>
      </c>
      <c r="P293" s="46">
        <f t="shared" ca="1" si="13"/>
        <v>1.6237113402075261E-4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input_614010!A$2</f>
        <v>614010</v>
      </c>
      <c r="B294" s="99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IFERROR(VLOOKUP(B294,input_614010!L:R,7,FALSE),VLOOKUP(tables_614010!C294,input_614010!A:H,8,FALSE))</f>
        <v>91180</v>
      </c>
      <c r="P294" s="46">
        <f t="shared" ca="1" si="13"/>
        <v>6.2666666666718403E-4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input_614010!A$2</f>
        <v>614010</v>
      </c>
      <c r="B295" s="99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IFERROR(VLOOKUP(B295,input_614010!L:R,7,FALSE),VLOOKUP(tables_614010!C295,input_614010!A:H,8,FALSE))</f>
        <v>91180</v>
      </c>
      <c r="P295" s="46">
        <f t="shared" ca="1" si="13"/>
        <v>6.2666666666718403E-4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input_614010!A$2</f>
        <v>614010</v>
      </c>
      <c r="B296" s="99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IFERROR(VLOOKUP(B296,input_614010!L:R,7,FALSE),VLOOKUP(tables_614010!C296,input_614010!A:H,8,FALSE))</f>
        <v>91180</v>
      </c>
      <c r="P296" s="46">
        <f t="shared" ca="1" si="13"/>
        <v>6.2666666666718403E-4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input_614010!A$2</f>
        <v>614010</v>
      </c>
      <c r="B297" s="99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IFERROR(VLOOKUP(B297,input_614010!L:R,7,FALSE),VLOOKUP(tables_614010!C297,input_614010!A:H,8,FALSE))</f>
        <v>472500</v>
      </c>
      <c r="P297" s="46">
        <f t="shared" ca="1" si="13"/>
        <v>3.2474226804150522E-3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input_614010!A$2</f>
        <v>614010</v>
      </c>
      <c r="B298" s="99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IFERROR(VLOOKUP(B298,input_614010!L:R,7,FALSE),VLOOKUP(tables_614010!C298,input_614010!A:H,8,FALSE))</f>
        <v>23625</v>
      </c>
      <c r="P298" s="46">
        <f t="shared" ca="1" si="13"/>
        <v>1.6237113402075261E-4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input_614010!A$2</f>
        <v>614010</v>
      </c>
      <c r="B299" s="99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IFERROR(VLOOKUP(B299,input_614010!L:R,7,FALSE),VLOOKUP(tables_614010!C299,input_614010!A:H,8,FALSE))</f>
        <v>91180</v>
      </c>
      <c r="P299" s="46">
        <f t="shared" ca="1" si="13"/>
        <v>6.2666666666718403E-4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input_614010!A$2</f>
        <v>614010</v>
      </c>
      <c r="B300" s="99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IFERROR(VLOOKUP(B300,input_614010!L:R,7,FALSE),VLOOKUP(tables_614010!C300,input_614010!A:H,8,FALSE))</f>
        <v>91180</v>
      </c>
      <c r="P300" s="46">
        <f t="shared" ca="1" si="13"/>
        <v>6.2666666666718403E-4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input_614010!A$2</f>
        <v>614010</v>
      </c>
      <c r="B301" s="99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IFERROR(VLOOKUP(B301,input_614010!L:R,7,FALSE),VLOOKUP(tables_614010!C301,input_614010!A:H,8,FALSE))</f>
        <v>91180</v>
      </c>
      <c r="P301" s="46">
        <f t="shared" ca="1" si="13"/>
        <v>6.2666666666718403E-4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input_614010!A$2</f>
        <v>614010</v>
      </c>
      <c r="B302" s="99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IFERROR(VLOOKUP(B302,input_614010!L:R,7,FALSE),VLOOKUP(tables_614010!C302,input_614010!A:H,8,FALSE))</f>
        <v>91180</v>
      </c>
      <c r="P302" s="46">
        <f t="shared" ca="1" si="13"/>
        <v>6.2666666666718403E-4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input_614010!A$2</f>
        <v>614010</v>
      </c>
      <c r="B303" s="99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IFERROR(VLOOKUP(B303,input_614010!L:R,7,FALSE),VLOOKUP(tables_614010!C303,input_614010!A:H,8,FALSE))</f>
        <v>472500</v>
      </c>
      <c r="P303" s="46">
        <f t="shared" ca="1" si="13"/>
        <v>3.2474226804150522E-3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input_614010!A$2</f>
        <v>614010</v>
      </c>
      <c r="B304" s="99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IFERROR(VLOOKUP(B304,input_614010!L:R,7,FALSE),VLOOKUP(tables_614010!C304,input_614010!A:H,8,FALSE))</f>
        <v>23625</v>
      </c>
      <c r="P304" s="46">
        <f t="shared" ca="1" si="13"/>
        <v>1.6237113402075261E-4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input_614010!A$2</f>
        <v>614010</v>
      </c>
      <c r="B305" s="99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IFERROR(VLOOKUP(B305,input_614010!L:R,7,FALSE),VLOOKUP(tables_614010!C305,input_614010!A:H,8,FALSE))</f>
        <v>91180</v>
      </c>
      <c r="P305" s="46">
        <f t="shared" ca="1" si="13"/>
        <v>6.2666666666718403E-4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input_614010!A$2</f>
        <v>614010</v>
      </c>
      <c r="B306" s="99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IFERROR(VLOOKUP(B306,input_614010!L:R,7,FALSE),VLOOKUP(tables_614010!C306,input_614010!A:H,8,FALSE))</f>
        <v>472500</v>
      </c>
      <c r="P306" s="46">
        <f t="shared" ca="1" si="13"/>
        <v>3.2474226804150522E-3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input_614010!A$2</f>
        <v>614010</v>
      </c>
      <c r="B307" s="99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IFERROR(VLOOKUP(B307,input_614010!L:R,7,FALSE),VLOOKUP(tables_614010!C307,input_614010!A:H,8,FALSE))</f>
        <v>23625</v>
      </c>
      <c r="P307" s="46">
        <f t="shared" ca="1" si="13"/>
        <v>1.6237113402075261E-4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input_614010!A$2</f>
        <v>614010</v>
      </c>
      <c r="B308" s="99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IFERROR(VLOOKUP(B308,input_614010!L:R,7,FALSE),VLOOKUP(tables_614010!C308,input_614010!A:H,8,FALSE))</f>
        <v>91180</v>
      </c>
      <c r="P308" s="46">
        <f t="shared" ca="1" si="13"/>
        <v>6.2666666666718403E-4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input_614010!A$2</f>
        <v>614010</v>
      </c>
      <c r="B309" s="99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IFERROR(VLOOKUP(B309,input_614010!L:R,7,FALSE),VLOOKUP(tables_614010!C309,input_614010!A:H,8,FALSE))</f>
        <v>91180</v>
      </c>
      <c r="P309" s="46">
        <f t="shared" ca="1" si="13"/>
        <v>6.2666666666718403E-4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input_614010!A$2</f>
        <v>614010</v>
      </c>
      <c r="B310" s="99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IFERROR(VLOOKUP(B310,input_614010!L:R,7,FALSE),VLOOKUP(tables_614010!C310,input_614010!A:H,8,FALSE))</f>
        <v>91180</v>
      </c>
      <c r="P310" s="46">
        <f t="shared" ca="1" si="13"/>
        <v>6.2666666666718403E-4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input_614010!A$2</f>
        <v>614010</v>
      </c>
      <c r="B311" s="99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IFERROR(VLOOKUP(B311,input_614010!L:R,7,FALSE),VLOOKUP(tables_614010!C311,input_614010!A:H,8,FALSE))</f>
        <v>472500</v>
      </c>
      <c r="P311" s="46">
        <f t="shared" ca="1" si="13"/>
        <v>3.2474226804150522E-3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input_614010!A$2</f>
        <v>614010</v>
      </c>
      <c r="B312" s="99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IFERROR(VLOOKUP(B312,input_614010!L:R,7,FALSE),VLOOKUP(tables_614010!C312,input_614010!A:H,8,FALSE))</f>
        <v>23625</v>
      </c>
      <c r="P312" s="46">
        <f t="shared" ca="1" si="13"/>
        <v>1.6237113402075261E-4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input_614010!A$2</f>
        <v>614010</v>
      </c>
      <c r="B313" s="99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IFERROR(VLOOKUP(B313,input_614010!L:R,7,FALSE),VLOOKUP(tables_614010!C313,input_614010!A:H,8,FALSE))</f>
        <v>91180</v>
      </c>
      <c r="P313" s="46">
        <f t="shared" ca="1" si="13"/>
        <v>6.2666666666718403E-4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input_614010!A$2</f>
        <v>614010</v>
      </c>
      <c r="B314" s="99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IFERROR(VLOOKUP(B314,input_614010!L:R,7,FALSE),VLOOKUP(tables_614010!C314,input_614010!A:H,8,FALSE))</f>
        <v>91180</v>
      </c>
      <c r="P314" s="46">
        <f t="shared" ca="1" si="13"/>
        <v>6.2666666666718403E-4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input_614010!A$2</f>
        <v>614010</v>
      </c>
      <c r="B315" s="99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IFERROR(VLOOKUP(B315,input_614010!L:R,7,FALSE),VLOOKUP(tables_614010!C315,input_614010!A:H,8,FALSE))</f>
        <v>91180</v>
      </c>
      <c r="P315" s="46">
        <f t="shared" ca="1" si="13"/>
        <v>6.2666666666718403E-4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input_614010!A$2</f>
        <v>614010</v>
      </c>
      <c r="B316" s="99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IFERROR(VLOOKUP(B316,input_614010!L:R,7,FALSE),VLOOKUP(tables_614010!C316,input_614010!A:H,8,FALSE))</f>
        <v>91180</v>
      </c>
      <c r="P316" s="46">
        <f t="shared" ca="1" si="13"/>
        <v>6.2666666666718403E-4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input_614010!A$2</f>
        <v>614010</v>
      </c>
      <c r="B317" s="99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IFERROR(VLOOKUP(B317,input_614010!L:R,7,FALSE),VLOOKUP(tables_614010!C317,input_614010!A:H,8,FALSE))</f>
        <v>91180</v>
      </c>
      <c r="P317" s="46">
        <f t="shared" ca="1" si="13"/>
        <v>6.2666666666718403E-4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input_614010!A$2</f>
        <v>614010</v>
      </c>
      <c r="B318" s="99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IFERROR(VLOOKUP(B318,input_614010!L:R,7,FALSE),VLOOKUP(tables_614010!C318,input_614010!A:H,8,FALSE))</f>
        <v>472500</v>
      </c>
      <c r="P318" s="46">
        <f t="shared" ca="1" si="13"/>
        <v>3.2474226804150522E-3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input_614010!A$2</f>
        <v>614010</v>
      </c>
      <c r="B319" s="99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IFERROR(VLOOKUP(B319,input_614010!L:R,7,FALSE),VLOOKUP(tables_614010!C319,input_614010!A:H,8,FALSE))</f>
        <v>23625</v>
      </c>
      <c r="P319" s="46">
        <f t="shared" ca="1" si="13"/>
        <v>1.6237113402075261E-4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input_614010!A$2</f>
        <v>614010</v>
      </c>
      <c r="B320" s="99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IFERROR(VLOOKUP(B320,input_614010!L:R,7,FALSE),VLOOKUP(tables_614010!C320,input_614010!A:H,8,FALSE))</f>
        <v>91180</v>
      </c>
      <c r="P320" s="46">
        <f t="shared" ca="1" si="13"/>
        <v>6.2666666666718403E-4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input_614010!A$2</f>
        <v>614010</v>
      </c>
      <c r="B321" s="99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IFERROR(VLOOKUP(B321,input_614010!L:R,7,FALSE),VLOOKUP(tables_614010!C321,input_614010!A:H,8,FALSE))</f>
        <v>91180</v>
      </c>
      <c r="P321" s="46">
        <f t="shared" ca="1" si="13"/>
        <v>6.2666666666718403E-4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input_614010!A$2</f>
        <v>614010</v>
      </c>
      <c r="B322" s="99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IFERROR(VLOOKUP(B322,input_614010!L:R,7,FALSE),VLOOKUP(tables_614010!C322,input_614010!A:H,8,FALSE))</f>
        <v>91180</v>
      </c>
      <c r="P322" s="46">
        <f t="shared" ref="P322:P365" ca="1" si="23">O322/SUM(O:O)</f>
        <v>6.2666666666718403E-4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input_614010!A$2</f>
        <v>614010</v>
      </c>
      <c r="B323" s="99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IFERROR(VLOOKUP(B323,input_614010!L:R,7,FALSE),VLOOKUP(tables_614010!C323,input_614010!A:H,8,FALSE))</f>
        <v>91180</v>
      </c>
      <c r="P323" s="46">
        <f t="shared" ca="1" si="23"/>
        <v>6.2666666666718403E-4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input_614010!A$2</f>
        <v>614010</v>
      </c>
      <c r="B324" s="99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IFERROR(VLOOKUP(B324,input_614010!L:R,7,FALSE),VLOOKUP(tables_614010!C324,input_614010!A:H,8,FALSE))</f>
        <v>472500</v>
      </c>
      <c r="P324" s="46">
        <f t="shared" ca="1" si="23"/>
        <v>3.2474226804150522E-3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input_614010!A$2</f>
        <v>614010</v>
      </c>
      <c r="B325" s="99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IFERROR(VLOOKUP(B325,input_614010!L:R,7,FALSE),VLOOKUP(tables_614010!C325,input_614010!A:H,8,FALSE))</f>
        <v>23625</v>
      </c>
      <c r="P325" s="46">
        <f t="shared" ca="1" si="23"/>
        <v>1.6237113402075261E-4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input_614010!A$2</f>
        <v>614010</v>
      </c>
      <c r="B326" s="99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IFERROR(VLOOKUP(B326,input_614010!L:R,7,FALSE),VLOOKUP(tables_614010!C326,input_614010!A:H,8,FALSE))</f>
        <v>472500</v>
      </c>
      <c r="P326" s="46">
        <f t="shared" ca="1" si="23"/>
        <v>3.2474226804150522E-3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input_614010!A$2</f>
        <v>614010</v>
      </c>
      <c r="B327" s="99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IFERROR(VLOOKUP(B327,input_614010!L:R,7,FALSE),VLOOKUP(tables_614010!C327,input_614010!A:H,8,FALSE))</f>
        <v>23625</v>
      </c>
      <c r="P327" s="46">
        <f t="shared" ca="1" si="23"/>
        <v>1.6237113402075261E-4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input_614010!A$2</f>
        <v>614010</v>
      </c>
      <c r="B328" s="99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IFERROR(VLOOKUP(B328,input_614010!L:R,7,FALSE),VLOOKUP(tables_614010!C328,input_614010!A:H,8,FALSE))</f>
        <v>91180</v>
      </c>
      <c r="P328" s="46">
        <f t="shared" ca="1" si="23"/>
        <v>6.2666666666718403E-4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input_614010!A$2</f>
        <v>614010</v>
      </c>
      <c r="B329" s="99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IFERROR(VLOOKUP(B329,input_614010!L:R,7,FALSE),VLOOKUP(tables_614010!C329,input_614010!A:H,8,FALSE))</f>
        <v>91180</v>
      </c>
      <c r="P329" s="46">
        <f t="shared" ca="1" si="23"/>
        <v>6.2666666666718403E-4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input_614010!A$2</f>
        <v>614010</v>
      </c>
      <c r="B330" s="99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IFERROR(VLOOKUP(B330,input_614010!L:R,7,FALSE),VLOOKUP(tables_614010!C330,input_614010!A:H,8,FALSE))</f>
        <v>91180</v>
      </c>
      <c r="P330" s="46">
        <f t="shared" ca="1" si="23"/>
        <v>6.2666666666718403E-4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input_614010!A$2</f>
        <v>614010</v>
      </c>
      <c r="B331" s="97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IFERROR(VLOOKUP(B331,input_614010!L:R,7,FALSE),VLOOKUP(tables_614010!C331,input_614010!A:H,8,FALSE))</f>
        <v>91180</v>
      </c>
      <c r="P331" s="46">
        <f t="shared" ca="1" si="23"/>
        <v>6.2666666666718403E-4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input_614010!A$2</f>
        <v>614010</v>
      </c>
      <c r="B332" s="97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IFERROR(VLOOKUP(B332,input_614010!L:R,7,FALSE),VLOOKUP(tables_614010!C332,input_614010!A:H,8,FALSE))</f>
        <v>91180</v>
      </c>
      <c r="P332" s="46">
        <f t="shared" ca="1" si="23"/>
        <v>6.2666666666718403E-4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input_614010!A$2</f>
        <v>614010</v>
      </c>
      <c r="B333" s="97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IFERROR(VLOOKUP(B333,input_614010!L:R,7,FALSE),VLOOKUP(tables_614010!C333,input_614010!A:H,8,FALSE))</f>
        <v>91180</v>
      </c>
      <c r="P333" s="46">
        <f t="shared" ca="1" si="23"/>
        <v>6.2666666666718403E-4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input_614010!A$2</f>
        <v>614010</v>
      </c>
      <c r="B334" s="98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IFERROR(VLOOKUP(B334,input_614010!L:R,7,FALSE),VLOOKUP(tables_614010!C334,input_614010!A:H,8,FALSE))</f>
        <v>472500</v>
      </c>
      <c r="P334" s="46">
        <f t="shared" ca="1" si="23"/>
        <v>3.2474226804150522E-3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input_614010!A$2</f>
        <v>614010</v>
      </c>
      <c r="B335" s="97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IFERROR(VLOOKUP(B335,input_614010!L:R,7,FALSE),VLOOKUP(tables_614010!C335,input_614010!A:H,8,FALSE))</f>
        <v>23625</v>
      </c>
      <c r="P335" s="46">
        <f t="shared" ca="1" si="23"/>
        <v>1.6237113402075261E-4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input_614010!A$2</f>
        <v>614010</v>
      </c>
      <c r="B336" s="99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IFERROR(VLOOKUP(B336,input_614010!L:R,7,FALSE),VLOOKUP(tables_614010!C336,input_614010!A:H,8,FALSE))</f>
        <v>472500</v>
      </c>
      <c r="P336" s="46">
        <f t="shared" ca="1" si="23"/>
        <v>3.2474226804150522E-3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input_614010!A$2</f>
        <v>614010</v>
      </c>
      <c r="B337" s="99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IFERROR(VLOOKUP(B337,input_614010!L:R,7,FALSE),VLOOKUP(tables_614010!C337,input_614010!A:H,8,FALSE))</f>
        <v>23625</v>
      </c>
      <c r="P337" s="46">
        <f t="shared" ca="1" si="23"/>
        <v>1.6237113402075261E-4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input_614010!A$2</f>
        <v>614010</v>
      </c>
      <c r="B338" s="99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IFERROR(VLOOKUP(B338,input_614010!L:R,7,FALSE),VLOOKUP(tables_614010!C338,input_614010!A:H,8,FALSE))</f>
        <v>91180</v>
      </c>
      <c r="P338" s="46">
        <f t="shared" ca="1" si="23"/>
        <v>6.2666666666718403E-4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input_614010!A$2</f>
        <v>614010</v>
      </c>
      <c r="B339" s="99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IFERROR(VLOOKUP(B339,input_614010!L:R,7,FALSE),VLOOKUP(tables_614010!C339,input_614010!A:H,8,FALSE))</f>
        <v>91180</v>
      </c>
      <c r="P339" s="46">
        <f t="shared" ca="1" si="23"/>
        <v>6.2666666666718403E-4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input_614010!A$2</f>
        <v>614010</v>
      </c>
      <c r="B340" s="99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IFERROR(VLOOKUP(B340,input_614010!L:R,7,FALSE),VLOOKUP(tables_614010!C340,input_614010!A:H,8,FALSE))</f>
        <v>91180</v>
      </c>
      <c r="P340" s="46">
        <f t="shared" ca="1" si="23"/>
        <v>6.2666666666718403E-4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input_614010!A$2</f>
        <v>614010</v>
      </c>
      <c r="B341" s="99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IFERROR(VLOOKUP(B341,input_614010!L:R,7,FALSE),VLOOKUP(tables_614010!C341,input_614010!A:H,8,FALSE))</f>
        <v>91180</v>
      </c>
      <c r="P341" s="46">
        <f t="shared" ca="1" si="23"/>
        <v>6.2666666666718403E-4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input_614010!A$2</f>
        <v>614010</v>
      </c>
      <c r="B342" s="99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IFERROR(VLOOKUP(B342,input_614010!L:R,7,FALSE),VLOOKUP(tables_614010!C342,input_614010!A:H,8,FALSE))</f>
        <v>91180</v>
      </c>
      <c r="P342" s="46">
        <f t="shared" ca="1" si="23"/>
        <v>6.2666666666718403E-4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input_614010!A$2</f>
        <v>614010</v>
      </c>
      <c r="B343" s="99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IFERROR(VLOOKUP(B343,input_614010!L:R,7,FALSE),VLOOKUP(tables_614010!C343,input_614010!A:H,8,FALSE))</f>
        <v>472500</v>
      </c>
      <c r="P343" s="46">
        <f t="shared" ca="1" si="23"/>
        <v>3.2474226804150522E-3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input_614010!A$2</f>
        <v>614010</v>
      </c>
      <c r="B344" s="99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IFERROR(VLOOKUP(B344,input_614010!L:R,7,FALSE),VLOOKUP(tables_614010!C344,input_614010!A:H,8,FALSE))</f>
        <v>23625</v>
      </c>
      <c r="P344" s="46">
        <f t="shared" ca="1" si="23"/>
        <v>1.6237113402075261E-4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input_614010!A$2</f>
        <v>614010</v>
      </c>
      <c r="B345" s="99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IFERROR(VLOOKUP(B345,input_614010!L:R,7,FALSE),VLOOKUP(tables_614010!C345,input_614010!A:H,8,FALSE))</f>
        <v>91180</v>
      </c>
      <c r="P345" s="46">
        <f t="shared" ca="1" si="23"/>
        <v>6.2666666666718403E-4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input_614010!A$2</f>
        <v>614010</v>
      </c>
      <c r="B346" s="99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IFERROR(VLOOKUP(B346,input_614010!L:R,7,FALSE),VLOOKUP(tables_614010!C346,input_614010!A:H,8,FALSE))</f>
        <v>91180</v>
      </c>
      <c r="P346" s="46">
        <f t="shared" ca="1" si="23"/>
        <v>6.2666666666718403E-4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input_614010!A$2</f>
        <v>614010</v>
      </c>
      <c r="B347" s="99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IFERROR(VLOOKUP(B347,input_614010!L:R,7,FALSE),VLOOKUP(tables_614010!C347,input_614010!A:H,8,FALSE))</f>
        <v>91180</v>
      </c>
      <c r="P347" s="46">
        <f t="shared" ca="1" si="23"/>
        <v>6.2666666666718403E-4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input_614010!A$2</f>
        <v>614010</v>
      </c>
      <c r="B348" s="99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IFERROR(VLOOKUP(B348,input_614010!L:R,7,FALSE),VLOOKUP(tables_614010!C348,input_614010!A:H,8,FALSE))</f>
        <v>91180</v>
      </c>
      <c r="P348" s="46">
        <f t="shared" ca="1" si="23"/>
        <v>6.2666666666718403E-4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input_614010!A$2</f>
        <v>614010</v>
      </c>
      <c r="B349" s="99">
        <v>1266</v>
      </c>
      <c r="C349" s="7" t="str">
        <f t="shared" ref="C349:C361" si="38">D349&amp;J349&amp;E349&amp;F349&amp;G349</f>
        <v>Premium4R3less</v>
      </c>
      <c r="D349" s="7" t="str">
        <f t="shared" ref="D349:D361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IFERROR(VLOOKUP(B349,input_614010!L:R,7,FALSE),VLOOKUP(tables_614010!C349,input_614010!A:H,8,FALSE))</f>
        <v>472500</v>
      </c>
      <c r="P349" s="46">
        <f t="shared" ca="1" si="23"/>
        <v>3.2474226804150522E-3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input_614010!A$2</f>
        <v>614010</v>
      </c>
      <c r="B350" s="99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IFERROR(VLOOKUP(B350,input_614010!L:R,7,FALSE),VLOOKUP(tables_614010!C350,input_614010!A:H,8,FALSE))</f>
        <v>23625</v>
      </c>
      <c r="P350" s="46">
        <f t="shared" ca="1" si="23"/>
        <v>1.6237113402075261E-4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input_614010!A$2</f>
        <v>614010</v>
      </c>
      <c r="B351" s="99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IFERROR(VLOOKUP(B351,input_614010!L:R,7,FALSE),VLOOKUP(tables_614010!C351,input_614010!A:H,8,FALSE))</f>
        <v>91180</v>
      </c>
      <c r="P351" s="46">
        <f t="shared" ca="1" si="23"/>
        <v>6.2666666666718403E-4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input_614010!A$2</f>
        <v>614010</v>
      </c>
      <c r="B352" s="99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IFERROR(VLOOKUP(B352,input_614010!L:R,7,FALSE),VLOOKUP(tables_614010!C352,input_614010!A:H,8,FALSE))</f>
        <v>91180</v>
      </c>
      <c r="P352" s="46">
        <f t="shared" ca="1" si="23"/>
        <v>6.2666666666718403E-4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input_614010!A$2</f>
        <v>614010</v>
      </c>
      <c r="B353" s="99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IFERROR(VLOOKUP(B353,input_614010!L:R,7,FALSE),VLOOKUP(tables_614010!C353,input_614010!A:H,8,FALSE))</f>
        <v>91180</v>
      </c>
      <c r="P353" s="46">
        <f t="shared" ca="1" si="23"/>
        <v>6.2666666666718403E-4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input_614010!A$2</f>
        <v>614010</v>
      </c>
      <c r="B354" s="99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IFERROR(VLOOKUP(B354,input_614010!L:R,7,FALSE),VLOOKUP(tables_614010!C354,input_614010!A:H,8,FALSE))</f>
        <v>472500</v>
      </c>
      <c r="P354" s="46">
        <f t="shared" ca="1" si="23"/>
        <v>3.2474226804150522E-3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input_614010!A$2</f>
        <v>614010</v>
      </c>
      <c r="B355" s="99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IFERROR(VLOOKUP(B355,input_614010!L:R,7,FALSE),VLOOKUP(tables_614010!C355,input_614010!A:H,8,FALSE))</f>
        <v>23625</v>
      </c>
      <c r="P355" s="46">
        <f t="shared" ca="1" si="23"/>
        <v>1.6237113402075261E-4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input_614010!A$2</f>
        <v>614010</v>
      </c>
      <c r="B356" s="100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IFERROR(VLOOKUP(B356,input_614010!L:R,7,FALSE),VLOOKUP(tables_614010!C356,input_614010!A:H,8,FALSE))</f>
        <v>472500</v>
      </c>
      <c r="P356" s="46">
        <f t="shared" ca="1" si="23"/>
        <v>3.2474226804150522E-3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input_614010!A$2</f>
        <v>614010</v>
      </c>
      <c r="B357" s="100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IFERROR(VLOOKUP(B357,input_614010!L:R,7,FALSE),VLOOKUP(tables_614010!C357,input_614010!A:H,8,FALSE))</f>
        <v>23625</v>
      </c>
      <c r="P357" s="46">
        <f t="shared" ca="1" si="23"/>
        <v>1.6237113402075261E-4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input_614010!A$2</f>
        <v>614010</v>
      </c>
      <c r="B358" s="100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IFERROR(VLOOKUP(B358,input_614010!L:R,7,FALSE),VLOOKUP(tables_614010!C358,input_614010!A:H,8,FALSE))</f>
        <v>91180</v>
      </c>
      <c r="P358" s="46">
        <f t="shared" ca="1" si="23"/>
        <v>6.2666666666718403E-4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input_614010!A$2</f>
        <v>614010</v>
      </c>
      <c r="B359" s="100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IFERROR(VLOOKUP(B359,input_614010!L:R,7,FALSE),VLOOKUP(tables_614010!C359,input_614010!A:H,8,FALSE))</f>
        <v>91180</v>
      </c>
      <c r="P359" s="46">
        <f t="shared" ca="1" si="23"/>
        <v>6.2666666666718403E-4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input_614010!A$2</f>
        <v>614010</v>
      </c>
      <c r="B360" s="100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IFERROR(VLOOKUP(B360,input_614010!L:R,7,FALSE),VLOOKUP(tables_614010!C360,input_614010!A:H,8,FALSE))</f>
        <v>91180</v>
      </c>
      <c r="P360" s="46">
        <f t="shared" ca="1" si="23"/>
        <v>6.2666666666718403E-4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input_614010!A$2</f>
        <v>614010</v>
      </c>
      <c r="B361" s="5">
        <v>1703</v>
      </c>
      <c r="C361" s="7" t="str">
        <f t="shared" si="38"/>
        <v>PremiumSS6R5only</v>
      </c>
      <c r="D361" s="7" t="str">
        <f t="shared" si="39"/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リリィ</v>
      </c>
      <c r="I361" s="7" t="str">
        <f>VLOOKUP(B361,[1]characters!$A:$J,10,FALSE)</f>
        <v>PremiumSSw</v>
      </c>
      <c r="J361" s="7">
        <f>VLOOKUP(B361,[1]characters!$A:$I,9,FALSE)</f>
        <v>6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不明</v>
      </c>
      <c r="O361" s="45">
        <f>IFERROR(VLOOKUP(B361,input_614010!L:R,7,FALSE),VLOOKUP(tables_614010!C361,input_614010!A:H,8,FALSE))</f>
        <v>1891500</v>
      </c>
      <c r="P361" s="46">
        <f t="shared" ca="1" si="23"/>
        <v>1.3000000000010734E-2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5">
        <v>5</v>
      </c>
    </row>
    <row r="362" spans="1:22" customFormat="1" ht="21" customHeight="1" x14ac:dyDescent="0.15">
      <c r="A362" s="2" t="str">
        <f ca="1">input_614010!A$2</f>
        <v>614010</v>
      </c>
      <c r="B362" s="105">
        <v>1705</v>
      </c>
      <c r="C362" s="7" t="str">
        <f t="shared" ref="C362" si="44">D362&amp;J362&amp;E362&amp;F362&amp;G362</f>
        <v>PremiumSS6R5only</v>
      </c>
      <c r="D362" s="7" t="str">
        <f t="shared" ref="D362" si="45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白雪姫</v>
      </c>
      <c r="I362" s="7" t="str">
        <f>VLOOKUP(B362,[1]characters!$A:$J,10,FALSE)</f>
        <v>PremiumSS</v>
      </c>
      <c r="J362" s="7">
        <f>VLOOKUP(B362,[1]characters!$A:$I,9,FALSE)</f>
        <v>6</v>
      </c>
      <c r="K362" s="7" t="str">
        <f>VLOOKUP(B362,[1]characters!$A:$H,8,FALSE)</f>
        <v>red</v>
      </c>
      <c r="L362" s="7" t="str">
        <f>VLOOKUP(B362,[1]characters!$A:$K,11,FALSE)</f>
        <v>heal</v>
      </c>
      <c r="M362" s="7" t="str">
        <f>VLOOKUP(B362,[1]characters!$A:$M,13,FALSE)</f>
        <v>human</v>
      </c>
      <c r="N362" s="7">
        <f>VLOOKUP(B362,[1]characters!$A:$G,7,FALSE)</f>
        <v>0</v>
      </c>
      <c r="O362" s="45">
        <f>IFERROR(VLOOKUP(B362,input_614010!L:R,7,FALSE),VLOOKUP(tables_614010!C362,input_614010!A:H,8,FALSE))</f>
        <v>2910000</v>
      </c>
      <c r="P362" s="46">
        <f t="shared" ca="1" si="23"/>
        <v>2.0000000000016512E-2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5">
        <v>5</v>
      </c>
    </row>
    <row r="363" spans="1:22" customFormat="1" ht="21" customHeight="1" x14ac:dyDescent="0.15">
      <c r="A363" s="2" t="str">
        <f ca="1">input_614010!A$2</f>
        <v>614010</v>
      </c>
      <c r="B363" s="105">
        <v>1707</v>
      </c>
      <c r="C363" s="7" t="str">
        <f t="shared" ref="C363" si="46">D363&amp;J363&amp;E363&amp;F363&amp;G363</f>
        <v>PremiumSS6R5only</v>
      </c>
      <c r="D363" s="7" t="str">
        <f t="shared" ref="D363" si="47">IF(OR(I363="PremiumSS",I363="PremiumSSw"),"PremiumSS",IF(I363="PremiumSSS",I363,IF(I363="PremiumW",IF(J363=5,"premium",I363),"Premium")))</f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バステト</v>
      </c>
      <c r="I363" s="7" t="str">
        <f>VLOOKUP(B363,[1]characters!$A:$J,10,FALSE)</f>
        <v>PremiumSS</v>
      </c>
      <c r="J363" s="7">
        <f>VLOOKUP(B363,[1]characters!$A:$I,9,FALSE)</f>
        <v>6</v>
      </c>
      <c r="K363" s="7" t="str">
        <f>VLOOKUP(B363,[1]characters!$A:$H,8,FALSE)</f>
        <v>green</v>
      </c>
      <c r="L363" s="7" t="str">
        <f>VLOOKUP(B363,[1]characters!$A:$K,11,FALSE)</f>
        <v>attack</v>
      </c>
      <c r="M363" s="7" t="str">
        <f>VLOOKUP(B363,[1]characters!$A:$M,13,FALSE)</f>
        <v>animal</v>
      </c>
      <c r="N363" s="7">
        <f>VLOOKUP(B363,[1]characters!$A:$G,7,FALSE)</f>
        <v>0</v>
      </c>
      <c r="O363" s="45">
        <f>IFERROR(VLOOKUP(B363,input_614010!L:R,7,FALSE),VLOOKUP(tables_614010!C363,input_614010!A:H,8,FALSE))</f>
        <v>2910000</v>
      </c>
      <c r="P363" s="46">
        <f t="shared" ca="1" si="23"/>
        <v>2.0000000000016512E-2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5">
        <v>5</v>
      </c>
    </row>
    <row r="364" spans="1:22" ht="21" customHeight="1" x14ac:dyDescent="0.15">
      <c r="A364" s="2" t="str">
        <f ca="1">input_614010!A$2</f>
        <v>614010</v>
      </c>
      <c r="B364" s="5">
        <v>1713</v>
      </c>
      <c r="C364" s="101" t="str">
        <f t="shared" ref="C364" si="48">D364&amp;J364&amp;E364&amp;F364&amp;G364</f>
        <v>Premium5R3less</v>
      </c>
      <c r="D364" s="101" t="str">
        <f t="shared" ref="D364" si="49">IF(OR(I364="PremiumSS",I364="PremiumSSw"),"PremiumSS",IF(I364="PremiumSSS",I364,IF(I364="PremiumW",IF(J364=5,"premium",I364),"Premium")))</f>
        <v>Premium</v>
      </c>
      <c r="E364" s="101" t="str">
        <f>IF(COUNTIF('R6追加前'!A:A,B364)=0,IF(OR(I364="PremiumSS",I364="PremiumSSw"),"R5only","R3less"),"")</f>
        <v>R3less</v>
      </c>
      <c r="F364" s="101" t="str">
        <f>IF(COUNTIF('R6開放'!A:A,B364)&gt;0,"R6release","")</f>
        <v/>
      </c>
      <c r="G364" s="101"/>
      <c r="H364" s="101" t="str">
        <f>VLOOKUP(B364,[1]characters!$A:$C,3,FALSE)</f>
        <v>ジークフリート</v>
      </c>
      <c r="I364" s="101" t="str">
        <f>VLOOKUP(B364,[1]characters!$A:$J,10,FALSE)</f>
        <v>PremiumS</v>
      </c>
      <c r="J364" s="101">
        <f>VLOOKUP(B364,[1]characters!$A:$I,9,FALSE)</f>
        <v>5</v>
      </c>
      <c r="K364" s="101" t="str">
        <f>VLOOKUP(B364,[1]characters!$A:$H,8,FALSE)</f>
        <v>red</v>
      </c>
      <c r="L364" s="101" t="str">
        <f>VLOOKUP(B364,[1]characters!$A:$K,11,FALSE)</f>
        <v>balance</v>
      </c>
      <c r="M364" s="101" t="str">
        <f>VLOOKUP(B364,[1]characters!$A:$M,13,FALSE)</f>
        <v>human</v>
      </c>
      <c r="N364" s="101" t="str">
        <f>VLOOKUP(B364,[1]characters!$A:$G,7,FALSE)</f>
        <v>不明</v>
      </c>
      <c r="O364" s="102">
        <f>IFERROR(VLOOKUP(B364,input_614010!L:R,7,FALSE),VLOOKUP(tables_614010!C364,input_614010!A:H,8,FALSE))</f>
        <v>10912500</v>
      </c>
      <c r="P364" s="103">
        <f t="shared" ca="1" si="23"/>
        <v>7.500000000006192E-2</v>
      </c>
      <c r="Q364" s="104">
        <v>1</v>
      </c>
      <c r="R364" s="104">
        <v>0</v>
      </c>
      <c r="S364" s="104">
        <v>0</v>
      </c>
      <c r="T364" s="104">
        <v>0</v>
      </c>
      <c r="U364" s="104">
        <v>0</v>
      </c>
      <c r="V364" s="105">
        <v>5</v>
      </c>
    </row>
    <row r="365" spans="1:22" ht="21" customHeight="1" x14ac:dyDescent="0.15">
      <c r="A365" s="2" t="str">
        <f ca="1">input_614010!A$2</f>
        <v>614010</v>
      </c>
      <c r="B365" s="5">
        <v>1715</v>
      </c>
      <c r="C365" s="101" t="str">
        <f t="shared" ref="C365" si="50">D365&amp;J365&amp;E365&amp;F365&amp;G365</f>
        <v>Premium5R3less</v>
      </c>
      <c r="D365" s="101" t="str">
        <f t="shared" ref="D365" si="51">IF(OR(I365="PremiumSS",I365="PremiumSSw"),"PremiumSS",IF(I365="PremiumSSS",I365,IF(I365="PremiumW",IF(J365=5,"premium",I365),"Premium")))</f>
        <v>Premium</v>
      </c>
      <c r="E365" s="101" t="str">
        <f>IF(COUNTIF('R6追加前'!A:A,B365)=0,IF(OR(I365="PremiumSS",I365="PremiumSSw"),"R5only","R3less"),"")</f>
        <v>R3less</v>
      </c>
      <c r="F365" s="101" t="str">
        <f>IF(COUNTIF('R6開放'!A:A,B365)&gt;0,"R6release","")</f>
        <v/>
      </c>
      <c r="G365" s="101"/>
      <c r="H365" s="101" t="str">
        <f>VLOOKUP(B365,[1]characters!$A:$C,3,FALSE)</f>
        <v>アマラ</v>
      </c>
      <c r="I365" s="101" t="str">
        <f>VLOOKUP(B365,[1]characters!$A:$J,10,FALSE)</f>
        <v>PremiumS</v>
      </c>
      <c r="J365" s="101">
        <f>VLOOKUP(B365,[1]characters!$A:$I,9,FALSE)</f>
        <v>5</v>
      </c>
      <c r="K365" s="101" t="str">
        <f>VLOOKUP(B365,[1]characters!$A:$H,8,FALSE)</f>
        <v>blue</v>
      </c>
      <c r="L365" s="101" t="str">
        <f>VLOOKUP(B365,[1]characters!$A:$K,11,FALSE)</f>
        <v>attack</v>
      </c>
      <c r="M365" s="101" t="str">
        <f>VLOOKUP(B365,[1]characters!$A:$M,13,FALSE)</f>
        <v>animal</v>
      </c>
      <c r="N365" s="101">
        <f>VLOOKUP(B365,[1]characters!$A:$G,7,FALSE)</f>
        <v>0</v>
      </c>
      <c r="O365" s="102">
        <f>IFERROR(VLOOKUP(B365,input_614010!L:R,7,FALSE),VLOOKUP(tables_614010!C365,input_614010!A:H,8,FALSE))</f>
        <v>10912500</v>
      </c>
      <c r="P365" s="103">
        <f t="shared" ca="1" si="23"/>
        <v>7.500000000006192E-2</v>
      </c>
      <c r="Q365" s="104">
        <v>1</v>
      </c>
      <c r="R365" s="104">
        <v>0</v>
      </c>
      <c r="S365" s="104">
        <v>0</v>
      </c>
      <c r="T365" s="104">
        <v>0</v>
      </c>
      <c r="U365" s="104">
        <v>0</v>
      </c>
      <c r="V365" s="105">
        <v>5</v>
      </c>
    </row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1"/>
  <sheetViews>
    <sheetView workbookViewId="0">
      <selection activeCell="L3" sqref="L3:L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1703</v>
      </c>
      <c r="M3" s="37" t="str">
        <f>VLOOKUP(L3,[1]characters!$A:$C,3,FALSE)</f>
        <v>リリィ</v>
      </c>
      <c r="N3" s="63">
        <v>1.2999999999999999E-2</v>
      </c>
      <c r="O3" s="37">
        <f>VLOOKUP(L3,[1]characters!$A:$I,9,FALSE)</f>
        <v>6</v>
      </c>
      <c r="P3" s="37" t="str">
        <f>VLOOKUP(L3,[1]characters!$A:$J,10,FALSE)</f>
        <v>PremiumSSw</v>
      </c>
      <c r="Q3" s="37" t="str">
        <f>VLOOKUP(L3,tables_614100!B:C,2,FALSE)</f>
        <v>PremiumSS6R5only</v>
      </c>
      <c r="R3" s="62">
        <f t="shared" ref="R3:R20" si="1">N3*A$37</f>
        <v>1891500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5">
        <v>1705</v>
      </c>
      <c r="M4" s="37" t="str">
        <f>VLOOKUP(L4,[1]characters!$A:$C,3,FALSE)</f>
        <v>白雪姫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VLOOKUP(L4,tables_614100!B:C,2,FALSE)</f>
        <v>PremiumSS6R5only</v>
      </c>
      <c r="R4" s="62">
        <f t="shared" si="1"/>
        <v>2910000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6.2666666666666676E-4</v>
      </c>
      <c r="F5">
        <f>(COUNTIF(tables_614100!C:C,input_614100!A28)+COUNTIF(tables_614100!C:C,input_614100!A29))</f>
        <v>75</v>
      </c>
      <c r="H5" s="83">
        <v>5.2999999999999999E-2</v>
      </c>
      <c r="I5" s="31">
        <v>0</v>
      </c>
      <c r="L5" s="105">
        <v>1707</v>
      </c>
      <c r="M5" s="37" t="str">
        <f>VLOOKUP(L5,[1]characters!$A:$C,3,FALSE)</f>
        <v>バステト</v>
      </c>
      <c r="N5" s="63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VLOOKUP(L5,tables_614100!B:C,2,FALSE)</f>
        <v>PremiumSS6R5only</v>
      </c>
      <c r="R5" s="62">
        <f t="shared" si="1"/>
        <v>2910000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0.75</v>
      </c>
      <c r="D6" t="s">
        <v>202</v>
      </c>
      <c r="E6" s="76">
        <f>(B10-H6)/(F6-I6)</f>
        <v>9.2783505154639175E-3</v>
      </c>
      <c r="F6">
        <f>(COUNTIF(tables_614100!C:C,input_614100!A25)+COUNTIF(tables_614100!C:C,input_614100!A18)+COUNTIF(tables_614100!C:C,input_614100!A20)+COUNTIF(tables_614100!C:C,input_614100!A22))</f>
        <v>97</v>
      </c>
      <c r="H6" s="88">
        <v>0</v>
      </c>
      <c r="I6" s="31">
        <v>0</v>
      </c>
      <c r="L6" s="5">
        <v>1713</v>
      </c>
      <c r="M6" s="37" t="str">
        <f>VLOOKUP(L6,[1]characters!$A:$C,3,FALSE)</f>
        <v>ジークフリート</v>
      </c>
      <c r="N6" s="63">
        <v>7.4999999999999997E-2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VLOOKUP(L6,tables_614100!B:C,2,FALSE)</f>
        <v>Premium5R3less</v>
      </c>
      <c r="R6" s="62">
        <f t="shared" si="1"/>
        <v>10912500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0.25</v>
      </c>
      <c r="L7" s="5">
        <v>1715</v>
      </c>
      <c r="M7" s="37" t="str">
        <f>VLOOKUP(L7,[1]characters!$A:$C,3,FALSE)</f>
        <v>アマラ</v>
      </c>
      <c r="N7" s="63">
        <v>7.4999999999999997E-2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VLOOKUP(L7,tables_614100!B:C,2,FALSE)</f>
        <v>Premium5R3less</v>
      </c>
      <c r="R7" s="62">
        <f t="shared" si="1"/>
        <v>10912500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VLOOKUP(L8,tables_614100!B:C,2,FALSE)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VLOOKUP(L9,tables_614100!B:C,2,FALSE)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VLOOKUP(L10,tables_614100!B:C,2,FALSE)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VLOOKUP(L11,tables_614100!B:C,2,FALSE)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VLOOKUP(L12,tables_614100!B:C,2,FALSE)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VLOOKUP(L13,tables_614100!B:C,2,FALSE)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VLOOKUP(L14,tables_614100!B:C,2,FALSE)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VLOOKUP(L15,tables_614100!B:C,2,FALSE)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VLOOKUP(L16,tables_614100!B:C,2,FALSE)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2" si="2">SUMIF(Q:Q,A17,N:N)</f>
        <v>0</v>
      </c>
      <c r="D17" s="74">
        <f t="shared" ref="D17:D33" si="3">B17-C17</f>
        <v>0</v>
      </c>
      <c r="E17">
        <f>COUNTIF(tables_614100!C:C,input_614100!A17)-COUNTIF(Q:Q,A17)</f>
        <v>20</v>
      </c>
      <c r="F17" s="43">
        <f>IFERROR(B17/E17,0)</f>
        <v>0</v>
      </c>
      <c r="G17">
        <f t="shared" ref="G17:G32" si="4">A$37*B17</f>
        <v>0</v>
      </c>
      <c r="H17">
        <f t="shared" ref="H17:H32" si="5">IFERROR(ROUND(G17/E17,5),0)</f>
        <v>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VLOOKUP(L17,tables_614100!B:C,2,FALSE)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0.15668793814432991</v>
      </c>
      <c r="C18" s="84">
        <f t="shared" si="2"/>
        <v>0</v>
      </c>
      <c r="D18" s="74">
        <f t="shared" si="3"/>
        <v>0.15668793814432991</v>
      </c>
      <c r="E18">
        <f>COUNTIF(tables_614100!C:C,input_614100!A18)-COUNTIF(Q:Q,A18)</f>
        <v>20</v>
      </c>
      <c r="F18" s="43">
        <f>IFERROR(B18/E18,0)</f>
        <v>7.8343969072164951E-3</v>
      </c>
      <c r="G18">
        <f t="shared" si="4"/>
        <v>22798095</v>
      </c>
      <c r="H18">
        <f t="shared" si="5"/>
        <v>1139904.75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VLOOKUP(L18,tables_614100!B:C,2,FALSE)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COUNTIF(tables_614100!C:C,input_614100!A19)-COUNTIF(Q:Q,A19)</f>
        <v>52</v>
      </c>
      <c r="F19" s="43">
        <f t="shared" ref="F19:F32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VLOOKUP(L19,tables_614100!B:C,2,FALSE)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0.36185567010309277</v>
      </c>
      <c r="C20" s="84">
        <f t="shared" si="2"/>
        <v>0</v>
      </c>
      <c r="D20" s="74">
        <f t="shared" si="3"/>
        <v>0.36185567010309277</v>
      </c>
      <c r="E20">
        <f>COUNTIF(tables_614100!C:C,input_614100!A20)-COUNTIF(Q:Q,A20)</f>
        <v>52</v>
      </c>
      <c r="F20" s="43">
        <f t="shared" si="8"/>
        <v>6.9587628865979377E-3</v>
      </c>
      <c r="G20">
        <f t="shared" si="4"/>
        <v>52650000</v>
      </c>
      <c r="H20">
        <f t="shared" si="5"/>
        <v>1012500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VLOOKUP(L20,tables_614100!B:C,2,FALSE)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B7-B23-B26-B28-B29-B32-C23-C30</f>
        <v>8.1264948453608349E-3</v>
      </c>
      <c r="C21" s="84">
        <f t="shared" si="2"/>
        <v>0</v>
      </c>
      <c r="D21" s="74">
        <f t="shared" si="3"/>
        <v>8.1264948453608349E-3</v>
      </c>
      <c r="E21">
        <f>COUNTIF(tables_614100!C:C,input_614100!A21)-COUNTIF(Q:Q,A21)</f>
        <v>52</v>
      </c>
      <c r="F21" s="43">
        <f t="shared" si="8"/>
        <v>1.5627874702616991E-4</v>
      </c>
      <c r="G21">
        <f t="shared" si="4"/>
        <v>1182405.0000000014</v>
      </c>
      <c r="H21">
        <f t="shared" si="5"/>
        <v>22738.557690000001</v>
      </c>
      <c r="I21">
        <f t="shared" si="6"/>
        <v>0.55769000000145752</v>
      </c>
      <c r="J21">
        <f t="shared" si="7"/>
        <v>1.793110868040285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0.19046134020618558</v>
      </c>
      <c r="C22" s="84">
        <f t="shared" si="2"/>
        <v>0</v>
      </c>
      <c r="D22" s="74">
        <f t="shared" si="3"/>
        <v>0.19046134020618558</v>
      </c>
      <c r="E22">
        <f>COUNTIF(tables_614100!C:C,input_614100!A22)-COUNTIF(Q:Q,A22)</f>
        <v>21</v>
      </c>
      <c r="F22" s="43">
        <f t="shared" si="8"/>
        <v>9.0695876288659806E-3</v>
      </c>
      <c r="G22">
        <f t="shared" si="4"/>
        <v>27712125</v>
      </c>
      <c r="H22">
        <f t="shared" si="5"/>
        <v>1319625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E23*E6*B7*0.07</f>
        <v>4.3840206185567013E-3</v>
      </c>
      <c r="C23" s="84">
        <f t="shared" si="2"/>
        <v>0.15</v>
      </c>
      <c r="D23" s="74">
        <f t="shared" si="3"/>
        <v>-0.1456159793814433</v>
      </c>
      <c r="E23">
        <f>COUNTIF(tables_614100!C:C,input_614100!A23)-COUNTIF(Q:Q,A23)</f>
        <v>27</v>
      </c>
      <c r="F23" s="43">
        <f t="shared" si="8"/>
        <v>1.6237113402061857E-4</v>
      </c>
      <c r="G23">
        <f t="shared" si="4"/>
        <v>637875</v>
      </c>
      <c r="H23">
        <f t="shared" si="5"/>
        <v>23625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COUNTIF(tables_614100!C:C,input_614100!A24)-COUNTIF(Q:Q,A24)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2.7835051546391751E-2</v>
      </c>
      <c r="C25" s="84">
        <f t="shared" si="2"/>
        <v>0</v>
      </c>
      <c r="D25" s="74">
        <f t="shared" si="3"/>
        <v>2.7835051546391751E-2</v>
      </c>
      <c r="E25">
        <f>COUNTIF(tables_614100!C:C,input_614100!A25)-COUNTIF(Q:Q,A25)</f>
        <v>4</v>
      </c>
      <c r="F25" s="43">
        <f t="shared" si="8"/>
        <v>6.9587628865979377E-3</v>
      </c>
      <c r="G25">
        <f t="shared" si="4"/>
        <v>4049999.9999999995</v>
      </c>
      <c r="H25">
        <f t="shared" si="5"/>
        <v>1012500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E$6*B$7*E26*0.07</f>
        <v>6.4948453608247429E-4</v>
      </c>
      <c r="C26" s="84">
        <f t="shared" si="2"/>
        <v>0</v>
      </c>
      <c r="D26" s="74">
        <f t="shared" si="3"/>
        <v>6.4948453608247429E-4</v>
      </c>
      <c r="E26">
        <f>COUNTIF(tables_614100!C:C,input_614100!A26)-COUNTIF(Q:Q,A26)</f>
        <v>4</v>
      </c>
      <c r="F26" s="43">
        <f t="shared" si="8"/>
        <v>1.6237113402061857E-4</v>
      </c>
      <c r="G26">
        <f t="shared" si="4"/>
        <v>94500.000000000015</v>
      </c>
      <c r="H26">
        <f t="shared" si="5"/>
        <v>23625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1.3160000000000002E-2</v>
      </c>
      <c r="C27" s="84">
        <f t="shared" si="2"/>
        <v>0</v>
      </c>
      <c r="D27" s="74">
        <f t="shared" si="3"/>
        <v>1.3160000000000002E-2</v>
      </c>
      <c r="E27">
        <f>COUNTIF(tables_614100!C:C,input_614100!A27)-COUNTIF(Q:Q,A27)</f>
        <v>28</v>
      </c>
      <c r="F27" s="43">
        <f>IFERROR(B27/E27,0)</f>
        <v>4.7000000000000004E-4</v>
      </c>
      <c r="G27">
        <f t="shared" si="4"/>
        <v>1914780.0000000002</v>
      </c>
      <c r="H27">
        <f t="shared" si="5"/>
        <v>68385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4.3866666666666672E-3</v>
      </c>
      <c r="C28" s="84">
        <f t="shared" si="2"/>
        <v>0</v>
      </c>
      <c r="D28" s="74">
        <f t="shared" si="3"/>
        <v>4.3866666666666672E-3</v>
      </c>
      <c r="E28">
        <f>COUNTIF(tables_614100!C:C,input_614100!A28)-COUNTIF(Q:Q,A28)</f>
        <v>28</v>
      </c>
      <c r="F28" s="43">
        <f t="shared" si="8"/>
        <v>1.5666666666666669E-4</v>
      </c>
      <c r="G28">
        <f t="shared" si="4"/>
        <v>638260.00000000012</v>
      </c>
      <c r="H28">
        <f t="shared" si="5"/>
        <v>22795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2.9453333333333338E-2</v>
      </c>
      <c r="C29" s="84">
        <f t="shared" si="2"/>
        <v>0</v>
      </c>
      <c r="D29" s="74">
        <f t="shared" si="3"/>
        <v>2.9453333333333338E-2</v>
      </c>
      <c r="E29">
        <f>COUNTIF(tables_614100!C:C,input_614100!A29)-COUNTIF(Q:Q,A29)</f>
        <v>47</v>
      </c>
      <c r="F29" s="43">
        <f t="shared" si="8"/>
        <v>6.2666666666666676E-4</v>
      </c>
      <c r="G29">
        <f t="shared" si="4"/>
        <v>4285460.0000000009</v>
      </c>
      <c r="H29">
        <f t="shared" si="5"/>
        <v>91180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255</v>
      </c>
      <c r="B30" s="56">
        <f>E$5*E30</f>
        <v>0</v>
      </c>
      <c r="C30" s="84">
        <f t="shared" si="2"/>
        <v>5.3000000000000005E-2</v>
      </c>
      <c r="D30" s="74">
        <f t="shared" ref="D30" si="9">B30-C30</f>
        <v>-5.3000000000000005E-2</v>
      </c>
      <c r="E30">
        <f>COUNTIF(tables_614100!C:C,input_614100!A30)-COUNTIF(Q:Q,A30)</f>
        <v>0</v>
      </c>
      <c r="F30" s="43">
        <f t="shared" ref="F30" si="10">IFERROR(B30/E30,0)</f>
        <v>0</v>
      </c>
      <c r="G30">
        <f t="shared" ref="G30" si="11">A$37*B30</f>
        <v>0</v>
      </c>
      <c r="H30">
        <f t="shared" ref="H30" si="12">IFERROR(ROUND(G30/E30,5),0)</f>
        <v>0</v>
      </c>
      <c r="I30">
        <f t="shared" ref="I30" si="13">MOD(H30,1)</f>
        <v>0</v>
      </c>
      <c r="J30">
        <f t="shared" ref="J30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4">
        <f t="shared" si="2"/>
        <v>0</v>
      </c>
      <c r="D31" s="74">
        <f t="shared" si="3"/>
        <v>0</v>
      </c>
      <c r="E31">
        <f>COUNTIF(tables_614100!C:C,input_614100!A31)-COUNTIF(Q:Q,A31)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B12</f>
        <v>0</v>
      </c>
      <c r="C32" s="84">
        <f t="shared" si="2"/>
        <v>0</v>
      </c>
      <c r="D32" s="74">
        <f t="shared" si="3"/>
        <v>0</v>
      </c>
      <c r="E32">
        <f>COUNTIF(tables_614100!C:C,input_614100!A32)-COUNTIF(Q:Q,A32)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0.79699999999999993</v>
      </c>
      <c r="C33" s="41">
        <f>SUM(C19:C32)</f>
        <v>0.20300000000000001</v>
      </c>
      <c r="D33" s="42">
        <f t="shared" si="3"/>
        <v>0.59399999999999986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/>
      <c r="F35" s="55"/>
    </row>
    <row r="36" spans="1:18" x14ac:dyDescent="0.15">
      <c r="A36" t="s">
        <v>73</v>
      </c>
    </row>
    <row r="37" spans="1:18" x14ac:dyDescent="0.15">
      <c r="A37" s="31">
        <f>LCM(F5-I5,F6-I6)*1000*2*2*5</f>
        <v>145500000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SUMIF(tables_614100!C:C,input_614100!A41,tables_614100!O:O)</f>
        <v>0</v>
      </c>
      <c r="C41" s="54">
        <f t="shared" ref="C41:C47" ca="1" si="15">B41/B$48</f>
        <v>0</v>
      </c>
      <c r="E41">
        <v>3</v>
      </c>
      <c r="F41">
        <f ca="1">SUMIF(tables_614100!J:J,input_614100!E41,tables_614100!O:O)</f>
        <v>0</v>
      </c>
      <c r="G41">
        <f ca="1">F41/A37</f>
        <v>0</v>
      </c>
    </row>
    <row r="42" spans="1:18" x14ac:dyDescent="0.15">
      <c r="A42" s="33" t="s">
        <v>104</v>
      </c>
      <c r="B42">
        <f ca="1">SUMIF(tables_614100!C:C,input_614100!A42,tables_614100!O:O)</f>
        <v>52650000</v>
      </c>
      <c r="C42" s="54">
        <f t="shared" ca="1" si="15"/>
        <v>0.93375160912735633</v>
      </c>
      <c r="E42">
        <v>4</v>
      </c>
      <c r="F42">
        <f ca="1">SUMIF(tables_614100!J:J,input_614100!E42,tables_614100!O:O)</f>
        <v>109125000</v>
      </c>
      <c r="G42">
        <f ca="1">F42/A37</f>
        <v>0.75</v>
      </c>
    </row>
    <row r="43" spans="1:18" x14ac:dyDescent="0.15">
      <c r="A43" s="33" t="s">
        <v>106</v>
      </c>
      <c r="B43">
        <f ca="1">SUMIF(tables_614100!C:C,input_614100!A43,tables_614100!O:O)</f>
        <v>1914780</v>
      </c>
      <c r="C43" s="54">
        <f t="shared" ca="1" si="15"/>
        <v>3.3958763649095523E-2</v>
      </c>
      <c r="E43">
        <v>5</v>
      </c>
      <c r="F43">
        <f ca="1">SUMIF(tables_614100!J:J,input_614100!E43,tables_614100!O:O)</f>
        <v>28663499.999880001</v>
      </c>
      <c r="G43">
        <f ca="1">F43/A37</f>
        <v>0.19699999999917525</v>
      </c>
    </row>
    <row r="44" spans="1:18" x14ac:dyDescent="0.15">
      <c r="A44" s="33" t="s">
        <v>109</v>
      </c>
      <c r="B44">
        <f>SUMIF(tables_614100!C:C,input_614100!A44,tables_614100!O:O)</f>
        <v>0</v>
      </c>
      <c r="C44" s="54">
        <f t="shared" ca="1" si="15"/>
        <v>0</v>
      </c>
      <c r="E44">
        <v>6</v>
      </c>
      <c r="F44">
        <f>SUMIF(tables_614100!J:J,input_614100!E44,tables_614100!O:O)</f>
        <v>7711500</v>
      </c>
      <c r="G44">
        <f>F44/A37</f>
        <v>5.2999999999999999E-2</v>
      </c>
    </row>
    <row r="45" spans="1:18" x14ac:dyDescent="0.15">
      <c r="A45" s="33" t="s">
        <v>105</v>
      </c>
      <c r="B45">
        <f ca="1">SUMIF(tables_614100!C:C,input_614100!A45,tables_614100!O:O)</f>
        <v>1182404.9998800005</v>
      </c>
      <c r="C45" s="54">
        <f t="shared" ca="1" si="15"/>
        <v>2.0970039340516278E-2</v>
      </c>
      <c r="E45" t="s">
        <v>54</v>
      </c>
      <c r="F45" s="55"/>
    </row>
    <row r="46" spans="1:18" x14ac:dyDescent="0.15">
      <c r="A46" s="33" t="s">
        <v>107</v>
      </c>
      <c r="B46">
        <f ca="1">SUMIF(tables_614100!C:C,input_614100!A46,tables_614100!O:O)</f>
        <v>638260</v>
      </c>
      <c r="C46" s="54">
        <f t="shared" ca="1" si="15"/>
        <v>1.1319587883031841E-2</v>
      </c>
      <c r="E46" t="s">
        <v>204</v>
      </c>
      <c r="F46" s="55">
        <f ca="1">SUMIF(tables_614100!I:I,input_614100!E46,tables_614100!P:P)</f>
        <v>0.15766216494858373</v>
      </c>
    </row>
    <row r="47" spans="1:18" x14ac:dyDescent="0.15">
      <c r="A47" s="33" t="s">
        <v>108</v>
      </c>
      <c r="B47">
        <f>SUMIF(tables_614100!C:C,input_614100!A47,tables_614100!O:O)</f>
        <v>0</v>
      </c>
      <c r="C47" s="54">
        <f t="shared" ca="1" si="15"/>
        <v>0</v>
      </c>
      <c r="E47" t="s">
        <v>205</v>
      </c>
      <c r="F47" s="55">
        <f ca="1">SUMIF(tables_614100!I:I,input_614100!E47,tables_614100!P:P)</f>
        <v>0.14231910983331333</v>
      </c>
    </row>
    <row r="48" spans="1:18" x14ac:dyDescent="0.15">
      <c r="A48" s="39" t="s">
        <v>59</v>
      </c>
      <c r="B48">
        <f ca="1">SUM(B41:B47)</f>
        <v>56385444.999880001</v>
      </c>
      <c r="C48" s="55">
        <f ca="1">SUM(C41:C47)</f>
        <v>1</v>
      </c>
      <c r="E48" t="s">
        <v>206</v>
      </c>
      <c r="F48" s="55">
        <f ca="1">SUMIF(tables_614100!I:I,input_614100!E48,tables_614100!P:P)</f>
        <v>0.60001872521802024</v>
      </c>
    </row>
    <row r="49" spans="5:7" x14ac:dyDescent="0.15">
      <c r="E49" t="s">
        <v>207</v>
      </c>
      <c r="F49" s="55">
        <f ca="1">SUMIF(tables_614100!I:I,input_614100!E49,tables_614100!P:P)</f>
        <v>8.0733333333399979E-2</v>
      </c>
      <c r="G49" s="55"/>
    </row>
    <row r="50" spans="5:7" x14ac:dyDescent="0.15">
      <c r="E50" t="s">
        <v>250</v>
      </c>
      <c r="F50" s="55">
        <f ca="1">SUMIF(tables_614100!I:I,input_614100!E50,tables_614100!P:P)</f>
        <v>1.9266666666682562E-2</v>
      </c>
    </row>
    <row r="51" spans="5:7" x14ac:dyDescent="0.15">
      <c r="E51" t="s">
        <v>254</v>
      </c>
      <c r="F51" s="55">
        <f>SUMIF(tables_614100!I:I,input_614100!E51,tables_614100!P:P)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17" activePane="bottomLeft" state="frozen"/>
      <selection activeCell="B33" sqref="B33"/>
      <selection pane="bottomLeft" activeCell="B361" sqref="B361:B36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input_614100!A$2</f>
        <v>614100</v>
      </c>
      <c r="B2" s="97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IFERROR(VLOOKUP(B2,input_614100!L:R,7,FALSE),VLOOKUP(tables_614100!C2,input_614100!A:H,8,FALSE))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input_614100!A$2</f>
        <v>614100</v>
      </c>
      <c r="B3" s="97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IFERROR(VLOOKUP(B3,input_614100!L:R,7,FALSE),VLOOKUP(tables_614100!C3,input_614100!A:H,8,FALSE))</f>
        <v>1139904.75</v>
      </c>
      <c r="P3" s="46">
        <f t="shared" ca="1" si="1"/>
        <v>7.8343969072229586E-3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input_614100!A$2</f>
        <v>614100</v>
      </c>
      <c r="B4" s="97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IFERROR(VLOOKUP(B4,input_614100!L:R,7,FALSE),VLOOKUP(tables_614100!C4,input_614100!A:H,8,FALSE))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input_614100!A$2</f>
        <v>614100</v>
      </c>
      <c r="B5" s="97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IFERROR(VLOOKUP(B5,input_614100!L:R,7,FALSE),VLOOKUP(tables_614100!C5,input_614100!A:H,8,FALSE))</f>
        <v>1139904.75</v>
      </c>
      <c r="P5" s="46">
        <f t="shared" ca="1" si="1"/>
        <v>7.8343969072229586E-3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input_614100!A$2</f>
        <v>614100</v>
      </c>
      <c r="B6" s="97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IFERROR(VLOOKUP(B6,input_614100!L:R,7,FALSE),VLOOKUP(tables_614100!C6,input_614100!A:H,8,FALSE))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input_614100!A$2</f>
        <v>614100</v>
      </c>
      <c r="B7" s="97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IFERROR(VLOOKUP(B7,input_614100!L:R,7,FALSE),VLOOKUP(tables_614100!C7,input_614100!A:H,8,FALSE))</f>
        <v>1139904.75</v>
      </c>
      <c r="P7" s="46">
        <f t="shared" ca="1" si="1"/>
        <v>7.8343969072229586E-3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input_614100!A$2</f>
        <v>614100</v>
      </c>
      <c r="B8" s="97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IFERROR(VLOOKUP(B8,input_614100!L:R,7,FALSE),VLOOKUP(tables_614100!C8,input_614100!A:H,8,FALSE))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input_614100!A$2</f>
        <v>614100</v>
      </c>
      <c r="B9" s="97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IFERROR(VLOOKUP(B9,input_614100!L:R,7,FALSE),VLOOKUP(tables_614100!C9,input_614100!A:H,8,FALSE))</f>
        <v>1139904.75</v>
      </c>
      <c r="P9" s="46">
        <f t="shared" ca="1" si="1"/>
        <v>7.8343969072229586E-3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input_614100!A$2</f>
        <v>614100</v>
      </c>
      <c r="B10" s="97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IFERROR(VLOOKUP(B10,input_614100!L:R,7,FALSE),VLOOKUP(tables_614100!C10,input_614100!A:H,8,FALSE))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input_614100!A$2</f>
        <v>614100</v>
      </c>
      <c r="B11" s="97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IFERROR(VLOOKUP(B11,input_614100!L:R,7,FALSE),VLOOKUP(tables_614100!C11,input_614100!A:H,8,FALSE))</f>
        <v>1139904.75</v>
      </c>
      <c r="P11" s="46">
        <f t="shared" ca="1" si="1"/>
        <v>7.8343969072229586E-3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input_614100!A$2</f>
        <v>614100</v>
      </c>
      <c r="B12" s="9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IFERROR(VLOOKUP(B12,input_614100!L:R,7,FALSE),VLOOKUP(tables_614100!C12,input_614100!A:H,8,FALSE))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input_614100!A$2</f>
        <v>614100</v>
      </c>
      <c r="B13" s="9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IFERROR(VLOOKUP(B13,input_614100!L:R,7,FALSE),VLOOKUP(tables_614100!C13,input_614100!A:H,8,FALSE))</f>
        <v>1139904.75</v>
      </c>
      <c r="P13" s="46">
        <f t="shared" ca="1" si="1"/>
        <v>7.8343969072229586E-3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input_614100!A$2</f>
        <v>614100</v>
      </c>
      <c r="B14" s="97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IFERROR(VLOOKUP(B14,input_614100!L:R,7,FALSE),VLOOKUP(tables_614100!C14,input_614100!A:H,8,FALSE))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input_614100!A$2</f>
        <v>614100</v>
      </c>
      <c r="B15" s="97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IFERROR(VLOOKUP(B15,input_614100!L:R,7,FALSE),VLOOKUP(tables_614100!C15,input_614100!A:H,8,FALSE))</f>
        <v>1139904.75</v>
      </c>
      <c r="P15" s="46">
        <f t="shared" ca="1" si="1"/>
        <v>7.8343969072229586E-3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input_614100!A$2</f>
        <v>614100</v>
      </c>
      <c r="B16" s="97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IFERROR(VLOOKUP(B16,input_614100!L:R,7,FALSE),VLOOKUP(tables_614100!C16,input_614100!A:H,8,FALSE))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input_614100!A$2</f>
        <v>614100</v>
      </c>
      <c r="B17" s="97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IFERROR(VLOOKUP(B17,input_614100!L:R,7,FALSE),VLOOKUP(tables_614100!C17,input_614100!A:H,8,FALSE))</f>
        <v>1139904.75</v>
      </c>
      <c r="P17" s="46">
        <f t="shared" ca="1" si="1"/>
        <v>7.8343969072229586E-3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input_614100!A$2</f>
        <v>614100</v>
      </c>
      <c r="B18" s="97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IFERROR(VLOOKUP(B18,input_614100!L:R,7,FALSE),VLOOKUP(tables_614100!C18,input_614100!A:H,8,FALSE))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input_614100!A$2</f>
        <v>614100</v>
      </c>
      <c r="B19" s="97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IFERROR(VLOOKUP(B19,input_614100!L:R,7,FALSE),VLOOKUP(tables_614100!C19,input_614100!A:H,8,FALSE))</f>
        <v>1139904.75</v>
      </c>
      <c r="P19" s="46">
        <f t="shared" ca="1" si="1"/>
        <v>7.8343969072229586E-3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input_614100!A$2</f>
        <v>614100</v>
      </c>
      <c r="B20" s="97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IFERROR(VLOOKUP(B20,input_614100!L:R,7,FALSE),VLOOKUP(tables_614100!C20,input_614100!A:H,8,FALSE))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input_614100!A$2</f>
        <v>614100</v>
      </c>
      <c r="B21" s="97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IFERROR(VLOOKUP(B21,input_614100!L:R,7,FALSE),VLOOKUP(tables_614100!C21,input_614100!A:H,8,FALSE))</f>
        <v>1139904.75</v>
      </c>
      <c r="P21" s="46">
        <f t="shared" ca="1" si="1"/>
        <v>7.8343969072229586E-3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input_614100!A$2</f>
        <v>614100</v>
      </c>
      <c r="B22" s="97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IFERROR(VLOOKUP(B22,input_614100!L:R,7,FALSE),VLOOKUP(tables_614100!C22,input_614100!A:H,8,FALSE))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input_614100!A$2</f>
        <v>614100</v>
      </c>
      <c r="B23" s="97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IFERROR(VLOOKUP(B23,input_614100!L:R,7,FALSE),VLOOKUP(tables_614100!C23,input_614100!A:H,8,FALSE))</f>
        <v>1139904.75</v>
      </c>
      <c r="P23" s="46">
        <f t="shared" ca="1" si="1"/>
        <v>7.8343969072229586E-3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input_614100!A$2</f>
        <v>614100</v>
      </c>
      <c r="B24" s="97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IFERROR(VLOOKUP(B24,input_614100!L:R,7,FALSE),VLOOKUP(tables_614100!C24,input_614100!A:H,8,FALSE))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input_614100!A$2</f>
        <v>614100</v>
      </c>
      <c r="B25" s="97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IFERROR(VLOOKUP(B25,input_614100!L:R,7,FALSE),VLOOKUP(tables_614100!C25,input_614100!A:H,8,FALSE))</f>
        <v>1139904.75</v>
      </c>
      <c r="P25" s="46">
        <f t="shared" ca="1" si="1"/>
        <v>7.8343969072229586E-3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input_614100!A$2</f>
        <v>614100</v>
      </c>
      <c r="B26" s="97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IFERROR(VLOOKUP(B26,input_614100!L:R,7,FALSE),VLOOKUP(tables_614100!C26,input_614100!A:H,8,FALSE))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input_614100!A$2</f>
        <v>614100</v>
      </c>
      <c r="B27" s="97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IFERROR(VLOOKUP(B27,input_614100!L:R,7,FALSE),VLOOKUP(tables_614100!C27,input_614100!A:H,8,FALSE))</f>
        <v>1139904.75</v>
      </c>
      <c r="P27" s="46">
        <f t="shared" ca="1" si="1"/>
        <v>7.8343969072229586E-3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input_614100!A$2</f>
        <v>614100</v>
      </c>
      <c r="B28" s="97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IFERROR(VLOOKUP(B28,input_614100!L:R,7,FALSE),VLOOKUP(tables_614100!C28,input_614100!A:H,8,FALSE))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input_614100!A$2</f>
        <v>614100</v>
      </c>
      <c r="B29" s="97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IFERROR(VLOOKUP(B29,input_614100!L:R,7,FALSE),VLOOKUP(tables_614100!C29,input_614100!A:H,8,FALSE))</f>
        <v>1139904.75</v>
      </c>
      <c r="P29" s="46">
        <f t="shared" ca="1" si="1"/>
        <v>7.8343969072229586E-3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input_614100!A$2</f>
        <v>614100</v>
      </c>
      <c r="B30" s="97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IFERROR(VLOOKUP(B30,input_614100!L:R,7,FALSE),VLOOKUP(tables_614100!C30,input_614100!A:H,8,FALSE))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input_614100!A$2</f>
        <v>614100</v>
      </c>
      <c r="B31" s="97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IFERROR(VLOOKUP(B31,input_614100!L:R,7,FALSE),VLOOKUP(tables_614100!C31,input_614100!A:H,8,FALSE))</f>
        <v>1139904.75</v>
      </c>
      <c r="P31" s="46">
        <f t="shared" ca="1" si="1"/>
        <v>7.8343969072229586E-3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input_614100!A$2</f>
        <v>614100</v>
      </c>
      <c r="B32" s="97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IFERROR(VLOOKUP(B32,input_614100!L:R,7,FALSE),VLOOKUP(tables_614100!C32,input_614100!A:H,8,FALSE))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input_614100!A$2</f>
        <v>614100</v>
      </c>
      <c r="B33" s="97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IFERROR(VLOOKUP(B33,input_614100!L:R,7,FALSE),VLOOKUP(tables_614100!C33,input_614100!A:H,8,FALSE))</f>
        <v>1139904.75</v>
      </c>
      <c r="P33" s="46">
        <f t="shared" ca="1" si="1"/>
        <v>7.8343969072229586E-3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input_614100!A$2</f>
        <v>614100</v>
      </c>
      <c r="B34" s="97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IFERROR(VLOOKUP(B34,input_614100!L:R,7,FALSE),VLOOKUP(tables_614100!C34,input_614100!A:H,8,FALSE))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input_614100!A$2</f>
        <v>614100</v>
      </c>
      <c r="B35" s="97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IFERROR(VLOOKUP(B35,input_614100!L:R,7,FALSE),VLOOKUP(tables_614100!C35,input_614100!A:H,8,FALSE))</f>
        <v>1139904.75</v>
      </c>
      <c r="P35" s="46">
        <f t="shared" ca="1" si="1"/>
        <v>7.8343969072229586E-3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input_614100!A$2</f>
        <v>614100</v>
      </c>
      <c r="B36" s="97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IFERROR(VLOOKUP(B36,input_614100!L:R,7,FALSE),VLOOKUP(tables_614100!C36,input_614100!A:H,8,FALSE))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input_614100!A$2</f>
        <v>614100</v>
      </c>
      <c r="B37" s="97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IFERROR(VLOOKUP(B37,input_614100!L:R,7,FALSE),VLOOKUP(tables_614100!C37,input_614100!A:H,8,FALSE))</f>
        <v>1139904.75</v>
      </c>
      <c r="P37" s="46">
        <f t="shared" ca="1" si="1"/>
        <v>7.8343969072229586E-3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input_614100!A$2</f>
        <v>614100</v>
      </c>
      <c r="B38" s="97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IFERROR(VLOOKUP(B38,input_614100!L:R,7,FALSE),VLOOKUP(tables_614100!C38,input_614100!A:H,8,FALSE))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input_614100!A$2</f>
        <v>614100</v>
      </c>
      <c r="B39" s="97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IFERROR(VLOOKUP(B39,input_614100!L:R,7,FALSE),VLOOKUP(tables_614100!C39,input_614100!A:H,8,FALSE))</f>
        <v>1139904.75</v>
      </c>
      <c r="P39" s="46">
        <f t="shared" ca="1" si="1"/>
        <v>7.8343969072229586E-3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input_614100!A$2</f>
        <v>614100</v>
      </c>
      <c r="B40" s="97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IFERROR(VLOOKUP(B40,input_614100!L:R,7,FALSE),VLOOKUP(tables_614100!C40,input_614100!A:H,8,FALSE))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input_614100!A$2</f>
        <v>614100</v>
      </c>
      <c r="B41" s="97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IFERROR(VLOOKUP(B41,input_614100!L:R,7,FALSE),VLOOKUP(tables_614100!C41,input_614100!A:H,8,FALSE))</f>
        <v>1139904.75</v>
      </c>
      <c r="P41" s="46">
        <f t="shared" ca="1" si="1"/>
        <v>7.8343969072229586E-3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input_614100!A$2</f>
        <v>614100</v>
      </c>
      <c r="B42" s="97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IFERROR(VLOOKUP(B42,input_614100!L:R,7,FALSE),VLOOKUP(tables_614100!C42,input_614100!A:H,8,FALSE))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input_614100!A$2</f>
        <v>614100</v>
      </c>
      <c r="B43" s="97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IFERROR(VLOOKUP(B43,input_614100!L:R,7,FALSE),VLOOKUP(tables_614100!C43,input_614100!A:H,8,FALSE))</f>
        <v>1012500</v>
      </c>
      <c r="P43" s="46">
        <f t="shared" ca="1" si="1"/>
        <v>6.9587628866036796E-3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input_614100!A$2</f>
        <v>614100</v>
      </c>
      <c r="B44" s="97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IFERROR(VLOOKUP(B44,input_614100!L:R,7,FALSE),VLOOKUP(tables_614100!C44,input_614100!A:H,8,FALSE))</f>
        <v>23625</v>
      </c>
      <c r="P44" s="46">
        <f t="shared" ca="1" si="1"/>
        <v>1.6237113402075252E-4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input_614100!A$2</f>
        <v>614100</v>
      </c>
      <c r="B45" s="97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IFERROR(VLOOKUP(B45,input_614100!L:R,7,FALSE),VLOOKUP(tables_614100!C45,input_614100!A:H,8,FALSE))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input_614100!A$2</f>
        <v>614100</v>
      </c>
      <c r="B46" s="97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IFERROR(VLOOKUP(B46,input_614100!L:R,7,FALSE),VLOOKUP(tables_614100!C46,input_614100!A:H,8,FALSE))</f>
        <v>1012500</v>
      </c>
      <c r="P46" s="46">
        <f t="shared" ca="1" si="1"/>
        <v>6.9587628866036796E-3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input_614100!A$2</f>
        <v>614100</v>
      </c>
      <c r="B47" s="97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IFERROR(VLOOKUP(B47,input_614100!L:R,7,FALSE),VLOOKUP(tables_614100!C47,input_614100!A:H,8,FALSE))</f>
        <v>23625</v>
      </c>
      <c r="P47" s="46">
        <f t="shared" ca="1" si="1"/>
        <v>1.6237113402075252E-4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input_614100!A$2</f>
        <v>614100</v>
      </c>
      <c r="B48" s="97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IFERROR(VLOOKUP(B48,input_614100!L:R,7,FALSE),VLOOKUP(tables_614100!C48,input_614100!A:H,8,FALSE))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input_614100!A$2</f>
        <v>614100</v>
      </c>
      <c r="B49" s="97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IFERROR(VLOOKUP(B49,input_614100!L:R,7,FALSE),VLOOKUP(tables_614100!C49,input_614100!A:H,8,FALSE))</f>
        <v>1012500</v>
      </c>
      <c r="P49" s="46">
        <f t="shared" ca="1" si="1"/>
        <v>6.9587628866036796E-3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input_614100!A$2</f>
        <v>614100</v>
      </c>
      <c r="B50" s="97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IFERROR(VLOOKUP(B50,input_614100!L:R,7,FALSE),VLOOKUP(tables_614100!C50,input_614100!A:H,8,FALSE))</f>
        <v>23625</v>
      </c>
      <c r="P50" s="46">
        <f t="shared" ca="1" si="1"/>
        <v>1.6237113402075252E-4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input_614100!A$2</f>
        <v>614100</v>
      </c>
      <c r="B51" s="97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IFERROR(VLOOKUP(B51,input_614100!L:R,7,FALSE),VLOOKUP(tables_614100!C51,input_614100!A:H,8,FALSE))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input_614100!A$2</f>
        <v>614100</v>
      </c>
      <c r="B52" s="97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IFERROR(VLOOKUP(B52,input_614100!L:R,7,FALSE),VLOOKUP(tables_614100!C52,input_614100!A:H,8,FALSE))</f>
        <v>1012500</v>
      </c>
      <c r="P52" s="46">
        <f t="shared" ca="1" si="1"/>
        <v>6.9587628866036796E-3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input_614100!A$2</f>
        <v>614100</v>
      </c>
      <c r="B53" s="97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IFERROR(VLOOKUP(B53,input_614100!L:R,7,FALSE),VLOOKUP(tables_614100!C53,input_614100!A:H,8,FALSE))</f>
        <v>22738.557690000001</v>
      </c>
      <c r="P53" s="46">
        <f t="shared" ca="1" si="1"/>
        <v>1.5627874701043822E-4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input_614100!A$2</f>
        <v>614100</v>
      </c>
      <c r="B54" s="97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IFERROR(VLOOKUP(B54,input_614100!L:R,7,FALSE),VLOOKUP(tables_614100!C54,input_614100!A:H,8,FALSE))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input_614100!A$2</f>
        <v>614100</v>
      </c>
      <c r="B55" s="97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IFERROR(VLOOKUP(B55,input_614100!L:R,7,FALSE),VLOOKUP(tables_614100!C55,input_614100!A:H,8,FALSE))</f>
        <v>1012500</v>
      </c>
      <c r="P55" s="46">
        <f t="shared" ca="1" si="1"/>
        <v>6.9587628866036796E-3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input_614100!A$2</f>
        <v>614100</v>
      </c>
      <c r="B56" s="97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IFERROR(VLOOKUP(B56,input_614100!L:R,7,FALSE),VLOOKUP(tables_614100!C56,input_614100!A:H,8,FALSE))</f>
        <v>22738.557690000001</v>
      </c>
      <c r="P56" s="46">
        <f t="shared" ca="1" si="1"/>
        <v>1.5627874701043822E-4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input_614100!A$2</f>
        <v>614100</v>
      </c>
      <c r="B57" s="97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IFERROR(VLOOKUP(B57,input_614100!L:R,7,FALSE),VLOOKUP(tables_614100!C57,input_614100!A:H,8,FALSE))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input_614100!A$2</f>
        <v>614100</v>
      </c>
      <c r="B58" s="97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IFERROR(VLOOKUP(B58,input_614100!L:R,7,FALSE),VLOOKUP(tables_614100!C58,input_614100!A:H,8,FALSE))</f>
        <v>1012500</v>
      </c>
      <c r="P58" s="46">
        <f t="shared" ca="1" si="1"/>
        <v>6.9587628866036796E-3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input_614100!A$2</f>
        <v>614100</v>
      </c>
      <c r="B59" s="97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IFERROR(VLOOKUP(B59,input_614100!L:R,7,FALSE),VLOOKUP(tables_614100!C59,input_614100!A:H,8,FALSE))</f>
        <v>22738.557690000001</v>
      </c>
      <c r="P59" s="46">
        <f t="shared" ca="1" si="1"/>
        <v>1.5627874701043822E-4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input_614100!A$2</f>
        <v>614100</v>
      </c>
      <c r="B60" s="97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IFERROR(VLOOKUP(B60,input_614100!L:R,7,FALSE),VLOOKUP(tables_614100!C60,input_614100!A:H,8,FALSE))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input_614100!A$2</f>
        <v>614100</v>
      </c>
      <c r="B61" s="97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IFERROR(VLOOKUP(B61,input_614100!L:R,7,FALSE),VLOOKUP(tables_614100!C61,input_614100!A:H,8,FALSE))</f>
        <v>1012500</v>
      </c>
      <c r="P61" s="46">
        <f t="shared" ca="1" si="1"/>
        <v>6.9587628866036796E-3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input_614100!A$2</f>
        <v>614100</v>
      </c>
      <c r="B62" s="9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IFERROR(VLOOKUP(B62,input_614100!L:R,7,FALSE),VLOOKUP(tables_614100!C62,input_614100!A:H,8,FALSE))</f>
        <v>22738.557690000001</v>
      </c>
      <c r="P62" s="46">
        <f t="shared" ca="1" si="1"/>
        <v>1.5627874701043822E-4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input_614100!A$2</f>
        <v>614100</v>
      </c>
      <c r="B63" s="9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IFERROR(VLOOKUP(B63,input_614100!L:R,7,FALSE),VLOOKUP(tables_614100!C63,input_614100!A:H,8,FALSE))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input_614100!A$2</f>
        <v>614100</v>
      </c>
      <c r="B64" s="9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IFERROR(VLOOKUP(B64,input_614100!L:R,7,FALSE),VLOOKUP(tables_614100!C64,input_614100!A:H,8,FALSE))</f>
        <v>1012500</v>
      </c>
      <c r="P64" s="46">
        <f t="shared" ca="1" si="1"/>
        <v>6.9587628866036796E-3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input_614100!A$2</f>
        <v>614100</v>
      </c>
      <c r="B65" s="9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IFERROR(VLOOKUP(B65,input_614100!L:R,7,FALSE),VLOOKUP(tables_614100!C65,input_614100!A:H,8,FALSE))</f>
        <v>22738.557690000001</v>
      </c>
      <c r="P65" s="46">
        <f t="shared" ca="1" si="1"/>
        <v>1.5627874701043822E-4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input_614100!A$2</f>
        <v>614100</v>
      </c>
      <c r="B66" s="97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IFERROR(VLOOKUP(B66,input_614100!L:R,7,FALSE),VLOOKUP(tables_614100!C66,input_614100!A:H,8,FALSE))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input_614100!A$2</f>
        <v>614100</v>
      </c>
      <c r="B67" s="97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IFERROR(VLOOKUP(B67,input_614100!L:R,7,FALSE),VLOOKUP(tables_614100!C67,input_614100!A:H,8,FALSE))</f>
        <v>1012500</v>
      </c>
      <c r="P67" s="46">
        <f t="shared" ca="1" si="4"/>
        <v>6.9587628866036796E-3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input_614100!A$2</f>
        <v>614100</v>
      </c>
      <c r="B68" s="97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IFERROR(VLOOKUP(B68,input_614100!L:R,7,FALSE),VLOOKUP(tables_614100!C68,input_614100!A:H,8,FALSE))</f>
        <v>22738.557690000001</v>
      </c>
      <c r="P68" s="46">
        <f t="shared" ca="1" si="4"/>
        <v>1.5627874701043822E-4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input_614100!A$2</f>
        <v>614100</v>
      </c>
      <c r="B69" s="97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IFERROR(VLOOKUP(B69,input_614100!L:R,7,FALSE),VLOOKUP(tables_614100!C69,input_614100!A:H,8,FALSE))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input_614100!A$2</f>
        <v>614100</v>
      </c>
      <c r="B70" s="97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IFERROR(VLOOKUP(B70,input_614100!L:R,7,FALSE),VLOOKUP(tables_614100!C70,input_614100!A:H,8,FALSE))</f>
        <v>1012500</v>
      </c>
      <c r="P70" s="46">
        <f t="shared" ca="1" si="4"/>
        <v>6.9587628866036796E-3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input_614100!A$2</f>
        <v>614100</v>
      </c>
      <c r="B71" s="97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IFERROR(VLOOKUP(B71,input_614100!L:R,7,FALSE),VLOOKUP(tables_614100!C71,input_614100!A:H,8,FALSE))</f>
        <v>22738.557690000001</v>
      </c>
      <c r="P71" s="46">
        <f t="shared" ca="1" si="4"/>
        <v>1.5627874701043822E-4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input_614100!A$2</f>
        <v>614100</v>
      </c>
      <c r="B72" s="97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IFERROR(VLOOKUP(B72,input_614100!L:R,7,FALSE),VLOOKUP(tables_614100!C72,input_614100!A:H,8,FALSE))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input_614100!A$2</f>
        <v>614100</v>
      </c>
      <c r="B73" s="97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IFERROR(VLOOKUP(B73,input_614100!L:R,7,FALSE),VLOOKUP(tables_614100!C73,input_614100!A:H,8,FALSE))</f>
        <v>1012500</v>
      </c>
      <c r="P73" s="46">
        <f t="shared" ca="1" si="4"/>
        <v>6.9587628866036796E-3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input_614100!A$2</f>
        <v>614100</v>
      </c>
      <c r="B74" s="97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IFERROR(VLOOKUP(B74,input_614100!L:R,7,FALSE),VLOOKUP(tables_614100!C74,input_614100!A:H,8,FALSE))</f>
        <v>22738.557690000001</v>
      </c>
      <c r="P74" s="46">
        <f t="shared" ca="1" si="4"/>
        <v>1.5627874701043822E-4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input_614100!A$2</f>
        <v>614100</v>
      </c>
      <c r="B75" s="97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IFERROR(VLOOKUP(B75,input_614100!L:R,7,FALSE),VLOOKUP(tables_614100!C75,input_614100!A:H,8,FALSE))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input_614100!A$2</f>
        <v>614100</v>
      </c>
      <c r="B76" s="97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IFERROR(VLOOKUP(B76,input_614100!L:R,7,FALSE),VLOOKUP(tables_614100!C76,input_614100!A:H,8,FALSE))</f>
        <v>1012500</v>
      </c>
      <c r="P76" s="46">
        <f t="shared" ca="1" si="4"/>
        <v>6.9587628866036796E-3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input_614100!A$2</f>
        <v>614100</v>
      </c>
      <c r="B77" s="99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IFERROR(VLOOKUP(B77,input_614100!L:R,7,FALSE),VLOOKUP(tables_614100!C77,input_614100!A:H,8,FALSE))</f>
        <v>22738.557690000001</v>
      </c>
      <c r="P77" s="46">
        <f t="shared" ca="1" si="4"/>
        <v>1.5627874701043822E-4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input_614100!A$2</f>
        <v>614100</v>
      </c>
      <c r="B78" s="99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IFERROR(VLOOKUP(B78,input_614100!L:R,7,FALSE),VLOOKUP(tables_614100!C78,input_614100!A:H,8,FALSE))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input_614100!A$2</f>
        <v>614100</v>
      </c>
      <c r="B79" s="99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IFERROR(VLOOKUP(B79,input_614100!L:R,7,FALSE),VLOOKUP(tables_614100!C79,input_614100!A:H,8,FALSE))</f>
        <v>1012500</v>
      </c>
      <c r="P79" s="46">
        <f t="shared" ca="1" si="4"/>
        <v>6.9587628866036796E-3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input_614100!A$2</f>
        <v>614100</v>
      </c>
      <c r="B80" s="99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IFERROR(VLOOKUP(B80,input_614100!L:R,7,FALSE),VLOOKUP(tables_614100!C80,input_614100!A:H,8,FALSE))</f>
        <v>22738.557690000001</v>
      </c>
      <c r="P80" s="46">
        <f t="shared" ca="1" si="4"/>
        <v>1.5627874701043822E-4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input_614100!A$2</f>
        <v>614100</v>
      </c>
      <c r="B81" s="99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IFERROR(VLOOKUP(B81,input_614100!L:R,7,FALSE),VLOOKUP(tables_614100!C81,input_614100!A:H,8,FALSE))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input_614100!A$2</f>
        <v>614100</v>
      </c>
      <c r="B82" s="99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IFERROR(VLOOKUP(B82,input_614100!L:R,7,FALSE),VLOOKUP(tables_614100!C82,input_614100!A:H,8,FALSE))</f>
        <v>1012500</v>
      </c>
      <c r="P82" s="46">
        <f t="shared" ca="1" si="4"/>
        <v>6.9587628866036796E-3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input_614100!A$2</f>
        <v>614100</v>
      </c>
      <c r="B83" s="99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IFERROR(VLOOKUP(B83,input_614100!L:R,7,FALSE),VLOOKUP(tables_614100!C83,input_614100!A:H,8,FALSE))</f>
        <v>22738.557690000001</v>
      </c>
      <c r="P83" s="46">
        <f t="shared" ca="1" si="4"/>
        <v>1.5627874701043822E-4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input_614100!A$2</f>
        <v>614100</v>
      </c>
      <c r="B84" s="99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IFERROR(VLOOKUP(B84,input_614100!L:R,7,FALSE),VLOOKUP(tables_614100!C84,input_614100!A:H,8,FALSE))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input_614100!A$2</f>
        <v>614100</v>
      </c>
      <c r="B85" s="99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IFERROR(VLOOKUP(B85,input_614100!L:R,7,FALSE),VLOOKUP(tables_614100!C85,input_614100!A:H,8,FALSE))</f>
        <v>1012500</v>
      </c>
      <c r="P85" s="46">
        <f t="shared" ca="1" si="4"/>
        <v>6.9587628866036796E-3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input_614100!A$2</f>
        <v>614100</v>
      </c>
      <c r="B86" s="99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IFERROR(VLOOKUP(B86,input_614100!L:R,7,FALSE),VLOOKUP(tables_614100!C86,input_614100!A:H,8,FALSE))</f>
        <v>22738.557690000001</v>
      </c>
      <c r="P86" s="46">
        <f t="shared" ca="1" si="4"/>
        <v>1.5627874701043822E-4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input_614100!A$2</f>
        <v>614100</v>
      </c>
      <c r="B87" s="99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IFERROR(VLOOKUP(B87,input_614100!L:R,7,FALSE),VLOOKUP(tables_614100!C87,input_614100!A:H,8,FALSE))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input_614100!A$2</f>
        <v>614100</v>
      </c>
      <c r="B88" s="99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IFERROR(VLOOKUP(B88,input_614100!L:R,7,FALSE),VLOOKUP(tables_614100!C88,input_614100!A:H,8,FALSE))</f>
        <v>1012500</v>
      </c>
      <c r="P88" s="46">
        <f t="shared" ca="1" si="4"/>
        <v>6.9587628866036796E-3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input_614100!A$2</f>
        <v>614100</v>
      </c>
      <c r="B89" s="99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IFERROR(VLOOKUP(B89,input_614100!L:R,7,FALSE),VLOOKUP(tables_614100!C89,input_614100!A:H,8,FALSE))</f>
        <v>22738.557690000001</v>
      </c>
      <c r="P89" s="46">
        <f t="shared" ca="1" si="4"/>
        <v>1.5627874701043822E-4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input_614100!A$2</f>
        <v>614100</v>
      </c>
      <c r="B90" s="99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IFERROR(VLOOKUP(B90,input_614100!L:R,7,FALSE),VLOOKUP(tables_614100!C90,input_614100!A:H,8,FALSE))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input_614100!A$2</f>
        <v>614100</v>
      </c>
      <c r="B91" s="99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IFERROR(VLOOKUP(B91,input_614100!L:R,7,FALSE),VLOOKUP(tables_614100!C91,input_614100!A:H,8,FALSE))</f>
        <v>1012500</v>
      </c>
      <c r="P91" s="46">
        <f t="shared" ca="1" si="4"/>
        <v>6.9587628866036796E-3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input_614100!A$2</f>
        <v>614100</v>
      </c>
      <c r="B92" s="99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IFERROR(VLOOKUP(B92,input_614100!L:R,7,FALSE),VLOOKUP(tables_614100!C92,input_614100!A:H,8,FALSE))</f>
        <v>22738.557690000001</v>
      </c>
      <c r="P92" s="46">
        <f t="shared" ca="1" si="4"/>
        <v>1.5627874701043822E-4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input_614100!A$2</f>
        <v>614100</v>
      </c>
      <c r="B93" s="99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IFERROR(VLOOKUP(B93,input_614100!L:R,7,FALSE),VLOOKUP(tables_614100!C93,input_614100!A:H,8,FALSE))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input_614100!A$2</f>
        <v>614100</v>
      </c>
      <c r="B94" s="99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IFERROR(VLOOKUP(B94,input_614100!L:R,7,FALSE),VLOOKUP(tables_614100!C94,input_614100!A:H,8,FALSE))</f>
        <v>1012500</v>
      </c>
      <c r="P94" s="46">
        <f t="shared" ca="1" si="4"/>
        <v>6.9587628866036796E-3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input_614100!A$2</f>
        <v>614100</v>
      </c>
      <c r="B95" s="99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IFERROR(VLOOKUP(B95,input_614100!L:R,7,FALSE),VLOOKUP(tables_614100!C95,input_614100!A:H,8,FALSE))</f>
        <v>22738.557690000001</v>
      </c>
      <c r="P95" s="46">
        <f t="shared" ca="1" si="4"/>
        <v>1.5627874701043822E-4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input_614100!A$2</f>
        <v>614100</v>
      </c>
      <c r="B96" s="99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IFERROR(VLOOKUP(B96,input_614100!L:R,7,FALSE),VLOOKUP(tables_614100!C96,input_614100!A:H,8,FALSE))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input_614100!A$2</f>
        <v>614100</v>
      </c>
      <c r="B97" s="99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IFERROR(VLOOKUP(B97,input_614100!L:R,7,FALSE),VLOOKUP(tables_614100!C97,input_614100!A:H,8,FALSE))</f>
        <v>1012500</v>
      </c>
      <c r="P97" s="46">
        <f t="shared" ca="1" si="4"/>
        <v>6.9587628866036796E-3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input_614100!A$2</f>
        <v>614100</v>
      </c>
      <c r="B98" s="99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IFERROR(VLOOKUP(B98,input_614100!L:R,7,FALSE),VLOOKUP(tables_614100!C98,input_614100!A:H,8,FALSE))</f>
        <v>22738.557690000001</v>
      </c>
      <c r="P98" s="46">
        <f t="shared" ca="1" si="4"/>
        <v>1.5627874701043822E-4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input_614100!A$2</f>
        <v>614100</v>
      </c>
      <c r="B99" s="99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IFERROR(VLOOKUP(B99,input_614100!L:R,7,FALSE),VLOOKUP(tables_614100!C99,input_614100!A:H,8,FALSE))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input_614100!A$2</f>
        <v>614100</v>
      </c>
      <c r="B100" s="99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IFERROR(VLOOKUP(B100,input_614100!L:R,7,FALSE),VLOOKUP(tables_614100!C100,input_614100!A:H,8,FALSE))</f>
        <v>1012500</v>
      </c>
      <c r="P100" s="46">
        <f t="shared" ca="1" si="4"/>
        <v>6.9587628866036796E-3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input_614100!A$2</f>
        <v>614100</v>
      </c>
      <c r="B101" s="99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IFERROR(VLOOKUP(B101,input_614100!L:R,7,FALSE),VLOOKUP(tables_614100!C101,input_614100!A:H,8,FALSE))</f>
        <v>22738.557690000001</v>
      </c>
      <c r="P101" s="46">
        <f t="shared" ca="1" si="4"/>
        <v>1.5627874701043822E-4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input_614100!A$2</f>
        <v>614100</v>
      </c>
      <c r="B102" s="99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IFERROR(VLOOKUP(B102,input_614100!L:R,7,FALSE),VLOOKUP(tables_614100!C102,input_614100!A:H,8,FALSE))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input_614100!A$2</f>
        <v>614100</v>
      </c>
      <c r="B103" s="99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IFERROR(VLOOKUP(B103,input_614100!L:R,7,FALSE),VLOOKUP(tables_614100!C103,input_614100!A:H,8,FALSE))</f>
        <v>1012500</v>
      </c>
      <c r="P103" s="46">
        <f t="shared" ca="1" si="4"/>
        <v>6.9587628866036796E-3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input_614100!A$2</f>
        <v>614100</v>
      </c>
      <c r="B104" s="99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IFERROR(VLOOKUP(B104,input_614100!L:R,7,FALSE),VLOOKUP(tables_614100!C104,input_614100!A:H,8,FALSE))</f>
        <v>22738.557690000001</v>
      </c>
      <c r="P104" s="46">
        <f t="shared" ca="1" si="4"/>
        <v>1.5627874701043822E-4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input_614100!A$2</f>
        <v>614100</v>
      </c>
      <c r="B105" s="99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IFERROR(VLOOKUP(B105,input_614100!L:R,7,FALSE),VLOOKUP(tables_614100!C105,input_614100!A:H,8,FALSE))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input_614100!A$2</f>
        <v>614100</v>
      </c>
      <c r="B106" s="99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IFERROR(VLOOKUP(B106,input_614100!L:R,7,FALSE),VLOOKUP(tables_614100!C106,input_614100!A:H,8,FALSE))</f>
        <v>1012500</v>
      </c>
      <c r="P106" s="46">
        <f t="shared" ca="1" si="4"/>
        <v>6.9587628866036796E-3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input_614100!A$2</f>
        <v>614100</v>
      </c>
      <c r="B107" s="99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IFERROR(VLOOKUP(B107,input_614100!L:R,7,FALSE),VLOOKUP(tables_614100!C107,input_614100!A:H,8,FALSE))</f>
        <v>22738.557690000001</v>
      </c>
      <c r="P107" s="46">
        <f t="shared" ca="1" si="4"/>
        <v>1.5627874701043822E-4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input_614100!A$2</f>
        <v>614100</v>
      </c>
      <c r="B108" s="99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IFERROR(VLOOKUP(B108,input_614100!L:R,7,FALSE),VLOOKUP(tables_614100!C108,input_614100!A:H,8,FALSE))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input_614100!A$2</f>
        <v>614100</v>
      </c>
      <c r="B109" s="99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IFERROR(VLOOKUP(B109,input_614100!L:R,7,FALSE),VLOOKUP(tables_614100!C109,input_614100!A:H,8,FALSE))</f>
        <v>1012500</v>
      </c>
      <c r="P109" s="46">
        <f t="shared" ca="1" si="4"/>
        <v>6.9587628866036796E-3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input_614100!A$2</f>
        <v>614100</v>
      </c>
      <c r="B110" s="99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IFERROR(VLOOKUP(B110,input_614100!L:R,7,FALSE),VLOOKUP(tables_614100!C110,input_614100!A:H,8,FALSE))</f>
        <v>22738.557690000001</v>
      </c>
      <c r="P110" s="46">
        <f t="shared" ca="1" si="4"/>
        <v>1.5627874701043822E-4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input_614100!A$2</f>
        <v>614100</v>
      </c>
      <c r="B111" s="99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IFERROR(VLOOKUP(B111,input_614100!L:R,7,FALSE),VLOOKUP(tables_614100!C111,input_614100!A:H,8,FALSE))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input_614100!A$2</f>
        <v>614100</v>
      </c>
      <c r="B112" s="99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IFERROR(VLOOKUP(B112,input_614100!L:R,7,FALSE),VLOOKUP(tables_614100!C112,input_614100!A:H,8,FALSE))</f>
        <v>1012500</v>
      </c>
      <c r="P112" s="46">
        <f t="shared" ca="1" si="4"/>
        <v>6.9587628866036796E-3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input_614100!A$2</f>
        <v>614100</v>
      </c>
      <c r="B113" s="99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IFERROR(VLOOKUP(B113,input_614100!L:R,7,FALSE),VLOOKUP(tables_614100!C113,input_614100!A:H,8,FALSE))</f>
        <v>23625</v>
      </c>
      <c r="P113" s="46">
        <f t="shared" ca="1" si="4"/>
        <v>1.6237113402075252E-4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input_614100!A$2</f>
        <v>614100</v>
      </c>
      <c r="B114" s="99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IFERROR(VLOOKUP(B114,input_614100!L:R,7,FALSE),VLOOKUP(tables_614100!C114,input_614100!A:H,8,FALSE))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input_614100!A$2</f>
        <v>614100</v>
      </c>
      <c r="B115" s="99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IFERROR(VLOOKUP(B115,input_614100!L:R,7,FALSE),VLOOKUP(tables_614100!C115,input_614100!A:H,8,FALSE))</f>
        <v>1012500</v>
      </c>
      <c r="P115" s="46">
        <f t="shared" ca="1" si="4"/>
        <v>6.9587628866036796E-3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input_614100!A$2</f>
        <v>614100</v>
      </c>
      <c r="B116" s="99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IFERROR(VLOOKUP(B116,input_614100!L:R,7,FALSE),VLOOKUP(tables_614100!C116,input_614100!A:H,8,FALSE))</f>
        <v>22738.557690000001</v>
      </c>
      <c r="P116" s="46">
        <f t="shared" ca="1" si="4"/>
        <v>1.5627874701043822E-4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input_614100!A$2</f>
        <v>614100</v>
      </c>
      <c r="B117" s="99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IFERROR(VLOOKUP(B117,input_614100!L:R,7,FALSE),VLOOKUP(tables_614100!C117,input_614100!A:H,8,FALSE))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input_614100!A$2</f>
        <v>614100</v>
      </c>
      <c r="B118" s="99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IFERROR(VLOOKUP(B118,input_614100!L:R,7,FALSE),VLOOKUP(tables_614100!C118,input_614100!A:H,8,FALSE))</f>
        <v>1012500</v>
      </c>
      <c r="P118" s="46">
        <f t="shared" ca="1" si="4"/>
        <v>6.9587628866036796E-3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input_614100!A$2</f>
        <v>614100</v>
      </c>
      <c r="B119" s="99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IFERROR(VLOOKUP(B119,input_614100!L:R,7,FALSE),VLOOKUP(tables_614100!C119,input_614100!A:H,8,FALSE))</f>
        <v>22738.557690000001</v>
      </c>
      <c r="P119" s="46">
        <f t="shared" ca="1" si="4"/>
        <v>1.5627874701043822E-4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input_614100!A$2</f>
        <v>614100</v>
      </c>
      <c r="B120" s="99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IFERROR(VLOOKUP(B120,input_614100!L:R,7,FALSE),VLOOKUP(tables_614100!C120,input_614100!A:H,8,FALSE))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input_614100!A$2</f>
        <v>614100</v>
      </c>
      <c r="B121" s="99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IFERROR(VLOOKUP(B121,input_614100!L:R,7,FALSE),VLOOKUP(tables_614100!C121,input_614100!A:H,8,FALSE))</f>
        <v>1012500</v>
      </c>
      <c r="P121" s="46">
        <f t="shared" ca="1" si="4"/>
        <v>6.9587628866036796E-3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input_614100!A$2</f>
        <v>614100</v>
      </c>
      <c r="B122" s="99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IFERROR(VLOOKUP(B122,input_614100!L:R,7,FALSE),VLOOKUP(tables_614100!C122,input_614100!A:H,8,FALSE))</f>
        <v>22738.557690000001</v>
      </c>
      <c r="P122" s="46">
        <f t="shared" ca="1" si="4"/>
        <v>1.5627874701043822E-4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input_614100!A$2</f>
        <v>614100</v>
      </c>
      <c r="B123" s="99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IFERROR(VLOOKUP(B123,input_614100!L:R,7,FALSE),VLOOKUP(tables_614100!C123,input_614100!A:H,8,FALSE))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input_614100!A$2</f>
        <v>614100</v>
      </c>
      <c r="B124" s="99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IFERROR(VLOOKUP(B124,input_614100!L:R,7,FALSE),VLOOKUP(tables_614100!C124,input_614100!A:H,8,FALSE))</f>
        <v>1012500</v>
      </c>
      <c r="P124" s="46">
        <f t="shared" ca="1" si="4"/>
        <v>6.9587628866036796E-3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input_614100!A$2</f>
        <v>614100</v>
      </c>
      <c r="B125" s="97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IFERROR(VLOOKUP(B125,input_614100!L:R,7,FALSE),VLOOKUP(tables_614100!C125,input_614100!A:H,8,FALSE))</f>
        <v>22738.557690000001</v>
      </c>
      <c r="P125" s="46">
        <f t="shared" ca="1" si="4"/>
        <v>1.5627874701043822E-4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input_614100!A$2</f>
        <v>614100</v>
      </c>
      <c r="B126" s="97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IFERROR(VLOOKUP(B126,input_614100!L:R,7,FALSE),VLOOKUP(tables_614100!C126,input_614100!A:H,8,FALSE))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input_614100!A$2</f>
        <v>614100</v>
      </c>
      <c r="B127" s="97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IFERROR(VLOOKUP(B127,input_614100!L:R,7,FALSE),VLOOKUP(tables_614100!C127,input_614100!A:H,8,FALSE))</f>
        <v>1012500</v>
      </c>
      <c r="P127" s="46">
        <f t="shared" ca="1" si="4"/>
        <v>6.9587628866036796E-3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input_614100!A$2</f>
        <v>614100</v>
      </c>
      <c r="B128" s="97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IFERROR(VLOOKUP(B128,input_614100!L:R,7,FALSE),VLOOKUP(tables_614100!C128,input_614100!A:H,8,FALSE))</f>
        <v>22738.557690000001</v>
      </c>
      <c r="P128" s="46">
        <f t="shared" ca="1" si="4"/>
        <v>1.5627874701043822E-4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input_614100!A$2</f>
        <v>614100</v>
      </c>
      <c r="B129" s="97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IFERROR(VLOOKUP(B129,input_614100!L:R,7,FALSE),VLOOKUP(tables_614100!C129,input_614100!A:H,8,FALSE))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input_614100!A$2</f>
        <v>614100</v>
      </c>
      <c r="B130" s="97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IFERROR(VLOOKUP(B130,input_614100!L:R,7,FALSE),VLOOKUP(tables_614100!C130,input_614100!A:H,8,FALSE))</f>
        <v>1012500</v>
      </c>
      <c r="P130" s="46">
        <f t="shared" ref="P130:P193" ca="1" si="7">O130/SUM(O:O)</f>
        <v>6.9587628866036796E-3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input_614100!A$2</f>
        <v>614100</v>
      </c>
      <c r="B131" s="97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IFERROR(VLOOKUP(B131,input_614100!L:R,7,FALSE),VLOOKUP(tables_614100!C131,input_614100!A:H,8,FALSE))</f>
        <v>22738.557690000001</v>
      </c>
      <c r="P131" s="46">
        <f t="shared" ca="1" si="7"/>
        <v>1.5627874701043822E-4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input_614100!A$2</f>
        <v>614100</v>
      </c>
      <c r="B132" s="97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IFERROR(VLOOKUP(B132,input_614100!L:R,7,FALSE),VLOOKUP(tables_614100!C132,input_614100!A:H,8,FALSE))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input_614100!A$2</f>
        <v>614100</v>
      </c>
      <c r="B133" s="97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IFERROR(VLOOKUP(B133,input_614100!L:R,7,FALSE),VLOOKUP(tables_614100!C133,input_614100!A:H,8,FALSE))</f>
        <v>1012500</v>
      </c>
      <c r="P133" s="46">
        <f t="shared" ca="1" si="7"/>
        <v>6.9587628866036796E-3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input_614100!A$2</f>
        <v>614100</v>
      </c>
      <c r="B134" s="97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IFERROR(VLOOKUP(B134,input_614100!L:R,7,FALSE),VLOOKUP(tables_614100!C134,input_614100!A:H,8,FALSE))</f>
        <v>22738.557690000001</v>
      </c>
      <c r="P134" s="46">
        <f t="shared" ca="1" si="7"/>
        <v>1.5627874701043822E-4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input_614100!A$2</f>
        <v>614100</v>
      </c>
      <c r="B135" s="97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IFERROR(VLOOKUP(B135,input_614100!L:R,7,FALSE),VLOOKUP(tables_614100!C135,input_614100!A:H,8,FALSE))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input_614100!A$2</f>
        <v>614100</v>
      </c>
      <c r="B136" s="9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IFERROR(VLOOKUP(B136,input_614100!L:R,7,FALSE),VLOOKUP(tables_614100!C136,input_614100!A:H,8,FALSE))</f>
        <v>1012500</v>
      </c>
      <c r="P136" s="46">
        <f t="shared" ca="1" si="7"/>
        <v>6.9587628866036796E-3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input_614100!A$2</f>
        <v>614100</v>
      </c>
      <c r="B137" s="9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IFERROR(VLOOKUP(B137,input_614100!L:R,7,FALSE),VLOOKUP(tables_614100!C137,input_614100!A:H,8,FALSE))</f>
        <v>22738.557690000001</v>
      </c>
      <c r="P137" s="46">
        <f t="shared" ca="1" si="7"/>
        <v>1.5627874701043822E-4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input_614100!A$2</f>
        <v>614100</v>
      </c>
      <c r="B138" s="97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IFERROR(VLOOKUP(B138,input_614100!L:R,7,FALSE),VLOOKUP(tables_614100!C138,input_614100!A:H,8,FALSE))</f>
        <v>68385</v>
      </c>
      <c r="P138" s="46">
        <f t="shared" ca="1" si="7"/>
        <v>4.7000000000038775E-4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input_614100!A$2</f>
        <v>614100</v>
      </c>
      <c r="B139" s="97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IFERROR(VLOOKUP(B139,input_614100!L:R,7,FALSE),VLOOKUP(tables_614100!C139,input_614100!A:H,8,FALSE))</f>
        <v>22795</v>
      </c>
      <c r="P139" s="46">
        <f t="shared" ca="1" si="7"/>
        <v>1.5666666666679593E-4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input_614100!A$2</f>
        <v>614100</v>
      </c>
      <c r="B140" s="97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IFERROR(VLOOKUP(B140,input_614100!L:R,7,FALSE),VLOOKUP(tables_614100!C140,input_614100!A:H,8,FALSE))</f>
        <v>68385</v>
      </c>
      <c r="P140" s="46">
        <f t="shared" ca="1" si="7"/>
        <v>4.7000000000038775E-4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input_614100!A$2</f>
        <v>614100</v>
      </c>
      <c r="B141" s="97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IFERROR(VLOOKUP(B141,input_614100!L:R,7,FALSE),VLOOKUP(tables_614100!C141,input_614100!A:H,8,FALSE))</f>
        <v>22795</v>
      </c>
      <c r="P141" s="46">
        <f t="shared" ca="1" si="7"/>
        <v>1.5666666666679593E-4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input_614100!A$2</f>
        <v>614100</v>
      </c>
      <c r="B142" s="97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IFERROR(VLOOKUP(B142,input_614100!L:R,7,FALSE),VLOOKUP(tables_614100!C142,input_614100!A:H,8,FALSE))</f>
        <v>68385</v>
      </c>
      <c r="P142" s="46">
        <f t="shared" ca="1" si="7"/>
        <v>4.7000000000038775E-4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input_614100!A$2</f>
        <v>614100</v>
      </c>
      <c r="B143" s="97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IFERROR(VLOOKUP(B143,input_614100!L:R,7,FALSE),VLOOKUP(tables_614100!C143,input_614100!A:H,8,FALSE))</f>
        <v>22795</v>
      </c>
      <c r="P143" s="46">
        <f t="shared" ca="1" si="7"/>
        <v>1.5666666666679593E-4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input_614100!A$2</f>
        <v>614100</v>
      </c>
      <c r="B144" s="97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IFERROR(VLOOKUP(B144,input_614100!L:R,7,FALSE),VLOOKUP(tables_614100!C144,input_614100!A:H,8,FALSE))</f>
        <v>68385</v>
      </c>
      <c r="P144" s="46">
        <f t="shared" ca="1" si="7"/>
        <v>4.7000000000038775E-4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input_614100!A$2</f>
        <v>614100</v>
      </c>
      <c r="B145" s="97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IFERROR(VLOOKUP(B145,input_614100!L:R,7,FALSE),VLOOKUP(tables_614100!C145,input_614100!A:H,8,FALSE))</f>
        <v>22795</v>
      </c>
      <c r="P145" s="46">
        <f t="shared" ca="1" si="7"/>
        <v>1.5666666666679593E-4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input_614100!A$2</f>
        <v>614100</v>
      </c>
      <c r="B146" s="97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IFERROR(VLOOKUP(B146,input_614100!L:R,7,FALSE),VLOOKUP(tables_614100!C146,input_614100!A:H,8,FALSE))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input_614100!A$2</f>
        <v>614100</v>
      </c>
      <c r="B147" s="97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IFERROR(VLOOKUP(B147,input_614100!L:R,7,FALSE),VLOOKUP(tables_614100!C147,input_614100!A:H,8,FALSE))</f>
        <v>1012500</v>
      </c>
      <c r="P147" s="46">
        <f t="shared" ca="1" si="7"/>
        <v>6.9587628866036796E-3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input_614100!A$2</f>
        <v>614100</v>
      </c>
      <c r="B148" s="97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IFERROR(VLOOKUP(B148,input_614100!L:R,7,FALSE),VLOOKUP(tables_614100!C148,input_614100!A:H,8,FALSE))</f>
        <v>22738.557690000001</v>
      </c>
      <c r="P148" s="46">
        <f t="shared" ca="1" si="7"/>
        <v>1.5627874701043822E-4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input_614100!A$2</f>
        <v>614100</v>
      </c>
      <c r="B149" s="97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IFERROR(VLOOKUP(B149,input_614100!L:R,7,FALSE),VLOOKUP(tables_614100!C149,input_614100!A:H,8,FALSE))</f>
        <v>68385</v>
      </c>
      <c r="P149" s="46">
        <f t="shared" ca="1" si="7"/>
        <v>4.7000000000038775E-4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input_614100!A$2</f>
        <v>614100</v>
      </c>
      <c r="B150" s="97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IFERROR(VLOOKUP(B150,input_614100!L:R,7,FALSE),VLOOKUP(tables_614100!C150,input_614100!A:H,8,FALSE))</f>
        <v>22795</v>
      </c>
      <c r="P150" s="46">
        <f t="shared" ca="1" si="7"/>
        <v>1.5666666666679593E-4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input_614100!A$2</f>
        <v>614100</v>
      </c>
      <c r="B151" s="97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IFERROR(VLOOKUP(B151,input_614100!L:R,7,FALSE),VLOOKUP(tables_614100!C151,input_614100!A:H,8,FALSE))</f>
        <v>68385</v>
      </c>
      <c r="P151" s="46">
        <f t="shared" ca="1" si="7"/>
        <v>4.7000000000038775E-4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input_614100!A$2</f>
        <v>614100</v>
      </c>
      <c r="B152" s="97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IFERROR(VLOOKUP(B152,input_614100!L:R,7,FALSE),VLOOKUP(tables_614100!C152,input_614100!A:H,8,FALSE))</f>
        <v>22795</v>
      </c>
      <c r="P152" s="46">
        <f t="shared" ca="1" si="7"/>
        <v>1.5666666666679593E-4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input_614100!A$2</f>
        <v>614100</v>
      </c>
      <c r="B153" s="97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IFERROR(VLOOKUP(B153,input_614100!L:R,7,FALSE),VLOOKUP(tables_614100!C153,input_614100!A:H,8,FALSE))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input_614100!A$2</f>
        <v>614100</v>
      </c>
      <c r="B154" s="97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IFERROR(VLOOKUP(B154,input_614100!L:R,7,FALSE),VLOOKUP(tables_614100!C154,input_614100!A:H,8,FALSE))</f>
        <v>1012500</v>
      </c>
      <c r="P154" s="46">
        <f t="shared" ca="1" si="7"/>
        <v>6.9587628866036796E-3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input_614100!A$2</f>
        <v>614100</v>
      </c>
      <c r="B155" s="97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IFERROR(VLOOKUP(B155,input_614100!L:R,7,FALSE),VLOOKUP(tables_614100!C155,input_614100!A:H,8,FALSE))</f>
        <v>22738.557690000001</v>
      </c>
      <c r="P155" s="46">
        <f t="shared" ca="1" si="7"/>
        <v>1.5627874701043822E-4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input_614100!A$2</f>
        <v>614100</v>
      </c>
      <c r="B156" s="97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IFERROR(VLOOKUP(B156,input_614100!L:R,7,FALSE),VLOOKUP(tables_614100!C156,input_614100!A:H,8,FALSE))</f>
        <v>68385</v>
      </c>
      <c r="P156" s="46">
        <f t="shared" ca="1" si="7"/>
        <v>4.7000000000038775E-4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input_614100!A$2</f>
        <v>614100</v>
      </c>
      <c r="B157" s="97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IFERROR(VLOOKUP(B157,input_614100!L:R,7,FALSE),VLOOKUP(tables_614100!C157,input_614100!A:H,8,FALSE))</f>
        <v>22795</v>
      </c>
      <c r="P157" s="46">
        <f t="shared" ca="1" si="7"/>
        <v>1.5666666666679593E-4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input_614100!A$2</f>
        <v>614100</v>
      </c>
      <c r="B158" s="97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IFERROR(VLOOKUP(B158,input_614100!L:R,7,FALSE),VLOOKUP(tables_614100!C158,input_614100!A:H,8,FALSE))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input_614100!A$2</f>
        <v>614100</v>
      </c>
      <c r="B159" s="97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IFERROR(VLOOKUP(B159,input_614100!L:R,7,FALSE),VLOOKUP(tables_614100!C159,input_614100!A:H,8,FALSE))</f>
        <v>1012500</v>
      </c>
      <c r="P159" s="46">
        <f t="shared" ca="1" si="7"/>
        <v>6.9587628866036796E-3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input_614100!A$2</f>
        <v>614100</v>
      </c>
      <c r="B160" s="97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IFERROR(VLOOKUP(B160,input_614100!L:R,7,FALSE),VLOOKUP(tables_614100!C160,input_614100!A:H,8,FALSE))</f>
        <v>22738.557690000001</v>
      </c>
      <c r="P160" s="46">
        <f t="shared" ca="1" si="7"/>
        <v>1.5627874701043822E-4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input_614100!A$2</f>
        <v>614100</v>
      </c>
      <c r="B161" s="97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IFERROR(VLOOKUP(B161,input_614100!L:R,7,FALSE),VLOOKUP(tables_614100!C161,input_614100!A:H,8,FALSE))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input_614100!A$2</f>
        <v>614100</v>
      </c>
      <c r="B162" s="97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IFERROR(VLOOKUP(B162,input_614100!L:R,7,FALSE),VLOOKUP(tables_614100!C162,input_614100!A:H,8,FALSE))</f>
        <v>1012500</v>
      </c>
      <c r="P162" s="46">
        <f t="shared" ca="1" si="7"/>
        <v>6.9587628866036796E-3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input_614100!A$2</f>
        <v>614100</v>
      </c>
      <c r="B163" s="97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IFERROR(VLOOKUP(B163,input_614100!L:R,7,FALSE),VLOOKUP(tables_614100!C163,input_614100!A:H,8,FALSE))</f>
        <v>22738.557690000001</v>
      </c>
      <c r="P163" s="46">
        <f t="shared" ca="1" si="7"/>
        <v>1.5627874701043822E-4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input_614100!A$2</f>
        <v>614100</v>
      </c>
      <c r="B164" s="97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IFERROR(VLOOKUP(B164,input_614100!L:R,7,FALSE),VLOOKUP(tables_614100!C164,input_614100!A:H,8,FALSE))</f>
        <v>68385</v>
      </c>
      <c r="P164" s="46">
        <f t="shared" ca="1" si="7"/>
        <v>4.7000000000038775E-4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input_614100!A$2</f>
        <v>614100</v>
      </c>
      <c r="B165" s="97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IFERROR(VLOOKUP(B165,input_614100!L:R,7,FALSE),VLOOKUP(tables_614100!C165,input_614100!A:H,8,FALSE))</f>
        <v>22795</v>
      </c>
      <c r="P165" s="46">
        <f t="shared" ca="1" si="7"/>
        <v>1.5666666666679593E-4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input_614100!A$2</f>
        <v>614100</v>
      </c>
      <c r="B166" s="97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IFERROR(VLOOKUP(B166,input_614100!L:R,7,FALSE),VLOOKUP(tables_614100!C166,input_614100!A:H,8,FALSE))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input_614100!A$2</f>
        <v>614100</v>
      </c>
      <c r="B167" s="97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IFERROR(VLOOKUP(B167,input_614100!L:R,7,FALSE),VLOOKUP(tables_614100!C167,input_614100!A:H,8,FALSE))</f>
        <v>1012500</v>
      </c>
      <c r="P167" s="46">
        <f t="shared" ca="1" si="7"/>
        <v>6.9587628866036796E-3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input_614100!A$2</f>
        <v>614100</v>
      </c>
      <c r="B168" s="97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IFERROR(VLOOKUP(B168,input_614100!L:R,7,FALSE),VLOOKUP(tables_614100!C168,input_614100!A:H,8,FALSE))</f>
        <v>22738.557690000001</v>
      </c>
      <c r="P168" s="46">
        <f t="shared" ca="1" si="7"/>
        <v>1.5627874701043822E-4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input_614100!A$2</f>
        <v>614100</v>
      </c>
      <c r="B169" s="97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IFERROR(VLOOKUP(B169,input_614100!L:R,7,FALSE),VLOOKUP(tables_614100!C169,input_614100!A:H,8,FALSE))</f>
        <v>68385</v>
      </c>
      <c r="P169" s="46">
        <f t="shared" ca="1" si="7"/>
        <v>4.7000000000038775E-4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input_614100!A$2</f>
        <v>614100</v>
      </c>
      <c r="B170" s="97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IFERROR(VLOOKUP(B170,input_614100!L:R,7,FALSE),VLOOKUP(tables_614100!C170,input_614100!A:H,8,FALSE))</f>
        <v>22795</v>
      </c>
      <c r="P170" s="46">
        <f t="shared" ca="1" si="7"/>
        <v>1.5666666666679593E-4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input_614100!A$2</f>
        <v>614100</v>
      </c>
      <c r="B171" s="97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IFERROR(VLOOKUP(B171,input_614100!L:R,7,FALSE),VLOOKUP(tables_614100!C171,input_614100!A:H,8,FALSE))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input_614100!A$2</f>
        <v>614100</v>
      </c>
      <c r="B172" s="97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IFERROR(VLOOKUP(B172,input_614100!L:R,7,FALSE),VLOOKUP(tables_614100!C172,input_614100!A:H,8,FALSE))</f>
        <v>1012500</v>
      </c>
      <c r="P172" s="46">
        <f t="shared" ca="1" si="7"/>
        <v>6.9587628866036796E-3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input_614100!A$2</f>
        <v>614100</v>
      </c>
      <c r="B173" s="97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IFERROR(VLOOKUP(B173,input_614100!L:R,7,FALSE),VLOOKUP(tables_614100!C173,input_614100!A:H,8,FALSE))</f>
        <v>22738.557690000001</v>
      </c>
      <c r="P173" s="46">
        <f t="shared" ca="1" si="7"/>
        <v>1.5627874701043822E-4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input_614100!A$2</f>
        <v>614100</v>
      </c>
      <c r="B174" s="97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IFERROR(VLOOKUP(B174,input_614100!L:R,7,FALSE),VLOOKUP(tables_614100!C174,input_614100!A:H,8,FALSE))</f>
        <v>68385</v>
      </c>
      <c r="P174" s="46">
        <f t="shared" ca="1" si="7"/>
        <v>4.7000000000038775E-4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input_614100!A$2</f>
        <v>614100</v>
      </c>
      <c r="B175" s="97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IFERROR(VLOOKUP(B175,input_614100!L:R,7,FALSE),VLOOKUP(tables_614100!C175,input_614100!A:H,8,FALSE))</f>
        <v>22795</v>
      </c>
      <c r="P175" s="46">
        <f t="shared" ca="1" si="7"/>
        <v>1.5666666666679593E-4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input_614100!A$2</f>
        <v>614100</v>
      </c>
      <c r="B176" s="97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IFERROR(VLOOKUP(B176,input_614100!L:R,7,FALSE),VLOOKUP(tables_614100!C176,input_614100!A:H,8,FALSE))</f>
        <v>68385</v>
      </c>
      <c r="P176" s="46">
        <f t="shared" ca="1" si="7"/>
        <v>4.7000000000038775E-4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input_614100!A$2</f>
        <v>614100</v>
      </c>
      <c r="B177" s="97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IFERROR(VLOOKUP(B177,input_614100!L:R,7,FALSE),VLOOKUP(tables_614100!C177,input_614100!A:H,8,FALSE))</f>
        <v>22795</v>
      </c>
      <c r="P177" s="46">
        <f t="shared" ca="1" si="7"/>
        <v>1.5666666666679593E-4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input_614100!A$2</f>
        <v>614100</v>
      </c>
      <c r="B178" s="97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IFERROR(VLOOKUP(B178,input_614100!L:R,7,FALSE),VLOOKUP(tables_614100!C178,input_614100!A:H,8,FALSE))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input_614100!A$2</f>
        <v>614100</v>
      </c>
      <c r="B179" s="97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IFERROR(VLOOKUP(B179,input_614100!L:R,7,FALSE),VLOOKUP(tables_614100!C179,input_614100!A:H,8,FALSE))</f>
        <v>1012500</v>
      </c>
      <c r="P179" s="46">
        <f t="shared" ca="1" si="7"/>
        <v>6.9587628866036796E-3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input_614100!A$2</f>
        <v>614100</v>
      </c>
      <c r="B180" s="97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IFERROR(VLOOKUP(B180,input_614100!L:R,7,FALSE),VLOOKUP(tables_614100!C180,input_614100!A:H,8,FALSE))</f>
        <v>22738.557690000001</v>
      </c>
      <c r="P180" s="46">
        <f t="shared" ca="1" si="7"/>
        <v>1.5627874701043822E-4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input_614100!A$2</f>
        <v>614100</v>
      </c>
      <c r="B181" s="97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IFERROR(VLOOKUP(B181,input_614100!L:R,7,FALSE),VLOOKUP(tables_614100!C181,input_614100!A:H,8,FALSE))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input_614100!A$2</f>
        <v>614100</v>
      </c>
      <c r="B182" s="97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IFERROR(VLOOKUP(B182,input_614100!L:R,7,FALSE),VLOOKUP(tables_614100!C182,input_614100!A:H,8,FALSE))</f>
        <v>1012500</v>
      </c>
      <c r="P182" s="46">
        <f t="shared" ca="1" si="7"/>
        <v>6.9587628866036796E-3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input_614100!A$2</f>
        <v>614100</v>
      </c>
      <c r="B183" s="97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IFERROR(VLOOKUP(B183,input_614100!L:R,7,FALSE),VLOOKUP(tables_614100!C183,input_614100!A:H,8,FALSE))</f>
        <v>22738.557690000001</v>
      </c>
      <c r="P183" s="46">
        <f t="shared" ca="1" si="7"/>
        <v>1.5627874701043822E-4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input_614100!A$2</f>
        <v>614100</v>
      </c>
      <c r="B184" s="97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IFERROR(VLOOKUP(B184,input_614100!L:R,7,FALSE),VLOOKUP(tables_614100!C184,input_614100!A:H,8,FALSE))</f>
        <v>68385</v>
      </c>
      <c r="P184" s="46">
        <f t="shared" ca="1" si="7"/>
        <v>4.7000000000038775E-4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input_614100!A$2</f>
        <v>614100</v>
      </c>
      <c r="B185" s="97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IFERROR(VLOOKUP(B185,input_614100!L:R,7,FALSE),VLOOKUP(tables_614100!C185,input_614100!A:H,8,FALSE))</f>
        <v>22795</v>
      </c>
      <c r="P185" s="46">
        <f t="shared" ca="1" si="7"/>
        <v>1.5666666666679593E-4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input_614100!A$2</f>
        <v>614100</v>
      </c>
      <c r="B186" s="9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IFERROR(VLOOKUP(B186,input_614100!L:R,7,FALSE),VLOOKUP(tables_614100!C186,input_614100!A:H,8,FALSE))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input_614100!A$2</f>
        <v>614100</v>
      </c>
      <c r="B187" s="9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IFERROR(VLOOKUP(B187,input_614100!L:R,7,FALSE),VLOOKUP(tables_614100!C187,input_614100!A:H,8,FALSE))</f>
        <v>1012500</v>
      </c>
      <c r="P187" s="46">
        <f t="shared" ca="1" si="7"/>
        <v>6.9587628866036796E-3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input_614100!A$2</f>
        <v>614100</v>
      </c>
      <c r="B188" s="9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IFERROR(VLOOKUP(B188,input_614100!L:R,7,FALSE),VLOOKUP(tables_614100!C188,input_614100!A:H,8,FALSE))</f>
        <v>22738.557690000001</v>
      </c>
      <c r="P188" s="46">
        <f t="shared" ca="1" si="7"/>
        <v>1.5627874701043822E-4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input_614100!A$2</f>
        <v>614100</v>
      </c>
      <c r="B189" s="9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IFERROR(VLOOKUP(B189,input_614100!L:R,7,FALSE),VLOOKUP(tables_614100!C189,input_614100!A:H,8,FALSE))</f>
        <v>68385</v>
      </c>
      <c r="P189" s="46">
        <f t="shared" ca="1" si="7"/>
        <v>4.7000000000038775E-4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input_614100!A$2</f>
        <v>614100</v>
      </c>
      <c r="B190" s="97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IFERROR(VLOOKUP(B190,input_614100!L:R,7,FALSE),VLOOKUP(tables_614100!C190,input_614100!A:H,8,FALSE))</f>
        <v>22795</v>
      </c>
      <c r="P190" s="46">
        <f t="shared" ca="1" si="7"/>
        <v>1.5666666666679593E-4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input_614100!A$2</f>
        <v>614100</v>
      </c>
      <c r="B191" s="97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IFERROR(VLOOKUP(B191,input_614100!L:R,7,FALSE),VLOOKUP(tables_614100!C191,input_614100!A:H,8,FALSE))</f>
        <v>68385</v>
      </c>
      <c r="P191" s="46">
        <f t="shared" ca="1" si="7"/>
        <v>4.7000000000038775E-4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input_614100!A$2</f>
        <v>614100</v>
      </c>
      <c r="B192" s="97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IFERROR(VLOOKUP(B192,input_614100!L:R,7,FALSE),VLOOKUP(tables_614100!C192,input_614100!A:H,8,FALSE))</f>
        <v>22795</v>
      </c>
      <c r="P192" s="46">
        <f t="shared" ca="1" si="7"/>
        <v>1.5666666666679593E-4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input_614100!A$2</f>
        <v>614100</v>
      </c>
      <c r="B193" s="97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IFERROR(VLOOKUP(B193,input_614100!L:R,7,FALSE),VLOOKUP(tables_614100!C193,input_614100!A:H,8,FALSE))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input_614100!A$2</f>
        <v>614100</v>
      </c>
      <c r="B194" s="97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IFERROR(VLOOKUP(B194,input_614100!L:R,7,FALSE),VLOOKUP(tables_614100!C194,input_614100!A:H,8,FALSE))</f>
        <v>1012500</v>
      </c>
      <c r="P194" s="46">
        <f t="shared" ref="P194:P257" ca="1" si="10">O194/SUM(O:O)</f>
        <v>6.9587628866036796E-3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input_614100!A$2</f>
        <v>614100</v>
      </c>
      <c r="B195" s="97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IFERROR(VLOOKUP(B195,input_614100!L:R,7,FALSE),VLOOKUP(tables_614100!C195,input_614100!A:H,8,FALSE))</f>
        <v>22738.557690000001</v>
      </c>
      <c r="P195" s="46">
        <f t="shared" ca="1" si="10"/>
        <v>1.5627874701043822E-4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input_614100!A$2</f>
        <v>614100</v>
      </c>
      <c r="B196" s="97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IFERROR(VLOOKUP(B196,input_614100!L:R,7,FALSE),VLOOKUP(tables_614100!C196,input_614100!A:H,8,FALSE))</f>
        <v>68385</v>
      </c>
      <c r="P196" s="46">
        <f t="shared" ca="1" si="10"/>
        <v>4.7000000000038775E-4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input_614100!A$2</f>
        <v>614100</v>
      </c>
      <c r="B197" s="97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IFERROR(VLOOKUP(B197,input_614100!L:R,7,FALSE),VLOOKUP(tables_614100!C197,input_614100!A:H,8,FALSE))</f>
        <v>22795</v>
      </c>
      <c r="P197" s="46">
        <f t="shared" ca="1" si="10"/>
        <v>1.5666666666679593E-4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input_614100!A$2</f>
        <v>614100</v>
      </c>
      <c r="B198" s="97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IFERROR(VLOOKUP(B198,input_614100!L:R,7,FALSE),VLOOKUP(tables_614100!C198,input_614100!A:H,8,FALSE))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input_614100!A$2</f>
        <v>614100</v>
      </c>
      <c r="B199" s="97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IFERROR(VLOOKUP(B199,input_614100!L:R,7,FALSE),VLOOKUP(tables_614100!C199,input_614100!A:H,8,FALSE))</f>
        <v>1012500</v>
      </c>
      <c r="P199" s="46">
        <f t="shared" ca="1" si="10"/>
        <v>6.9587628866036796E-3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input_614100!A$2</f>
        <v>614100</v>
      </c>
      <c r="B200" s="97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IFERROR(VLOOKUP(B200,input_614100!L:R,7,FALSE),VLOOKUP(tables_614100!C200,input_614100!A:H,8,FALSE))</f>
        <v>22738.557690000001</v>
      </c>
      <c r="P200" s="46">
        <f t="shared" ca="1" si="10"/>
        <v>1.5627874701043822E-4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input_614100!A$2</f>
        <v>614100</v>
      </c>
      <c r="B201" s="97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IFERROR(VLOOKUP(B201,input_614100!L:R,7,FALSE),VLOOKUP(tables_614100!C201,input_614100!A:H,8,FALSE))</f>
        <v>68385</v>
      </c>
      <c r="P201" s="46">
        <f t="shared" ca="1" si="10"/>
        <v>4.7000000000038775E-4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input_614100!A$2</f>
        <v>614100</v>
      </c>
      <c r="B202" s="97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IFERROR(VLOOKUP(B202,input_614100!L:R,7,FALSE),VLOOKUP(tables_614100!C202,input_614100!A:H,8,FALSE))</f>
        <v>22795</v>
      </c>
      <c r="P202" s="46">
        <f t="shared" ca="1" si="10"/>
        <v>1.5666666666679593E-4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input_614100!A$2</f>
        <v>614100</v>
      </c>
      <c r="B203" s="97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IFERROR(VLOOKUP(B203,input_614100!L:R,7,FALSE),VLOOKUP(tables_614100!C203,input_614100!A:H,8,FALSE))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input_614100!A$2</f>
        <v>614100</v>
      </c>
      <c r="B204" s="97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IFERROR(VLOOKUP(B204,input_614100!L:R,7,FALSE),VLOOKUP(tables_614100!C204,input_614100!A:H,8,FALSE))</f>
        <v>1012500</v>
      </c>
      <c r="P204" s="46">
        <f t="shared" ca="1" si="10"/>
        <v>6.9587628866036796E-3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input_614100!A$2</f>
        <v>614100</v>
      </c>
      <c r="B205" s="97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IFERROR(VLOOKUP(B205,input_614100!L:R,7,FALSE),VLOOKUP(tables_614100!C205,input_614100!A:H,8,FALSE))</f>
        <v>22738.557690000001</v>
      </c>
      <c r="P205" s="46">
        <f t="shared" ca="1" si="10"/>
        <v>1.5627874701043822E-4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input_614100!A$2</f>
        <v>614100</v>
      </c>
      <c r="B206" s="97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IFERROR(VLOOKUP(B206,input_614100!L:R,7,FALSE),VLOOKUP(tables_614100!C206,input_614100!A:H,8,FALSE))</f>
        <v>68385</v>
      </c>
      <c r="P206" s="46">
        <f t="shared" ca="1" si="10"/>
        <v>4.7000000000038775E-4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input_614100!A$2</f>
        <v>614100</v>
      </c>
      <c r="B207" s="97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IFERROR(VLOOKUP(B207,input_614100!L:R,7,FALSE),VLOOKUP(tables_614100!C207,input_614100!A:H,8,FALSE))</f>
        <v>22795</v>
      </c>
      <c r="P207" s="46">
        <f t="shared" ca="1" si="10"/>
        <v>1.5666666666679593E-4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input_614100!A$2</f>
        <v>614100</v>
      </c>
      <c r="B208" s="97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IFERROR(VLOOKUP(B208,input_614100!L:R,7,FALSE),VLOOKUP(tables_614100!C208,input_614100!A:H,8,FALSE))</f>
        <v>68385</v>
      </c>
      <c r="P208" s="46">
        <f t="shared" ca="1" si="10"/>
        <v>4.7000000000038775E-4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input_614100!A$2</f>
        <v>614100</v>
      </c>
      <c r="B209" s="97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IFERROR(VLOOKUP(B209,input_614100!L:R,7,FALSE),VLOOKUP(tables_614100!C209,input_614100!A:H,8,FALSE))</f>
        <v>22795</v>
      </c>
      <c r="P209" s="46">
        <f t="shared" ca="1" si="10"/>
        <v>1.5666666666679593E-4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input_614100!A$2</f>
        <v>614100</v>
      </c>
      <c r="B210" s="97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IFERROR(VLOOKUP(B210,input_614100!L:R,7,FALSE),VLOOKUP(tables_614100!C210,input_614100!A:H,8,FALSE))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input_614100!A$2</f>
        <v>614100</v>
      </c>
      <c r="B211" s="97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IFERROR(VLOOKUP(B211,input_614100!L:R,7,FALSE),VLOOKUP(tables_614100!C211,input_614100!A:H,8,FALSE))</f>
        <v>1012500</v>
      </c>
      <c r="P211" s="46">
        <f t="shared" ca="1" si="10"/>
        <v>6.9587628866036796E-3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input_614100!A$2</f>
        <v>614100</v>
      </c>
      <c r="B212" s="97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IFERROR(VLOOKUP(B212,input_614100!L:R,7,FALSE),VLOOKUP(tables_614100!C212,input_614100!A:H,8,FALSE))</f>
        <v>22738.557690000001</v>
      </c>
      <c r="P212" s="46">
        <f t="shared" ca="1" si="10"/>
        <v>1.5627874701043822E-4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input_614100!A$2</f>
        <v>614100</v>
      </c>
      <c r="B213" s="97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IFERROR(VLOOKUP(B213,input_614100!L:R,7,FALSE),VLOOKUP(tables_614100!C213,input_614100!A:H,8,FALSE))</f>
        <v>68385</v>
      </c>
      <c r="P213" s="46">
        <f t="shared" ca="1" si="10"/>
        <v>4.7000000000038775E-4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input_614100!A$2</f>
        <v>614100</v>
      </c>
      <c r="B214" s="97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IFERROR(VLOOKUP(B214,input_614100!L:R,7,FALSE),VLOOKUP(tables_614100!C214,input_614100!A:H,8,FALSE))</f>
        <v>22795</v>
      </c>
      <c r="P214" s="46">
        <f t="shared" ca="1" si="10"/>
        <v>1.5666666666679593E-4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input_614100!A$2</f>
        <v>614100</v>
      </c>
      <c r="B215" s="97">
        <v>560</v>
      </c>
      <c r="C215" s="7" t="str">
        <f t="shared" si="9"/>
        <v>premium5R3less</v>
      </c>
      <c r="D215" s="7" t="str">
        <f>IF(OR(I215="PremiumSS",I215="PremiumSSw"),"PremiumSS",IF(I215="PremiumSSS",I215,IF(I215="PremiumW",IF(J215=5,"premium",I215),"Premium")))</f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IFERROR(VLOOKUP(B215,input_614100!L:R,7,FALSE),VLOOKUP(tables_614100!C215,input_614100!A:H,8,FALSE))</f>
        <v>23625</v>
      </c>
      <c r="P215" s="46">
        <f t="shared" ca="1" si="10"/>
        <v>1.6237113402075252E-4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input_614100!A$2</f>
        <v>614100</v>
      </c>
      <c r="B216" s="97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IFERROR(VLOOKUP(B216,input_614100!L:R,7,FALSE),VLOOKUP(tables_614100!C216,input_614100!A:H,8,FALSE))</f>
        <v>23625</v>
      </c>
      <c r="P216" s="46">
        <f t="shared" ca="1" si="10"/>
        <v>1.6237113402075252E-4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input_614100!A$2</f>
        <v>614100</v>
      </c>
      <c r="B217" s="97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IFERROR(VLOOKUP(B217,input_614100!L:R,7,FALSE),VLOOKUP(tables_614100!C217,input_614100!A:H,8,FALSE))</f>
        <v>23625</v>
      </c>
      <c r="P217" s="46">
        <f t="shared" ca="1" si="10"/>
        <v>1.6237113402075252E-4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input_614100!A$2</f>
        <v>614100</v>
      </c>
      <c r="B218" s="97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IFERROR(VLOOKUP(B218,input_614100!L:R,7,FALSE),VLOOKUP(tables_614100!C218,input_614100!A:H,8,FALSE))</f>
        <v>23625</v>
      </c>
      <c r="P218" s="46">
        <f t="shared" ca="1" si="10"/>
        <v>1.6237113402075252E-4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input_614100!A$2</f>
        <v>614100</v>
      </c>
      <c r="B219" s="97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IFERROR(VLOOKUP(B219,input_614100!L:R,7,FALSE),VLOOKUP(tables_614100!C219,input_614100!A:H,8,FALSE))</f>
        <v>23625</v>
      </c>
      <c r="P219" s="46">
        <f t="shared" ca="1" si="10"/>
        <v>1.6237113402075252E-4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input_614100!A$2</f>
        <v>614100</v>
      </c>
      <c r="B220" s="97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IFERROR(VLOOKUP(B220,input_614100!L:R,7,FALSE),VLOOKUP(tables_614100!C220,input_614100!A:H,8,FALSE))</f>
        <v>23625</v>
      </c>
      <c r="P220" s="46">
        <f t="shared" ca="1" si="10"/>
        <v>1.6237113402075252E-4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input_614100!A$2</f>
        <v>614100</v>
      </c>
      <c r="B221" s="97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IFERROR(VLOOKUP(B221,input_614100!L:R,7,FALSE),VLOOKUP(tables_614100!C221,input_614100!A:H,8,FALSE))</f>
        <v>68385</v>
      </c>
      <c r="P221" s="46">
        <f t="shared" ca="1" si="10"/>
        <v>4.7000000000038775E-4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input_614100!A$2</f>
        <v>614100</v>
      </c>
      <c r="B222" s="97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IFERROR(VLOOKUP(B222,input_614100!L:R,7,FALSE),VLOOKUP(tables_614100!C222,input_614100!A:H,8,FALSE))</f>
        <v>22795</v>
      </c>
      <c r="P222" s="46">
        <f t="shared" ca="1" si="10"/>
        <v>1.5666666666679593E-4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input_614100!A$2</f>
        <v>614100</v>
      </c>
      <c r="B223" s="97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IFERROR(VLOOKUP(B223,input_614100!L:R,7,FALSE),VLOOKUP(tables_614100!C223,input_614100!A:H,8,FALSE))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input_614100!A$2</f>
        <v>614100</v>
      </c>
      <c r="B224" s="97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IFERROR(VLOOKUP(B224,input_614100!L:R,7,FALSE),VLOOKUP(tables_614100!C224,input_614100!A:H,8,FALSE))</f>
        <v>1012500</v>
      </c>
      <c r="P224" s="46">
        <f t="shared" ca="1" si="10"/>
        <v>6.9587628866036796E-3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input_614100!A$2</f>
        <v>614100</v>
      </c>
      <c r="B225" s="97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IFERROR(VLOOKUP(B225,input_614100!L:R,7,FALSE),VLOOKUP(tables_614100!C225,input_614100!A:H,8,FALSE))</f>
        <v>22738.557690000001</v>
      </c>
      <c r="P225" s="46">
        <f t="shared" ca="1" si="10"/>
        <v>1.5627874701043822E-4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input_614100!A$2</f>
        <v>614100</v>
      </c>
      <c r="B226" s="97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IFERROR(VLOOKUP(B226,input_614100!L:R,7,FALSE),VLOOKUP(tables_614100!C226,input_614100!A:H,8,FALSE))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input_614100!A$2</f>
        <v>614100</v>
      </c>
      <c r="B227" s="97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IFERROR(VLOOKUP(B227,input_614100!L:R,7,FALSE),VLOOKUP(tables_614100!C227,input_614100!A:H,8,FALSE))</f>
        <v>1012500</v>
      </c>
      <c r="P227" s="46">
        <f t="shared" ca="1" si="10"/>
        <v>6.9587628866036796E-3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input_614100!A$2</f>
        <v>614100</v>
      </c>
      <c r="B228" s="97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IFERROR(VLOOKUP(B228,input_614100!L:R,7,FALSE),VLOOKUP(tables_614100!C228,input_614100!A:H,8,FALSE))</f>
        <v>22738.557690000001</v>
      </c>
      <c r="P228" s="46">
        <f t="shared" ca="1" si="10"/>
        <v>1.5627874701043822E-4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input_614100!A$2</f>
        <v>614100</v>
      </c>
      <c r="B229" s="97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IFERROR(VLOOKUP(B229,input_614100!L:R,7,FALSE),VLOOKUP(tables_614100!C229,input_614100!A:H,8,FALSE))</f>
        <v>68385</v>
      </c>
      <c r="P229" s="46">
        <f t="shared" ca="1" si="10"/>
        <v>4.7000000000038775E-4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input_614100!A$2</f>
        <v>614100</v>
      </c>
      <c r="B230" s="97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IFERROR(VLOOKUP(B230,input_614100!L:R,7,FALSE),VLOOKUP(tables_614100!C230,input_614100!A:H,8,FALSE))</f>
        <v>22795</v>
      </c>
      <c r="P230" s="46">
        <f t="shared" ca="1" si="10"/>
        <v>1.5666666666679593E-4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input_614100!A$2</f>
        <v>614100</v>
      </c>
      <c r="B231" s="97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IFERROR(VLOOKUP(B231,input_614100!L:R,7,FALSE),VLOOKUP(tables_614100!C231,input_614100!A:H,8,FALSE))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input_614100!A$2</f>
        <v>614100</v>
      </c>
      <c r="B232" s="97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IFERROR(VLOOKUP(B232,input_614100!L:R,7,FALSE),VLOOKUP(tables_614100!C232,input_614100!A:H,8,FALSE))</f>
        <v>1012500</v>
      </c>
      <c r="P232" s="46">
        <f t="shared" ca="1" si="10"/>
        <v>6.9587628866036796E-3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input_614100!A$2</f>
        <v>614100</v>
      </c>
      <c r="B233" s="97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IFERROR(VLOOKUP(B233,input_614100!L:R,7,FALSE),VLOOKUP(tables_614100!C233,input_614100!A:H,8,FALSE))</f>
        <v>22738.557690000001</v>
      </c>
      <c r="P233" s="46">
        <f t="shared" ca="1" si="10"/>
        <v>1.5627874701043822E-4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input_614100!A$2</f>
        <v>614100</v>
      </c>
      <c r="B234" s="97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IFERROR(VLOOKUP(B234,input_614100!L:R,7,FALSE),VLOOKUP(tables_614100!C234,input_614100!A:H,8,FALSE))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input_614100!A$2</f>
        <v>614100</v>
      </c>
      <c r="B235" s="97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IFERROR(VLOOKUP(B235,input_614100!L:R,7,FALSE),VLOOKUP(tables_614100!C235,input_614100!A:H,8,FALSE))</f>
        <v>1012500</v>
      </c>
      <c r="P235" s="46">
        <f t="shared" ca="1" si="10"/>
        <v>6.9587628866036796E-3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input_614100!A$2</f>
        <v>614100</v>
      </c>
      <c r="B236" s="97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IFERROR(VLOOKUP(B236,input_614100!L:R,7,FALSE),VLOOKUP(tables_614100!C236,input_614100!A:H,8,FALSE))</f>
        <v>22738.557690000001</v>
      </c>
      <c r="P236" s="46">
        <f t="shared" ca="1" si="10"/>
        <v>1.5627874701043822E-4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input_614100!A$2</f>
        <v>614100</v>
      </c>
      <c r="B237" s="97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IFERROR(VLOOKUP(B237,input_614100!L:R,7,FALSE),VLOOKUP(tables_614100!C237,input_614100!A:H,8,FALSE))</f>
        <v>68385</v>
      </c>
      <c r="P237" s="46">
        <f t="shared" ca="1" si="10"/>
        <v>4.7000000000038775E-4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input_614100!A$2</f>
        <v>614100</v>
      </c>
      <c r="B238" s="97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IFERROR(VLOOKUP(B238,input_614100!L:R,7,FALSE),VLOOKUP(tables_614100!C238,input_614100!A:H,8,FALSE))</f>
        <v>22795</v>
      </c>
      <c r="P238" s="46">
        <f t="shared" ca="1" si="10"/>
        <v>1.5666666666679593E-4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input_614100!A$2</f>
        <v>614100</v>
      </c>
      <c r="B239" s="97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IFERROR(VLOOKUP(B239,input_614100!L:R,7,FALSE),VLOOKUP(tables_614100!C239,input_614100!A:H,8,FALSE))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input_614100!A$2</f>
        <v>614100</v>
      </c>
      <c r="B240" s="97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IFERROR(VLOOKUP(B240,input_614100!L:R,7,FALSE),VLOOKUP(tables_614100!C240,input_614100!A:H,8,FALSE))</f>
        <v>1012500</v>
      </c>
      <c r="P240" s="46">
        <f t="shared" ca="1" si="10"/>
        <v>6.9587628866036796E-3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input_614100!A$2</f>
        <v>614100</v>
      </c>
      <c r="B241" s="97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IFERROR(VLOOKUP(B241,input_614100!L:R,7,FALSE),VLOOKUP(tables_614100!C241,input_614100!A:H,8,FALSE))</f>
        <v>22738.557690000001</v>
      </c>
      <c r="P241" s="46">
        <f t="shared" ca="1" si="10"/>
        <v>1.5627874701043822E-4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input_614100!A$2</f>
        <v>614100</v>
      </c>
      <c r="B242" s="97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IFERROR(VLOOKUP(B242,input_614100!L:R,7,FALSE),VLOOKUP(tables_614100!C242,input_614100!A:H,8,FALSE))</f>
        <v>68385</v>
      </c>
      <c r="P242" s="46">
        <f t="shared" ca="1" si="10"/>
        <v>4.7000000000038775E-4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input_614100!A$2</f>
        <v>614100</v>
      </c>
      <c r="B243" s="97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IFERROR(VLOOKUP(B243,input_614100!L:R,7,FALSE),VLOOKUP(tables_614100!C243,input_614100!A:H,8,FALSE))</f>
        <v>22795</v>
      </c>
      <c r="P243" s="46">
        <f t="shared" ca="1" si="10"/>
        <v>1.5666666666679593E-4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input_614100!A$2</f>
        <v>614100</v>
      </c>
      <c r="B244" s="97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IFERROR(VLOOKUP(B244,input_614100!L:R,7,FALSE),VLOOKUP(tables_614100!C244,input_614100!A:H,8,FALSE))</f>
        <v>68385</v>
      </c>
      <c r="P244" s="46">
        <f t="shared" ca="1" si="10"/>
        <v>4.7000000000038775E-4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input_614100!A$2</f>
        <v>614100</v>
      </c>
      <c r="B245" s="97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IFERROR(VLOOKUP(B245,input_614100!L:R,7,FALSE),VLOOKUP(tables_614100!C245,input_614100!A:H,8,FALSE))</f>
        <v>22795</v>
      </c>
      <c r="P245" s="46">
        <f t="shared" ca="1" si="10"/>
        <v>1.5666666666679593E-4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input_614100!A$2</f>
        <v>614100</v>
      </c>
      <c r="B246" s="97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IFERROR(VLOOKUP(B246,input_614100!L:R,7,FALSE),VLOOKUP(tables_614100!C246,input_614100!A:H,8,FALSE))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input_614100!A$2</f>
        <v>614100</v>
      </c>
      <c r="B247" s="97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IFERROR(VLOOKUP(B247,input_614100!L:R,7,FALSE),VLOOKUP(tables_614100!C247,input_614100!A:H,8,FALSE))</f>
        <v>1012500</v>
      </c>
      <c r="P247" s="46">
        <f t="shared" ca="1" si="10"/>
        <v>6.9587628866036796E-3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input_614100!A$2</f>
        <v>614100</v>
      </c>
      <c r="B248" s="97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IFERROR(VLOOKUP(B248,input_614100!L:R,7,FALSE),VLOOKUP(tables_614100!C248,input_614100!A:H,8,FALSE))</f>
        <v>22738.557690000001</v>
      </c>
      <c r="P248" s="46">
        <f t="shared" ca="1" si="10"/>
        <v>1.5627874701043822E-4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input_614100!A$2</f>
        <v>614100</v>
      </c>
      <c r="B249" s="97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IFERROR(VLOOKUP(B249,input_614100!L:R,7,FALSE),VLOOKUP(tables_614100!C249,input_614100!A:H,8,FALSE))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input_614100!A$2</f>
        <v>614100</v>
      </c>
      <c r="B250" s="97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IFERROR(VLOOKUP(B250,input_614100!L:R,7,FALSE),VLOOKUP(tables_614100!C250,input_614100!A:H,8,FALSE))</f>
        <v>1012500</v>
      </c>
      <c r="P250" s="46">
        <f t="shared" ca="1" si="10"/>
        <v>6.9587628866036796E-3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input_614100!A$2</f>
        <v>614100</v>
      </c>
      <c r="B251" s="97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IFERROR(VLOOKUP(B251,input_614100!L:R,7,FALSE),VLOOKUP(tables_614100!C251,input_614100!A:H,8,FALSE))</f>
        <v>22738.557690000001</v>
      </c>
      <c r="P251" s="46">
        <f t="shared" ca="1" si="10"/>
        <v>1.5627874701043822E-4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input_614100!A$2</f>
        <v>614100</v>
      </c>
      <c r="B252" s="97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IFERROR(VLOOKUP(B252,input_614100!L:R,7,FALSE),VLOOKUP(tables_614100!C252,input_614100!A:H,8,FALSE))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input_614100!A$2</f>
        <v>614100</v>
      </c>
      <c r="B253" s="97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IFERROR(VLOOKUP(B253,input_614100!L:R,7,FALSE),VLOOKUP(tables_614100!C253,input_614100!A:H,8,FALSE))</f>
        <v>1012500</v>
      </c>
      <c r="P253" s="46">
        <f t="shared" ca="1" si="10"/>
        <v>6.9587628866036796E-3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input_614100!A$2</f>
        <v>614100</v>
      </c>
      <c r="B254" s="97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IFERROR(VLOOKUP(B254,input_614100!L:R,7,FALSE),VLOOKUP(tables_614100!C254,input_614100!A:H,8,FALSE))</f>
        <v>22738.557690000001</v>
      </c>
      <c r="P254" s="46">
        <f t="shared" ca="1" si="10"/>
        <v>1.5627874701043822E-4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input_614100!A$2</f>
        <v>614100</v>
      </c>
      <c r="B255" s="97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IFERROR(VLOOKUP(B255,input_614100!L:R,7,FALSE),VLOOKUP(tables_614100!C255,input_614100!A:H,8,FALSE))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input_614100!A$2</f>
        <v>614100</v>
      </c>
      <c r="B256" s="97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IFERROR(VLOOKUP(B256,input_614100!L:R,7,FALSE),VLOOKUP(tables_614100!C256,input_614100!A:H,8,FALSE))</f>
        <v>1012500</v>
      </c>
      <c r="P256" s="46">
        <f t="shared" ca="1" si="10"/>
        <v>6.9587628866036796E-3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input_614100!A$2</f>
        <v>614100</v>
      </c>
      <c r="B257" s="97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IFERROR(VLOOKUP(B257,input_614100!L:R,7,FALSE),VLOOKUP(tables_614100!C257,input_614100!A:H,8,FALSE))</f>
        <v>22738.557690000001</v>
      </c>
      <c r="P257" s="46">
        <f t="shared" ca="1" si="10"/>
        <v>1.5627874701043822E-4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input_614100!A$2</f>
        <v>614100</v>
      </c>
      <c r="B258" s="97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IFERROR(VLOOKUP(B258,input_614100!L:R,7,FALSE),VLOOKUP(tables_614100!C258,input_614100!A:H,8,FALSE))</f>
        <v>68385</v>
      </c>
      <c r="P258" s="46">
        <f t="shared" ref="P258:P321" ca="1" si="13">O258/SUM(O:O)</f>
        <v>4.7000000000038775E-4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input_614100!A$2</f>
        <v>614100</v>
      </c>
      <c r="B259" s="97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IFERROR(VLOOKUP(B259,input_614100!L:R,7,FALSE),VLOOKUP(tables_614100!C259,input_614100!A:H,8,FALSE))</f>
        <v>22795</v>
      </c>
      <c r="P259" s="46">
        <f t="shared" ca="1" si="13"/>
        <v>1.5666666666679593E-4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input_614100!A$2</f>
        <v>614100</v>
      </c>
      <c r="B260" s="97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IFERROR(VLOOKUP(B260,input_614100!L:R,7,FALSE),VLOOKUP(tables_614100!C260,input_614100!A:H,8,FALSE))</f>
        <v>68385</v>
      </c>
      <c r="P260" s="46">
        <f t="shared" ca="1" si="13"/>
        <v>4.7000000000038775E-4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input_614100!A$2</f>
        <v>614100</v>
      </c>
      <c r="B261" s="97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IFERROR(VLOOKUP(B261,input_614100!L:R,7,FALSE),VLOOKUP(tables_614100!C261,input_614100!A:H,8,FALSE))</f>
        <v>22795</v>
      </c>
      <c r="P261" s="46">
        <f t="shared" ca="1" si="13"/>
        <v>1.5666666666679593E-4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input_614100!A$2</f>
        <v>614100</v>
      </c>
      <c r="B262" s="97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IFERROR(VLOOKUP(B262,input_614100!L:R,7,FALSE),VLOOKUP(tables_614100!C262,input_614100!A:H,8,FALSE))</f>
        <v>1319625</v>
      </c>
      <c r="P262" s="46">
        <f t="shared" ca="1" si="13"/>
        <v>9.0695876288734625E-3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input_614100!A$2</f>
        <v>614100</v>
      </c>
      <c r="B263" s="97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IFERROR(VLOOKUP(B263,input_614100!L:R,7,FALSE),VLOOKUP(tables_614100!C263,input_614100!A:H,8,FALSE))</f>
        <v>23625</v>
      </c>
      <c r="P263" s="46">
        <f t="shared" ca="1" si="13"/>
        <v>1.6237113402075252E-4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input_614100!A$2</f>
        <v>614100</v>
      </c>
      <c r="B264" s="97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IFERROR(VLOOKUP(B264,input_614100!L:R,7,FALSE),VLOOKUP(tables_614100!C264,input_614100!A:H,8,FALSE))</f>
        <v>1319625</v>
      </c>
      <c r="P264" s="46">
        <f t="shared" ca="1" si="13"/>
        <v>9.0695876288734625E-3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input_614100!A$2</f>
        <v>614100</v>
      </c>
      <c r="B265" s="97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IFERROR(VLOOKUP(B265,input_614100!L:R,7,FALSE),VLOOKUP(tables_614100!C265,input_614100!A:H,8,FALSE))</f>
        <v>23625</v>
      </c>
      <c r="P265" s="46">
        <f t="shared" ca="1" si="13"/>
        <v>1.6237113402075252E-4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input_614100!A$2</f>
        <v>614100</v>
      </c>
      <c r="B266" s="97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IFERROR(VLOOKUP(B266,input_614100!L:R,7,FALSE),VLOOKUP(tables_614100!C266,input_614100!A:H,8,FALSE))</f>
        <v>91180</v>
      </c>
      <c r="P266" s="46">
        <f t="shared" ca="1" si="13"/>
        <v>6.266666666671837E-4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input_614100!A$2</f>
        <v>614100</v>
      </c>
      <c r="B267" s="97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IFERROR(VLOOKUP(B267,input_614100!L:R,7,FALSE),VLOOKUP(tables_614100!C267,input_614100!A:H,8,FALSE))</f>
        <v>91180</v>
      </c>
      <c r="P267" s="46">
        <f t="shared" ca="1" si="13"/>
        <v>6.266666666671837E-4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input_614100!A$2</f>
        <v>614100</v>
      </c>
      <c r="B268" s="97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IFERROR(VLOOKUP(B268,input_614100!L:R,7,FALSE),VLOOKUP(tables_614100!C268,input_614100!A:H,8,FALSE))</f>
        <v>91180</v>
      </c>
      <c r="P268" s="46">
        <f t="shared" ca="1" si="13"/>
        <v>6.266666666671837E-4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input_614100!A$2</f>
        <v>614100</v>
      </c>
      <c r="B269" s="97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IFERROR(VLOOKUP(B269,input_614100!L:R,7,FALSE),VLOOKUP(tables_614100!C269,input_614100!A:H,8,FALSE))</f>
        <v>91180</v>
      </c>
      <c r="P269" s="46">
        <f t="shared" ca="1" si="13"/>
        <v>6.266666666671837E-4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input_614100!A$2</f>
        <v>614100</v>
      </c>
      <c r="B270" s="97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IFERROR(VLOOKUP(B270,input_614100!L:R,7,FALSE),VLOOKUP(tables_614100!C270,input_614100!A:H,8,FALSE))</f>
        <v>1319625</v>
      </c>
      <c r="P270" s="46">
        <f t="shared" ca="1" si="13"/>
        <v>9.0695876288734625E-3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input_614100!A$2</f>
        <v>614100</v>
      </c>
      <c r="B271" s="9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IFERROR(VLOOKUP(B271,input_614100!L:R,7,FALSE),VLOOKUP(tables_614100!C271,input_614100!A:H,8,FALSE))</f>
        <v>23625</v>
      </c>
      <c r="P271" s="46">
        <f t="shared" ca="1" si="13"/>
        <v>1.6237113402075252E-4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input_614100!A$2</f>
        <v>614100</v>
      </c>
      <c r="B272" s="9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IFERROR(VLOOKUP(B272,input_614100!L:R,7,FALSE),VLOOKUP(tables_614100!C272,input_614100!A:H,8,FALSE))</f>
        <v>1319625</v>
      </c>
      <c r="P272" s="46">
        <f t="shared" ca="1" si="13"/>
        <v>9.0695876288734625E-3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input_614100!A$2</f>
        <v>614100</v>
      </c>
      <c r="B273" s="9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IFERROR(VLOOKUP(B273,input_614100!L:R,7,FALSE),VLOOKUP(tables_614100!C273,input_614100!A:H,8,FALSE))</f>
        <v>23625</v>
      </c>
      <c r="P273" s="46">
        <f t="shared" ca="1" si="13"/>
        <v>1.6237113402075252E-4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input_614100!A$2</f>
        <v>614100</v>
      </c>
      <c r="B274" s="9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IFERROR(VLOOKUP(B274,input_614100!L:R,7,FALSE),VLOOKUP(tables_614100!C274,input_614100!A:H,8,FALSE))</f>
        <v>68385</v>
      </c>
      <c r="P274" s="46">
        <f t="shared" ca="1" si="13"/>
        <v>4.7000000000038775E-4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input_614100!A$2</f>
        <v>614100</v>
      </c>
      <c r="B275" s="9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IFERROR(VLOOKUP(B275,input_614100!L:R,7,FALSE),VLOOKUP(tables_614100!C275,input_614100!A:H,8,FALSE))</f>
        <v>22795</v>
      </c>
      <c r="P275" s="46">
        <f t="shared" ca="1" si="13"/>
        <v>1.5666666666679593E-4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input_614100!A$2</f>
        <v>614100</v>
      </c>
      <c r="B276" s="9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IFERROR(VLOOKUP(B276,input_614100!L:R,7,FALSE),VLOOKUP(tables_614100!C276,input_614100!A:H,8,FALSE))</f>
        <v>68385</v>
      </c>
      <c r="P276" s="46">
        <f t="shared" ca="1" si="13"/>
        <v>4.7000000000038775E-4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input_614100!A$2</f>
        <v>614100</v>
      </c>
      <c r="B277" s="9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IFERROR(VLOOKUP(B277,input_614100!L:R,7,FALSE),VLOOKUP(tables_614100!C277,input_614100!A:H,8,FALSE))</f>
        <v>22795</v>
      </c>
      <c r="P277" s="46">
        <f t="shared" ca="1" si="13"/>
        <v>1.5666666666679593E-4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input_614100!A$2</f>
        <v>614100</v>
      </c>
      <c r="B278" s="9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IFERROR(VLOOKUP(B278,input_614100!L:R,7,FALSE),VLOOKUP(tables_614100!C278,input_614100!A:H,8,FALSE))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input_614100!A$2</f>
        <v>614100</v>
      </c>
      <c r="B279" s="9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IFERROR(VLOOKUP(B279,input_614100!L:R,7,FALSE),VLOOKUP(tables_614100!C279,input_614100!A:H,8,FALSE))</f>
        <v>1012500</v>
      </c>
      <c r="P279" s="46">
        <f t="shared" ca="1" si="13"/>
        <v>6.9587628866036796E-3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input_614100!A$2</f>
        <v>614100</v>
      </c>
      <c r="B280" s="9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IFERROR(VLOOKUP(B280,input_614100!L:R,7,FALSE),VLOOKUP(tables_614100!C280,input_614100!A:H,8,FALSE))</f>
        <v>22738.557690000001</v>
      </c>
      <c r="P280" s="46">
        <f t="shared" ca="1" si="13"/>
        <v>1.5627874701043822E-4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input_614100!A$2</f>
        <v>614100</v>
      </c>
      <c r="B281" s="9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IFERROR(VLOOKUP(B281,input_614100!L:R,7,FALSE),VLOOKUP(tables_614100!C281,input_614100!A:H,8,FALSE))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input_614100!A$2</f>
        <v>614100</v>
      </c>
      <c r="B282" s="9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IFERROR(VLOOKUP(B282,input_614100!L:R,7,FALSE),VLOOKUP(tables_614100!C282,input_614100!A:H,8,FALSE))</f>
        <v>1012500</v>
      </c>
      <c r="P282" s="46">
        <f t="shared" ca="1" si="13"/>
        <v>6.9587628866036796E-3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input_614100!A$2</f>
        <v>614100</v>
      </c>
      <c r="B283" s="99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IFERROR(VLOOKUP(B283,input_614100!L:R,7,FALSE),VLOOKUP(tables_614100!C283,input_614100!A:H,8,FALSE))</f>
        <v>22738.557690000001</v>
      </c>
      <c r="P283" s="46">
        <f t="shared" ca="1" si="13"/>
        <v>1.5627874701043822E-4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input_614100!A$2</f>
        <v>614100</v>
      </c>
      <c r="B284" s="99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IFERROR(VLOOKUP(B284,input_614100!L:R,7,FALSE),VLOOKUP(tables_614100!C284,input_614100!A:H,8,FALSE))</f>
        <v>91180</v>
      </c>
      <c r="P284" s="46">
        <f t="shared" ca="1" si="13"/>
        <v>6.266666666671837E-4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input_614100!A$2</f>
        <v>614100</v>
      </c>
      <c r="B285" s="99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IFERROR(VLOOKUP(B285,input_614100!L:R,7,FALSE),VLOOKUP(tables_614100!C285,input_614100!A:H,8,FALSE))</f>
        <v>91180</v>
      </c>
      <c r="P285" s="46">
        <f t="shared" ca="1" si="13"/>
        <v>6.266666666671837E-4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input_614100!A$2</f>
        <v>614100</v>
      </c>
      <c r="B286" s="99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IFERROR(VLOOKUP(B286,input_614100!L:R,7,FALSE),VLOOKUP(tables_614100!C286,input_614100!A:H,8,FALSE))</f>
        <v>1319625</v>
      </c>
      <c r="P286" s="46">
        <f t="shared" ca="1" si="13"/>
        <v>9.0695876288734625E-3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input_614100!A$2</f>
        <v>614100</v>
      </c>
      <c r="B287" s="99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IFERROR(VLOOKUP(B287,input_614100!L:R,7,FALSE),VLOOKUP(tables_614100!C287,input_614100!A:H,8,FALSE))</f>
        <v>23625</v>
      </c>
      <c r="P287" s="46">
        <f t="shared" ca="1" si="13"/>
        <v>1.6237113402075252E-4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input_614100!A$2</f>
        <v>614100</v>
      </c>
      <c r="B288" s="99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IFERROR(VLOOKUP(B288,input_614100!L:R,7,FALSE),VLOOKUP(tables_614100!C288,input_614100!A:H,8,FALSE))</f>
        <v>1319625</v>
      </c>
      <c r="P288" s="46">
        <f t="shared" ca="1" si="13"/>
        <v>9.0695876288734625E-3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input_614100!A$2</f>
        <v>614100</v>
      </c>
      <c r="B289" s="99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IFERROR(VLOOKUP(B289,input_614100!L:R,7,FALSE),VLOOKUP(tables_614100!C289,input_614100!A:H,8,FALSE))</f>
        <v>23625</v>
      </c>
      <c r="P289" s="46">
        <f t="shared" ca="1" si="13"/>
        <v>1.6237113402075252E-4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input_614100!A$2</f>
        <v>614100</v>
      </c>
      <c r="B290" s="99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IFERROR(VLOOKUP(B290,input_614100!L:R,7,FALSE),VLOOKUP(tables_614100!C290,input_614100!A:H,8,FALSE))</f>
        <v>1319625</v>
      </c>
      <c r="P290" s="46">
        <f t="shared" ca="1" si="13"/>
        <v>9.0695876288734625E-3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input_614100!A$2</f>
        <v>614100</v>
      </c>
      <c r="B291" s="99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IFERROR(VLOOKUP(B291,input_614100!L:R,7,FALSE),VLOOKUP(tables_614100!C291,input_614100!A:H,8,FALSE))</f>
        <v>23625</v>
      </c>
      <c r="P291" s="46">
        <f t="shared" ca="1" si="13"/>
        <v>1.6237113402075252E-4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input_614100!A$2</f>
        <v>614100</v>
      </c>
      <c r="B292" s="99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IFERROR(VLOOKUP(B292,input_614100!L:R,7,FALSE),VLOOKUP(tables_614100!C292,input_614100!A:H,8,FALSE))</f>
        <v>1319625</v>
      </c>
      <c r="P292" s="46">
        <f t="shared" ca="1" si="13"/>
        <v>9.0695876288734625E-3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input_614100!A$2</f>
        <v>614100</v>
      </c>
      <c r="B293" s="99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IFERROR(VLOOKUP(B293,input_614100!L:R,7,FALSE),VLOOKUP(tables_614100!C293,input_614100!A:H,8,FALSE))</f>
        <v>23625</v>
      </c>
      <c r="P293" s="46">
        <f t="shared" ca="1" si="13"/>
        <v>1.6237113402075252E-4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input_614100!A$2</f>
        <v>614100</v>
      </c>
      <c r="B294" s="99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IFERROR(VLOOKUP(B294,input_614100!L:R,7,FALSE),VLOOKUP(tables_614100!C294,input_614100!A:H,8,FALSE))</f>
        <v>91180</v>
      </c>
      <c r="P294" s="46">
        <f t="shared" ca="1" si="13"/>
        <v>6.266666666671837E-4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input_614100!A$2</f>
        <v>614100</v>
      </c>
      <c r="B295" s="99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IFERROR(VLOOKUP(B295,input_614100!L:R,7,FALSE),VLOOKUP(tables_614100!C295,input_614100!A:H,8,FALSE))</f>
        <v>91180</v>
      </c>
      <c r="P295" s="46">
        <f t="shared" ca="1" si="13"/>
        <v>6.266666666671837E-4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input_614100!A$2</f>
        <v>614100</v>
      </c>
      <c r="B296" s="99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IFERROR(VLOOKUP(B296,input_614100!L:R,7,FALSE),VLOOKUP(tables_614100!C296,input_614100!A:H,8,FALSE))</f>
        <v>91180</v>
      </c>
      <c r="P296" s="46">
        <f t="shared" ca="1" si="13"/>
        <v>6.266666666671837E-4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input_614100!A$2</f>
        <v>614100</v>
      </c>
      <c r="B297" s="99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IFERROR(VLOOKUP(B297,input_614100!L:R,7,FALSE),VLOOKUP(tables_614100!C297,input_614100!A:H,8,FALSE))</f>
        <v>1319625</v>
      </c>
      <c r="P297" s="46">
        <f t="shared" ca="1" si="13"/>
        <v>9.0695876288734625E-3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input_614100!A$2</f>
        <v>614100</v>
      </c>
      <c r="B298" s="99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IFERROR(VLOOKUP(B298,input_614100!L:R,7,FALSE),VLOOKUP(tables_614100!C298,input_614100!A:H,8,FALSE))</f>
        <v>23625</v>
      </c>
      <c r="P298" s="46">
        <f t="shared" ca="1" si="13"/>
        <v>1.6237113402075252E-4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input_614100!A$2</f>
        <v>614100</v>
      </c>
      <c r="B299" s="99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IFERROR(VLOOKUP(B299,input_614100!L:R,7,FALSE),VLOOKUP(tables_614100!C299,input_614100!A:H,8,FALSE))</f>
        <v>91180</v>
      </c>
      <c r="P299" s="46">
        <f t="shared" ca="1" si="13"/>
        <v>6.266666666671837E-4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input_614100!A$2</f>
        <v>614100</v>
      </c>
      <c r="B300" s="99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IFERROR(VLOOKUP(B300,input_614100!L:R,7,FALSE),VLOOKUP(tables_614100!C300,input_614100!A:H,8,FALSE))</f>
        <v>91180</v>
      </c>
      <c r="P300" s="46">
        <f t="shared" ca="1" si="13"/>
        <v>6.266666666671837E-4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input_614100!A$2</f>
        <v>614100</v>
      </c>
      <c r="B301" s="99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IFERROR(VLOOKUP(B301,input_614100!L:R,7,FALSE),VLOOKUP(tables_614100!C301,input_614100!A:H,8,FALSE))</f>
        <v>91180</v>
      </c>
      <c r="P301" s="46">
        <f t="shared" ca="1" si="13"/>
        <v>6.266666666671837E-4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input_614100!A$2</f>
        <v>614100</v>
      </c>
      <c r="B302" s="99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IFERROR(VLOOKUP(B302,input_614100!L:R,7,FALSE),VLOOKUP(tables_614100!C302,input_614100!A:H,8,FALSE))</f>
        <v>91180</v>
      </c>
      <c r="P302" s="46">
        <f t="shared" ca="1" si="13"/>
        <v>6.266666666671837E-4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input_614100!A$2</f>
        <v>614100</v>
      </c>
      <c r="B303" s="99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IFERROR(VLOOKUP(B303,input_614100!L:R,7,FALSE),VLOOKUP(tables_614100!C303,input_614100!A:H,8,FALSE))</f>
        <v>1319625</v>
      </c>
      <c r="P303" s="46">
        <f t="shared" ca="1" si="13"/>
        <v>9.0695876288734625E-3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input_614100!A$2</f>
        <v>614100</v>
      </c>
      <c r="B304" s="99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IFERROR(VLOOKUP(B304,input_614100!L:R,7,FALSE),VLOOKUP(tables_614100!C304,input_614100!A:H,8,FALSE))</f>
        <v>23625</v>
      </c>
      <c r="P304" s="46">
        <f t="shared" ca="1" si="13"/>
        <v>1.6237113402075252E-4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input_614100!A$2</f>
        <v>614100</v>
      </c>
      <c r="B305" s="99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IFERROR(VLOOKUP(B305,input_614100!L:R,7,FALSE),VLOOKUP(tables_614100!C305,input_614100!A:H,8,FALSE))</f>
        <v>91180</v>
      </c>
      <c r="P305" s="46">
        <f t="shared" ca="1" si="13"/>
        <v>6.266666666671837E-4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input_614100!A$2</f>
        <v>614100</v>
      </c>
      <c r="B306" s="99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IFERROR(VLOOKUP(B306,input_614100!L:R,7,FALSE),VLOOKUP(tables_614100!C306,input_614100!A:H,8,FALSE))</f>
        <v>1319625</v>
      </c>
      <c r="P306" s="46">
        <f t="shared" ca="1" si="13"/>
        <v>9.0695876288734625E-3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input_614100!A$2</f>
        <v>614100</v>
      </c>
      <c r="B307" s="99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IFERROR(VLOOKUP(B307,input_614100!L:R,7,FALSE),VLOOKUP(tables_614100!C307,input_614100!A:H,8,FALSE))</f>
        <v>23625</v>
      </c>
      <c r="P307" s="46">
        <f t="shared" ca="1" si="13"/>
        <v>1.6237113402075252E-4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input_614100!A$2</f>
        <v>614100</v>
      </c>
      <c r="B308" s="99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IFERROR(VLOOKUP(B308,input_614100!L:R,7,FALSE),VLOOKUP(tables_614100!C308,input_614100!A:H,8,FALSE))</f>
        <v>91180</v>
      </c>
      <c r="P308" s="46">
        <f t="shared" ca="1" si="13"/>
        <v>6.266666666671837E-4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input_614100!A$2</f>
        <v>614100</v>
      </c>
      <c r="B309" s="99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IFERROR(VLOOKUP(B309,input_614100!L:R,7,FALSE),VLOOKUP(tables_614100!C309,input_614100!A:H,8,FALSE))</f>
        <v>91180</v>
      </c>
      <c r="P309" s="46">
        <f t="shared" ca="1" si="13"/>
        <v>6.266666666671837E-4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input_614100!A$2</f>
        <v>614100</v>
      </c>
      <c r="B310" s="99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IFERROR(VLOOKUP(B310,input_614100!L:R,7,FALSE),VLOOKUP(tables_614100!C310,input_614100!A:H,8,FALSE))</f>
        <v>91180</v>
      </c>
      <c r="P310" s="46">
        <f t="shared" ca="1" si="13"/>
        <v>6.266666666671837E-4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input_614100!A$2</f>
        <v>614100</v>
      </c>
      <c r="B311" s="99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IFERROR(VLOOKUP(B311,input_614100!L:R,7,FALSE),VLOOKUP(tables_614100!C311,input_614100!A:H,8,FALSE))</f>
        <v>1319625</v>
      </c>
      <c r="P311" s="46">
        <f t="shared" ca="1" si="13"/>
        <v>9.0695876288734625E-3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input_614100!A$2</f>
        <v>614100</v>
      </c>
      <c r="B312" s="99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IFERROR(VLOOKUP(B312,input_614100!L:R,7,FALSE),VLOOKUP(tables_614100!C312,input_614100!A:H,8,FALSE))</f>
        <v>23625</v>
      </c>
      <c r="P312" s="46">
        <f t="shared" ca="1" si="13"/>
        <v>1.6237113402075252E-4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input_614100!A$2</f>
        <v>614100</v>
      </c>
      <c r="B313" s="99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IFERROR(VLOOKUP(B313,input_614100!L:R,7,FALSE),VLOOKUP(tables_614100!C313,input_614100!A:H,8,FALSE))</f>
        <v>91180</v>
      </c>
      <c r="P313" s="46">
        <f t="shared" ca="1" si="13"/>
        <v>6.266666666671837E-4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input_614100!A$2</f>
        <v>614100</v>
      </c>
      <c r="B314" s="99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IFERROR(VLOOKUP(B314,input_614100!L:R,7,FALSE),VLOOKUP(tables_614100!C314,input_614100!A:H,8,FALSE))</f>
        <v>91180</v>
      </c>
      <c r="P314" s="46">
        <f t="shared" ca="1" si="13"/>
        <v>6.266666666671837E-4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input_614100!A$2</f>
        <v>614100</v>
      </c>
      <c r="B315" s="99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IFERROR(VLOOKUP(B315,input_614100!L:R,7,FALSE),VLOOKUP(tables_614100!C315,input_614100!A:H,8,FALSE))</f>
        <v>91180</v>
      </c>
      <c r="P315" s="46">
        <f t="shared" ca="1" si="13"/>
        <v>6.266666666671837E-4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input_614100!A$2</f>
        <v>614100</v>
      </c>
      <c r="B316" s="99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IFERROR(VLOOKUP(B316,input_614100!L:R,7,FALSE),VLOOKUP(tables_614100!C316,input_614100!A:H,8,FALSE))</f>
        <v>91180</v>
      </c>
      <c r="P316" s="46">
        <f t="shared" ca="1" si="13"/>
        <v>6.266666666671837E-4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input_614100!A$2</f>
        <v>614100</v>
      </c>
      <c r="B317" s="99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IFERROR(VLOOKUP(B317,input_614100!L:R,7,FALSE),VLOOKUP(tables_614100!C317,input_614100!A:H,8,FALSE))</f>
        <v>91180</v>
      </c>
      <c r="P317" s="46">
        <f t="shared" ca="1" si="13"/>
        <v>6.266666666671837E-4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input_614100!A$2</f>
        <v>614100</v>
      </c>
      <c r="B318" s="99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IFERROR(VLOOKUP(B318,input_614100!L:R,7,FALSE),VLOOKUP(tables_614100!C318,input_614100!A:H,8,FALSE))</f>
        <v>1319625</v>
      </c>
      <c r="P318" s="46">
        <f t="shared" ca="1" si="13"/>
        <v>9.0695876288734625E-3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input_614100!A$2</f>
        <v>614100</v>
      </c>
      <c r="B319" s="99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IFERROR(VLOOKUP(B319,input_614100!L:R,7,FALSE),VLOOKUP(tables_614100!C319,input_614100!A:H,8,FALSE))</f>
        <v>23625</v>
      </c>
      <c r="P319" s="46">
        <f t="shared" ca="1" si="13"/>
        <v>1.6237113402075252E-4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input_614100!A$2</f>
        <v>614100</v>
      </c>
      <c r="B320" s="99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IFERROR(VLOOKUP(B320,input_614100!L:R,7,FALSE),VLOOKUP(tables_614100!C320,input_614100!A:H,8,FALSE))</f>
        <v>91180</v>
      </c>
      <c r="P320" s="46">
        <f t="shared" ca="1" si="13"/>
        <v>6.266666666671837E-4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input_614100!A$2</f>
        <v>614100</v>
      </c>
      <c r="B321" s="99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IFERROR(VLOOKUP(B321,input_614100!L:R,7,FALSE),VLOOKUP(tables_614100!C321,input_614100!A:H,8,FALSE))</f>
        <v>91180</v>
      </c>
      <c r="P321" s="46">
        <f t="shared" ca="1" si="13"/>
        <v>6.266666666671837E-4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input_614100!A$2</f>
        <v>614100</v>
      </c>
      <c r="B322" s="99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IFERROR(VLOOKUP(B322,input_614100!L:R,7,FALSE),VLOOKUP(tables_614100!C322,input_614100!A:H,8,FALSE))</f>
        <v>91180</v>
      </c>
      <c r="P322" s="46">
        <f t="shared" ref="P322:P365" ca="1" si="26">O322/SUM(O:O)</f>
        <v>6.266666666671837E-4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input_614100!A$2</f>
        <v>614100</v>
      </c>
      <c r="B323" s="99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IFERROR(VLOOKUP(B323,input_614100!L:R,7,FALSE),VLOOKUP(tables_614100!C323,input_614100!A:H,8,FALSE))</f>
        <v>91180</v>
      </c>
      <c r="P323" s="46">
        <f t="shared" ca="1" si="26"/>
        <v>6.266666666671837E-4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input_614100!A$2</f>
        <v>614100</v>
      </c>
      <c r="B324" s="99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IFERROR(VLOOKUP(B324,input_614100!L:R,7,FALSE),VLOOKUP(tables_614100!C324,input_614100!A:H,8,FALSE))</f>
        <v>1319625</v>
      </c>
      <c r="P324" s="46">
        <f t="shared" ca="1" si="26"/>
        <v>9.0695876288734625E-3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input_614100!A$2</f>
        <v>614100</v>
      </c>
      <c r="B325" s="99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IFERROR(VLOOKUP(B325,input_614100!L:R,7,FALSE),VLOOKUP(tables_614100!C325,input_614100!A:H,8,FALSE))</f>
        <v>23625</v>
      </c>
      <c r="P325" s="46">
        <f t="shared" ca="1" si="26"/>
        <v>1.6237113402075252E-4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input_614100!A$2</f>
        <v>614100</v>
      </c>
      <c r="B326" s="99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IFERROR(VLOOKUP(B326,input_614100!L:R,7,FALSE),VLOOKUP(tables_614100!C326,input_614100!A:H,8,FALSE))</f>
        <v>1319625</v>
      </c>
      <c r="P326" s="46">
        <f t="shared" ca="1" si="26"/>
        <v>9.0695876288734625E-3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input_614100!A$2</f>
        <v>614100</v>
      </c>
      <c r="B327" s="99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IFERROR(VLOOKUP(B327,input_614100!L:R,7,FALSE),VLOOKUP(tables_614100!C327,input_614100!A:H,8,FALSE))</f>
        <v>23625</v>
      </c>
      <c r="P327" s="46">
        <f t="shared" ca="1" si="26"/>
        <v>1.6237113402075252E-4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input_614100!A$2</f>
        <v>614100</v>
      </c>
      <c r="B328" s="99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IFERROR(VLOOKUP(B328,input_614100!L:R,7,FALSE),VLOOKUP(tables_614100!C328,input_614100!A:H,8,FALSE))</f>
        <v>91180</v>
      </c>
      <c r="P328" s="46">
        <f t="shared" ca="1" si="26"/>
        <v>6.266666666671837E-4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input_614100!A$2</f>
        <v>614100</v>
      </c>
      <c r="B329" s="99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IFERROR(VLOOKUP(B329,input_614100!L:R,7,FALSE),VLOOKUP(tables_614100!C329,input_614100!A:H,8,FALSE))</f>
        <v>91180</v>
      </c>
      <c r="P329" s="46">
        <f t="shared" ca="1" si="26"/>
        <v>6.266666666671837E-4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input_614100!A$2</f>
        <v>614100</v>
      </c>
      <c r="B330" s="99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IFERROR(VLOOKUP(B330,input_614100!L:R,7,FALSE),VLOOKUP(tables_614100!C330,input_614100!A:H,8,FALSE))</f>
        <v>91180</v>
      </c>
      <c r="P330" s="46">
        <f t="shared" ca="1" si="26"/>
        <v>6.266666666671837E-4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input_614100!A$2</f>
        <v>614100</v>
      </c>
      <c r="B331" s="97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IFERROR(VLOOKUP(B331,input_614100!L:R,7,FALSE),VLOOKUP(tables_614100!C331,input_614100!A:H,8,FALSE))</f>
        <v>91180</v>
      </c>
      <c r="P331" s="46">
        <f t="shared" ca="1" si="26"/>
        <v>6.266666666671837E-4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input_614100!A$2</f>
        <v>614100</v>
      </c>
      <c r="B332" s="97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IFERROR(VLOOKUP(B332,input_614100!L:R,7,FALSE),VLOOKUP(tables_614100!C332,input_614100!A:H,8,FALSE))</f>
        <v>91180</v>
      </c>
      <c r="P332" s="46">
        <f t="shared" ca="1" si="26"/>
        <v>6.266666666671837E-4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input_614100!A$2</f>
        <v>614100</v>
      </c>
      <c r="B333" s="97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IFERROR(VLOOKUP(B333,input_614100!L:R,7,FALSE),VLOOKUP(tables_614100!C333,input_614100!A:H,8,FALSE))</f>
        <v>91180</v>
      </c>
      <c r="P333" s="46">
        <f t="shared" ca="1" si="26"/>
        <v>6.266666666671837E-4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input_614100!A$2</f>
        <v>614100</v>
      </c>
      <c r="B334" s="98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IFERROR(VLOOKUP(B334,input_614100!L:R,7,FALSE),VLOOKUP(tables_614100!C334,input_614100!A:H,8,FALSE))</f>
        <v>1319625</v>
      </c>
      <c r="P334" s="46">
        <f t="shared" ca="1" si="26"/>
        <v>9.0695876288734625E-3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input_614100!A$2</f>
        <v>614100</v>
      </c>
      <c r="B335" s="97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IFERROR(VLOOKUP(B335,input_614100!L:R,7,FALSE),VLOOKUP(tables_614100!C335,input_614100!A:H,8,FALSE))</f>
        <v>23625</v>
      </c>
      <c r="P335" s="46">
        <f t="shared" ca="1" si="26"/>
        <v>1.6237113402075252E-4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input_614100!A$2</f>
        <v>614100</v>
      </c>
      <c r="B336" s="99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IFERROR(VLOOKUP(B336,input_614100!L:R,7,FALSE),VLOOKUP(tables_614100!C336,input_614100!A:H,8,FALSE))</f>
        <v>1319625</v>
      </c>
      <c r="P336" s="46">
        <f t="shared" ca="1" si="26"/>
        <v>9.0695876288734625E-3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input_614100!A$2</f>
        <v>614100</v>
      </c>
      <c r="B337" s="99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IFERROR(VLOOKUP(B337,input_614100!L:R,7,FALSE),VLOOKUP(tables_614100!C337,input_614100!A:H,8,FALSE))</f>
        <v>23625</v>
      </c>
      <c r="P337" s="46">
        <f t="shared" ca="1" si="26"/>
        <v>1.6237113402075252E-4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input_614100!A$2</f>
        <v>614100</v>
      </c>
      <c r="B338" s="99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IFERROR(VLOOKUP(B338,input_614100!L:R,7,FALSE),VLOOKUP(tables_614100!C338,input_614100!A:H,8,FALSE))</f>
        <v>91180</v>
      </c>
      <c r="P338" s="46">
        <f t="shared" ca="1" si="26"/>
        <v>6.266666666671837E-4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input_614100!A$2</f>
        <v>614100</v>
      </c>
      <c r="B339" s="99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IFERROR(VLOOKUP(B339,input_614100!L:R,7,FALSE),VLOOKUP(tables_614100!C339,input_614100!A:H,8,FALSE))</f>
        <v>91180</v>
      </c>
      <c r="P339" s="46">
        <f t="shared" ca="1" si="26"/>
        <v>6.266666666671837E-4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input_614100!A$2</f>
        <v>614100</v>
      </c>
      <c r="B340" s="99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IFERROR(VLOOKUP(B340,input_614100!L:R,7,FALSE),VLOOKUP(tables_614100!C340,input_614100!A:H,8,FALSE))</f>
        <v>91180</v>
      </c>
      <c r="P340" s="46">
        <f t="shared" ca="1" si="26"/>
        <v>6.266666666671837E-4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input_614100!A$2</f>
        <v>614100</v>
      </c>
      <c r="B341" s="99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IFERROR(VLOOKUP(B341,input_614100!L:R,7,FALSE),VLOOKUP(tables_614100!C341,input_614100!A:H,8,FALSE))</f>
        <v>91180</v>
      </c>
      <c r="P341" s="46">
        <f t="shared" ca="1" si="26"/>
        <v>6.266666666671837E-4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input_614100!A$2</f>
        <v>614100</v>
      </c>
      <c r="B342" s="99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IFERROR(VLOOKUP(B342,input_614100!L:R,7,FALSE),VLOOKUP(tables_614100!C342,input_614100!A:H,8,FALSE))</f>
        <v>91180</v>
      </c>
      <c r="P342" s="46">
        <f t="shared" ca="1" si="26"/>
        <v>6.266666666671837E-4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input_614100!A$2</f>
        <v>614100</v>
      </c>
      <c r="B343" s="99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IFERROR(VLOOKUP(B343,input_614100!L:R,7,FALSE),VLOOKUP(tables_614100!C343,input_614100!A:H,8,FALSE))</f>
        <v>1319625</v>
      </c>
      <c r="P343" s="46">
        <f t="shared" ca="1" si="26"/>
        <v>9.0695876288734625E-3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input_614100!A$2</f>
        <v>614100</v>
      </c>
      <c r="B344" s="99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IFERROR(VLOOKUP(B344,input_614100!L:R,7,FALSE),VLOOKUP(tables_614100!C344,input_614100!A:H,8,FALSE))</f>
        <v>23625</v>
      </c>
      <c r="P344" s="46">
        <f t="shared" ca="1" si="26"/>
        <v>1.6237113402075252E-4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input_614100!A$2</f>
        <v>614100</v>
      </c>
      <c r="B345" s="99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IFERROR(VLOOKUP(B345,input_614100!L:R,7,FALSE),VLOOKUP(tables_614100!C345,input_614100!A:H,8,FALSE))</f>
        <v>91180</v>
      </c>
      <c r="P345" s="46">
        <f t="shared" ca="1" si="26"/>
        <v>6.266666666671837E-4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input_614100!A$2</f>
        <v>614100</v>
      </c>
      <c r="B346" s="99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IFERROR(VLOOKUP(B346,input_614100!L:R,7,FALSE),VLOOKUP(tables_614100!C346,input_614100!A:H,8,FALSE))</f>
        <v>91180</v>
      </c>
      <c r="P346" s="46">
        <f t="shared" ca="1" si="26"/>
        <v>6.266666666671837E-4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input_614100!A$2</f>
        <v>614100</v>
      </c>
      <c r="B347" s="99">
        <v>1262</v>
      </c>
      <c r="C347" s="7" t="str">
        <f t="shared" ref="C347" si="35">D347&amp;J347&amp;E347&amp;F347&amp;G347</f>
        <v>PremiumSS5R5only</v>
      </c>
      <c r="D347" s="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IFERROR(VLOOKUP(B347,input_614100!L:R,7,FALSE),VLOOKUP(tables_614100!C347,input_614100!A:H,8,FALSE))</f>
        <v>91180</v>
      </c>
      <c r="P347" s="46">
        <f t="shared" ca="1" si="26"/>
        <v>6.266666666671837E-4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input_614100!A$2</f>
        <v>614100</v>
      </c>
      <c r="B348" s="99">
        <v>1264</v>
      </c>
      <c r="C348" s="7" t="str">
        <f t="shared" ref="C348:C357" si="37">D348&amp;J348&amp;E348&amp;F348&amp;G348</f>
        <v>PremiumSS5R5only</v>
      </c>
      <c r="D348" s="7" t="str">
        <f t="shared" ref="D348:D357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IFERROR(VLOOKUP(B348,input_614100!L:R,7,FALSE),VLOOKUP(tables_614100!C348,input_614100!A:H,8,FALSE))</f>
        <v>91180</v>
      </c>
      <c r="P348" s="46">
        <f t="shared" ca="1" si="26"/>
        <v>6.266666666671837E-4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input_614100!A$2</f>
        <v>614100</v>
      </c>
      <c r="B349" s="99">
        <v>1266</v>
      </c>
      <c r="C349" s="7" t="str">
        <f t="shared" si="37"/>
        <v>Premium4R3less</v>
      </c>
      <c r="D349" s="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IFERROR(VLOOKUP(B349,input_614100!L:R,7,FALSE),VLOOKUP(tables_614100!C349,input_614100!A:H,8,FALSE))</f>
        <v>1319625</v>
      </c>
      <c r="P349" s="46">
        <f t="shared" ca="1" si="26"/>
        <v>9.0695876288734625E-3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input_614100!A$2</f>
        <v>614100</v>
      </c>
      <c r="B350" s="99">
        <v>1267</v>
      </c>
      <c r="C350" s="7" t="str">
        <f t="shared" si="37"/>
        <v>Premium5R3less</v>
      </c>
      <c r="D350" s="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IFERROR(VLOOKUP(B350,input_614100!L:R,7,FALSE),VLOOKUP(tables_614100!C350,input_614100!A:H,8,FALSE))</f>
        <v>23625</v>
      </c>
      <c r="P350" s="46">
        <f t="shared" ca="1" si="26"/>
        <v>1.6237113402075252E-4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input_614100!A$2</f>
        <v>614100</v>
      </c>
      <c r="B351" s="99">
        <v>1332</v>
      </c>
      <c r="C351" s="7" t="str">
        <f t="shared" si="37"/>
        <v>PremiumSS5R5only</v>
      </c>
      <c r="D351" s="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IFERROR(VLOOKUP(B351,input_614100!L:R,7,FALSE),VLOOKUP(tables_614100!C351,input_614100!A:H,8,FALSE))</f>
        <v>91180</v>
      </c>
      <c r="P351" s="46">
        <f t="shared" ca="1" si="26"/>
        <v>6.266666666671837E-4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input_614100!A$2</f>
        <v>614100</v>
      </c>
      <c r="B352" s="99">
        <v>1336</v>
      </c>
      <c r="C352" s="7" t="str">
        <f t="shared" si="37"/>
        <v>PremiumSS5R5only</v>
      </c>
      <c r="D352" s="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IFERROR(VLOOKUP(B352,input_614100!L:R,7,FALSE),VLOOKUP(tables_614100!C352,input_614100!A:H,8,FALSE))</f>
        <v>91180</v>
      </c>
      <c r="P352" s="46">
        <f t="shared" ca="1" si="26"/>
        <v>6.266666666671837E-4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input_614100!A$2</f>
        <v>614100</v>
      </c>
      <c r="B353" s="99">
        <v>1338</v>
      </c>
      <c r="C353" s="7" t="str">
        <f t="shared" si="37"/>
        <v>PremiumSS5R5only</v>
      </c>
      <c r="D353" s="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IFERROR(VLOOKUP(B353,input_614100!L:R,7,FALSE),VLOOKUP(tables_614100!C353,input_614100!A:H,8,FALSE))</f>
        <v>91180</v>
      </c>
      <c r="P353" s="46">
        <f t="shared" ca="1" si="26"/>
        <v>6.266666666671837E-4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input_614100!A$2</f>
        <v>614100</v>
      </c>
      <c r="B354" s="99">
        <v>1334</v>
      </c>
      <c r="C354" s="7" t="str">
        <f t="shared" si="37"/>
        <v>Premium4R3less</v>
      </c>
      <c r="D354" s="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IFERROR(VLOOKUP(B354,input_614100!L:R,7,FALSE),VLOOKUP(tables_614100!C354,input_614100!A:H,8,FALSE))</f>
        <v>1319625</v>
      </c>
      <c r="P354" s="46">
        <f t="shared" ca="1" si="26"/>
        <v>9.0695876288734625E-3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input_614100!A$2</f>
        <v>614100</v>
      </c>
      <c r="B355" s="99">
        <v>1335</v>
      </c>
      <c r="C355" s="7" t="str">
        <f t="shared" si="37"/>
        <v>Premium5R3less</v>
      </c>
      <c r="D355" s="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IFERROR(VLOOKUP(B355,input_614100!L:R,7,FALSE),VLOOKUP(tables_614100!C355,input_614100!A:H,8,FALSE))</f>
        <v>23625</v>
      </c>
      <c r="P355" s="46">
        <f t="shared" ca="1" si="26"/>
        <v>1.6237113402075252E-4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input_614100!A$2</f>
        <v>614100</v>
      </c>
      <c r="B356" s="100">
        <v>1381</v>
      </c>
      <c r="C356" s="7" t="str">
        <f t="shared" si="37"/>
        <v>Premium4R3less</v>
      </c>
      <c r="D356" s="7" t="str">
        <f t="shared" si="3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IFERROR(VLOOKUP(B356,input_614100!L:R,7,FALSE),VLOOKUP(tables_614100!C356,input_614100!A:H,8,FALSE))</f>
        <v>1319625</v>
      </c>
      <c r="P356" s="46">
        <f t="shared" ca="1" si="26"/>
        <v>9.0695876288734625E-3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input_614100!A$2</f>
        <v>614100</v>
      </c>
      <c r="B357" s="100">
        <v>1382</v>
      </c>
      <c r="C357" s="7" t="str">
        <f t="shared" si="37"/>
        <v>Premium5R3less</v>
      </c>
      <c r="D357" s="7" t="str">
        <f t="shared" si="38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IFERROR(VLOOKUP(B357,input_614100!L:R,7,FALSE),VLOOKUP(tables_614100!C357,input_614100!A:H,8,FALSE))</f>
        <v>23625</v>
      </c>
      <c r="P357" s="46">
        <f t="shared" ca="1" si="26"/>
        <v>1.6237113402075252E-4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input_614100!A$2</f>
        <v>614100</v>
      </c>
      <c r="B358" s="100">
        <v>1383</v>
      </c>
      <c r="C358" s="7" t="str">
        <f t="shared" ref="C358" si="39">D358&amp;J358&amp;E358&amp;F358&amp;G358</f>
        <v>PremiumSS5R5only</v>
      </c>
      <c r="D358" s="7" t="str">
        <f t="shared" ref="D358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IFERROR(VLOOKUP(B358,input_614100!L:R,7,FALSE),VLOOKUP(tables_614100!C358,input_614100!A:H,8,FALSE))</f>
        <v>91180</v>
      </c>
      <c r="P358" s="46">
        <f t="shared" ca="1" si="26"/>
        <v>6.266666666671837E-4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input_614100!A$2</f>
        <v>614100</v>
      </c>
      <c r="B359" s="100">
        <v>1385</v>
      </c>
      <c r="C359" s="7" t="str">
        <f t="shared" ref="C359:C361" si="41">D359&amp;J359&amp;E359&amp;F359&amp;G359</f>
        <v>PremiumSS5R5only</v>
      </c>
      <c r="D359" s="7" t="str">
        <f t="shared" ref="D359:D361" si="42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IFERROR(VLOOKUP(B359,input_614100!L:R,7,FALSE),VLOOKUP(tables_614100!C359,input_614100!A:H,8,FALSE))</f>
        <v>91180</v>
      </c>
      <c r="P359" s="46">
        <f t="shared" ca="1" si="26"/>
        <v>6.266666666671837E-4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input_614100!A$2</f>
        <v>614100</v>
      </c>
      <c r="B360" s="100">
        <v>1387</v>
      </c>
      <c r="C360" s="7" t="str">
        <f t="shared" si="41"/>
        <v>PremiumSS5R5only</v>
      </c>
      <c r="D360" s="7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IFERROR(VLOOKUP(B360,input_614100!L:R,7,FALSE),VLOOKUP(tables_614100!C360,input_614100!A:H,8,FALSE))</f>
        <v>91180</v>
      </c>
      <c r="P360" s="46">
        <f t="shared" ca="1" si="26"/>
        <v>6.266666666671837E-4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input_614100!A$2</f>
        <v>614100</v>
      </c>
      <c r="B361" s="5">
        <v>1703</v>
      </c>
      <c r="C361" s="7" t="str">
        <f t="shared" si="41"/>
        <v>PremiumSS6R5only</v>
      </c>
      <c r="D361" s="7" t="str">
        <f t="shared" si="42"/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リリィ</v>
      </c>
      <c r="I361" s="7" t="str">
        <f>VLOOKUP(B361,[1]characters!$A:$J,10,FALSE)</f>
        <v>PremiumSSw</v>
      </c>
      <c r="J361" s="7">
        <f>VLOOKUP(B361,[1]characters!$A:$I,9,FALSE)</f>
        <v>6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不明</v>
      </c>
      <c r="O361" s="45">
        <f>IFERROR(VLOOKUP(B361,input_614100!L:R,7,FALSE),VLOOKUP(tables_614100!C361,input_614100!A:H,8,FALSE))</f>
        <v>1891500</v>
      </c>
      <c r="P361" s="46">
        <f t="shared" ca="1" si="26"/>
        <v>1.3000000000010725E-2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5">
        <v>5</v>
      </c>
    </row>
    <row r="362" spans="1:22" ht="21" customHeight="1" x14ac:dyDescent="0.15">
      <c r="A362" s="2" t="str">
        <f ca="1">input_614100!A$2</f>
        <v>614100</v>
      </c>
      <c r="B362" s="105">
        <v>1705</v>
      </c>
      <c r="C362" s="7" t="str">
        <f t="shared" ref="C362" si="43">D362&amp;J362&amp;E362&amp;F362&amp;G362</f>
        <v>PremiumSS6R5only</v>
      </c>
      <c r="D362" s="7" t="str">
        <f t="shared" ref="D362" si="44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白雪姫</v>
      </c>
      <c r="I362" s="7" t="str">
        <f>VLOOKUP(B362,[1]characters!$A:$J,10,FALSE)</f>
        <v>PremiumSS</v>
      </c>
      <c r="J362" s="7">
        <f>VLOOKUP(B362,[1]characters!$A:$I,9,FALSE)</f>
        <v>6</v>
      </c>
      <c r="K362" s="7" t="str">
        <f>VLOOKUP(B362,[1]characters!$A:$H,8,FALSE)</f>
        <v>red</v>
      </c>
      <c r="L362" s="7" t="str">
        <f>VLOOKUP(B362,[1]characters!$A:$K,11,FALSE)</f>
        <v>heal</v>
      </c>
      <c r="M362" s="7" t="str">
        <f>VLOOKUP(B362,[1]characters!$A:$M,13,FALSE)</f>
        <v>human</v>
      </c>
      <c r="N362" s="7">
        <f>VLOOKUP(B362,[1]characters!$A:$G,7,FALSE)</f>
        <v>0</v>
      </c>
      <c r="O362" s="45">
        <f>IFERROR(VLOOKUP(B362,input_614100!L:R,7,FALSE),VLOOKUP(tables_614100!C362,input_614100!A:H,8,FALSE))</f>
        <v>2910000</v>
      </c>
      <c r="P362" s="46">
        <f t="shared" ca="1" si="26"/>
        <v>2.0000000000016501E-2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5">
        <v>5</v>
      </c>
    </row>
    <row r="363" spans="1:22" ht="21" customHeight="1" x14ac:dyDescent="0.15">
      <c r="A363" s="2" t="str">
        <f ca="1">input_614100!A$2</f>
        <v>614100</v>
      </c>
      <c r="B363" s="105">
        <v>1707</v>
      </c>
      <c r="C363" s="7" t="str">
        <f t="shared" ref="C363:C365" si="45">D363&amp;J363&amp;E363&amp;F363&amp;G363</f>
        <v>PremiumSS6R5only</v>
      </c>
      <c r="D363" s="7" t="str">
        <f t="shared" ref="D363:D365" si="46">IF(OR(I363="PremiumSS",I363="PremiumSSw"),"PremiumSS",IF(I363="PremiumSSS",I363,IF(I363="PremiumW",IF(J363=5,"premium",I363),"Premium")))</f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バステト</v>
      </c>
      <c r="I363" s="7" t="str">
        <f>VLOOKUP(B363,[1]characters!$A:$J,10,FALSE)</f>
        <v>PremiumSS</v>
      </c>
      <c r="J363" s="7">
        <f>VLOOKUP(B363,[1]characters!$A:$I,9,FALSE)</f>
        <v>6</v>
      </c>
      <c r="K363" s="7" t="str">
        <f>VLOOKUP(B363,[1]characters!$A:$H,8,FALSE)</f>
        <v>green</v>
      </c>
      <c r="L363" s="7" t="str">
        <f>VLOOKUP(B363,[1]characters!$A:$K,11,FALSE)</f>
        <v>attack</v>
      </c>
      <c r="M363" s="7" t="str">
        <f>VLOOKUP(B363,[1]characters!$A:$M,13,FALSE)</f>
        <v>animal</v>
      </c>
      <c r="N363" s="7">
        <f>VLOOKUP(B363,[1]characters!$A:$G,7,FALSE)</f>
        <v>0</v>
      </c>
      <c r="O363" s="45">
        <f>IFERROR(VLOOKUP(B363,input_614100!L:R,7,FALSE),VLOOKUP(tables_614100!C363,input_614100!A:H,8,FALSE))</f>
        <v>2910000</v>
      </c>
      <c r="P363" s="46">
        <f t="shared" ca="1" si="26"/>
        <v>2.0000000000016501E-2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5">
        <v>5</v>
      </c>
    </row>
    <row r="364" spans="1:22" ht="21" customHeight="1" x14ac:dyDescent="0.15">
      <c r="A364" s="2" t="str">
        <f ca="1">input_614100!A$2</f>
        <v>614100</v>
      </c>
      <c r="B364" s="5">
        <v>1713</v>
      </c>
      <c r="C364" s="7" t="str">
        <f t="shared" si="45"/>
        <v>Premium5R3less</v>
      </c>
      <c r="D364" s="7" t="str">
        <f t="shared" si="46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ジークフリート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red</v>
      </c>
      <c r="L364" s="7" t="str">
        <f>VLOOKUP(B364,[1]characters!$A:$K,11,FALSE)</f>
        <v>balance</v>
      </c>
      <c r="M364" s="7" t="str">
        <f>VLOOKUP(B364,[1]characters!$A:$M,13,FALSE)</f>
        <v>human</v>
      </c>
      <c r="N364" s="7" t="str">
        <f>VLOOKUP(B364,[1]characters!$A:$G,7,FALSE)</f>
        <v>不明</v>
      </c>
      <c r="O364" s="45">
        <f>IFERROR(VLOOKUP(B364,input_614100!L:R,7,FALSE),VLOOKUP(tables_614100!C364,input_614100!A:H,8,FALSE))</f>
        <v>10912500</v>
      </c>
      <c r="P364" s="46">
        <f t="shared" ca="1" si="26"/>
        <v>7.5000000000061878E-2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05">
        <v>5</v>
      </c>
    </row>
    <row r="365" spans="1:22" ht="21" customHeight="1" x14ac:dyDescent="0.15">
      <c r="A365" s="2" t="str">
        <f ca="1">input_614100!A$2</f>
        <v>614100</v>
      </c>
      <c r="B365" s="5">
        <v>1715</v>
      </c>
      <c r="C365" s="7" t="str">
        <f t="shared" si="45"/>
        <v>Premium5R3less</v>
      </c>
      <c r="D365" s="7" t="str">
        <f t="shared" si="46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アマラ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blue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5">
        <f>IFERROR(VLOOKUP(B365,input_614100!L:R,7,FALSE),VLOOKUP(tables_614100!C365,input_614100!A:H,8,FALSE))</f>
        <v>10912500</v>
      </c>
      <c r="P365" s="46">
        <f t="shared" ca="1" si="26"/>
        <v>7.5000000000061878E-2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05">
        <v>5</v>
      </c>
    </row>
  </sheetData>
  <autoFilter ref="A1:V36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1"/>
  <sheetViews>
    <sheetView workbookViewId="0">
      <selection activeCell="L3" sqref="L3:L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1703</v>
      </c>
      <c r="M3" s="37" t="str">
        <f>VLOOKUP(L3,[1]characters!$A:$C,3,FALSE)</f>
        <v>リリィ</v>
      </c>
      <c r="N3" s="63">
        <v>1.2999999999999999E-2</v>
      </c>
      <c r="O3" s="37">
        <f>VLOOKUP(L3,[1]characters!$A:$I,9,FALSE)</f>
        <v>6</v>
      </c>
      <c r="P3" s="37" t="str">
        <f>VLOOKUP(L3,[1]characters!$A:$J,10,FALSE)</f>
        <v>PremiumSSw</v>
      </c>
      <c r="Q3" s="37" t="str">
        <f>VLOOKUP(L3,tables_settle_614100!B:C,2,FALSE)</f>
        <v>PremiumSS6R5only</v>
      </c>
      <c r="R3" s="62">
        <f t="shared" ref="R3:R20" si="1">N3*A$37</f>
        <v>1891500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5">
        <v>1705</v>
      </c>
      <c r="M4" s="37" t="str">
        <f>VLOOKUP(L4,[1]characters!$A:$C,3,FALSE)</f>
        <v>白雪姫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VLOOKUP(L4,tables_settle_614100!B:C,2,FALSE)</f>
        <v>PremiumSS6R5only</v>
      </c>
      <c r="R4" s="62">
        <f t="shared" si="1"/>
        <v>2910000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6.2666666666666676E-4</v>
      </c>
      <c r="F5">
        <f>(COUNTIF(tables_settle_614100!C:C,input_settle_614100!A28)+COUNTIF(tables_settle_614100!C:C,input_settle_614100!A29))</f>
        <v>75</v>
      </c>
      <c r="H5" s="83">
        <v>5.2999999999999999E-2</v>
      </c>
      <c r="I5" s="31">
        <v>0</v>
      </c>
      <c r="L5" s="105">
        <v>1707</v>
      </c>
      <c r="M5" s="37" t="str">
        <f>VLOOKUP(L5,[1]characters!$A:$C,3,FALSE)</f>
        <v>バステト</v>
      </c>
      <c r="N5" s="63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VLOOKUP(L5,tables_settle_614100!B:C,2,FALSE)</f>
        <v>PremiumSS6R5only</v>
      </c>
      <c r="R5" s="62">
        <f t="shared" si="1"/>
        <v>2910000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9.2783505154639175E-3</v>
      </c>
      <c r="F6">
        <f>(COUNTIF(tables_settle_614100!C:C,input_settle_614100!A25)+COUNTIF(tables_settle_614100!C:C,input_settle_614100!A18)+COUNTIF(tables_settle_614100!C:C,input_settle_614100!A20)+COUNTIF(tables_settle_614100!C:C,input_settle_614100!A22))</f>
        <v>97</v>
      </c>
      <c r="H6" s="88">
        <v>0</v>
      </c>
      <c r="I6" s="31">
        <v>0</v>
      </c>
      <c r="L6" s="5">
        <v>1713</v>
      </c>
      <c r="M6" s="37" t="str">
        <f>VLOOKUP(L6,[1]characters!$A:$C,3,FALSE)</f>
        <v>ジークフリート</v>
      </c>
      <c r="N6" s="63">
        <v>7.4999999999999997E-2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VLOOKUP(L6,tables_settle_614100!B:C,2,FALSE)</f>
        <v>Premium5R3less</v>
      </c>
      <c r="R6" s="62">
        <f t="shared" si="1"/>
        <v>10912500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5">
        <v>1715</v>
      </c>
      <c r="M7" s="37" t="str">
        <f>VLOOKUP(L7,[1]characters!$A:$C,3,FALSE)</f>
        <v>アマラ</v>
      </c>
      <c r="N7" s="63">
        <v>7.4999999999999997E-2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VLOOKUP(L7,tables_settle_614100!B:C,2,FALSE)</f>
        <v>Premium5R3less</v>
      </c>
      <c r="R7" s="62">
        <f t="shared" si="1"/>
        <v>10912500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VLOOKUP(L8,tables_settle_614100!B:C,2,FALSE)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0.15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VLOOKUP(L9,tables_settle_614100!B:C,2,FALSE)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VLOOKUP(L10,tables_settle_614100!B:C,2,FALSE)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VLOOKUP(L11,tables_settle_614100!B:C,2,FALSE)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VLOOKUP(L12,tables_settle_614100!B:C,2,FALSE)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VLOOKUP(L13,tables_settle_614100!B:C,2,FALSE)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VLOOKUP(L14,tables_settle_614100!B:C,2,FALSE)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VLOOKUP(L15,tables_settle_614100!B:C,2,FALSE)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VLOOKUP(L16,tables_settle_614100!B:C,2,FALSE)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2" si="2">SUMIF(Q:Q,A17,N:N)</f>
        <v>0</v>
      </c>
      <c r="D17" s="74">
        <f t="shared" ref="D17:D33" si="3">B17-C17</f>
        <v>0</v>
      </c>
      <c r="E17">
        <f>COUNTIF(tables_settle_614100!C:C,input_settle_614100!A17)-COUNTIF(Q:Q,A17)</f>
        <v>20</v>
      </c>
      <c r="F17" s="43">
        <f>IFERROR(B17/E17,0)</f>
        <v>0</v>
      </c>
      <c r="G17">
        <f t="shared" ref="G17:G32" si="4">A$37*B17</f>
        <v>0</v>
      </c>
      <c r="H17">
        <f t="shared" ref="H17:H32" si="5">IFERROR(ROUND(G17/E17,5),0)</f>
        <v>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VLOOKUP(L17,tables_settle_614100!B:C,2,FALSE)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4">
        <f t="shared" si="2"/>
        <v>0</v>
      </c>
      <c r="D18" s="74">
        <f t="shared" si="3"/>
        <v>0</v>
      </c>
      <c r="E18">
        <f>COUNTIF(tables_settle_614100!C:C,input_settle_614100!A18)-COUNTIF(Q:Q,A18)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VLOOKUP(L18,tables_settle_614100!B:C,2,FALSE)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COUNTIF(tables_settle_614100!C:C,input_settle_614100!A19)-COUNTIF(Q:Q,A19)</f>
        <v>52</v>
      </c>
      <c r="F19" s="43">
        <f t="shared" ref="F19:F32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VLOOKUP(L19,tables_settle_614100!B:C,2,FALSE)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</v>
      </c>
      <c r="C20" s="84">
        <f t="shared" si="2"/>
        <v>0</v>
      </c>
      <c r="D20" s="74">
        <f t="shared" si="3"/>
        <v>0</v>
      </c>
      <c r="E20">
        <f>COUNTIF(tables_settle_614100!C:C,input_settle_614100!A20)-COUNTIF(Q:Q,A20)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VLOOKUP(L20,tables_settle_614100!B:C,2,FALSE)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B7-B23-B26-B28-B29-B32-C23-C30</f>
        <v>0.46237113402061852</v>
      </c>
      <c r="C21" s="84">
        <f t="shared" si="2"/>
        <v>0</v>
      </c>
      <c r="D21" s="74">
        <f t="shared" si="3"/>
        <v>0.46237113402061852</v>
      </c>
      <c r="E21">
        <f>COUNTIF(tables_settle_614100!C:C,input_settle_614100!A21)-COUNTIF(Q:Q,A21)</f>
        <v>52</v>
      </c>
      <c r="F21" s="43">
        <f t="shared" si="8"/>
        <v>8.8917525773195873E-3</v>
      </c>
      <c r="G21">
        <f t="shared" si="4"/>
        <v>67275000</v>
      </c>
      <c r="H21">
        <f t="shared" si="5"/>
        <v>1293750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COUNTIF(tables_settle_614100!C:C,input_settle_614100!A22)-COUNTIF(Q:Q,A22)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0.25051546391752577</v>
      </c>
      <c r="C23" s="84">
        <f t="shared" si="2"/>
        <v>0.15</v>
      </c>
      <c r="D23" s="74">
        <f t="shared" si="3"/>
        <v>0.10051546391752578</v>
      </c>
      <c r="E23">
        <f>COUNTIF(tables_settle_614100!C:C,input_settle_614100!A23)-COUNTIF(Q:Q,A23)</f>
        <v>27</v>
      </c>
      <c r="F23" s="43">
        <f t="shared" si="8"/>
        <v>9.2783505154639175E-3</v>
      </c>
      <c r="G23">
        <f t="shared" si="4"/>
        <v>36450000</v>
      </c>
      <c r="H23">
        <f t="shared" si="5"/>
        <v>1350000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COUNTIF(tables_settle_614100!C:C,input_settle_614100!A24)-COUNTIF(Q:Q,A24)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COUNTIF(tables_settle_614100!C:C,input_settle_614100!A25)-COUNTIF(Q:Q,A25)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3.711340206185567E-2</v>
      </c>
      <c r="C26" s="84">
        <f t="shared" si="2"/>
        <v>0</v>
      </c>
      <c r="D26" s="74">
        <f t="shared" si="3"/>
        <v>3.711340206185567E-2</v>
      </c>
      <c r="E26">
        <f>COUNTIF(tables_settle_614100!C:C,input_settle_614100!A26)-COUNTIF(Q:Q,A26)</f>
        <v>4</v>
      </c>
      <c r="F26" s="43">
        <f t="shared" si="8"/>
        <v>9.2783505154639175E-3</v>
      </c>
      <c r="G26">
        <f t="shared" si="4"/>
        <v>5400000</v>
      </c>
      <c r="H26">
        <f t="shared" si="5"/>
        <v>1350000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COUNTIF(tables_settle_614100!C:C,input_settle_614100!A27)-COUNTIF(Q:Q,A27)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1.7546666666666669E-2</v>
      </c>
      <c r="C28" s="84">
        <f t="shared" si="2"/>
        <v>0</v>
      </c>
      <c r="D28" s="74">
        <f t="shared" si="3"/>
        <v>1.7546666666666669E-2</v>
      </c>
      <c r="E28">
        <f>COUNTIF(tables_settle_614100!C:C,input_settle_614100!A28)-COUNTIF(Q:Q,A28)</f>
        <v>28</v>
      </c>
      <c r="F28" s="43">
        <f t="shared" si="8"/>
        <v>6.2666666666666676E-4</v>
      </c>
      <c r="G28">
        <f t="shared" si="4"/>
        <v>2553040.0000000005</v>
      </c>
      <c r="H28">
        <f t="shared" si="5"/>
        <v>91180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2.9453333333333338E-2</v>
      </c>
      <c r="C29" s="84">
        <f t="shared" si="2"/>
        <v>0</v>
      </c>
      <c r="D29" s="74">
        <f t="shared" si="3"/>
        <v>2.9453333333333338E-2</v>
      </c>
      <c r="E29">
        <f>COUNTIF(tables_settle_614100!C:C,input_settle_614100!A29)-COUNTIF(Q:Q,A29)</f>
        <v>47</v>
      </c>
      <c r="F29" s="43">
        <f t="shared" si="8"/>
        <v>6.2666666666666676E-4</v>
      </c>
      <c r="G29">
        <f t="shared" si="4"/>
        <v>4285460.0000000009</v>
      </c>
      <c r="H29">
        <f t="shared" si="5"/>
        <v>91180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255</v>
      </c>
      <c r="B30" s="56">
        <f>E$5*E30</f>
        <v>0</v>
      </c>
      <c r="C30" s="84">
        <f t="shared" si="2"/>
        <v>5.3000000000000005E-2</v>
      </c>
      <c r="D30" s="74">
        <f t="shared" ref="D30" si="9">B30-C30</f>
        <v>-5.3000000000000005E-2</v>
      </c>
      <c r="E30">
        <f>COUNTIF(tables_settle_614100!C:C,input_settle_614100!A30)-COUNTIF(Q:Q,A30)</f>
        <v>0</v>
      </c>
      <c r="F30" s="43">
        <f t="shared" ref="F30" si="10">IFERROR(B30/E30,0)</f>
        <v>0</v>
      </c>
      <c r="G30">
        <f t="shared" ref="G30" si="11">A$37*B30</f>
        <v>0</v>
      </c>
      <c r="H30">
        <f t="shared" ref="H30" si="12">IFERROR(ROUND(G30/E30,5),0)</f>
        <v>0</v>
      </c>
      <c r="I30">
        <f t="shared" ref="I30" si="13">MOD(H30,1)</f>
        <v>0</v>
      </c>
      <c r="J30">
        <f t="shared" ref="J30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ht="16" customHeight="1" x14ac:dyDescent="0.15">
      <c r="A31" s="33" t="s">
        <v>239</v>
      </c>
      <c r="B31" s="56">
        <f>0</f>
        <v>0</v>
      </c>
      <c r="C31" s="84">
        <f t="shared" si="2"/>
        <v>0</v>
      </c>
      <c r="D31" s="74">
        <f t="shared" si="3"/>
        <v>0</v>
      </c>
      <c r="E31">
        <f>COUNTIF(tables_settle_614100!C:C,input_settle_614100!A31)-COUNTIF(Q:Q,A31)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B12</f>
        <v>0</v>
      </c>
      <c r="C32" s="84">
        <f t="shared" si="2"/>
        <v>0</v>
      </c>
      <c r="D32" s="74">
        <f t="shared" si="3"/>
        <v>0</v>
      </c>
      <c r="E32">
        <f>COUNTIF(tables_settle_614100!C:C,input_settle_614100!A32)-COUNTIF(Q:Q,A32)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0.79699999999999993</v>
      </c>
      <c r="C33" s="41">
        <f>SUM(C19:C32)</f>
        <v>0.20300000000000001</v>
      </c>
      <c r="D33" s="42">
        <f t="shared" si="3"/>
        <v>0.59399999999999986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>
        <v>1.703288200806008E-2</v>
      </c>
      <c r="F35" s="55">
        <f ca="1">0.45-G42</f>
        <v>0.45</v>
      </c>
    </row>
    <row r="36" spans="1:18" x14ac:dyDescent="0.15">
      <c r="A36" t="s">
        <v>73</v>
      </c>
      <c r="E36">
        <v>0.04</v>
      </c>
    </row>
    <row r="37" spans="1:18" x14ac:dyDescent="0.15">
      <c r="A37" s="31">
        <f>LCM(F5-I5,F6-I6)*1000*2*2*5</f>
        <v>145500000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SUMIF(tables_settle_614100!C:C,input_settle_614100!A41,tables_settle_614100!O:O)</f>
        <v>0</v>
      </c>
      <c r="C41" s="54">
        <f t="shared" ref="C41:C47" ca="1" si="15">B41/B$48</f>
        <v>0</v>
      </c>
      <c r="E41">
        <v>3</v>
      </c>
      <c r="F41">
        <f ca="1">SUMIF(tables_settle_614100!J:J,input_settle_614100!E41,tables_settle_614100!O:O)</f>
        <v>0</v>
      </c>
      <c r="G41">
        <f ca="1">F41/A37</f>
        <v>0</v>
      </c>
    </row>
    <row r="42" spans="1:18" x14ac:dyDescent="0.15">
      <c r="A42" s="33" t="s">
        <v>104</v>
      </c>
      <c r="B42">
        <f ca="1">SUMIF(tables_settle_614100!C:C,input_settle_614100!A42,tables_settle_614100!O:O)</f>
        <v>0</v>
      </c>
      <c r="C42" s="54">
        <f t="shared" ca="1" si="15"/>
        <v>0</v>
      </c>
      <c r="E42">
        <v>4</v>
      </c>
      <c r="F42">
        <f ca="1">SUMIF(tables_settle_614100!J:J,input_settle_614100!E42,tables_settle_614100!O:O)</f>
        <v>0</v>
      </c>
      <c r="G42">
        <f ca="1">F42/A37</f>
        <v>0</v>
      </c>
    </row>
    <row r="43" spans="1:18" x14ac:dyDescent="0.15">
      <c r="A43" s="33" t="s">
        <v>106</v>
      </c>
      <c r="B43">
        <f ca="1">SUMIF(tables_settle_614100!C:C,input_settle_614100!A43,tables_settle_614100!O:O)</f>
        <v>0</v>
      </c>
      <c r="C43" s="54">
        <f t="shared" ca="1" si="15"/>
        <v>0</v>
      </c>
      <c r="E43">
        <v>5</v>
      </c>
      <c r="F43">
        <f ca="1">SUMIF(tables_settle_614100!J:J,input_settle_614100!E43,tables_settle_614100!O:O)</f>
        <v>137788500</v>
      </c>
      <c r="G43">
        <f ca="1">F43/A37</f>
        <v>0.94699999999999995</v>
      </c>
    </row>
    <row r="44" spans="1:18" x14ac:dyDescent="0.15">
      <c r="A44" s="33" t="s">
        <v>109</v>
      </c>
      <c r="B44">
        <f>SUMIF(tables_settle_614100!C:C,input_settle_614100!A44,tables_settle_614100!O:O)</f>
        <v>0</v>
      </c>
      <c r="C44" s="54">
        <f t="shared" ca="1" si="15"/>
        <v>0</v>
      </c>
      <c r="E44">
        <v>6</v>
      </c>
      <c r="F44">
        <f>SUMIF(tables_settle_614100!J:J,input_settle_614100!E44,tables_settle_614100!O:O)</f>
        <v>7711500</v>
      </c>
      <c r="G44">
        <f>F44/A37</f>
        <v>5.2999999999999999E-2</v>
      </c>
    </row>
    <row r="45" spans="1:18" x14ac:dyDescent="0.15">
      <c r="A45" s="33" t="s">
        <v>105</v>
      </c>
      <c r="B45">
        <f ca="1">SUMIF(tables_settle_614100!C:C,input_settle_614100!A45,tables_settle_614100!O:O)</f>
        <v>67275000</v>
      </c>
      <c r="C45" s="54">
        <f t="shared" ca="1" si="15"/>
        <v>0.96343818328568298</v>
      </c>
      <c r="E45" t="s">
        <v>54</v>
      </c>
      <c r="F45" s="55"/>
    </row>
    <row r="46" spans="1:18" x14ac:dyDescent="0.15">
      <c r="A46" s="33" t="s">
        <v>107</v>
      </c>
      <c r="B46">
        <f ca="1">SUMIF(tables_settle_614100!C:C,input_settle_614100!A46,tables_settle_614100!O:O)</f>
        <v>2553040</v>
      </c>
      <c r="C46" s="54">
        <f t="shared" ca="1" si="15"/>
        <v>3.6561816714317054E-2</v>
      </c>
      <c r="E46" t="s">
        <v>204</v>
      </c>
      <c r="F46" s="55">
        <f ca="1">SUMIF(tables_settle_614100!I:I,input_settle_614100!E46,tables_settle_614100!P:P)</f>
        <v>5.5670103092783509E-2</v>
      </c>
    </row>
    <row r="47" spans="1:18" x14ac:dyDescent="0.15">
      <c r="A47" s="33" t="s">
        <v>108</v>
      </c>
      <c r="B47">
        <f>SUMIF(tables_settle_614100!C:C,input_settle_614100!A47,tables_settle_614100!O:O)</f>
        <v>0</v>
      </c>
      <c r="C47" s="54">
        <f t="shared" ca="1" si="15"/>
        <v>0</v>
      </c>
      <c r="E47" t="s">
        <v>205</v>
      </c>
      <c r="F47" s="55">
        <f ca="1">SUMIF(tables_settle_614100!I:I,input_settle_614100!E47,tables_settle_614100!P:P)</f>
        <v>0.17899484536082469</v>
      </c>
    </row>
    <row r="48" spans="1:18" x14ac:dyDescent="0.15">
      <c r="A48" s="39" t="s">
        <v>59</v>
      </c>
      <c r="B48">
        <f ca="1">SUM(B41:B47)</f>
        <v>69828040</v>
      </c>
      <c r="C48" s="55">
        <f ca="1">SUM(C41:C47)</f>
        <v>1</v>
      </c>
      <c r="E48" t="s">
        <v>206</v>
      </c>
      <c r="F48" s="55">
        <f ca="1">SUMIF(tables_settle_614100!I:I,input_settle_614100!E48,tables_settle_614100!P:P)</f>
        <v>0.66533505154639216</v>
      </c>
    </row>
    <row r="49" spans="5:7" x14ac:dyDescent="0.15">
      <c r="E49" t="s">
        <v>207</v>
      </c>
      <c r="F49" s="55">
        <f ca="1">SUMIF(tables_settle_614100!I:I,input_settle_614100!E49,tables_settle_614100!P:P)</f>
        <v>8.0733333333333324E-2</v>
      </c>
      <c r="G49" s="55"/>
    </row>
    <row r="50" spans="5:7" x14ac:dyDescent="0.15">
      <c r="E50" t="s">
        <v>249</v>
      </c>
      <c r="F50" s="55">
        <f ca="1">SUMIF(tables_settle_614100!I:I,input_settle_614100!E50,tables_settle_614100!P:P)</f>
        <v>1.9266666666666668E-2</v>
      </c>
    </row>
    <row r="51" spans="5:7" x14ac:dyDescent="0.15">
      <c r="E51" t="s">
        <v>253</v>
      </c>
      <c r="F51" s="55">
        <f>SUMIF(tables_settle_614100!I:I,input_settle_614100!E51,tables_settle_614100!P:P)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17" activePane="bottomLeft" state="frozen"/>
      <selection activeCell="G360" sqref="G360"/>
      <selection pane="bottomLeft" activeCell="B361" sqref="B361:B36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input_settle_614100!A$2</f>
        <v>614100</v>
      </c>
      <c r="B2" s="97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IFERROR(VLOOKUP(B2,input_settle_614100!L:R,7,FALSE),VLOOKUP(tables_settle_614100!C2,input_settle_614100!A:H,8,FALSE))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input_settle_614100!A$2</f>
        <v>614100</v>
      </c>
      <c r="B3" s="97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IFERROR(VLOOKUP(B3,input_settle_614100!L:R,7,FALSE),VLOOKUP(tables_settle_614100!C3,input_settle_614100!A:H,8,FALSE))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input_settle_614100!A$2</f>
        <v>614100</v>
      </c>
      <c r="B4" s="97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IFERROR(VLOOKUP(B4,input_settle_614100!L:R,7,FALSE),VLOOKUP(tables_settle_614100!C4,input_settle_614100!A:H,8,FALSE))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input_settle_614100!A$2</f>
        <v>614100</v>
      </c>
      <c r="B5" s="97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IFERROR(VLOOKUP(B5,input_settle_614100!L:R,7,FALSE),VLOOKUP(tables_settle_614100!C5,input_settle_614100!A:H,8,FALSE))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input_settle_614100!A$2</f>
        <v>614100</v>
      </c>
      <c r="B6" s="97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IFERROR(VLOOKUP(B6,input_settle_614100!L:R,7,FALSE),VLOOKUP(tables_settle_614100!C6,input_settle_614100!A:H,8,FALSE))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input_settle_614100!A$2</f>
        <v>614100</v>
      </c>
      <c r="B7" s="97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IFERROR(VLOOKUP(B7,input_settle_614100!L:R,7,FALSE),VLOOKUP(tables_settle_614100!C7,input_settle_614100!A:H,8,FALSE))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input_settle_614100!A$2</f>
        <v>614100</v>
      </c>
      <c r="B8" s="97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IFERROR(VLOOKUP(B8,input_settle_614100!L:R,7,FALSE),VLOOKUP(tables_settle_614100!C8,input_settle_614100!A:H,8,FALSE))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input_settle_614100!A$2</f>
        <v>614100</v>
      </c>
      <c r="B9" s="97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IFERROR(VLOOKUP(B9,input_settle_614100!L:R,7,FALSE),VLOOKUP(tables_settle_614100!C9,input_settle_614100!A:H,8,FALSE))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input_settle_614100!A$2</f>
        <v>614100</v>
      </c>
      <c r="B10" s="97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IFERROR(VLOOKUP(B10,input_settle_614100!L:R,7,FALSE),VLOOKUP(tables_settle_614100!C10,input_settle_614100!A:H,8,FALSE))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input_settle_614100!A$2</f>
        <v>614100</v>
      </c>
      <c r="B11" s="97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IFERROR(VLOOKUP(B11,input_settle_614100!L:R,7,FALSE),VLOOKUP(tables_settle_614100!C11,input_settle_614100!A:H,8,FALSE))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input_settle_614100!A$2</f>
        <v>614100</v>
      </c>
      <c r="B12" s="9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IFERROR(VLOOKUP(B12,input_settle_614100!L:R,7,FALSE),VLOOKUP(tables_settle_614100!C12,input_settle_614100!A:H,8,FALSE))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input_settle_614100!A$2</f>
        <v>614100</v>
      </c>
      <c r="B13" s="9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IFERROR(VLOOKUP(B13,input_settle_614100!L:R,7,FALSE),VLOOKUP(tables_settle_614100!C13,input_settle_614100!A:H,8,FALSE))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input_settle_614100!A$2</f>
        <v>614100</v>
      </c>
      <c r="B14" s="97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IFERROR(VLOOKUP(B14,input_settle_614100!L:R,7,FALSE),VLOOKUP(tables_settle_614100!C14,input_settle_614100!A:H,8,FALSE))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input_settle_614100!A$2</f>
        <v>614100</v>
      </c>
      <c r="B15" s="97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IFERROR(VLOOKUP(B15,input_settle_614100!L:R,7,FALSE),VLOOKUP(tables_settle_614100!C15,input_settle_614100!A:H,8,FALSE))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input_settle_614100!A$2</f>
        <v>614100</v>
      </c>
      <c r="B16" s="97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IFERROR(VLOOKUP(B16,input_settle_614100!L:R,7,FALSE),VLOOKUP(tables_settle_614100!C16,input_settle_614100!A:H,8,FALSE))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input_settle_614100!A$2</f>
        <v>614100</v>
      </c>
      <c r="B17" s="97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IFERROR(VLOOKUP(B17,input_settle_614100!L:R,7,FALSE),VLOOKUP(tables_settle_614100!C17,input_settle_614100!A:H,8,FALSE))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input_settle_614100!A$2</f>
        <v>614100</v>
      </c>
      <c r="B18" s="97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IFERROR(VLOOKUP(B18,input_settle_614100!L:R,7,FALSE),VLOOKUP(tables_settle_614100!C18,input_settle_614100!A:H,8,FALSE))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input_settle_614100!A$2</f>
        <v>614100</v>
      </c>
      <c r="B19" s="97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IFERROR(VLOOKUP(B19,input_settle_614100!L:R,7,FALSE),VLOOKUP(tables_settle_614100!C19,input_settle_614100!A:H,8,FALSE))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input_settle_614100!A$2</f>
        <v>614100</v>
      </c>
      <c r="B20" s="97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IFERROR(VLOOKUP(B20,input_settle_614100!L:R,7,FALSE),VLOOKUP(tables_settle_614100!C20,input_settle_614100!A:H,8,FALSE))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input_settle_614100!A$2</f>
        <v>614100</v>
      </c>
      <c r="B21" s="97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IFERROR(VLOOKUP(B21,input_settle_614100!L:R,7,FALSE),VLOOKUP(tables_settle_614100!C21,input_settle_614100!A:H,8,FALSE))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input_settle_614100!A$2</f>
        <v>614100</v>
      </c>
      <c r="B22" s="97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IFERROR(VLOOKUP(B22,input_settle_614100!L:R,7,FALSE),VLOOKUP(tables_settle_614100!C22,input_settle_614100!A:H,8,FALSE))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input_settle_614100!A$2</f>
        <v>614100</v>
      </c>
      <c r="B23" s="97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IFERROR(VLOOKUP(B23,input_settle_614100!L:R,7,FALSE),VLOOKUP(tables_settle_614100!C23,input_settle_614100!A:H,8,FALSE))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input_settle_614100!A$2</f>
        <v>614100</v>
      </c>
      <c r="B24" s="97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IFERROR(VLOOKUP(B24,input_settle_614100!L:R,7,FALSE),VLOOKUP(tables_settle_614100!C24,input_settle_614100!A:H,8,FALSE))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input_settle_614100!A$2</f>
        <v>614100</v>
      </c>
      <c r="B25" s="97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IFERROR(VLOOKUP(B25,input_settle_614100!L:R,7,FALSE),VLOOKUP(tables_settle_614100!C25,input_settle_614100!A:H,8,FALSE))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input_settle_614100!A$2</f>
        <v>614100</v>
      </c>
      <c r="B26" s="97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IFERROR(VLOOKUP(B26,input_settle_614100!L:R,7,FALSE),VLOOKUP(tables_settle_614100!C26,input_settle_614100!A:H,8,FALSE))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input_settle_614100!A$2</f>
        <v>614100</v>
      </c>
      <c r="B27" s="97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IFERROR(VLOOKUP(B27,input_settle_614100!L:R,7,FALSE),VLOOKUP(tables_settle_614100!C27,input_settle_614100!A:H,8,FALSE))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input_settle_614100!A$2</f>
        <v>614100</v>
      </c>
      <c r="B28" s="97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IFERROR(VLOOKUP(B28,input_settle_614100!L:R,7,FALSE),VLOOKUP(tables_settle_614100!C28,input_settle_614100!A:H,8,FALSE))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input_settle_614100!A$2</f>
        <v>614100</v>
      </c>
      <c r="B29" s="97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IFERROR(VLOOKUP(B29,input_settle_614100!L:R,7,FALSE),VLOOKUP(tables_settle_614100!C29,input_settle_614100!A:H,8,FALSE))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input_settle_614100!A$2</f>
        <v>614100</v>
      </c>
      <c r="B30" s="97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IFERROR(VLOOKUP(B30,input_settle_614100!L:R,7,FALSE),VLOOKUP(tables_settle_614100!C30,input_settle_614100!A:H,8,FALSE))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input_settle_614100!A$2</f>
        <v>614100</v>
      </c>
      <c r="B31" s="97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IFERROR(VLOOKUP(B31,input_settle_614100!L:R,7,FALSE),VLOOKUP(tables_settle_614100!C31,input_settle_614100!A:H,8,FALSE))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input_settle_614100!A$2</f>
        <v>614100</v>
      </c>
      <c r="B32" s="97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IFERROR(VLOOKUP(B32,input_settle_614100!L:R,7,FALSE),VLOOKUP(tables_settle_614100!C32,input_settle_614100!A:H,8,FALSE))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input_settle_614100!A$2</f>
        <v>614100</v>
      </c>
      <c r="B33" s="97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IFERROR(VLOOKUP(B33,input_settle_614100!L:R,7,FALSE),VLOOKUP(tables_settle_614100!C33,input_settle_614100!A:H,8,FALSE))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input_settle_614100!A$2</f>
        <v>614100</v>
      </c>
      <c r="B34" s="97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IFERROR(VLOOKUP(B34,input_settle_614100!L:R,7,FALSE),VLOOKUP(tables_settle_614100!C34,input_settle_614100!A:H,8,FALSE))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input_settle_614100!A$2</f>
        <v>614100</v>
      </c>
      <c r="B35" s="97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IFERROR(VLOOKUP(B35,input_settle_614100!L:R,7,FALSE),VLOOKUP(tables_settle_614100!C35,input_settle_614100!A:H,8,FALSE))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input_settle_614100!A$2</f>
        <v>614100</v>
      </c>
      <c r="B36" s="97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IFERROR(VLOOKUP(B36,input_settle_614100!L:R,7,FALSE),VLOOKUP(tables_settle_614100!C36,input_settle_614100!A:H,8,FALSE))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input_settle_614100!A$2</f>
        <v>614100</v>
      </c>
      <c r="B37" s="97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IFERROR(VLOOKUP(B37,input_settle_614100!L:R,7,FALSE),VLOOKUP(tables_settle_614100!C37,input_settle_614100!A:H,8,FALSE))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input_settle_614100!A$2</f>
        <v>614100</v>
      </c>
      <c r="B38" s="97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IFERROR(VLOOKUP(B38,input_settle_614100!L:R,7,FALSE),VLOOKUP(tables_settle_614100!C38,input_settle_614100!A:H,8,FALSE))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input_settle_614100!A$2</f>
        <v>614100</v>
      </c>
      <c r="B39" s="97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IFERROR(VLOOKUP(B39,input_settle_614100!L:R,7,FALSE),VLOOKUP(tables_settle_614100!C39,input_settle_614100!A:H,8,FALSE))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input_settle_614100!A$2</f>
        <v>614100</v>
      </c>
      <c r="B40" s="97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IFERROR(VLOOKUP(B40,input_settle_614100!L:R,7,FALSE),VLOOKUP(tables_settle_614100!C40,input_settle_614100!A:H,8,FALSE))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input_settle_614100!A$2</f>
        <v>614100</v>
      </c>
      <c r="B41" s="97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IFERROR(VLOOKUP(B41,input_settle_614100!L:R,7,FALSE),VLOOKUP(tables_settle_614100!C41,input_settle_614100!A:H,8,FALSE))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input_settle_614100!A$2</f>
        <v>614100</v>
      </c>
      <c r="B42" s="97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IFERROR(VLOOKUP(B42,input_settle_614100!L:R,7,FALSE),VLOOKUP(tables_settle_614100!C42,input_settle_614100!A:H,8,FALSE))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input_settle_614100!A$2</f>
        <v>614100</v>
      </c>
      <c r="B43" s="97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IFERROR(VLOOKUP(B43,input_settle_614100!L:R,7,FALSE),VLOOKUP(tables_settle_614100!C43,input_settle_614100!A:H,8,FALSE))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input_settle_614100!A$2</f>
        <v>614100</v>
      </c>
      <c r="B44" s="97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IFERROR(VLOOKUP(B44,input_settle_614100!L:R,7,FALSE),VLOOKUP(tables_settle_614100!C44,input_settle_614100!A:H,8,FALSE))</f>
        <v>1350000</v>
      </c>
      <c r="P44" s="46">
        <f t="shared" ca="1" si="1"/>
        <v>9.2783505154639175E-3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input_settle_614100!A$2</f>
        <v>614100</v>
      </c>
      <c r="B45" s="97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IFERROR(VLOOKUP(B45,input_settle_614100!L:R,7,FALSE),VLOOKUP(tables_settle_614100!C45,input_settle_614100!A:H,8,FALSE))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input_settle_614100!A$2</f>
        <v>614100</v>
      </c>
      <c r="B46" s="97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IFERROR(VLOOKUP(B46,input_settle_614100!L:R,7,FALSE),VLOOKUP(tables_settle_614100!C46,input_settle_614100!A:H,8,FALSE))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input_settle_614100!A$2</f>
        <v>614100</v>
      </c>
      <c r="B47" s="97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IFERROR(VLOOKUP(B47,input_settle_614100!L:R,7,FALSE),VLOOKUP(tables_settle_614100!C47,input_settle_614100!A:H,8,FALSE))</f>
        <v>1350000</v>
      </c>
      <c r="P47" s="46">
        <f t="shared" ca="1" si="1"/>
        <v>9.2783505154639175E-3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input_settle_614100!A$2</f>
        <v>614100</v>
      </c>
      <c r="B48" s="97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IFERROR(VLOOKUP(B48,input_settle_614100!L:R,7,FALSE),VLOOKUP(tables_settle_614100!C48,input_settle_614100!A:H,8,FALSE))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input_settle_614100!A$2</f>
        <v>614100</v>
      </c>
      <c r="B49" s="97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IFERROR(VLOOKUP(B49,input_settle_614100!L:R,7,FALSE),VLOOKUP(tables_settle_614100!C49,input_settle_614100!A:H,8,FALSE))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input_settle_614100!A$2</f>
        <v>614100</v>
      </c>
      <c r="B50" s="97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IFERROR(VLOOKUP(B50,input_settle_614100!L:R,7,FALSE),VLOOKUP(tables_settle_614100!C50,input_settle_614100!A:H,8,FALSE))</f>
        <v>1350000</v>
      </c>
      <c r="P50" s="46">
        <f t="shared" ca="1" si="1"/>
        <v>9.2783505154639175E-3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input_settle_614100!A$2</f>
        <v>614100</v>
      </c>
      <c r="B51" s="97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IFERROR(VLOOKUP(B51,input_settle_614100!L:R,7,FALSE),VLOOKUP(tables_settle_614100!C51,input_settle_614100!A:H,8,FALSE))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input_settle_614100!A$2</f>
        <v>614100</v>
      </c>
      <c r="B52" s="97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IFERROR(VLOOKUP(B52,input_settle_614100!L:R,7,FALSE),VLOOKUP(tables_settle_614100!C52,input_settle_614100!A:H,8,FALSE))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input_settle_614100!A$2</f>
        <v>614100</v>
      </c>
      <c r="B53" s="97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IFERROR(VLOOKUP(B53,input_settle_614100!L:R,7,FALSE),VLOOKUP(tables_settle_614100!C53,input_settle_614100!A:H,8,FALSE))</f>
        <v>1293750</v>
      </c>
      <c r="P53" s="46">
        <f t="shared" ca="1" si="1"/>
        <v>8.8917525773195873E-3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input_settle_614100!A$2</f>
        <v>614100</v>
      </c>
      <c r="B54" s="97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IFERROR(VLOOKUP(B54,input_settle_614100!L:R,7,FALSE),VLOOKUP(tables_settle_614100!C54,input_settle_614100!A:H,8,FALSE))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input_settle_614100!A$2</f>
        <v>614100</v>
      </c>
      <c r="B55" s="97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IFERROR(VLOOKUP(B55,input_settle_614100!L:R,7,FALSE),VLOOKUP(tables_settle_614100!C55,input_settle_614100!A:H,8,FALSE))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input_settle_614100!A$2</f>
        <v>614100</v>
      </c>
      <c r="B56" s="97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IFERROR(VLOOKUP(B56,input_settle_614100!L:R,7,FALSE),VLOOKUP(tables_settle_614100!C56,input_settle_614100!A:H,8,FALSE))</f>
        <v>1293750</v>
      </c>
      <c r="P56" s="46">
        <f t="shared" ca="1" si="1"/>
        <v>8.8917525773195873E-3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input_settle_614100!A$2</f>
        <v>614100</v>
      </c>
      <c r="B57" s="97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IFERROR(VLOOKUP(B57,input_settle_614100!L:R,7,FALSE),VLOOKUP(tables_settle_614100!C57,input_settle_614100!A:H,8,FALSE))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input_settle_614100!A$2</f>
        <v>614100</v>
      </c>
      <c r="B58" s="97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IFERROR(VLOOKUP(B58,input_settle_614100!L:R,7,FALSE),VLOOKUP(tables_settle_614100!C58,input_settle_614100!A:H,8,FALSE))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input_settle_614100!A$2</f>
        <v>614100</v>
      </c>
      <c r="B59" s="97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IFERROR(VLOOKUP(B59,input_settle_614100!L:R,7,FALSE),VLOOKUP(tables_settle_614100!C59,input_settle_614100!A:H,8,FALSE))</f>
        <v>1293750</v>
      </c>
      <c r="P59" s="46">
        <f t="shared" ca="1" si="1"/>
        <v>8.8917525773195873E-3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input_settle_614100!A$2</f>
        <v>614100</v>
      </c>
      <c r="B60" s="97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IFERROR(VLOOKUP(B60,input_settle_614100!L:R,7,FALSE),VLOOKUP(tables_settle_614100!C60,input_settle_614100!A:H,8,FALSE))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input_settle_614100!A$2</f>
        <v>614100</v>
      </c>
      <c r="B61" s="97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IFERROR(VLOOKUP(B61,input_settle_614100!L:R,7,FALSE),VLOOKUP(tables_settle_614100!C61,input_settle_614100!A:H,8,FALSE))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input_settle_614100!A$2</f>
        <v>614100</v>
      </c>
      <c r="B62" s="9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IFERROR(VLOOKUP(B62,input_settle_614100!L:R,7,FALSE),VLOOKUP(tables_settle_614100!C62,input_settle_614100!A:H,8,FALSE))</f>
        <v>1293750</v>
      </c>
      <c r="P62" s="46">
        <f t="shared" ca="1" si="1"/>
        <v>8.8917525773195873E-3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input_settle_614100!A$2</f>
        <v>614100</v>
      </c>
      <c r="B63" s="9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IFERROR(VLOOKUP(B63,input_settle_614100!L:R,7,FALSE),VLOOKUP(tables_settle_614100!C63,input_settle_614100!A:H,8,FALSE))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input_settle_614100!A$2</f>
        <v>614100</v>
      </c>
      <c r="B64" s="9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IFERROR(VLOOKUP(B64,input_settle_614100!L:R,7,FALSE),VLOOKUP(tables_settle_614100!C64,input_settle_614100!A:H,8,FALSE))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input_settle_614100!A$2</f>
        <v>614100</v>
      </c>
      <c r="B65" s="9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IFERROR(VLOOKUP(B65,input_settle_614100!L:R,7,FALSE),VLOOKUP(tables_settle_614100!C65,input_settle_614100!A:H,8,FALSE))</f>
        <v>1293750</v>
      </c>
      <c r="P65" s="46">
        <f t="shared" ca="1" si="1"/>
        <v>8.8917525773195873E-3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input_settle_614100!A$2</f>
        <v>614100</v>
      </c>
      <c r="B66" s="97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IFERROR(VLOOKUP(B66,input_settle_614100!L:R,7,FALSE),VLOOKUP(tables_settle_614100!C66,input_settle_614100!A:H,8,FALSE))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input_settle_614100!A$2</f>
        <v>614100</v>
      </c>
      <c r="B67" s="97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IFERROR(VLOOKUP(B67,input_settle_614100!L:R,7,FALSE),VLOOKUP(tables_settle_614100!C67,input_settle_614100!A:H,8,FALSE))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input_settle_614100!A$2</f>
        <v>614100</v>
      </c>
      <c r="B68" s="97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IFERROR(VLOOKUP(B68,input_settle_614100!L:R,7,FALSE),VLOOKUP(tables_settle_614100!C68,input_settle_614100!A:H,8,FALSE))</f>
        <v>1293750</v>
      </c>
      <c r="P68" s="46">
        <f t="shared" ca="1" si="4"/>
        <v>8.8917525773195873E-3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input_settle_614100!A$2</f>
        <v>614100</v>
      </c>
      <c r="B69" s="97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IFERROR(VLOOKUP(B69,input_settle_614100!L:R,7,FALSE),VLOOKUP(tables_settle_614100!C69,input_settle_614100!A:H,8,FALSE))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input_settle_614100!A$2</f>
        <v>614100</v>
      </c>
      <c r="B70" s="97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IFERROR(VLOOKUP(B70,input_settle_614100!L:R,7,FALSE),VLOOKUP(tables_settle_614100!C70,input_settle_614100!A:H,8,FALSE))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input_settle_614100!A$2</f>
        <v>614100</v>
      </c>
      <c r="B71" s="97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IFERROR(VLOOKUP(B71,input_settle_614100!L:R,7,FALSE),VLOOKUP(tables_settle_614100!C71,input_settle_614100!A:H,8,FALSE))</f>
        <v>1293750</v>
      </c>
      <c r="P71" s="46">
        <f t="shared" ca="1" si="4"/>
        <v>8.8917525773195873E-3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input_settle_614100!A$2</f>
        <v>614100</v>
      </c>
      <c r="B72" s="97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IFERROR(VLOOKUP(B72,input_settle_614100!L:R,7,FALSE),VLOOKUP(tables_settle_614100!C72,input_settle_614100!A:H,8,FALSE))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input_settle_614100!A$2</f>
        <v>614100</v>
      </c>
      <c r="B73" s="97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IFERROR(VLOOKUP(B73,input_settle_614100!L:R,7,FALSE),VLOOKUP(tables_settle_614100!C73,input_settle_614100!A:H,8,FALSE))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input_settle_614100!A$2</f>
        <v>614100</v>
      </c>
      <c r="B74" s="97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IFERROR(VLOOKUP(B74,input_settle_614100!L:R,7,FALSE),VLOOKUP(tables_settle_614100!C74,input_settle_614100!A:H,8,FALSE))</f>
        <v>1293750</v>
      </c>
      <c r="P74" s="46">
        <f t="shared" ca="1" si="4"/>
        <v>8.8917525773195873E-3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input_settle_614100!A$2</f>
        <v>614100</v>
      </c>
      <c r="B75" s="97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IFERROR(VLOOKUP(B75,input_settle_614100!L:R,7,FALSE),VLOOKUP(tables_settle_614100!C75,input_settle_614100!A:H,8,FALSE))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input_settle_614100!A$2</f>
        <v>614100</v>
      </c>
      <c r="B76" s="97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IFERROR(VLOOKUP(B76,input_settle_614100!L:R,7,FALSE),VLOOKUP(tables_settle_614100!C76,input_settle_614100!A:H,8,FALSE))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input_settle_614100!A$2</f>
        <v>614100</v>
      </c>
      <c r="B77" s="99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IFERROR(VLOOKUP(B77,input_settle_614100!L:R,7,FALSE),VLOOKUP(tables_settle_614100!C77,input_settle_614100!A:H,8,FALSE))</f>
        <v>1293750</v>
      </c>
      <c r="P77" s="46">
        <f t="shared" ca="1" si="4"/>
        <v>8.8917525773195873E-3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input_settle_614100!A$2</f>
        <v>614100</v>
      </c>
      <c r="B78" s="99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IFERROR(VLOOKUP(B78,input_settle_614100!L:R,7,FALSE),VLOOKUP(tables_settle_614100!C78,input_settle_614100!A:H,8,FALSE))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input_settle_614100!A$2</f>
        <v>614100</v>
      </c>
      <c r="B79" s="99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IFERROR(VLOOKUP(B79,input_settle_614100!L:R,7,FALSE),VLOOKUP(tables_settle_614100!C79,input_settle_614100!A:H,8,FALSE))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input_settle_614100!A$2</f>
        <v>614100</v>
      </c>
      <c r="B80" s="99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IFERROR(VLOOKUP(B80,input_settle_614100!L:R,7,FALSE),VLOOKUP(tables_settle_614100!C80,input_settle_614100!A:H,8,FALSE))</f>
        <v>1293750</v>
      </c>
      <c r="P80" s="46">
        <f t="shared" ca="1" si="4"/>
        <v>8.8917525773195873E-3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input_settle_614100!A$2</f>
        <v>614100</v>
      </c>
      <c r="B81" s="99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IFERROR(VLOOKUP(B81,input_settle_614100!L:R,7,FALSE),VLOOKUP(tables_settle_614100!C81,input_settle_614100!A:H,8,FALSE))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input_settle_614100!A$2</f>
        <v>614100</v>
      </c>
      <c r="B82" s="99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IFERROR(VLOOKUP(B82,input_settle_614100!L:R,7,FALSE),VLOOKUP(tables_settle_614100!C82,input_settle_614100!A:H,8,FALSE))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input_settle_614100!A$2</f>
        <v>614100</v>
      </c>
      <c r="B83" s="99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IFERROR(VLOOKUP(B83,input_settle_614100!L:R,7,FALSE),VLOOKUP(tables_settle_614100!C83,input_settle_614100!A:H,8,FALSE))</f>
        <v>1293750</v>
      </c>
      <c r="P83" s="46">
        <f t="shared" ca="1" si="4"/>
        <v>8.8917525773195873E-3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input_settle_614100!A$2</f>
        <v>614100</v>
      </c>
      <c r="B84" s="99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IFERROR(VLOOKUP(B84,input_settle_614100!L:R,7,FALSE),VLOOKUP(tables_settle_614100!C84,input_settle_614100!A:H,8,FALSE))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input_settle_614100!A$2</f>
        <v>614100</v>
      </c>
      <c r="B85" s="99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IFERROR(VLOOKUP(B85,input_settle_614100!L:R,7,FALSE),VLOOKUP(tables_settle_614100!C85,input_settle_614100!A:H,8,FALSE))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input_settle_614100!A$2</f>
        <v>614100</v>
      </c>
      <c r="B86" s="99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IFERROR(VLOOKUP(B86,input_settle_614100!L:R,7,FALSE),VLOOKUP(tables_settle_614100!C86,input_settle_614100!A:H,8,FALSE))</f>
        <v>1293750</v>
      </c>
      <c r="P86" s="46">
        <f t="shared" ca="1" si="4"/>
        <v>8.8917525773195873E-3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input_settle_614100!A$2</f>
        <v>614100</v>
      </c>
      <c r="B87" s="99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IFERROR(VLOOKUP(B87,input_settle_614100!L:R,7,FALSE),VLOOKUP(tables_settle_614100!C87,input_settle_614100!A:H,8,FALSE))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input_settle_614100!A$2</f>
        <v>614100</v>
      </c>
      <c r="B88" s="99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IFERROR(VLOOKUP(B88,input_settle_614100!L:R,7,FALSE),VLOOKUP(tables_settle_614100!C88,input_settle_614100!A:H,8,FALSE))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input_settle_614100!A$2</f>
        <v>614100</v>
      </c>
      <c r="B89" s="99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IFERROR(VLOOKUP(B89,input_settle_614100!L:R,7,FALSE),VLOOKUP(tables_settle_614100!C89,input_settle_614100!A:H,8,FALSE))</f>
        <v>1293750</v>
      </c>
      <c r="P89" s="46">
        <f t="shared" ca="1" si="4"/>
        <v>8.8917525773195873E-3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input_settle_614100!A$2</f>
        <v>614100</v>
      </c>
      <c r="B90" s="99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IFERROR(VLOOKUP(B90,input_settle_614100!L:R,7,FALSE),VLOOKUP(tables_settle_614100!C90,input_settle_614100!A:H,8,FALSE))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input_settle_614100!A$2</f>
        <v>614100</v>
      </c>
      <c r="B91" s="99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IFERROR(VLOOKUP(B91,input_settle_614100!L:R,7,FALSE),VLOOKUP(tables_settle_614100!C91,input_settle_614100!A:H,8,FALSE))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input_settle_614100!A$2</f>
        <v>614100</v>
      </c>
      <c r="B92" s="99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IFERROR(VLOOKUP(B92,input_settle_614100!L:R,7,FALSE),VLOOKUP(tables_settle_614100!C92,input_settle_614100!A:H,8,FALSE))</f>
        <v>1293750</v>
      </c>
      <c r="P92" s="46">
        <f t="shared" ca="1" si="4"/>
        <v>8.8917525773195873E-3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input_settle_614100!A$2</f>
        <v>614100</v>
      </c>
      <c r="B93" s="99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IFERROR(VLOOKUP(B93,input_settle_614100!L:R,7,FALSE),VLOOKUP(tables_settle_614100!C93,input_settle_614100!A:H,8,FALSE))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input_settle_614100!A$2</f>
        <v>614100</v>
      </c>
      <c r="B94" s="99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IFERROR(VLOOKUP(B94,input_settle_614100!L:R,7,FALSE),VLOOKUP(tables_settle_614100!C94,input_settle_614100!A:H,8,FALSE))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input_settle_614100!A$2</f>
        <v>614100</v>
      </c>
      <c r="B95" s="99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IFERROR(VLOOKUP(B95,input_settle_614100!L:R,7,FALSE),VLOOKUP(tables_settle_614100!C95,input_settle_614100!A:H,8,FALSE))</f>
        <v>1293750</v>
      </c>
      <c r="P95" s="46">
        <f t="shared" ca="1" si="4"/>
        <v>8.8917525773195873E-3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input_settle_614100!A$2</f>
        <v>614100</v>
      </c>
      <c r="B96" s="99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IFERROR(VLOOKUP(B96,input_settle_614100!L:R,7,FALSE),VLOOKUP(tables_settle_614100!C96,input_settle_614100!A:H,8,FALSE))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input_settle_614100!A$2</f>
        <v>614100</v>
      </c>
      <c r="B97" s="99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IFERROR(VLOOKUP(B97,input_settle_614100!L:R,7,FALSE),VLOOKUP(tables_settle_614100!C97,input_settle_614100!A:H,8,FALSE))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input_settle_614100!A$2</f>
        <v>614100</v>
      </c>
      <c r="B98" s="99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IFERROR(VLOOKUP(B98,input_settle_614100!L:R,7,FALSE),VLOOKUP(tables_settle_614100!C98,input_settle_614100!A:H,8,FALSE))</f>
        <v>1293750</v>
      </c>
      <c r="P98" s="46">
        <f t="shared" ca="1" si="4"/>
        <v>8.8917525773195873E-3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input_settle_614100!A$2</f>
        <v>614100</v>
      </c>
      <c r="B99" s="99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IFERROR(VLOOKUP(B99,input_settle_614100!L:R,7,FALSE),VLOOKUP(tables_settle_614100!C99,input_settle_614100!A:H,8,FALSE))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input_settle_614100!A$2</f>
        <v>614100</v>
      </c>
      <c r="B100" s="99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IFERROR(VLOOKUP(B100,input_settle_614100!L:R,7,FALSE),VLOOKUP(tables_settle_614100!C100,input_settle_614100!A:H,8,FALSE))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input_settle_614100!A$2</f>
        <v>614100</v>
      </c>
      <c r="B101" s="99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IFERROR(VLOOKUP(B101,input_settle_614100!L:R,7,FALSE),VLOOKUP(tables_settle_614100!C101,input_settle_614100!A:H,8,FALSE))</f>
        <v>1293750</v>
      </c>
      <c r="P101" s="46">
        <f t="shared" ca="1" si="4"/>
        <v>8.8917525773195873E-3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input_settle_614100!A$2</f>
        <v>614100</v>
      </c>
      <c r="B102" s="99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IFERROR(VLOOKUP(B102,input_settle_614100!L:R,7,FALSE),VLOOKUP(tables_settle_614100!C102,input_settle_614100!A:H,8,FALSE))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input_settle_614100!A$2</f>
        <v>614100</v>
      </c>
      <c r="B103" s="99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IFERROR(VLOOKUP(B103,input_settle_614100!L:R,7,FALSE),VLOOKUP(tables_settle_614100!C103,input_settle_614100!A:H,8,FALSE))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input_settle_614100!A$2</f>
        <v>614100</v>
      </c>
      <c r="B104" s="99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IFERROR(VLOOKUP(B104,input_settle_614100!L:R,7,FALSE),VLOOKUP(tables_settle_614100!C104,input_settle_614100!A:H,8,FALSE))</f>
        <v>1293750</v>
      </c>
      <c r="P104" s="46">
        <f t="shared" ca="1" si="4"/>
        <v>8.8917525773195873E-3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input_settle_614100!A$2</f>
        <v>614100</v>
      </c>
      <c r="B105" s="99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IFERROR(VLOOKUP(B105,input_settle_614100!L:R,7,FALSE),VLOOKUP(tables_settle_614100!C105,input_settle_614100!A:H,8,FALSE))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input_settle_614100!A$2</f>
        <v>614100</v>
      </c>
      <c r="B106" s="99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IFERROR(VLOOKUP(B106,input_settle_614100!L:R,7,FALSE),VLOOKUP(tables_settle_614100!C106,input_settle_614100!A:H,8,FALSE))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input_settle_614100!A$2</f>
        <v>614100</v>
      </c>
      <c r="B107" s="99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IFERROR(VLOOKUP(B107,input_settle_614100!L:R,7,FALSE),VLOOKUP(tables_settle_614100!C107,input_settle_614100!A:H,8,FALSE))</f>
        <v>1293750</v>
      </c>
      <c r="P107" s="46">
        <f t="shared" ca="1" si="4"/>
        <v>8.8917525773195873E-3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input_settle_614100!A$2</f>
        <v>614100</v>
      </c>
      <c r="B108" s="99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IFERROR(VLOOKUP(B108,input_settle_614100!L:R,7,FALSE),VLOOKUP(tables_settle_614100!C108,input_settle_614100!A:H,8,FALSE))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input_settle_614100!A$2</f>
        <v>614100</v>
      </c>
      <c r="B109" s="99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IFERROR(VLOOKUP(B109,input_settle_614100!L:R,7,FALSE),VLOOKUP(tables_settle_614100!C109,input_settle_614100!A:H,8,FALSE))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input_settle_614100!A$2</f>
        <v>614100</v>
      </c>
      <c r="B110" s="99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IFERROR(VLOOKUP(B110,input_settle_614100!L:R,7,FALSE),VLOOKUP(tables_settle_614100!C110,input_settle_614100!A:H,8,FALSE))</f>
        <v>1293750</v>
      </c>
      <c r="P110" s="46">
        <f t="shared" ca="1" si="4"/>
        <v>8.8917525773195873E-3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input_settle_614100!A$2</f>
        <v>614100</v>
      </c>
      <c r="B111" s="99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IFERROR(VLOOKUP(B111,input_settle_614100!L:R,7,FALSE),VLOOKUP(tables_settle_614100!C111,input_settle_614100!A:H,8,FALSE))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input_settle_614100!A$2</f>
        <v>614100</v>
      </c>
      <c r="B112" s="99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IFERROR(VLOOKUP(B112,input_settle_614100!L:R,7,FALSE),VLOOKUP(tables_settle_614100!C112,input_settle_614100!A:H,8,FALSE))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input_settle_614100!A$2</f>
        <v>614100</v>
      </c>
      <c r="B113" s="99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IFERROR(VLOOKUP(B113,input_settle_614100!L:R,7,FALSE),VLOOKUP(tables_settle_614100!C113,input_settle_614100!A:H,8,FALSE))</f>
        <v>1350000</v>
      </c>
      <c r="P113" s="46">
        <f t="shared" ca="1" si="4"/>
        <v>9.2783505154639175E-3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input_settle_614100!A$2</f>
        <v>614100</v>
      </c>
      <c r="B114" s="99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IFERROR(VLOOKUP(B114,input_settle_614100!L:R,7,FALSE),VLOOKUP(tables_settle_614100!C114,input_settle_614100!A:H,8,FALSE))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input_settle_614100!A$2</f>
        <v>614100</v>
      </c>
      <c r="B115" s="99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IFERROR(VLOOKUP(B115,input_settle_614100!L:R,7,FALSE),VLOOKUP(tables_settle_614100!C115,input_settle_614100!A:H,8,FALSE))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input_settle_614100!A$2</f>
        <v>614100</v>
      </c>
      <c r="B116" s="99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IFERROR(VLOOKUP(B116,input_settle_614100!L:R,7,FALSE),VLOOKUP(tables_settle_614100!C116,input_settle_614100!A:H,8,FALSE))</f>
        <v>1293750</v>
      </c>
      <c r="P116" s="46">
        <f t="shared" ca="1" si="4"/>
        <v>8.8917525773195873E-3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input_settle_614100!A$2</f>
        <v>614100</v>
      </c>
      <c r="B117" s="99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IFERROR(VLOOKUP(B117,input_settle_614100!L:R,7,FALSE),VLOOKUP(tables_settle_614100!C117,input_settle_614100!A:H,8,FALSE))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input_settle_614100!A$2</f>
        <v>614100</v>
      </c>
      <c r="B118" s="99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IFERROR(VLOOKUP(B118,input_settle_614100!L:R,7,FALSE),VLOOKUP(tables_settle_614100!C118,input_settle_614100!A:H,8,FALSE))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input_settle_614100!A$2</f>
        <v>614100</v>
      </c>
      <c r="B119" s="99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IFERROR(VLOOKUP(B119,input_settle_614100!L:R,7,FALSE),VLOOKUP(tables_settle_614100!C119,input_settle_614100!A:H,8,FALSE))</f>
        <v>1293750</v>
      </c>
      <c r="P119" s="46">
        <f t="shared" ca="1" si="4"/>
        <v>8.8917525773195873E-3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input_settle_614100!A$2</f>
        <v>614100</v>
      </c>
      <c r="B120" s="99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IFERROR(VLOOKUP(B120,input_settle_614100!L:R,7,FALSE),VLOOKUP(tables_settle_614100!C120,input_settle_614100!A:H,8,FALSE))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input_settle_614100!A$2</f>
        <v>614100</v>
      </c>
      <c r="B121" s="99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IFERROR(VLOOKUP(B121,input_settle_614100!L:R,7,FALSE),VLOOKUP(tables_settle_614100!C121,input_settle_614100!A:H,8,FALSE))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input_settle_614100!A$2</f>
        <v>614100</v>
      </c>
      <c r="B122" s="99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IFERROR(VLOOKUP(B122,input_settle_614100!L:R,7,FALSE),VLOOKUP(tables_settle_614100!C122,input_settle_614100!A:H,8,FALSE))</f>
        <v>1293750</v>
      </c>
      <c r="P122" s="46">
        <f t="shared" ca="1" si="4"/>
        <v>8.8917525773195873E-3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input_settle_614100!A$2</f>
        <v>614100</v>
      </c>
      <c r="B123" s="99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IFERROR(VLOOKUP(B123,input_settle_614100!L:R,7,FALSE),VLOOKUP(tables_settle_614100!C123,input_settle_614100!A:H,8,FALSE))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input_settle_614100!A$2</f>
        <v>614100</v>
      </c>
      <c r="B124" s="99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IFERROR(VLOOKUP(B124,input_settle_614100!L:R,7,FALSE),VLOOKUP(tables_settle_614100!C124,input_settle_614100!A:H,8,FALSE))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input_settle_614100!A$2</f>
        <v>614100</v>
      </c>
      <c r="B125" s="97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IFERROR(VLOOKUP(B125,input_settle_614100!L:R,7,FALSE),VLOOKUP(tables_settle_614100!C125,input_settle_614100!A:H,8,FALSE))</f>
        <v>1293750</v>
      </c>
      <c r="P125" s="46">
        <f t="shared" ca="1" si="4"/>
        <v>8.8917525773195873E-3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input_settle_614100!A$2</f>
        <v>614100</v>
      </c>
      <c r="B126" s="97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IFERROR(VLOOKUP(B126,input_settle_614100!L:R,7,FALSE),VLOOKUP(tables_settle_614100!C126,input_settle_614100!A:H,8,FALSE))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input_settle_614100!A$2</f>
        <v>614100</v>
      </c>
      <c r="B127" s="97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IFERROR(VLOOKUP(B127,input_settle_614100!L:R,7,FALSE),VLOOKUP(tables_settle_614100!C127,input_settle_614100!A:H,8,FALSE))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input_settle_614100!A$2</f>
        <v>614100</v>
      </c>
      <c r="B128" s="97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IFERROR(VLOOKUP(B128,input_settle_614100!L:R,7,FALSE),VLOOKUP(tables_settle_614100!C128,input_settle_614100!A:H,8,FALSE))</f>
        <v>1293750</v>
      </c>
      <c r="P128" s="46">
        <f t="shared" ca="1" si="4"/>
        <v>8.8917525773195873E-3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input_settle_614100!A$2</f>
        <v>614100</v>
      </c>
      <c r="B129" s="97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IFERROR(VLOOKUP(B129,input_settle_614100!L:R,7,FALSE),VLOOKUP(tables_settle_614100!C129,input_settle_614100!A:H,8,FALSE))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input_settle_614100!A$2</f>
        <v>614100</v>
      </c>
      <c r="B130" s="97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IFERROR(VLOOKUP(B130,input_settle_614100!L:R,7,FALSE),VLOOKUP(tables_settle_614100!C130,input_settle_614100!A:H,8,FALSE))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input_settle_614100!A$2</f>
        <v>614100</v>
      </c>
      <c r="B131" s="97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IFERROR(VLOOKUP(B131,input_settle_614100!L:R,7,FALSE),VLOOKUP(tables_settle_614100!C131,input_settle_614100!A:H,8,FALSE))</f>
        <v>1293750</v>
      </c>
      <c r="P131" s="46">
        <f t="shared" ca="1" si="7"/>
        <v>8.8917525773195873E-3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input_settle_614100!A$2</f>
        <v>614100</v>
      </c>
      <c r="B132" s="97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IFERROR(VLOOKUP(B132,input_settle_614100!L:R,7,FALSE),VLOOKUP(tables_settle_614100!C132,input_settle_614100!A:H,8,FALSE))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input_settle_614100!A$2</f>
        <v>614100</v>
      </c>
      <c r="B133" s="97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IFERROR(VLOOKUP(B133,input_settle_614100!L:R,7,FALSE),VLOOKUP(tables_settle_614100!C133,input_settle_614100!A:H,8,FALSE))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input_settle_614100!A$2</f>
        <v>614100</v>
      </c>
      <c r="B134" s="97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IFERROR(VLOOKUP(B134,input_settle_614100!L:R,7,FALSE),VLOOKUP(tables_settle_614100!C134,input_settle_614100!A:H,8,FALSE))</f>
        <v>1293750</v>
      </c>
      <c r="P134" s="46">
        <f t="shared" ca="1" si="7"/>
        <v>8.8917525773195873E-3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input_settle_614100!A$2</f>
        <v>614100</v>
      </c>
      <c r="B135" s="97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IFERROR(VLOOKUP(B135,input_settle_614100!L:R,7,FALSE),VLOOKUP(tables_settle_614100!C135,input_settle_614100!A:H,8,FALSE))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input_settle_614100!A$2</f>
        <v>614100</v>
      </c>
      <c r="B136" s="9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IFERROR(VLOOKUP(B136,input_settle_614100!L:R,7,FALSE),VLOOKUP(tables_settle_614100!C136,input_settle_614100!A:H,8,FALSE))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input_settle_614100!A$2</f>
        <v>614100</v>
      </c>
      <c r="B137" s="9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IFERROR(VLOOKUP(B137,input_settle_614100!L:R,7,FALSE),VLOOKUP(tables_settle_614100!C137,input_settle_614100!A:H,8,FALSE))</f>
        <v>1293750</v>
      </c>
      <c r="P137" s="46">
        <f t="shared" ca="1" si="7"/>
        <v>8.8917525773195873E-3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input_settle_614100!A$2</f>
        <v>614100</v>
      </c>
      <c r="B138" s="97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IFERROR(VLOOKUP(B138,input_settle_614100!L:R,7,FALSE),VLOOKUP(tables_settle_614100!C138,input_settle_614100!A:H,8,FALSE))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input_settle_614100!A$2</f>
        <v>614100</v>
      </c>
      <c r="B139" s="97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IFERROR(VLOOKUP(B139,input_settle_614100!L:R,7,FALSE),VLOOKUP(tables_settle_614100!C139,input_settle_614100!A:H,8,FALSE))</f>
        <v>91180</v>
      </c>
      <c r="P139" s="46">
        <f t="shared" ca="1" si="7"/>
        <v>6.2666666666666665E-4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input_settle_614100!A$2</f>
        <v>614100</v>
      </c>
      <c r="B140" s="97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IFERROR(VLOOKUP(B140,input_settle_614100!L:R,7,FALSE),VLOOKUP(tables_settle_614100!C140,input_settle_614100!A:H,8,FALSE))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input_settle_614100!A$2</f>
        <v>614100</v>
      </c>
      <c r="B141" s="97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IFERROR(VLOOKUP(B141,input_settle_614100!L:R,7,FALSE),VLOOKUP(tables_settle_614100!C141,input_settle_614100!A:H,8,FALSE))</f>
        <v>91180</v>
      </c>
      <c r="P141" s="46">
        <f t="shared" ca="1" si="7"/>
        <v>6.2666666666666665E-4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input_settle_614100!A$2</f>
        <v>614100</v>
      </c>
      <c r="B142" s="97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IFERROR(VLOOKUP(B142,input_settle_614100!L:R,7,FALSE),VLOOKUP(tables_settle_614100!C142,input_settle_614100!A:H,8,FALSE))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input_settle_614100!A$2</f>
        <v>614100</v>
      </c>
      <c r="B143" s="97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IFERROR(VLOOKUP(B143,input_settle_614100!L:R,7,FALSE),VLOOKUP(tables_settle_614100!C143,input_settle_614100!A:H,8,FALSE))</f>
        <v>91180</v>
      </c>
      <c r="P143" s="46">
        <f t="shared" ca="1" si="7"/>
        <v>6.2666666666666665E-4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input_settle_614100!A$2</f>
        <v>614100</v>
      </c>
      <c r="B144" s="97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IFERROR(VLOOKUP(B144,input_settle_614100!L:R,7,FALSE),VLOOKUP(tables_settle_614100!C144,input_settle_614100!A:H,8,FALSE))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input_settle_614100!A$2</f>
        <v>614100</v>
      </c>
      <c r="B145" s="97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IFERROR(VLOOKUP(B145,input_settle_614100!L:R,7,FALSE),VLOOKUP(tables_settle_614100!C145,input_settle_614100!A:H,8,FALSE))</f>
        <v>91180</v>
      </c>
      <c r="P145" s="46">
        <f t="shared" ca="1" si="7"/>
        <v>6.2666666666666665E-4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input_settle_614100!A$2</f>
        <v>614100</v>
      </c>
      <c r="B146" s="97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IFERROR(VLOOKUP(B146,input_settle_614100!L:R,7,FALSE),VLOOKUP(tables_settle_614100!C146,input_settle_614100!A:H,8,FALSE))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input_settle_614100!A$2</f>
        <v>614100</v>
      </c>
      <c r="B147" s="97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IFERROR(VLOOKUP(B147,input_settle_614100!L:R,7,FALSE),VLOOKUP(tables_settle_614100!C147,input_settle_614100!A:H,8,FALSE))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input_settle_614100!A$2</f>
        <v>614100</v>
      </c>
      <c r="B148" s="97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IFERROR(VLOOKUP(B148,input_settle_614100!L:R,7,FALSE),VLOOKUP(tables_settle_614100!C148,input_settle_614100!A:H,8,FALSE))</f>
        <v>1293750</v>
      </c>
      <c r="P148" s="46">
        <f t="shared" ca="1" si="7"/>
        <v>8.8917525773195873E-3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input_settle_614100!A$2</f>
        <v>614100</v>
      </c>
      <c r="B149" s="97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IFERROR(VLOOKUP(B149,input_settle_614100!L:R,7,FALSE),VLOOKUP(tables_settle_614100!C149,input_settle_614100!A:H,8,FALSE))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input_settle_614100!A$2</f>
        <v>614100</v>
      </c>
      <c r="B150" s="97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IFERROR(VLOOKUP(B150,input_settle_614100!L:R,7,FALSE),VLOOKUP(tables_settle_614100!C150,input_settle_614100!A:H,8,FALSE))</f>
        <v>91180</v>
      </c>
      <c r="P150" s="46">
        <f t="shared" ca="1" si="7"/>
        <v>6.2666666666666665E-4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input_settle_614100!A$2</f>
        <v>614100</v>
      </c>
      <c r="B151" s="97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IFERROR(VLOOKUP(B151,input_settle_614100!L:R,7,FALSE),VLOOKUP(tables_settle_614100!C151,input_settle_614100!A:H,8,FALSE))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input_settle_614100!A$2</f>
        <v>614100</v>
      </c>
      <c r="B152" s="97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IFERROR(VLOOKUP(B152,input_settle_614100!L:R,7,FALSE),VLOOKUP(tables_settle_614100!C152,input_settle_614100!A:H,8,FALSE))</f>
        <v>91180</v>
      </c>
      <c r="P152" s="46">
        <f t="shared" ca="1" si="7"/>
        <v>6.2666666666666665E-4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input_settle_614100!A$2</f>
        <v>614100</v>
      </c>
      <c r="B153" s="97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IFERROR(VLOOKUP(B153,input_settle_614100!L:R,7,FALSE),VLOOKUP(tables_settle_614100!C153,input_settle_614100!A:H,8,FALSE))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input_settle_614100!A$2</f>
        <v>614100</v>
      </c>
      <c r="B154" s="97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IFERROR(VLOOKUP(B154,input_settle_614100!L:R,7,FALSE),VLOOKUP(tables_settle_614100!C154,input_settle_614100!A:H,8,FALSE))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input_settle_614100!A$2</f>
        <v>614100</v>
      </c>
      <c r="B155" s="97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IFERROR(VLOOKUP(B155,input_settle_614100!L:R,7,FALSE),VLOOKUP(tables_settle_614100!C155,input_settle_614100!A:H,8,FALSE))</f>
        <v>1293750</v>
      </c>
      <c r="P155" s="46">
        <f t="shared" ca="1" si="7"/>
        <v>8.8917525773195873E-3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input_settle_614100!A$2</f>
        <v>614100</v>
      </c>
      <c r="B156" s="97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IFERROR(VLOOKUP(B156,input_settle_614100!L:R,7,FALSE),VLOOKUP(tables_settle_614100!C156,input_settle_614100!A:H,8,FALSE))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input_settle_614100!A$2</f>
        <v>614100</v>
      </c>
      <c r="B157" s="97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IFERROR(VLOOKUP(B157,input_settle_614100!L:R,7,FALSE),VLOOKUP(tables_settle_614100!C157,input_settle_614100!A:H,8,FALSE))</f>
        <v>91180</v>
      </c>
      <c r="P157" s="46">
        <f t="shared" ca="1" si="7"/>
        <v>6.2666666666666665E-4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input_settle_614100!A$2</f>
        <v>614100</v>
      </c>
      <c r="B158" s="97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IFERROR(VLOOKUP(B158,input_settle_614100!L:R,7,FALSE),VLOOKUP(tables_settle_614100!C158,input_settle_614100!A:H,8,FALSE))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input_settle_614100!A$2</f>
        <v>614100</v>
      </c>
      <c r="B159" s="97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IFERROR(VLOOKUP(B159,input_settle_614100!L:R,7,FALSE),VLOOKUP(tables_settle_614100!C159,input_settle_614100!A:H,8,FALSE))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input_settle_614100!A$2</f>
        <v>614100</v>
      </c>
      <c r="B160" s="97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IFERROR(VLOOKUP(B160,input_settle_614100!L:R,7,FALSE),VLOOKUP(tables_settle_614100!C160,input_settle_614100!A:H,8,FALSE))</f>
        <v>1293750</v>
      </c>
      <c r="P160" s="46">
        <f t="shared" ca="1" si="7"/>
        <v>8.8917525773195873E-3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input_settle_614100!A$2</f>
        <v>614100</v>
      </c>
      <c r="B161" s="97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IFERROR(VLOOKUP(B161,input_settle_614100!L:R,7,FALSE),VLOOKUP(tables_settle_614100!C161,input_settle_614100!A:H,8,FALSE))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input_settle_614100!A$2</f>
        <v>614100</v>
      </c>
      <c r="B162" s="97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IFERROR(VLOOKUP(B162,input_settle_614100!L:R,7,FALSE),VLOOKUP(tables_settle_614100!C162,input_settle_614100!A:H,8,FALSE))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input_settle_614100!A$2</f>
        <v>614100</v>
      </c>
      <c r="B163" s="97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IFERROR(VLOOKUP(B163,input_settle_614100!L:R,7,FALSE),VLOOKUP(tables_settle_614100!C163,input_settle_614100!A:H,8,FALSE))</f>
        <v>1293750</v>
      </c>
      <c r="P163" s="46">
        <f t="shared" ca="1" si="7"/>
        <v>8.8917525773195873E-3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input_settle_614100!A$2</f>
        <v>614100</v>
      </c>
      <c r="B164" s="97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IFERROR(VLOOKUP(B164,input_settle_614100!L:R,7,FALSE),VLOOKUP(tables_settle_614100!C164,input_settle_614100!A:H,8,FALSE))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input_settle_614100!A$2</f>
        <v>614100</v>
      </c>
      <c r="B165" s="97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IFERROR(VLOOKUP(B165,input_settle_614100!L:R,7,FALSE),VLOOKUP(tables_settle_614100!C165,input_settle_614100!A:H,8,FALSE))</f>
        <v>91180</v>
      </c>
      <c r="P165" s="46">
        <f t="shared" ca="1" si="7"/>
        <v>6.2666666666666665E-4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input_settle_614100!A$2</f>
        <v>614100</v>
      </c>
      <c r="B166" s="97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IFERROR(VLOOKUP(B166,input_settle_614100!L:R,7,FALSE),VLOOKUP(tables_settle_614100!C166,input_settle_614100!A:H,8,FALSE))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input_settle_614100!A$2</f>
        <v>614100</v>
      </c>
      <c r="B167" s="97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IFERROR(VLOOKUP(B167,input_settle_614100!L:R,7,FALSE),VLOOKUP(tables_settle_614100!C167,input_settle_614100!A:H,8,FALSE))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input_settle_614100!A$2</f>
        <v>614100</v>
      </c>
      <c r="B168" s="97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IFERROR(VLOOKUP(B168,input_settle_614100!L:R,7,FALSE),VLOOKUP(tables_settle_614100!C168,input_settle_614100!A:H,8,FALSE))</f>
        <v>1293750</v>
      </c>
      <c r="P168" s="46">
        <f t="shared" ca="1" si="7"/>
        <v>8.8917525773195873E-3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input_settle_614100!A$2</f>
        <v>614100</v>
      </c>
      <c r="B169" s="97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IFERROR(VLOOKUP(B169,input_settle_614100!L:R,7,FALSE),VLOOKUP(tables_settle_614100!C169,input_settle_614100!A:H,8,FALSE))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input_settle_614100!A$2</f>
        <v>614100</v>
      </c>
      <c r="B170" s="97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IFERROR(VLOOKUP(B170,input_settle_614100!L:R,7,FALSE),VLOOKUP(tables_settle_614100!C170,input_settle_614100!A:H,8,FALSE))</f>
        <v>91180</v>
      </c>
      <c r="P170" s="46">
        <f t="shared" ca="1" si="7"/>
        <v>6.2666666666666665E-4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input_settle_614100!A$2</f>
        <v>614100</v>
      </c>
      <c r="B171" s="97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IFERROR(VLOOKUP(B171,input_settle_614100!L:R,7,FALSE),VLOOKUP(tables_settle_614100!C171,input_settle_614100!A:H,8,FALSE))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input_settle_614100!A$2</f>
        <v>614100</v>
      </c>
      <c r="B172" s="97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IFERROR(VLOOKUP(B172,input_settle_614100!L:R,7,FALSE),VLOOKUP(tables_settle_614100!C172,input_settle_614100!A:H,8,FALSE))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input_settle_614100!A$2</f>
        <v>614100</v>
      </c>
      <c r="B173" s="97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IFERROR(VLOOKUP(B173,input_settle_614100!L:R,7,FALSE),VLOOKUP(tables_settle_614100!C173,input_settle_614100!A:H,8,FALSE))</f>
        <v>1293750</v>
      </c>
      <c r="P173" s="46">
        <f t="shared" ca="1" si="7"/>
        <v>8.8917525773195873E-3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input_settle_614100!A$2</f>
        <v>614100</v>
      </c>
      <c r="B174" s="97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IFERROR(VLOOKUP(B174,input_settle_614100!L:R,7,FALSE),VLOOKUP(tables_settle_614100!C174,input_settle_614100!A:H,8,FALSE))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input_settle_614100!A$2</f>
        <v>614100</v>
      </c>
      <c r="B175" s="97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IFERROR(VLOOKUP(B175,input_settle_614100!L:R,7,FALSE),VLOOKUP(tables_settle_614100!C175,input_settle_614100!A:H,8,FALSE))</f>
        <v>91180</v>
      </c>
      <c r="P175" s="46">
        <f t="shared" ca="1" si="7"/>
        <v>6.2666666666666665E-4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input_settle_614100!A$2</f>
        <v>614100</v>
      </c>
      <c r="B176" s="97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IFERROR(VLOOKUP(B176,input_settle_614100!L:R,7,FALSE),VLOOKUP(tables_settle_614100!C176,input_settle_614100!A:H,8,FALSE))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input_settle_614100!A$2</f>
        <v>614100</v>
      </c>
      <c r="B177" s="97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IFERROR(VLOOKUP(B177,input_settle_614100!L:R,7,FALSE),VLOOKUP(tables_settle_614100!C177,input_settle_614100!A:H,8,FALSE))</f>
        <v>91180</v>
      </c>
      <c r="P177" s="46">
        <f t="shared" ca="1" si="7"/>
        <v>6.2666666666666665E-4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input_settle_614100!A$2</f>
        <v>614100</v>
      </c>
      <c r="B178" s="97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IFERROR(VLOOKUP(B178,input_settle_614100!L:R,7,FALSE),VLOOKUP(tables_settle_614100!C178,input_settle_614100!A:H,8,FALSE))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input_settle_614100!A$2</f>
        <v>614100</v>
      </c>
      <c r="B179" s="97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IFERROR(VLOOKUP(B179,input_settle_614100!L:R,7,FALSE),VLOOKUP(tables_settle_614100!C179,input_settle_614100!A:H,8,FALSE))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input_settle_614100!A$2</f>
        <v>614100</v>
      </c>
      <c r="B180" s="97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IFERROR(VLOOKUP(B180,input_settle_614100!L:R,7,FALSE),VLOOKUP(tables_settle_614100!C180,input_settle_614100!A:H,8,FALSE))</f>
        <v>1293750</v>
      </c>
      <c r="P180" s="46">
        <f t="shared" ca="1" si="7"/>
        <v>8.8917525773195873E-3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input_settle_614100!A$2</f>
        <v>614100</v>
      </c>
      <c r="B181" s="97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IFERROR(VLOOKUP(B181,input_settle_614100!L:R,7,FALSE),VLOOKUP(tables_settle_614100!C181,input_settle_614100!A:H,8,FALSE))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input_settle_614100!A$2</f>
        <v>614100</v>
      </c>
      <c r="B182" s="97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IFERROR(VLOOKUP(B182,input_settle_614100!L:R,7,FALSE),VLOOKUP(tables_settle_614100!C182,input_settle_614100!A:H,8,FALSE))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input_settle_614100!A$2</f>
        <v>614100</v>
      </c>
      <c r="B183" s="97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IFERROR(VLOOKUP(B183,input_settle_614100!L:R,7,FALSE),VLOOKUP(tables_settle_614100!C183,input_settle_614100!A:H,8,FALSE))</f>
        <v>1293750</v>
      </c>
      <c r="P183" s="46">
        <f t="shared" ca="1" si="7"/>
        <v>8.8917525773195873E-3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input_settle_614100!A$2</f>
        <v>614100</v>
      </c>
      <c r="B184" s="97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IFERROR(VLOOKUP(B184,input_settle_614100!L:R,7,FALSE),VLOOKUP(tables_settle_614100!C184,input_settle_614100!A:H,8,FALSE))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input_settle_614100!A$2</f>
        <v>614100</v>
      </c>
      <c r="B185" s="97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IFERROR(VLOOKUP(B185,input_settle_614100!L:R,7,FALSE),VLOOKUP(tables_settle_614100!C185,input_settle_614100!A:H,8,FALSE))</f>
        <v>91180</v>
      </c>
      <c r="P185" s="46">
        <f t="shared" ca="1" si="7"/>
        <v>6.2666666666666665E-4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input_settle_614100!A$2</f>
        <v>614100</v>
      </c>
      <c r="B186" s="9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IFERROR(VLOOKUP(B186,input_settle_614100!L:R,7,FALSE),VLOOKUP(tables_settle_614100!C186,input_settle_614100!A:H,8,FALSE))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input_settle_614100!A$2</f>
        <v>614100</v>
      </c>
      <c r="B187" s="9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IFERROR(VLOOKUP(B187,input_settle_614100!L:R,7,FALSE),VLOOKUP(tables_settle_614100!C187,input_settle_614100!A:H,8,FALSE))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input_settle_614100!A$2</f>
        <v>614100</v>
      </c>
      <c r="B188" s="9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IFERROR(VLOOKUP(B188,input_settle_614100!L:R,7,FALSE),VLOOKUP(tables_settle_614100!C188,input_settle_614100!A:H,8,FALSE))</f>
        <v>1293750</v>
      </c>
      <c r="P188" s="46">
        <f t="shared" ca="1" si="7"/>
        <v>8.8917525773195873E-3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input_settle_614100!A$2</f>
        <v>614100</v>
      </c>
      <c r="B189" s="9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IFERROR(VLOOKUP(B189,input_settle_614100!L:R,7,FALSE),VLOOKUP(tables_settle_614100!C189,input_settle_614100!A:H,8,FALSE))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input_settle_614100!A$2</f>
        <v>614100</v>
      </c>
      <c r="B190" s="97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IFERROR(VLOOKUP(B190,input_settle_614100!L:R,7,FALSE),VLOOKUP(tables_settle_614100!C190,input_settle_614100!A:H,8,FALSE))</f>
        <v>91180</v>
      </c>
      <c r="P190" s="46">
        <f t="shared" ca="1" si="7"/>
        <v>6.2666666666666665E-4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input_settle_614100!A$2</f>
        <v>614100</v>
      </c>
      <c r="B191" s="97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IFERROR(VLOOKUP(B191,input_settle_614100!L:R,7,FALSE),VLOOKUP(tables_settle_614100!C191,input_settle_614100!A:H,8,FALSE))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input_settle_614100!A$2</f>
        <v>614100</v>
      </c>
      <c r="B192" s="97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IFERROR(VLOOKUP(B192,input_settle_614100!L:R,7,FALSE),VLOOKUP(tables_settle_614100!C192,input_settle_614100!A:H,8,FALSE))</f>
        <v>91180</v>
      </c>
      <c r="P192" s="46">
        <f t="shared" ca="1" si="7"/>
        <v>6.2666666666666665E-4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input_settle_614100!A$2</f>
        <v>614100</v>
      </c>
      <c r="B193" s="97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IFERROR(VLOOKUP(B193,input_settle_614100!L:R,7,FALSE),VLOOKUP(tables_settle_614100!C193,input_settle_614100!A:H,8,FALSE))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input_settle_614100!A$2</f>
        <v>614100</v>
      </c>
      <c r="B194" s="97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IFERROR(VLOOKUP(B194,input_settle_614100!L:R,7,FALSE),VLOOKUP(tables_settle_614100!C194,input_settle_614100!A:H,8,FALSE))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input_settle_614100!A$2</f>
        <v>614100</v>
      </c>
      <c r="B195" s="97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IFERROR(VLOOKUP(B195,input_settle_614100!L:R,7,FALSE),VLOOKUP(tables_settle_614100!C195,input_settle_614100!A:H,8,FALSE))</f>
        <v>1293750</v>
      </c>
      <c r="P195" s="46">
        <f t="shared" ca="1" si="10"/>
        <v>8.8917525773195873E-3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input_settle_614100!A$2</f>
        <v>614100</v>
      </c>
      <c r="B196" s="97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IFERROR(VLOOKUP(B196,input_settle_614100!L:R,7,FALSE),VLOOKUP(tables_settle_614100!C196,input_settle_614100!A:H,8,FALSE))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input_settle_614100!A$2</f>
        <v>614100</v>
      </c>
      <c r="B197" s="97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IFERROR(VLOOKUP(B197,input_settle_614100!L:R,7,FALSE),VLOOKUP(tables_settle_614100!C197,input_settle_614100!A:H,8,FALSE))</f>
        <v>91180</v>
      </c>
      <c r="P197" s="46">
        <f t="shared" ca="1" si="10"/>
        <v>6.2666666666666665E-4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input_settle_614100!A$2</f>
        <v>614100</v>
      </c>
      <c r="B198" s="97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IFERROR(VLOOKUP(B198,input_settle_614100!L:R,7,FALSE),VLOOKUP(tables_settle_614100!C198,input_settle_614100!A:H,8,FALSE))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input_settle_614100!A$2</f>
        <v>614100</v>
      </c>
      <c r="B199" s="97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IFERROR(VLOOKUP(B199,input_settle_614100!L:R,7,FALSE),VLOOKUP(tables_settle_614100!C199,input_settle_614100!A:H,8,FALSE))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input_settle_614100!A$2</f>
        <v>614100</v>
      </c>
      <c r="B200" s="97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IFERROR(VLOOKUP(B200,input_settle_614100!L:R,7,FALSE),VLOOKUP(tables_settle_614100!C200,input_settle_614100!A:H,8,FALSE))</f>
        <v>1293750</v>
      </c>
      <c r="P200" s="46">
        <f t="shared" ca="1" si="10"/>
        <v>8.8917525773195873E-3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input_settle_614100!A$2</f>
        <v>614100</v>
      </c>
      <c r="B201" s="97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IFERROR(VLOOKUP(B201,input_settle_614100!L:R,7,FALSE),VLOOKUP(tables_settle_614100!C201,input_settle_614100!A:H,8,FALSE))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input_settle_614100!A$2</f>
        <v>614100</v>
      </c>
      <c r="B202" s="97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IFERROR(VLOOKUP(B202,input_settle_614100!L:R,7,FALSE),VLOOKUP(tables_settle_614100!C202,input_settle_614100!A:H,8,FALSE))</f>
        <v>91180</v>
      </c>
      <c r="P202" s="46">
        <f t="shared" ca="1" si="10"/>
        <v>6.2666666666666665E-4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input_settle_614100!A$2</f>
        <v>614100</v>
      </c>
      <c r="B203" s="97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IFERROR(VLOOKUP(B203,input_settle_614100!L:R,7,FALSE),VLOOKUP(tables_settle_614100!C203,input_settle_614100!A:H,8,FALSE))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input_settle_614100!A$2</f>
        <v>614100</v>
      </c>
      <c r="B204" s="97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IFERROR(VLOOKUP(B204,input_settle_614100!L:R,7,FALSE),VLOOKUP(tables_settle_614100!C204,input_settle_614100!A:H,8,FALSE))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input_settle_614100!A$2</f>
        <v>614100</v>
      </c>
      <c r="B205" s="97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IFERROR(VLOOKUP(B205,input_settle_614100!L:R,7,FALSE),VLOOKUP(tables_settle_614100!C205,input_settle_614100!A:H,8,FALSE))</f>
        <v>1293750</v>
      </c>
      <c r="P205" s="46">
        <f t="shared" ca="1" si="10"/>
        <v>8.8917525773195873E-3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input_settle_614100!A$2</f>
        <v>614100</v>
      </c>
      <c r="B206" s="97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IFERROR(VLOOKUP(B206,input_settle_614100!L:R,7,FALSE),VLOOKUP(tables_settle_614100!C206,input_settle_614100!A:H,8,FALSE))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input_settle_614100!A$2</f>
        <v>614100</v>
      </c>
      <c r="B207" s="97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IFERROR(VLOOKUP(B207,input_settle_614100!L:R,7,FALSE),VLOOKUP(tables_settle_614100!C207,input_settle_614100!A:H,8,FALSE))</f>
        <v>91180</v>
      </c>
      <c r="P207" s="46">
        <f t="shared" ca="1" si="10"/>
        <v>6.2666666666666665E-4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input_settle_614100!A$2</f>
        <v>614100</v>
      </c>
      <c r="B208" s="97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IFERROR(VLOOKUP(B208,input_settle_614100!L:R,7,FALSE),VLOOKUP(tables_settle_614100!C208,input_settle_614100!A:H,8,FALSE))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input_settle_614100!A$2</f>
        <v>614100</v>
      </c>
      <c r="B209" s="97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IFERROR(VLOOKUP(B209,input_settle_614100!L:R,7,FALSE),VLOOKUP(tables_settle_614100!C209,input_settle_614100!A:H,8,FALSE))</f>
        <v>91180</v>
      </c>
      <c r="P209" s="46">
        <f t="shared" ca="1" si="10"/>
        <v>6.2666666666666665E-4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input_settle_614100!A$2</f>
        <v>614100</v>
      </c>
      <c r="B210" s="97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IFERROR(VLOOKUP(B210,input_settle_614100!L:R,7,FALSE),VLOOKUP(tables_settle_614100!C210,input_settle_614100!A:H,8,FALSE))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input_settle_614100!A$2</f>
        <v>614100</v>
      </c>
      <c r="B211" s="97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IFERROR(VLOOKUP(B211,input_settle_614100!L:R,7,FALSE),VLOOKUP(tables_settle_614100!C211,input_settle_614100!A:H,8,FALSE))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input_settle_614100!A$2</f>
        <v>614100</v>
      </c>
      <c r="B212" s="97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IFERROR(VLOOKUP(B212,input_settle_614100!L:R,7,FALSE),VLOOKUP(tables_settle_614100!C212,input_settle_614100!A:H,8,FALSE))</f>
        <v>1293750</v>
      </c>
      <c r="P212" s="46">
        <f t="shared" ca="1" si="10"/>
        <v>8.8917525773195873E-3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input_settle_614100!A$2</f>
        <v>614100</v>
      </c>
      <c r="B213" s="97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IFERROR(VLOOKUP(B213,input_settle_614100!L:R,7,FALSE),VLOOKUP(tables_settle_614100!C213,input_settle_614100!A:H,8,FALSE))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input_settle_614100!A$2</f>
        <v>614100</v>
      </c>
      <c r="B214" s="97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IFERROR(VLOOKUP(B214,input_settle_614100!L:R,7,FALSE),VLOOKUP(tables_settle_614100!C214,input_settle_614100!A:H,8,FALSE))</f>
        <v>91180</v>
      </c>
      <c r="P214" s="46">
        <f t="shared" ca="1" si="10"/>
        <v>6.2666666666666665E-4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input_settle_614100!A$2</f>
        <v>614100</v>
      </c>
      <c r="B215" s="97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IFERROR(VLOOKUP(B215,input_settle_614100!L:R,7,FALSE),VLOOKUP(tables_settle_614100!C215,input_settle_614100!A:H,8,FALSE))</f>
        <v>1350000</v>
      </c>
      <c r="P215" s="46">
        <f t="shared" ca="1" si="10"/>
        <v>9.2783505154639175E-3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input_settle_614100!A$2</f>
        <v>614100</v>
      </c>
      <c r="B216" s="97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IFERROR(VLOOKUP(B216,input_settle_614100!L:R,7,FALSE),VLOOKUP(tables_settle_614100!C216,input_settle_614100!A:H,8,FALSE))</f>
        <v>1350000</v>
      </c>
      <c r="P216" s="46">
        <f t="shared" ca="1" si="10"/>
        <v>9.2783505154639175E-3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input_settle_614100!A$2</f>
        <v>614100</v>
      </c>
      <c r="B217" s="97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IFERROR(VLOOKUP(B217,input_settle_614100!L:R,7,FALSE),VLOOKUP(tables_settle_614100!C217,input_settle_614100!A:H,8,FALSE))</f>
        <v>1350000</v>
      </c>
      <c r="P217" s="46">
        <f t="shared" ca="1" si="10"/>
        <v>9.2783505154639175E-3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input_settle_614100!A$2</f>
        <v>614100</v>
      </c>
      <c r="B218" s="97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IFERROR(VLOOKUP(B218,input_settle_614100!L:R,7,FALSE),VLOOKUP(tables_settle_614100!C218,input_settle_614100!A:H,8,FALSE))</f>
        <v>1350000</v>
      </c>
      <c r="P218" s="46">
        <f t="shared" ca="1" si="10"/>
        <v>9.2783505154639175E-3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input_settle_614100!A$2</f>
        <v>614100</v>
      </c>
      <c r="B219" s="97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IFERROR(VLOOKUP(B219,input_settle_614100!L:R,7,FALSE),VLOOKUP(tables_settle_614100!C219,input_settle_614100!A:H,8,FALSE))</f>
        <v>1350000</v>
      </c>
      <c r="P219" s="46">
        <f t="shared" ca="1" si="10"/>
        <v>9.2783505154639175E-3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input_settle_614100!A$2</f>
        <v>614100</v>
      </c>
      <c r="B220" s="97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IFERROR(VLOOKUP(B220,input_settle_614100!L:R,7,FALSE),VLOOKUP(tables_settle_614100!C220,input_settle_614100!A:H,8,FALSE))</f>
        <v>1350000</v>
      </c>
      <c r="P220" s="46">
        <f t="shared" ca="1" si="10"/>
        <v>9.2783505154639175E-3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input_settle_614100!A$2</f>
        <v>614100</v>
      </c>
      <c r="B221" s="97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IFERROR(VLOOKUP(B221,input_settle_614100!L:R,7,FALSE),VLOOKUP(tables_settle_614100!C221,input_settle_614100!A:H,8,FALSE))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input_settle_614100!A$2</f>
        <v>614100</v>
      </c>
      <c r="B222" s="97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IFERROR(VLOOKUP(B222,input_settle_614100!L:R,7,FALSE),VLOOKUP(tables_settle_614100!C222,input_settle_614100!A:H,8,FALSE))</f>
        <v>91180</v>
      </c>
      <c r="P222" s="46">
        <f t="shared" ca="1" si="10"/>
        <v>6.2666666666666665E-4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input_settle_614100!A$2</f>
        <v>614100</v>
      </c>
      <c r="B223" s="97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IFERROR(VLOOKUP(B223,input_settle_614100!L:R,7,FALSE),VLOOKUP(tables_settle_614100!C223,input_settle_614100!A:H,8,FALSE))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input_settle_614100!A$2</f>
        <v>614100</v>
      </c>
      <c r="B224" s="97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IFERROR(VLOOKUP(B224,input_settle_614100!L:R,7,FALSE),VLOOKUP(tables_settle_614100!C224,input_settle_614100!A:H,8,FALSE))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input_settle_614100!A$2</f>
        <v>614100</v>
      </c>
      <c r="B225" s="97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IFERROR(VLOOKUP(B225,input_settle_614100!L:R,7,FALSE),VLOOKUP(tables_settle_614100!C225,input_settle_614100!A:H,8,FALSE))</f>
        <v>1293750</v>
      </c>
      <c r="P225" s="46">
        <f t="shared" ca="1" si="10"/>
        <v>8.8917525773195873E-3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input_settle_614100!A$2</f>
        <v>614100</v>
      </c>
      <c r="B226" s="97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IFERROR(VLOOKUP(B226,input_settle_614100!L:R,7,FALSE),VLOOKUP(tables_settle_614100!C226,input_settle_614100!A:H,8,FALSE))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input_settle_614100!A$2</f>
        <v>614100</v>
      </c>
      <c r="B227" s="97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IFERROR(VLOOKUP(B227,input_settle_614100!L:R,7,FALSE),VLOOKUP(tables_settle_614100!C227,input_settle_614100!A:H,8,FALSE))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input_settle_614100!A$2</f>
        <v>614100</v>
      </c>
      <c r="B228" s="97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IFERROR(VLOOKUP(B228,input_settle_614100!L:R,7,FALSE),VLOOKUP(tables_settle_614100!C228,input_settle_614100!A:H,8,FALSE))</f>
        <v>1293750</v>
      </c>
      <c r="P228" s="46">
        <f t="shared" ca="1" si="10"/>
        <v>8.8917525773195873E-3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input_settle_614100!A$2</f>
        <v>614100</v>
      </c>
      <c r="B229" s="97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IFERROR(VLOOKUP(B229,input_settle_614100!L:R,7,FALSE),VLOOKUP(tables_settle_614100!C229,input_settle_614100!A:H,8,FALSE))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input_settle_614100!A$2</f>
        <v>614100</v>
      </c>
      <c r="B230" s="97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IFERROR(VLOOKUP(B230,input_settle_614100!L:R,7,FALSE),VLOOKUP(tables_settle_614100!C230,input_settle_614100!A:H,8,FALSE))</f>
        <v>91180</v>
      </c>
      <c r="P230" s="46">
        <f t="shared" ca="1" si="10"/>
        <v>6.2666666666666665E-4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input_settle_614100!A$2</f>
        <v>614100</v>
      </c>
      <c r="B231" s="97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IFERROR(VLOOKUP(B231,input_settle_614100!L:R,7,FALSE),VLOOKUP(tables_settle_614100!C231,input_settle_614100!A:H,8,FALSE))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input_settle_614100!A$2</f>
        <v>614100</v>
      </c>
      <c r="B232" s="97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IFERROR(VLOOKUP(B232,input_settle_614100!L:R,7,FALSE),VLOOKUP(tables_settle_614100!C232,input_settle_614100!A:H,8,FALSE))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input_settle_614100!A$2</f>
        <v>614100</v>
      </c>
      <c r="B233" s="97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IFERROR(VLOOKUP(B233,input_settle_614100!L:R,7,FALSE),VLOOKUP(tables_settle_614100!C233,input_settle_614100!A:H,8,FALSE))</f>
        <v>1293750</v>
      </c>
      <c r="P233" s="46">
        <f t="shared" ca="1" si="10"/>
        <v>8.8917525773195873E-3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input_settle_614100!A$2</f>
        <v>614100</v>
      </c>
      <c r="B234" s="97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IFERROR(VLOOKUP(B234,input_settle_614100!L:R,7,FALSE),VLOOKUP(tables_settle_614100!C234,input_settle_614100!A:H,8,FALSE))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input_settle_614100!A$2</f>
        <v>614100</v>
      </c>
      <c r="B235" s="97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IFERROR(VLOOKUP(B235,input_settle_614100!L:R,7,FALSE),VLOOKUP(tables_settle_614100!C235,input_settle_614100!A:H,8,FALSE))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input_settle_614100!A$2</f>
        <v>614100</v>
      </c>
      <c r="B236" s="97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IFERROR(VLOOKUP(B236,input_settle_614100!L:R,7,FALSE),VLOOKUP(tables_settle_614100!C236,input_settle_614100!A:H,8,FALSE))</f>
        <v>1293750</v>
      </c>
      <c r="P236" s="46">
        <f t="shared" ca="1" si="10"/>
        <v>8.8917525773195873E-3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input_settle_614100!A$2</f>
        <v>614100</v>
      </c>
      <c r="B237" s="97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IFERROR(VLOOKUP(B237,input_settle_614100!L:R,7,FALSE),VLOOKUP(tables_settle_614100!C237,input_settle_614100!A:H,8,FALSE))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input_settle_614100!A$2</f>
        <v>614100</v>
      </c>
      <c r="B238" s="97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IFERROR(VLOOKUP(B238,input_settle_614100!L:R,7,FALSE),VLOOKUP(tables_settle_614100!C238,input_settle_614100!A:H,8,FALSE))</f>
        <v>91180</v>
      </c>
      <c r="P238" s="46">
        <f t="shared" ca="1" si="10"/>
        <v>6.2666666666666665E-4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input_settle_614100!A$2</f>
        <v>614100</v>
      </c>
      <c r="B239" s="97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IFERROR(VLOOKUP(B239,input_settle_614100!L:R,7,FALSE),VLOOKUP(tables_settle_614100!C239,input_settle_614100!A:H,8,FALSE))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input_settle_614100!A$2</f>
        <v>614100</v>
      </c>
      <c r="B240" s="97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IFERROR(VLOOKUP(B240,input_settle_614100!L:R,7,FALSE),VLOOKUP(tables_settle_614100!C240,input_settle_614100!A:H,8,FALSE))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input_settle_614100!A$2</f>
        <v>614100</v>
      </c>
      <c r="B241" s="97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IFERROR(VLOOKUP(B241,input_settle_614100!L:R,7,FALSE),VLOOKUP(tables_settle_614100!C241,input_settle_614100!A:H,8,FALSE))</f>
        <v>1293750</v>
      </c>
      <c r="P241" s="46">
        <f t="shared" ca="1" si="10"/>
        <v>8.8917525773195873E-3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input_settle_614100!A$2</f>
        <v>614100</v>
      </c>
      <c r="B242" s="97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IFERROR(VLOOKUP(B242,input_settle_614100!L:R,7,FALSE),VLOOKUP(tables_settle_614100!C242,input_settle_614100!A:H,8,FALSE))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input_settle_614100!A$2</f>
        <v>614100</v>
      </c>
      <c r="B243" s="97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IFERROR(VLOOKUP(B243,input_settle_614100!L:R,7,FALSE),VLOOKUP(tables_settle_614100!C243,input_settle_614100!A:H,8,FALSE))</f>
        <v>91180</v>
      </c>
      <c r="P243" s="46">
        <f t="shared" ca="1" si="10"/>
        <v>6.2666666666666665E-4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input_settle_614100!A$2</f>
        <v>614100</v>
      </c>
      <c r="B244" s="97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IFERROR(VLOOKUP(B244,input_settle_614100!L:R,7,FALSE),VLOOKUP(tables_settle_614100!C244,input_settle_614100!A:H,8,FALSE))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input_settle_614100!A$2</f>
        <v>614100</v>
      </c>
      <c r="B245" s="97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IFERROR(VLOOKUP(B245,input_settle_614100!L:R,7,FALSE),VLOOKUP(tables_settle_614100!C245,input_settle_614100!A:H,8,FALSE))</f>
        <v>91180</v>
      </c>
      <c r="P245" s="46">
        <f t="shared" ca="1" si="10"/>
        <v>6.2666666666666665E-4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input_settle_614100!A$2</f>
        <v>614100</v>
      </c>
      <c r="B246" s="97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IFERROR(VLOOKUP(B246,input_settle_614100!L:R,7,FALSE),VLOOKUP(tables_settle_614100!C246,input_settle_614100!A:H,8,FALSE))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input_settle_614100!A$2</f>
        <v>614100</v>
      </c>
      <c r="B247" s="97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IFERROR(VLOOKUP(B247,input_settle_614100!L:R,7,FALSE),VLOOKUP(tables_settle_614100!C247,input_settle_614100!A:H,8,FALSE))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input_settle_614100!A$2</f>
        <v>614100</v>
      </c>
      <c r="B248" s="97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IFERROR(VLOOKUP(B248,input_settle_614100!L:R,7,FALSE),VLOOKUP(tables_settle_614100!C248,input_settle_614100!A:H,8,FALSE))</f>
        <v>1293750</v>
      </c>
      <c r="P248" s="46">
        <f t="shared" ca="1" si="10"/>
        <v>8.8917525773195873E-3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input_settle_614100!A$2</f>
        <v>614100</v>
      </c>
      <c r="B249" s="97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IFERROR(VLOOKUP(B249,input_settle_614100!L:R,7,FALSE),VLOOKUP(tables_settle_614100!C249,input_settle_614100!A:H,8,FALSE))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input_settle_614100!A$2</f>
        <v>614100</v>
      </c>
      <c r="B250" s="97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IFERROR(VLOOKUP(B250,input_settle_614100!L:R,7,FALSE),VLOOKUP(tables_settle_614100!C250,input_settle_614100!A:H,8,FALSE))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input_settle_614100!A$2</f>
        <v>614100</v>
      </c>
      <c r="B251" s="97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IFERROR(VLOOKUP(B251,input_settle_614100!L:R,7,FALSE),VLOOKUP(tables_settle_614100!C251,input_settle_614100!A:H,8,FALSE))</f>
        <v>1293750</v>
      </c>
      <c r="P251" s="46">
        <f t="shared" ca="1" si="10"/>
        <v>8.8917525773195873E-3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input_settle_614100!A$2</f>
        <v>614100</v>
      </c>
      <c r="B252" s="97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IFERROR(VLOOKUP(B252,input_settle_614100!L:R,7,FALSE),VLOOKUP(tables_settle_614100!C252,input_settle_614100!A:H,8,FALSE))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input_settle_614100!A$2</f>
        <v>614100</v>
      </c>
      <c r="B253" s="97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IFERROR(VLOOKUP(B253,input_settle_614100!L:R,7,FALSE),VLOOKUP(tables_settle_614100!C253,input_settle_614100!A:H,8,FALSE))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input_settle_614100!A$2</f>
        <v>614100</v>
      </c>
      <c r="B254" s="97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IFERROR(VLOOKUP(B254,input_settle_614100!L:R,7,FALSE),VLOOKUP(tables_settle_614100!C254,input_settle_614100!A:H,8,FALSE))</f>
        <v>1293750</v>
      </c>
      <c r="P254" s="46">
        <f t="shared" ca="1" si="10"/>
        <v>8.8917525773195873E-3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input_settle_614100!A$2</f>
        <v>614100</v>
      </c>
      <c r="B255" s="97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IFERROR(VLOOKUP(B255,input_settle_614100!L:R,7,FALSE),VLOOKUP(tables_settle_614100!C255,input_settle_614100!A:H,8,FALSE))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input_settle_614100!A$2</f>
        <v>614100</v>
      </c>
      <c r="B256" s="97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IFERROR(VLOOKUP(B256,input_settle_614100!L:R,7,FALSE),VLOOKUP(tables_settle_614100!C256,input_settle_614100!A:H,8,FALSE))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input_settle_614100!A$2</f>
        <v>614100</v>
      </c>
      <c r="B257" s="97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IFERROR(VLOOKUP(B257,input_settle_614100!L:R,7,FALSE),VLOOKUP(tables_settle_614100!C257,input_settle_614100!A:H,8,FALSE))</f>
        <v>1293750</v>
      </c>
      <c r="P257" s="46">
        <f t="shared" ca="1" si="10"/>
        <v>8.8917525773195873E-3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input_settle_614100!A$2</f>
        <v>614100</v>
      </c>
      <c r="B258" s="97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IFERROR(VLOOKUP(B258,input_settle_614100!L:R,7,FALSE),VLOOKUP(tables_settle_614100!C258,input_settle_614100!A:H,8,FALSE))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input_settle_614100!A$2</f>
        <v>614100</v>
      </c>
      <c r="B259" s="97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IFERROR(VLOOKUP(B259,input_settle_614100!L:R,7,FALSE),VLOOKUP(tables_settle_614100!C259,input_settle_614100!A:H,8,FALSE))</f>
        <v>91180</v>
      </c>
      <c r="P259" s="46">
        <f t="shared" ca="1" si="13"/>
        <v>6.2666666666666665E-4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input_settle_614100!A$2</f>
        <v>614100</v>
      </c>
      <c r="B260" s="97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IFERROR(VLOOKUP(B260,input_settle_614100!L:R,7,FALSE),VLOOKUP(tables_settle_614100!C260,input_settle_614100!A:H,8,FALSE))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input_settle_614100!A$2</f>
        <v>614100</v>
      </c>
      <c r="B261" s="97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IFERROR(VLOOKUP(B261,input_settle_614100!L:R,7,FALSE),VLOOKUP(tables_settle_614100!C261,input_settle_614100!A:H,8,FALSE))</f>
        <v>91180</v>
      </c>
      <c r="P261" s="46">
        <f t="shared" ca="1" si="13"/>
        <v>6.2666666666666665E-4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input_settle_614100!A$2</f>
        <v>614100</v>
      </c>
      <c r="B262" s="97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IFERROR(VLOOKUP(B262,input_settle_614100!L:R,7,FALSE),VLOOKUP(tables_settle_614100!C262,input_settle_614100!A:H,8,FALSE))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input_settle_614100!A$2</f>
        <v>614100</v>
      </c>
      <c r="B263" s="97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IFERROR(VLOOKUP(B263,input_settle_614100!L:R,7,FALSE),VLOOKUP(tables_settle_614100!C263,input_settle_614100!A:H,8,FALSE))</f>
        <v>1350000</v>
      </c>
      <c r="P263" s="46">
        <f t="shared" ca="1" si="13"/>
        <v>9.2783505154639175E-3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input_settle_614100!A$2</f>
        <v>614100</v>
      </c>
      <c r="B264" s="97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IFERROR(VLOOKUP(B264,input_settle_614100!L:R,7,FALSE),VLOOKUP(tables_settle_614100!C264,input_settle_614100!A:H,8,FALSE))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input_settle_614100!A$2</f>
        <v>614100</v>
      </c>
      <c r="B265" s="97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IFERROR(VLOOKUP(B265,input_settle_614100!L:R,7,FALSE),VLOOKUP(tables_settle_614100!C265,input_settle_614100!A:H,8,FALSE))</f>
        <v>1350000</v>
      </c>
      <c r="P265" s="46">
        <f t="shared" ca="1" si="13"/>
        <v>9.2783505154639175E-3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input_settle_614100!A$2</f>
        <v>614100</v>
      </c>
      <c r="B266" s="97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IFERROR(VLOOKUP(B266,input_settle_614100!L:R,7,FALSE),VLOOKUP(tables_settle_614100!C266,input_settle_614100!A:H,8,FALSE))</f>
        <v>91180</v>
      </c>
      <c r="P266" s="46">
        <f t="shared" ca="1" si="13"/>
        <v>6.2666666666666665E-4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input_settle_614100!A$2</f>
        <v>614100</v>
      </c>
      <c r="B267" s="97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IFERROR(VLOOKUP(B267,input_settle_614100!L:R,7,FALSE),VLOOKUP(tables_settle_614100!C267,input_settle_614100!A:H,8,FALSE))</f>
        <v>91180</v>
      </c>
      <c r="P267" s="46">
        <f t="shared" ca="1" si="13"/>
        <v>6.2666666666666665E-4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input_settle_614100!A$2</f>
        <v>614100</v>
      </c>
      <c r="B268" s="97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IFERROR(VLOOKUP(B268,input_settle_614100!L:R,7,FALSE),VLOOKUP(tables_settle_614100!C268,input_settle_614100!A:H,8,FALSE))</f>
        <v>91180</v>
      </c>
      <c r="P268" s="46">
        <f t="shared" ca="1" si="13"/>
        <v>6.2666666666666665E-4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input_settle_614100!A$2</f>
        <v>614100</v>
      </c>
      <c r="B269" s="97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IFERROR(VLOOKUP(B269,input_settle_614100!L:R,7,FALSE),VLOOKUP(tables_settle_614100!C269,input_settle_614100!A:H,8,FALSE))</f>
        <v>91180</v>
      </c>
      <c r="P269" s="46">
        <f t="shared" ca="1" si="13"/>
        <v>6.2666666666666665E-4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input_settle_614100!A$2</f>
        <v>614100</v>
      </c>
      <c r="B270" s="97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IFERROR(VLOOKUP(B270,input_settle_614100!L:R,7,FALSE),VLOOKUP(tables_settle_614100!C270,input_settle_614100!A:H,8,FALSE))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input_settle_614100!A$2</f>
        <v>614100</v>
      </c>
      <c r="B271" s="9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IFERROR(VLOOKUP(B271,input_settle_614100!L:R,7,FALSE),VLOOKUP(tables_settle_614100!C271,input_settle_614100!A:H,8,FALSE))</f>
        <v>1350000</v>
      </c>
      <c r="P271" s="46">
        <f t="shared" ca="1" si="13"/>
        <v>9.2783505154639175E-3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input_settle_614100!A$2</f>
        <v>614100</v>
      </c>
      <c r="B272" s="9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IFERROR(VLOOKUP(B272,input_settle_614100!L:R,7,FALSE),VLOOKUP(tables_settle_614100!C272,input_settle_614100!A:H,8,FALSE))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input_settle_614100!A$2</f>
        <v>614100</v>
      </c>
      <c r="B273" s="9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IFERROR(VLOOKUP(B273,input_settle_614100!L:R,7,FALSE),VLOOKUP(tables_settle_614100!C273,input_settle_614100!A:H,8,FALSE))</f>
        <v>1350000</v>
      </c>
      <c r="P273" s="46">
        <f t="shared" ca="1" si="13"/>
        <v>9.2783505154639175E-3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input_settle_614100!A$2</f>
        <v>614100</v>
      </c>
      <c r="B274" s="9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IFERROR(VLOOKUP(B274,input_settle_614100!L:R,7,FALSE),VLOOKUP(tables_settle_614100!C274,input_settle_614100!A:H,8,FALSE))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input_settle_614100!A$2</f>
        <v>614100</v>
      </c>
      <c r="B275" s="9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IFERROR(VLOOKUP(B275,input_settle_614100!L:R,7,FALSE),VLOOKUP(tables_settle_614100!C275,input_settle_614100!A:H,8,FALSE))</f>
        <v>91180</v>
      </c>
      <c r="P275" s="46">
        <f t="shared" ca="1" si="13"/>
        <v>6.2666666666666665E-4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input_settle_614100!A$2</f>
        <v>614100</v>
      </c>
      <c r="B276" s="9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IFERROR(VLOOKUP(B276,input_settle_614100!L:R,7,FALSE),VLOOKUP(tables_settle_614100!C276,input_settle_614100!A:H,8,FALSE))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input_settle_614100!A$2</f>
        <v>614100</v>
      </c>
      <c r="B277" s="9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IFERROR(VLOOKUP(B277,input_settle_614100!L:R,7,FALSE),VLOOKUP(tables_settle_614100!C277,input_settle_614100!A:H,8,FALSE))</f>
        <v>91180</v>
      </c>
      <c r="P277" s="46">
        <f t="shared" ca="1" si="13"/>
        <v>6.2666666666666665E-4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input_settle_614100!A$2</f>
        <v>614100</v>
      </c>
      <c r="B278" s="9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IFERROR(VLOOKUP(B278,input_settle_614100!L:R,7,FALSE),VLOOKUP(tables_settle_614100!C278,input_settle_614100!A:H,8,FALSE))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input_settle_614100!A$2</f>
        <v>614100</v>
      </c>
      <c r="B279" s="9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IFERROR(VLOOKUP(B279,input_settle_614100!L:R,7,FALSE),VLOOKUP(tables_settle_614100!C279,input_settle_614100!A:H,8,FALSE))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input_settle_614100!A$2</f>
        <v>614100</v>
      </c>
      <c r="B280" s="9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IFERROR(VLOOKUP(B280,input_settle_614100!L:R,7,FALSE),VLOOKUP(tables_settle_614100!C280,input_settle_614100!A:H,8,FALSE))</f>
        <v>1293750</v>
      </c>
      <c r="P280" s="46">
        <f t="shared" ca="1" si="13"/>
        <v>8.8917525773195873E-3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input_settle_614100!A$2</f>
        <v>614100</v>
      </c>
      <c r="B281" s="9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IFERROR(VLOOKUP(B281,input_settle_614100!L:R,7,FALSE),VLOOKUP(tables_settle_614100!C281,input_settle_614100!A:H,8,FALSE))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input_settle_614100!A$2</f>
        <v>614100</v>
      </c>
      <c r="B282" s="9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IFERROR(VLOOKUP(B282,input_settle_614100!L:R,7,FALSE),VLOOKUP(tables_settle_614100!C282,input_settle_614100!A:H,8,FALSE))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input_settle_614100!A$2</f>
        <v>614100</v>
      </c>
      <c r="B283" s="99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IFERROR(VLOOKUP(B283,input_settle_614100!L:R,7,FALSE),VLOOKUP(tables_settle_614100!C283,input_settle_614100!A:H,8,FALSE))</f>
        <v>1293750</v>
      </c>
      <c r="P283" s="46">
        <f t="shared" ca="1" si="13"/>
        <v>8.8917525773195873E-3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input_settle_614100!A$2</f>
        <v>614100</v>
      </c>
      <c r="B284" s="99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IFERROR(VLOOKUP(B284,input_settle_614100!L:R,7,FALSE),VLOOKUP(tables_settle_614100!C284,input_settle_614100!A:H,8,FALSE))</f>
        <v>91180</v>
      </c>
      <c r="P284" s="46">
        <f t="shared" ca="1" si="13"/>
        <v>6.2666666666666665E-4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input_settle_614100!A$2</f>
        <v>614100</v>
      </c>
      <c r="B285" s="99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IFERROR(VLOOKUP(B285,input_settle_614100!L:R,7,FALSE),VLOOKUP(tables_settle_614100!C285,input_settle_614100!A:H,8,FALSE))</f>
        <v>91180</v>
      </c>
      <c r="P285" s="46">
        <f t="shared" ca="1" si="13"/>
        <v>6.2666666666666665E-4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input_settle_614100!A$2</f>
        <v>614100</v>
      </c>
      <c r="B286" s="99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IFERROR(VLOOKUP(B286,input_settle_614100!L:R,7,FALSE),VLOOKUP(tables_settle_614100!C286,input_settle_614100!A:H,8,FALSE))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input_settle_614100!A$2</f>
        <v>614100</v>
      </c>
      <c r="B287" s="99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IFERROR(VLOOKUP(B287,input_settle_614100!L:R,7,FALSE),VLOOKUP(tables_settle_614100!C287,input_settle_614100!A:H,8,FALSE))</f>
        <v>1350000</v>
      </c>
      <c r="P287" s="46">
        <f t="shared" ca="1" si="13"/>
        <v>9.2783505154639175E-3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input_settle_614100!A$2</f>
        <v>614100</v>
      </c>
      <c r="B288" s="99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IFERROR(VLOOKUP(B288,input_settle_614100!L:R,7,FALSE),VLOOKUP(tables_settle_614100!C288,input_settle_614100!A:H,8,FALSE))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input_settle_614100!A$2</f>
        <v>614100</v>
      </c>
      <c r="B289" s="99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IFERROR(VLOOKUP(B289,input_settle_614100!L:R,7,FALSE),VLOOKUP(tables_settle_614100!C289,input_settle_614100!A:H,8,FALSE))</f>
        <v>1350000</v>
      </c>
      <c r="P289" s="46">
        <f t="shared" ca="1" si="13"/>
        <v>9.2783505154639175E-3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input_settle_614100!A$2</f>
        <v>614100</v>
      </c>
      <c r="B290" s="99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IFERROR(VLOOKUP(B290,input_settle_614100!L:R,7,FALSE),VLOOKUP(tables_settle_614100!C290,input_settle_614100!A:H,8,FALSE))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input_settle_614100!A$2</f>
        <v>614100</v>
      </c>
      <c r="B291" s="99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IFERROR(VLOOKUP(B291,input_settle_614100!L:R,7,FALSE),VLOOKUP(tables_settle_614100!C291,input_settle_614100!A:H,8,FALSE))</f>
        <v>1350000</v>
      </c>
      <c r="P291" s="46">
        <f t="shared" ca="1" si="13"/>
        <v>9.2783505154639175E-3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input_settle_614100!A$2</f>
        <v>614100</v>
      </c>
      <c r="B292" s="99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IFERROR(VLOOKUP(B292,input_settle_614100!L:R,7,FALSE),VLOOKUP(tables_settle_614100!C292,input_settle_614100!A:H,8,FALSE))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input_settle_614100!A$2</f>
        <v>614100</v>
      </c>
      <c r="B293" s="99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IFERROR(VLOOKUP(B293,input_settle_614100!L:R,7,FALSE),VLOOKUP(tables_settle_614100!C293,input_settle_614100!A:H,8,FALSE))</f>
        <v>1350000</v>
      </c>
      <c r="P293" s="46">
        <f t="shared" ca="1" si="13"/>
        <v>9.2783505154639175E-3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input_settle_614100!A$2</f>
        <v>614100</v>
      </c>
      <c r="B294" s="99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IFERROR(VLOOKUP(B294,input_settle_614100!L:R,7,FALSE),VLOOKUP(tables_settle_614100!C294,input_settle_614100!A:H,8,FALSE))</f>
        <v>91180</v>
      </c>
      <c r="P294" s="46">
        <f t="shared" ca="1" si="13"/>
        <v>6.2666666666666665E-4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input_settle_614100!A$2</f>
        <v>614100</v>
      </c>
      <c r="B295" s="99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IFERROR(VLOOKUP(B295,input_settle_614100!L:R,7,FALSE),VLOOKUP(tables_settle_614100!C295,input_settle_614100!A:H,8,FALSE))</f>
        <v>91180</v>
      </c>
      <c r="P295" s="46">
        <f t="shared" ca="1" si="13"/>
        <v>6.2666666666666665E-4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input_settle_614100!A$2</f>
        <v>614100</v>
      </c>
      <c r="B296" s="99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IFERROR(VLOOKUP(B296,input_settle_614100!L:R,7,FALSE),VLOOKUP(tables_settle_614100!C296,input_settle_614100!A:H,8,FALSE))</f>
        <v>91180</v>
      </c>
      <c r="P296" s="46">
        <f t="shared" ca="1" si="13"/>
        <v>6.2666666666666665E-4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input_settle_614100!A$2</f>
        <v>614100</v>
      </c>
      <c r="B297" s="99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IFERROR(VLOOKUP(B297,input_settle_614100!L:R,7,FALSE),VLOOKUP(tables_settle_614100!C297,input_settle_614100!A:H,8,FALSE))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input_settle_614100!A$2</f>
        <v>614100</v>
      </c>
      <c r="B298" s="99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IFERROR(VLOOKUP(B298,input_settle_614100!L:R,7,FALSE),VLOOKUP(tables_settle_614100!C298,input_settle_614100!A:H,8,FALSE))</f>
        <v>1350000</v>
      </c>
      <c r="P298" s="46">
        <f t="shared" ca="1" si="13"/>
        <v>9.2783505154639175E-3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input_settle_614100!A$2</f>
        <v>614100</v>
      </c>
      <c r="B299" s="99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IFERROR(VLOOKUP(B299,input_settle_614100!L:R,7,FALSE),VLOOKUP(tables_settle_614100!C299,input_settle_614100!A:H,8,FALSE))</f>
        <v>91180</v>
      </c>
      <c r="P299" s="46">
        <f t="shared" ca="1" si="13"/>
        <v>6.2666666666666665E-4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input_settle_614100!A$2</f>
        <v>614100</v>
      </c>
      <c r="B300" s="99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IFERROR(VLOOKUP(B300,input_settle_614100!L:R,7,FALSE),VLOOKUP(tables_settle_614100!C300,input_settle_614100!A:H,8,FALSE))</f>
        <v>91180</v>
      </c>
      <c r="P300" s="46">
        <f t="shared" ca="1" si="13"/>
        <v>6.2666666666666665E-4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input_settle_614100!A$2</f>
        <v>614100</v>
      </c>
      <c r="B301" s="99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IFERROR(VLOOKUP(B301,input_settle_614100!L:R,7,FALSE),VLOOKUP(tables_settle_614100!C301,input_settle_614100!A:H,8,FALSE))</f>
        <v>91180</v>
      </c>
      <c r="P301" s="46">
        <f t="shared" ca="1" si="13"/>
        <v>6.2666666666666665E-4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input_settle_614100!A$2</f>
        <v>614100</v>
      </c>
      <c r="B302" s="99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IFERROR(VLOOKUP(B302,input_settle_614100!L:R,7,FALSE),VLOOKUP(tables_settle_614100!C302,input_settle_614100!A:H,8,FALSE))</f>
        <v>91180</v>
      </c>
      <c r="P302" s="46">
        <f t="shared" ca="1" si="13"/>
        <v>6.2666666666666665E-4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input_settle_614100!A$2</f>
        <v>614100</v>
      </c>
      <c r="B303" s="99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IFERROR(VLOOKUP(B303,input_settle_614100!L:R,7,FALSE),VLOOKUP(tables_settle_614100!C303,input_settle_614100!A:H,8,FALSE))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input_settle_614100!A$2</f>
        <v>614100</v>
      </c>
      <c r="B304" s="99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IFERROR(VLOOKUP(B304,input_settle_614100!L:R,7,FALSE),VLOOKUP(tables_settle_614100!C304,input_settle_614100!A:H,8,FALSE))</f>
        <v>1350000</v>
      </c>
      <c r="P304" s="46">
        <f t="shared" ca="1" si="13"/>
        <v>9.2783505154639175E-3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input_settle_614100!A$2</f>
        <v>614100</v>
      </c>
      <c r="B305" s="99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IFERROR(VLOOKUP(B305,input_settle_614100!L:R,7,FALSE),VLOOKUP(tables_settle_614100!C305,input_settle_614100!A:H,8,FALSE))</f>
        <v>91180</v>
      </c>
      <c r="P305" s="46">
        <f t="shared" ca="1" si="13"/>
        <v>6.2666666666666665E-4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input_settle_614100!A$2</f>
        <v>614100</v>
      </c>
      <c r="B306" s="99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IFERROR(VLOOKUP(B306,input_settle_614100!L:R,7,FALSE),VLOOKUP(tables_settle_614100!C306,input_settle_614100!A:H,8,FALSE))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input_settle_614100!A$2</f>
        <v>614100</v>
      </c>
      <c r="B307" s="99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IFERROR(VLOOKUP(B307,input_settle_614100!L:R,7,FALSE),VLOOKUP(tables_settle_614100!C307,input_settle_614100!A:H,8,FALSE))</f>
        <v>1350000</v>
      </c>
      <c r="P307" s="46">
        <f t="shared" ca="1" si="13"/>
        <v>9.2783505154639175E-3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input_settle_614100!A$2</f>
        <v>614100</v>
      </c>
      <c r="B308" s="99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IFERROR(VLOOKUP(B308,input_settle_614100!L:R,7,FALSE),VLOOKUP(tables_settle_614100!C308,input_settle_614100!A:H,8,FALSE))</f>
        <v>91180</v>
      </c>
      <c r="P308" s="46">
        <f t="shared" ca="1" si="13"/>
        <v>6.2666666666666665E-4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input_settle_614100!A$2</f>
        <v>614100</v>
      </c>
      <c r="B309" s="99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IFERROR(VLOOKUP(B309,input_settle_614100!L:R,7,FALSE),VLOOKUP(tables_settle_614100!C309,input_settle_614100!A:H,8,FALSE))</f>
        <v>91180</v>
      </c>
      <c r="P309" s="46">
        <f t="shared" ca="1" si="13"/>
        <v>6.2666666666666665E-4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input_settle_614100!A$2</f>
        <v>614100</v>
      </c>
      <c r="B310" s="99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IFERROR(VLOOKUP(B310,input_settle_614100!L:R,7,FALSE),VLOOKUP(tables_settle_614100!C310,input_settle_614100!A:H,8,FALSE))</f>
        <v>91180</v>
      </c>
      <c r="P310" s="46">
        <f t="shared" ca="1" si="13"/>
        <v>6.2666666666666665E-4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input_settle_614100!A$2</f>
        <v>614100</v>
      </c>
      <c r="B311" s="99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IFERROR(VLOOKUP(B311,input_settle_614100!L:R,7,FALSE),VLOOKUP(tables_settle_614100!C311,input_settle_614100!A:H,8,FALSE))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input_settle_614100!A$2</f>
        <v>614100</v>
      </c>
      <c r="B312" s="99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IFERROR(VLOOKUP(B312,input_settle_614100!L:R,7,FALSE),VLOOKUP(tables_settle_614100!C312,input_settle_614100!A:H,8,FALSE))</f>
        <v>1350000</v>
      </c>
      <c r="P312" s="46">
        <f t="shared" ca="1" si="13"/>
        <v>9.2783505154639175E-3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input_settle_614100!A$2</f>
        <v>614100</v>
      </c>
      <c r="B313" s="99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IFERROR(VLOOKUP(B313,input_settle_614100!L:R,7,FALSE),VLOOKUP(tables_settle_614100!C313,input_settle_614100!A:H,8,FALSE))</f>
        <v>91180</v>
      </c>
      <c r="P313" s="46">
        <f t="shared" ca="1" si="13"/>
        <v>6.2666666666666665E-4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input_settle_614100!A$2</f>
        <v>614100</v>
      </c>
      <c r="B314" s="99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IFERROR(VLOOKUP(B314,input_settle_614100!L:R,7,FALSE),VLOOKUP(tables_settle_614100!C314,input_settle_614100!A:H,8,FALSE))</f>
        <v>91180</v>
      </c>
      <c r="P314" s="46">
        <f t="shared" ca="1" si="13"/>
        <v>6.2666666666666665E-4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input_settle_614100!A$2</f>
        <v>614100</v>
      </c>
      <c r="B315" s="99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IFERROR(VLOOKUP(B315,input_settle_614100!L:R,7,FALSE),VLOOKUP(tables_settle_614100!C315,input_settle_614100!A:H,8,FALSE))</f>
        <v>91180</v>
      </c>
      <c r="P315" s="46">
        <f t="shared" ca="1" si="13"/>
        <v>6.2666666666666665E-4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input_settle_614100!A$2</f>
        <v>614100</v>
      </c>
      <c r="B316" s="99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IFERROR(VLOOKUP(B316,input_settle_614100!L:R,7,FALSE),VLOOKUP(tables_settle_614100!C316,input_settle_614100!A:H,8,FALSE))</f>
        <v>91180</v>
      </c>
      <c r="P316" s="46">
        <f t="shared" ca="1" si="13"/>
        <v>6.2666666666666665E-4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input_settle_614100!A$2</f>
        <v>614100</v>
      </c>
      <c r="B317" s="99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IFERROR(VLOOKUP(B317,input_settle_614100!L:R,7,FALSE),VLOOKUP(tables_settle_614100!C317,input_settle_614100!A:H,8,FALSE))</f>
        <v>91180</v>
      </c>
      <c r="P317" s="46">
        <f t="shared" ca="1" si="13"/>
        <v>6.2666666666666665E-4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input_settle_614100!A$2</f>
        <v>614100</v>
      </c>
      <c r="B318" s="99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IFERROR(VLOOKUP(B318,input_settle_614100!L:R,7,FALSE),VLOOKUP(tables_settle_614100!C318,input_settle_614100!A:H,8,FALSE))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input_settle_614100!A$2</f>
        <v>614100</v>
      </c>
      <c r="B319" s="99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IFERROR(VLOOKUP(B319,input_settle_614100!L:R,7,FALSE),VLOOKUP(tables_settle_614100!C319,input_settle_614100!A:H,8,FALSE))</f>
        <v>1350000</v>
      </c>
      <c r="P319" s="46">
        <f t="shared" ca="1" si="13"/>
        <v>9.2783505154639175E-3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input_settle_614100!A$2</f>
        <v>614100</v>
      </c>
      <c r="B320" s="99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IFERROR(VLOOKUP(B320,input_settle_614100!L:R,7,FALSE),VLOOKUP(tables_settle_614100!C320,input_settle_614100!A:H,8,FALSE))</f>
        <v>91180</v>
      </c>
      <c r="P320" s="46">
        <f t="shared" ca="1" si="13"/>
        <v>6.2666666666666665E-4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input_settle_614100!A$2</f>
        <v>614100</v>
      </c>
      <c r="B321" s="99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IFERROR(VLOOKUP(B321,input_settle_614100!L:R,7,FALSE),VLOOKUP(tables_settle_614100!C321,input_settle_614100!A:H,8,FALSE))</f>
        <v>91180</v>
      </c>
      <c r="P321" s="46">
        <f t="shared" ca="1" si="13"/>
        <v>6.2666666666666665E-4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input_settle_614100!A$2</f>
        <v>614100</v>
      </c>
      <c r="B322" s="99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IFERROR(VLOOKUP(B322,input_settle_614100!L:R,7,FALSE),VLOOKUP(tables_settle_614100!C322,input_settle_614100!A:H,8,FALSE))</f>
        <v>91180</v>
      </c>
      <c r="P322" s="46">
        <f t="shared" ref="P322:P365" ca="1" si="16">O322/SUM(O:O)</f>
        <v>6.2666666666666665E-4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input_settle_614100!A$2</f>
        <v>614100</v>
      </c>
      <c r="B323" s="99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IFERROR(VLOOKUP(B323,input_settle_614100!L:R,7,FALSE),VLOOKUP(tables_settle_614100!C323,input_settle_614100!A:H,8,FALSE))</f>
        <v>91180</v>
      </c>
      <c r="P323" s="46">
        <f t="shared" ca="1" si="16"/>
        <v>6.2666666666666665E-4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input_settle_614100!A$2</f>
        <v>614100</v>
      </c>
      <c r="B324" s="99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IFERROR(VLOOKUP(B324,input_settle_614100!L:R,7,FALSE),VLOOKUP(tables_settle_614100!C324,input_settle_614100!A:H,8,FALSE))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input_settle_614100!A$2</f>
        <v>614100</v>
      </c>
      <c r="B325" s="99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IFERROR(VLOOKUP(B325,input_settle_614100!L:R,7,FALSE),VLOOKUP(tables_settle_614100!C325,input_settle_614100!A:H,8,FALSE))</f>
        <v>1350000</v>
      </c>
      <c r="P325" s="46">
        <f t="shared" ca="1" si="16"/>
        <v>9.2783505154639175E-3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input_settle_614100!A$2</f>
        <v>614100</v>
      </c>
      <c r="B326" s="99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IFERROR(VLOOKUP(B326,input_settle_614100!L:R,7,FALSE),VLOOKUP(tables_settle_614100!C326,input_settle_614100!A:H,8,FALSE))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input_settle_614100!A$2</f>
        <v>614100</v>
      </c>
      <c r="B327" s="99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IFERROR(VLOOKUP(B327,input_settle_614100!L:R,7,FALSE),VLOOKUP(tables_settle_614100!C327,input_settle_614100!A:H,8,FALSE))</f>
        <v>1350000</v>
      </c>
      <c r="P327" s="46">
        <f t="shared" ca="1" si="16"/>
        <v>9.2783505154639175E-3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input_settle_614100!A$2</f>
        <v>614100</v>
      </c>
      <c r="B328" s="99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IFERROR(VLOOKUP(B328,input_settle_614100!L:R,7,FALSE),VLOOKUP(tables_settle_614100!C328,input_settle_614100!A:H,8,FALSE))</f>
        <v>91180</v>
      </c>
      <c r="P328" s="46">
        <f t="shared" ca="1" si="16"/>
        <v>6.2666666666666665E-4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input_settle_614100!A$2</f>
        <v>614100</v>
      </c>
      <c r="B329" s="99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IFERROR(VLOOKUP(B329,input_settle_614100!L:R,7,FALSE),VLOOKUP(tables_settle_614100!C329,input_settle_614100!A:H,8,FALSE))</f>
        <v>91180</v>
      </c>
      <c r="P329" s="46">
        <f t="shared" ca="1" si="16"/>
        <v>6.2666666666666665E-4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input_settle_614100!A$2</f>
        <v>614100</v>
      </c>
      <c r="B330" s="99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IFERROR(VLOOKUP(B330,input_settle_614100!L:R,7,FALSE),VLOOKUP(tables_settle_614100!C330,input_settle_614100!A:H,8,FALSE))</f>
        <v>91180</v>
      </c>
      <c r="P330" s="46">
        <f t="shared" ca="1" si="16"/>
        <v>6.2666666666666665E-4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input_settle_614100!A$2</f>
        <v>614100</v>
      </c>
      <c r="B331" s="97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IFERROR(VLOOKUP(B331,input_settle_614100!L:R,7,FALSE),VLOOKUP(tables_settle_614100!C331,input_settle_614100!A:H,8,FALSE))</f>
        <v>91180</v>
      </c>
      <c r="P331" s="46">
        <f t="shared" ca="1" si="16"/>
        <v>6.2666666666666665E-4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input_settle_614100!A$2</f>
        <v>614100</v>
      </c>
      <c r="B332" s="97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IFERROR(VLOOKUP(B332,input_settle_614100!L:R,7,FALSE),VLOOKUP(tables_settle_614100!C332,input_settle_614100!A:H,8,FALSE))</f>
        <v>91180</v>
      </c>
      <c r="P332" s="46">
        <f t="shared" ca="1" si="16"/>
        <v>6.2666666666666665E-4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input_settle_614100!A$2</f>
        <v>614100</v>
      </c>
      <c r="B333" s="97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IFERROR(VLOOKUP(B333,input_settle_614100!L:R,7,FALSE),VLOOKUP(tables_settle_614100!C333,input_settle_614100!A:H,8,FALSE))</f>
        <v>91180</v>
      </c>
      <c r="P333" s="46">
        <f t="shared" ca="1" si="16"/>
        <v>6.2666666666666665E-4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input_settle_614100!A$2</f>
        <v>614100</v>
      </c>
      <c r="B334" s="98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IFERROR(VLOOKUP(B334,input_settle_614100!L:R,7,FALSE),VLOOKUP(tables_settle_614100!C334,input_settle_614100!A:H,8,FALSE))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input_settle_614100!A$2</f>
        <v>614100</v>
      </c>
      <c r="B335" s="97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IFERROR(VLOOKUP(B335,input_settle_614100!L:R,7,FALSE),VLOOKUP(tables_settle_614100!C335,input_settle_614100!A:H,8,FALSE))</f>
        <v>1350000</v>
      </c>
      <c r="P335" s="46">
        <f t="shared" ca="1" si="16"/>
        <v>9.2783505154639175E-3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input_settle_614100!A$2</f>
        <v>614100</v>
      </c>
      <c r="B336" s="99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IFERROR(VLOOKUP(B336,input_settle_614100!L:R,7,FALSE),VLOOKUP(tables_settle_614100!C336,input_settle_614100!A:H,8,FALSE))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input_settle_614100!A$2</f>
        <v>614100</v>
      </c>
      <c r="B337" s="99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IFERROR(VLOOKUP(B337,input_settle_614100!L:R,7,FALSE),VLOOKUP(tables_settle_614100!C337,input_settle_614100!A:H,8,FALSE))</f>
        <v>1350000</v>
      </c>
      <c r="P337" s="46">
        <f t="shared" ca="1" si="16"/>
        <v>9.2783505154639175E-3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input_settle_614100!A$2</f>
        <v>614100</v>
      </c>
      <c r="B338" s="99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IFERROR(VLOOKUP(B338,input_settle_614100!L:R,7,FALSE),VLOOKUP(tables_settle_614100!C338,input_settle_614100!A:H,8,FALSE))</f>
        <v>91180</v>
      </c>
      <c r="P338" s="46">
        <f t="shared" ca="1" si="16"/>
        <v>6.2666666666666665E-4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input_settle_614100!A$2</f>
        <v>614100</v>
      </c>
      <c r="B339" s="99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IFERROR(VLOOKUP(B339,input_settle_614100!L:R,7,FALSE),VLOOKUP(tables_settle_614100!C339,input_settle_614100!A:H,8,FALSE))</f>
        <v>91180</v>
      </c>
      <c r="P339" s="46">
        <f t="shared" ca="1" si="16"/>
        <v>6.2666666666666665E-4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input_settle_614100!A$2</f>
        <v>614100</v>
      </c>
      <c r="B340" s="99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IFERROR(VLOOKUP(B340,input_settle_614100!L:R,7,FALSE),VLOOKUP(tables_settle_614100!C340,input_settle_614100!A:H,8,FALSE))</f>
        <v>91180</v>
      </c>
      <c r="P340" s="46">
        <f t="shared" ca="1" si="16"/>
        <v>6.2666666666666665E-4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input_settle_614100!A$2</f>
        <v>614100</v>
      </c>
      <c r="B341" s="99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IFERROR(VLOOKUP(B341,input_settle_614100!L:R,7,FALSE),VLOOKUP(tables_settle_614100!C341,input_settle_614100!A:H,8,FALSE))</f>
        <v>91180</v>
      </c>
      <c r="P341" s="46">
        <f t="shared" ca="1" si="16"/>
        <v>6.2666666666666665E-4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input_settle_614100!A$2</f>
        <v>614100</v>
      </c>
      <c r="B342" s="99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IFERROR(VLOOKUP(B342,input_settle_614100!L:R,7,FALSE),VLOOKUP(tables_settle_614100!C342,input_settle_614100!A:H,8,FALSE))</f>
        <v>91180</v>
      </c>
      <c r="P342" s="46">
        <f t="shared" ca="1" si="16"/>
        <v>6.2666666666666665E-4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input_settle_614100!A$2</f>
        <v>614100</v>
      </c>
      <c r="B343" s="99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IFERROR(VLOOKUP(B343,input_settle_614100!L:R,7,FALSE),VLOOKUP(tables_settle_614100!C343,input_settle_614100!A:H,8,FALSE))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input_settle_614100!A$2</f>
        <v>614100</v>
      </c>
      <c r="B344" s="99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IFERROR(VLOOKUP(B344,input_settle_614100!L:R,7,FALSE),VLOOKUP(tables_settle_614100!C344,input_settle_614100!A:H,8,FALSE))</f>
        <v>1350000</v>
      </c>
      <c r="P344" s="46">
        <f t="shared" ca="1" si="16"/>
        <v>9.2783505154639175E-3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input_settle_614100!A$2</f>
        <v>614100</v>
      </c>
      <c r="B345" s="99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IFERROR(VLOOKUP(B345,input_settle_614100!L:R,7,FALSE),VLOOKUP(tables_settle_614100!C345,input_settle_614100!A:H,8,FALSE))</f>
        <v>91180</v>
      </c>
      <c r="P345" s="46">
        <f t="shared" ca="1" si="16"/>
        <v>6.2666666666666665E-4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input_settle_614100!A$2</f>
        <v>614100</v>
      </c>
      <c r="B346" s="99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IFERROR(VLOOKUP(B346,input_settle_614100!L:R,7,FALSE),VLOOKUP(tables_settle_614100!C346,input_settle_614100!A:H,8,FALSE))</f>
        <v>91180</v>
      </c>
      <c r="P346" s="46">
        <f t="shared" ca="1" si="16"/>
        <v>6.2666666666666665E-4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input_settle_614100!A$2</f>
        <v>614100</v>
      </c>
      <c r="B347" s="99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IFERROR(VLOOKUP(B347,input_settle_614100!L:R,7,FALSE),VLOOKUP(tables_settle_614100!C347,input_settle_614100!A:H,8,FALSE))</f>
        <v>91180</v>
      </c>
      <c r="P347" s="46">
        <f t="shared" ca="1" si="16"/>
        <v>6.2666666666666665E-4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input_settle_614100!A$2</f>
        <v>614100</v>
      </c>
      <c r="B348" s="99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IFERROR(VLOOKUP(B348,input_settle_614100!L:R,7,FALSE),VLOOKUP(tables_settle_614100!C348,input_settle_614100!A:H,8,FALSE))</f>
        <v>91180</v>
      </c>
      <c r="P348" s="46">
        <f t="shared" ca="1" si="16"/>
        <v>6.2666666666666665E-4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input_settle_614100!A$2</f>
        <v>614100</v>
      </c>
      <c r="B349" s="99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IFERROR(VLOOKUP(B349,input_settle_614100!L:R,7,FALSE),VLOOKUP(tables_settle_614100!C349,input_settle_614100!A:H,8,FALSE))</f>
        <v>0</v>
      </c>
      <c r="P349" s="46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input_settle_614100!A$2</f>
        <v>614100</v>
      </c>
      <c r="B350" s="99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IFERROR(VLOOKUP(B350,input_settle_614100!L:R,7,FALSE),VLOOKUP(tables_settle_614100!C350,input_settle_614100!A:H,8,FALSE))</f>
        <v>1350000</v>
      </c>
      <c r="P350" s="46">
        <f t="shared" ca="1" si="16"/>
        <v>9.2783505154639175E-3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input_settle_614100!A$2</f>
        <v>614100</v>
      </c>
      <c r="B351" s="99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IFERROR(VLOOKUP(B351,input_settle_614100!L:R,7,FALSE),VLOOKUP(tables_settle_614100!C351,input_settle_614100!A:H,8,FALSE))</f>
        <v>91180</v>
      </c>
      <c r="P351" s="46">
        <f t="shared" ca="1" si="16"/>
        <v>6.2666666666666665E-4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input_settle_614100!A$2</f>
        <v>614100</v>
      </c>
      <c r="B352" s="99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IFERROR(VLOOKUP(B352,input_settle_614100!L:R,7,FALSE),VLOOKUP(tables_settle_614100!C352,input_settle_614100!A:H,8,FALSE))</f>
        <v>91180</v>
      </c>
      <c r="P352" s="46">
        <f t="shared" ca="1" si="16"/>
        <v>6.2666666666666665E-4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input_settle_614100!A$2</f>
        <v>614100</v>
      </c>
      <c r="B353" s="99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IFERROR(VLOOKUP(B353,input_settle_614100!L:R,7,FALSE),VLOOKUP(tables_settle_614100!C353,input_settle_614100!A:H,8,FALSE))</f>
        <v>91180</v>
      </c>
      <c r="P353" s="46">
        <f t="shared" ca="1" si="16"/>
        <v>6.2666666666666665E-4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input_settle_614100!A$2</f>
        <v>614100</v>
      </c>
      <c r="B354" s="99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IFERROR(VLOOKUP(B354,input_settle_614100!L:R,7,FALSE),VLOOKUP(tables_settle_614100!C354,input_settle_614100!A:H,8,FALSE))</f>
        <v>0</v>
      </c>
      <c r="P354" s="46">
        <f t="shared" ca="1" si="1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input_settle_614100!A$2</f>
        <v>614100</v>
      </c>
      <c r="B355" s="99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IFERROR(VLOOKUP(B355,input_settle_614100!L:R,7,FALSE),VLOOKUP(tables_settle_614100!C355,input_settle_614100!A:H,8,FALSE))</f>
        <v>1350000</v>
      </c>
      <c r="P355" s="46">
        <f t="shared" ca="1" si="16"/>
        <v>9.2783505154639175E-3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input_settle_614100!A$2</f>
        <v>614100</v>
      </c>
      <c r="B356" s="100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IFERROR(VLOOKUP(B356,input_settle_614100!L:R,7,FALSE),VLOOKUP(tables_settle_614100!C356,input_settle_614100!A:H,8,FALSE))</f>
        <v>0</v>
      </c>
      <c r="P356" s="46">
        <f t="shared" ca="1" si="16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input_settle_614100!A$2</f>
        <v>614100</v>
      </c>
      <c r="B357" s="100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IFERROR(VLOOKUP(B357,input_settle_614100!L:R,7,FALSE),VLOOKUP(tables_settle_614100!C357,input_settle_614100!A:H,8,FALSE))</f>
        <v>1350000</v>
      </c>
      <c r="P357" s="46">
        <f t="shared" ca="1" si="16"/>
        <v>9.2783505154639175E-3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input_settle_614100!A$2</f>
        <v>614100</v>
      </c>
      <c r="B358" s="100">
        <v>1383</v>
      </c>
      <c r="C358" s="7" t="str">
        <f t="shared" ref="C358" si="20">D358&amp;J358&amp;E358&amp;F358&amp;G358</f>
        <v>PremiumSS5R5only</v>
      </c>
      <c r="D358" s="7" t="str">
        <f t="shared" ref="D358" si="21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IFERROR(VLOOKUP(B358,input_settle_614100!L:R,7,FALSE),VLOOKUP(tables_settle_614100!C358,input_settle_614100!A:H,8,FALSE))</f>
        <v>91180</v>
      </c>
      <c r="P358" s="46">
        <f t="shared" ca="1" si="16"/>
        <v>6.2666666666666665E-4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input_settle_614100!A$2</f>
        <v>614100</v>
      </c>
      <c r="B359" s="100">
        <v>1385</v>
      </c>
      <c r="C359" s="7" t="str">
        <f t="shared" ref="C359:C361" si="22">D359&amp;J359&amp;E359&amp;F359&amp;G359</f>
        <v>PremiumSS5R5only</v>
      </c>
      <c r="D359" s="7" t="str">
        <f t="shared" ref="D359:D361" si="23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IFERROR(VLOOKUP(B359,input_settle_614100!L:R,7,FALSE),VLOOKUP(tables_settle_614100!C359,input_settle_614100!A:H,8,FALSE))</f>
        <v>91180</v>
      </c>
      <c r="P359" s="46">
        <f t="shared" ca="1" si="16"/>
        <v>6.2666666666666665E-4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input_settle_614100!A$2</f>
        <v>614100</v>
      </c>
      <c r="B360" s="100">
        <v>1387</v>
      </c>
      <c r="C360" s="7" t="str">
        <f t="shared" si="22"/>
        <v>PremiumSS5R5only</v>
      </c>
      <c r="D360" s="7" t="str">
        <f t="shared" si="2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IFERROR(VLOOKUP(B360,input_settle_614100!L:R,7,FALSE),VLOOKUP(tables_settle_614100!C360,input_settle_614100!A:H,8,FALSE))</f>
        <v>91180</v>
      </c>
      <c r="P360" s="46">
        <f t="shared" ca="1" si="16"/>
        <v>6.2666666666666665E-4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input_settle_614100!A$2</f>
        <v>614100</v>
      </c>
      <c r="B361" s="5">
        <v>1703</v>
      </c>
      <c r="C361" s="7" t="str">
        <f t="shared" si="22"/>
        <v>PremiumSS6R5only</v>
      </c>
      <c r="D361" s="7" t="str">
        <f t="shared" si="23"/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リリィ</v>
      </c>
      <c r="I361" s="7" t="str">
        <f>VLOOKUP(B361,[1]characters!$A:$J,10,FALSE)</f>
        <v>PremiumSSw</v>
      </c>
      <c r="J361" s="7">
        <f>VLOOKUP(B361,[1]characters!$A:$I,9,FALSE)</f>
        <v>6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不明</v>
      </c>
      <c r="O361" s="45">
        <f>IFERROR(VLOOKUP(B361,input_settle_614100!L:R,7,FALSE),VLOOKUP(tables_settle_614100!C361,input_settle_614100!A:H,8,FALSE))</f>
        <v>1891500</v>
      </c>
      <c r="P361" s="46">
        <f t="shared" ca="1" si="16"/>
        <v>1.2999999999999999E-2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5">
        <v>5</v>
      </c>
    </row>
    <row r="362" spans="1:22" ht="21" customHeight="1" x14ac:dyDescent="0.15">
      <c r="A362" s="2" t="str">
        <f ca="1">input_settle_614100!A$2</f>
        <v>614100</v>
      </c>
      <c r="B362" s="105">
        <v>1705</v>
      </c>
      <c r="C362" s="7" t="str">
        <f t="shared" ref="C362" si="24">D362&amp;J362&amp;E362&amp;F362&amp;G362</f>
        <v>PremiumSS6R5only</v>
      </c>
      <c r="D362" s="7" t="str">
        <f t="shared" ref="D362" si="25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白雪姫</v>
      </c>
      <c r="I362" s="7" t="str">
        <f>VLOOKUP(B362,[1]characters!$A:$J,10,FALSE)</f>
        <v>PremiumSS</v>
      </c>
      <c r="J362" s="7">
        <f>VLOOKUP(B362,[1]characters!$A:$I,9,FALSE)</f>
        <v>6</v>
      </c>
      <c r="K362" s="7" t="str">
        <f>VLOOKUP(B362,[1]characters!$A:$H,8,FALSE)</f>
        <v>red</v>
      </c>
      <c r="L362" s="7" t="str">
        <f>VLOOKUP(B362,[1]characters!$A:$K,11,FALSE)</f>
        <v>heal</v>
      </c>
      <c r="M362" s="7" t="str">
        <f>VLOOKUP(B362,[1]characters!$A:$M,13,FALSE)</f>
        <v>human</v>
      </c>
      <c r="N362" s="7">
        <f>VLOOKUP(B362,[1]characters!$A:$G,7,FALSE)</f>
        <v>0</v>
      </c>
      <c r="O362" s="45">
        <f>IFERROR(VLOOKUP(B362,input_settle_614100!L:R,7,FALSE),VLOOKUP(tables_settle_614100!C362,input_settle_614100!A:H,8,FALSE))</f>
        <v>2910000</v>
      </c>
      <c r="P362" s="46">
        <f t="shared" ca="1" si="16"/>
        <v>0.02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5">
        <v>5</v>
      </c>
    </row>
    <row r="363" spans="1:22" ht="21" customHeight="1" x14ac:dyDescent="0.15">
      <c r="A363" s="2" t="str">
        <f ca="1">input_settle_614100!A$2</f>
        <v>614100</v>
      </c>
      <c r="B363" s="105">
        <v>1707</v>
      </c>
      <c r="C363" s="7" t="str">
        <f t="shared" ref="C363:C365" si="26">D363&amp;J363&amp;E363&amp;F363&amp;G363</f>
        <v>PremiumSS6R5only</v>
      </c>
      <c r="D363" s="7" t="str">
        <f t="shared" ref="D363:D365" si="27">IF(OR(I363="PremiumSS",I363="PremiumSSw"),"PremiumSS",IF(I363="PremiumSSS",I363,IF(I363="PremiumW",IF(J363=5,"premium",I363),"Premium")))</f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バステト</v>
      </c>
      <c r="I363" s="7" t="str">
        <f>VLOOKUP(B363,[1]characters!$A:$J,10,FALSE)</f>
        <v>PremiumSS</v>
      </c>
      <c r="J363" s="7">
        <f>VLOOKUP(B363,[1]characters!$A:$I,9,FALSE)</f>
        <v>6</v>
      </c>
      <c r="K363" s="7" t="str">
        <f>VLOOKUP(B363,[1]characters!$A:$H,8,FALSE)</f>
        <v>green</v>
      </c>
      <c r="L363" s="7" t="str">
        <f>VLOOKUP(B363,[1]characters!$A:$K,11,FALSE)</f>
        <v>attack</v>
      </c>
      <c r="M363" s="7" t="str">
        <f>VLOOKUP(B363,[1]characters!$A:$M,13,FALSE)</f>
        <v>animal</v>
      </c>
      <c r="N363" s="7">
        <f>VLOOKUP(B363,[1]characters!$A:$G,7,FALSE)</f>
        <v>0</v>
      </c>
      <c r="O363" s="45">
        <f>IFERROR(VLOOKUP(B363,input_settle_614100!L:R,7,FALSE),VLOOKUP(tables_settle_614100!C363,input_settle_614100!A:H,8,FALSE))</f>
        <v>2910000</v>
      </c>
      <c r="P363" s="46">
        <f t="shared" ca="1" si="16"/>
        <v>0.02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5">
        <v>5</v>
      </c>
    </row>
    <row r="364" spans="1:22" ht="21" customHeight="1" x14ac:dyDescent="0.15">
      <c r="A364" s="2" t="str">
        <f ca="1">input_settle_614100!A$2</f>
        <v>614100</v>
      </c>
      <c r="B364" s="5">
        <v>1713</v>
      </c>
      <c r="C364" s="7" t="str">
        <f t="shared" si="26"/>
        <v>Premium5R3less</v>
      </c>
      <c r="D364" s="7" t="str">
        <f t="shared" si="27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ジークフリート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red</v>
      </c>
      <c r="L364" s="7" t="str">
        <f>VLOOKUP(B364,[1]characters!$A:$K,11,FALSE)</f>
        <v>balance</v>
      </c>
      <c r="M364" s="7" t="str">
        <f>VLOOKUP(B364,[1]characters!$A:$M,13,FALSE)</f>
        <v>human</v>
      </c>
      <c r="N364" s="7" t="str">
        <f>VLOOKUP(B364,[1]characters!$A:$G,7,FALSE)</f>
        <v>不明</v>
      </c>
      <c r="O364" s="45">
        <f>IFERROR(VLOOKUP(B364,input_settle_614100!L:R,7,FALSE),VLOOKUP(tables_settle_614100!C364,input_settle_614100!A:H,8,FALSE))</f>
        <v>10912500</v>
      </c>
      <c r="P364" s="46">
        <f t="shared" ca="1" si="16"/>
        <v>7.4999999999999997E-2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05">
        <v>5</v>
      </c>
    </row>
    <row r="365" spans="1:22" ht="21" customHeight="1" x14ac:dyDescent="0.15">
      <c r="A365" s="2" t="str">
        <f ca="1">input_settle_614100!A$2</f>
        <v>614100</v>
      </c>
      <c r="B365" s="5">
        <v>1715</v>
      </c>
      <c r="C365" s="7" t="str">
        <f t="shared" si="26"/>
        <v>Premium5R3less</v>
      </c>
      <c r="D365" s="7" t="str">
        <f t="shared" si="27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アマラ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blue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5">
        <f>IFERROR(VLOOKUP(B365,input_settle_614100!L:R,7,FALSE),VLOOKUP(tables_settle_614100!C365,input_settle_614100!A:H,8,FALSE))</f>
        <v>10912500</v>
      </c>
      <c r="P365" s="46">
        <f t="shared" ca="1" si="16"/>
        <v>7.4999999999999997E-2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05">
        <v>5</v>
      </c>
    </row>
  </sheetData>
  <autoFilter ref="A1:V36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G360" sqref="G360"/>
      <selection pane="bottomLeft" activeCell="A4" sqref="A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614105</v>
      </c>
      <c r="B2" s="5">
        <v>1703</v>
      </c>
      <c r="C2" s="7" t="str">
        <f t="shared" ref="C2:C4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リリィ</v>
      </c>
      <c r="I2" s="7" t="str">
        <f>VLOOKUP(B2,[1]characters!$A:$J,10,FALSE)</f>
        <v>PremiumSSw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20</v>
      </c>
      <c r="P2" s="46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105">
        <v>5</v>
      </c>
    </row>
    <row r="3" spans="1:22" ht="21" customHeight="1" x14ac:dyDescent="0.15">
      <c r="A3" s="2">
        <v>614105</v>
      </c>
      <c r="B3" s="105">
        <v>1705</v>
      </c>
      <c r="C3" s="7" t="str">
        <f t="shared" si="0"/>
        <v>PremiumSS6R5only</v>
      </c>
      <c r="D3" s="7" t="str">
        <f t="shared" ref="D3:D4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白雪姫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red</v>
      </c>
      <c r="L3" s="7" t="str">
        <f>VLOOKUP(B3,[1]characters!$A:$K,11,FALSE)</f>
        <v>heal</v>
      </c>
      <c r="M3" s="7" t="str">
        <f>VLOOKUP(B3,[1]characters!$A:$M,13,FALSE)</f>
        <v>human</v>
      </c>
      <c r="N3" s="7">
        <f>VLOOKUP(B3,[1]characters!$A:$G,7,FALSE)</f>
        <v>0</v>
      </c>
      <c r="O3" s="45">
        <v>40</v>
      </c>
      <c r="P3" s="46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105">
        <v>5</v>
      </c>
    </row>
    <row r="4" spans="1:22" ht="21" customHeight="1" x14ac:dyDescent="0.15">
      <c r="A4" s="2">
        <v>614105</v>
      </c>
      <c r="B4" s="105">
        <v>1707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バステト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animal</v>
      </c>
      <c r="N4" s="7">
        <f>VLOOKUP(B4,[1]characters!$A:$G,7,FALSE)</f>
        <v>0</v>
      </c>
      <c r="O4" s="45">
        <v>40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105">
        <v>5</v>
      </c>
    </row>
    <row r="5" spans="1:22" ht="21" customHeight="1" x14ac:dyDescent="0.15">
      <c r="B5"/>
    </row>
    <row r="6" spans="1:22" ht="21" customHeight="1" x14ac:dyDescent="0.15">
      <c r="B6"/>
    </row>
  </sheetData>
  <autoFilter ref="A1:V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6"/>
      <c r="B2" s="96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86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input_614010</vt:lpstr>
      <vt:lpstr>tables_614010</vt:lpstr>
      <vt:lpstr>input_614100</vt:lpstr>
      <vt:lpstr>tables_614100</vt:lpstr>
      <vt:lpstr>input_settle_614100</vt:lpstr>
      <vt:lpstr>tables_settle_614100</vt:lpstr>
      <vt:lpstr>tables_settle_614105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2017-06-06T02:43:34Z</dcterms:modified>
</cp:coreProperties>
</file>