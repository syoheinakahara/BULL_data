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28800" windowHeight="15460" tabRatio="943" activeTab="2"/>
  </bookViews>
  <sheets>
    <sheet name="確率の考え方" sheetId="110" r:id="rId1"/>
    <sheet name="Sheet1" sheetId="107" r:id="rId2"/>
    <sheet name="output" sheetId="103" r:id="rId3"/>
    <sheet name="tables_582010" sheetId="154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3" hidden="1">tables_582010!$A$1:$V$73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C4" i="103"/>
  <c r="E4" i="103"/>
  <c r="C5" i="103"/>
  <c r="E5" i="103"/>
  <c r="C6" i="103"/>
  <c r="E6" i="103"/>
  <c r="C2" i="103"/>
  <c r="E2" i="103"/>
  <c r="N73" i="154"/>
  <c r="M73" i="154"/>
  <c r="L73" i="154"/>
  <c r="K73" i="154"/>
  <c r="H73" i="154"/>
  <c r="N72" i="154"/>
  <c r="M72" i="154"/>
  <c r="L72" i="154"/>
  <c r="K72" i="154"/>
  <c r="H72" i="154"/>
  <c r="N71" i="154"/>
  <c r="M71" i="154"/>
  <c r="L71" i="154"/>
  <c r="K71" i="154"/>
  <c r="H71" i="154"/>
  <c r="N70" i="154"/>
  <c r="M70" i="154"/>
  <c r="L70" i="154"/>
  <c r="K70" i="154"/>
  <c r="H70" i="154"/>
  <c r="N69" i="154"/>
  <c r="M69" i="154"/>
  <c r="L69" i="154"/>
  <c r="K69" i="154"/>
  <c r="H69" i="154"/>
  <c r="N68" i="154"/>
  <c r="M68" i="154"/>
  <c r="L68" i="154"/>
  <c r="K68" i="154"/>
  <c r="H68" i="154"/>
  <c r="N67" i="154"/>
  <c r="M67" i="154"/>
  <c r="L67" i="154"/>
  <c r="K67" i="154"/>
  <c r="H67" i="154"/>
  <c r="N66" i="154"/>
  <c r="M66" i="154"/>
  <c r="L66" i="154"/>
  <c r="K66" i="154"/>
  <c r="H66" i="154"/>
  <c r="N65" i="154"/>
  <c r="M65" i="154"/>
  <c r="L65" i="154"/>
  <c r="K65" i="154"/>
  <c r="H65" i="154"/>
  <c r="N64" i="154"/>
  <c r="M64" i="154"/>
  <c r="L64" i="154"/>
  <c r="K64" i="154"/>
  <c r="H64" i="154"/>
  <c r="N63" i="154"/>
  <c r="M63" i="154"/>
  <c r="L63" i="154"/>
  <c r="K63" i="154"/>
  <c r="H63" i="154"/>
  <c r="N62" i="154"/>
  <c r="M62" i="154"/>
  <c r="L62" i="154"/>
  <c r="K62" i="154"/>
  <c r="H62" i="154"/>
  <c r="N61" i="154"/>
  <c r="M61" i="154"/>
  <c r="L61" i="154"/>
  <c r="K61" i="154"/>
  <c r="H61" i="154"/>
  <c r="N60" i="154"/>
  <c r="M60" i="154"/>
  <c r="L60" i="154"/>
  <c r="K60" i="154"/>
  <c r="H60" i="154"/>
  <c r="N59" i="154"/>
  <c r="M59" i="154"/>
  <c r="L59" i="154"/>
  <c r="K59" i="154"/>
  <c r="H59" i="154"/>
  <c r="N58" i="154"/>
  <c r="M58" i="154"/>
  <c r="L58" i="154"/>
  <c r="K58" i="154"/>
  <c r="H58" i="154"/>
  <c r="N57" i="154"/>
  <c r="M57" i="154"/>
  <c r="L57" i="154"/>
  <c r="K57" i="154"/>
  <c r="H57" i="154"/>
  <c r="N56" i="154"/>
  <c r="M56" i="154"/>
  <c r="L56" i="154"/>
  <c r="K56" i="154"/>
  <c r="H56" i="154"/>
  <c r="N55" i="154"/>
  <c r="M55" i="154"/>
  <c r="L55" i="154"/>
  <c r="K55" i="154"/>
  <c r="H55" i="154"/>
  <c r="N54" i="154"/>
  <c r="M54" i="154"/>
  <c r="L54" i="154"/>
  <c r="K54" i="154"/>
  <c r="H54" i="154"/>
  <c r="N53" i="154"/>
  <c r="M53" i="154"/>
  <c r="L53" i="154"/>
  <c r="K53" i="154"/>
  <c r="H53" i="154"/>
  <c r="N52" i="154"/>
  <c r="M52" i="154"/>
  <c r="L52" i="154"/>
  <c r="K52" i="154"/>
  <c r="H52" i="154"/>
  <c r="N51" i="154"/>
  <c r="M51" i="154"/>
  <c r="L51" i="154"/>
  <c r="K51" i="154"/>
  <c r="H51" i="154"/>
  <c r="N50" i="154"/>
  <c r="M50" i="154"/>
  <c r="L50" i="154"/>
  <c r="K50" i="154"/>
  <c r="H50" i="154"/>
  <c r="N49" i="154"/>
  <c r="M49" i="154"/>
  <c r="L49" i="154"/>
  <c r="K49" i="154"/>
  <c r="H49" i="154"/>
  <c r="N48" i="154"/>
  <c r="M48" i="154"/>
  <c r="L48" i="154"/>
  <c r="K48" i="154"/>
  <c r="H48" i="154"/>
  <c r="N47" i="154"/>
  <c r="M47" i="154"/>
  <c r="L47" i="154"/>
  <c r="K47" i="154"/>
  <c r="H47" i="154"/>
  <c r="N46" i="154"/>
  <c r="M46" i="154"/>
  <c r="L46" i="154"/>
  <c r="K46" i="154"/>
  <c r="H46" i="154"/>
  <c r="N45" i="154"/>
  <c r="M45" i="154"/>
  <c r="L45" i="154"/>
  <c r="K45" i="154"/>
  <c r="H45" i="154"/>
  <c r="N44" i="154"/>
  <c r="M44" i="154"/>
  <c r="L44" i="154"/>
  <c r="K44" i="154"/>
  <c r="H44" i="154"/>
  <c r="N43" i="154"/>
  <c r="M43" i="154"/>
  <c r="L43" i="154"/>
  <c r="K43" i="154"/>
  <c r="H43" i="154"/>
  <c r="N42" i="154"/>
  <c r="M42" i="154"/>
  <c r="L42" i="154"/>
  <c r="K42" i="154"/>
  <c r="H42" i="154"/>
  <c r="N41" i="154"/>
  <c r="M41" i="154"/>
  <c r="L41" i="154"/>
  <c r="K41" i="154"/>
  <c r="H41" i="154"/>
  <c r="N40" i="154"/>
  <c r="M40" i="154"/>
  <c r="L40" i="154"/>
  <c r="K40" i="154"/>
  <c r="H40" i="154"/>
  <c r="N39" i="154"/>
  <c r="M39" i="154"/>
  <c r="L39" i="154"/>
  <c r="K39" i="154"/>
  <c r="H39" i="154"/>
  <c r="N38" i="154"/>
  <c r="M38" i="154"/>
  <c r="L38" i="154"/>
  <c r="K38" i="154"/>
  <c r="H38" i="154"/>
  <c r="N37" i="154"/>
  <c r="M37" i="154"/>
  <c r="L37" i="154"/>
  <c r="K37" i="154"/>
  <c r="H37" i="154"/>
  <c r="N36" i="154"/>
  <c r="M36" i="154"/>
  <c r="L36" i="154"/>
  <c r="K36" i="154"/>
  <c r="H36" i="154"/>
  <c r="N35" i="154"/>
  <c r="M35" i="154"/>
  <c r="L35" i="154"/>
  <c r="K35" i="154"/>
  <c r="H35" i="154"/>
  <c r="N34" i="154"/>
  <c r="M34" i="154"/>
  <c r="L34" i="154"/>
  <c r="K34" i="154"/>
  <c r="H34" i="154"/>
  <c r="N33" i="154"/>
  <c r="M33" i="154"/>
  <c r="L33" i="154"/>
  <c r="K33" i="154"/>
  <c r="H33" i="154"/>
  <c r="N32" i="154"/>
  <c r="M32" i="154"/>
  <c r="L32" i="154"/>
  <c r="K32" i="154"/>
  <c r="H32" i="154"/>
  <c r="N31" i="154"/>
  <c r="M31" i="154"/>
  <c r="L31" i="154"/>
  <c r="K31" i="154"/>
  <c r="H31" i="154"/>
  <c r="N30" i="154"/>
  <c r="M30" i="154"/>
  <c r="L30" i="154"/>
  <c r="K30" i="154"/>
  <c r="H30" i="154"/>
  <c r="N29" i="154"/>
  <c r="M29" i="154"/>
  <c r="L29" i="154"/>
  <c r="K29" i="154"/>
  <c r="H29" i="154"/>
  <c r="N28" i="154"/>
  <c r="M28" i="154"/>
  <c r="L28" i="154"/>
  <c r="K28" i="154"/>
  <c r="H28" i="154"/>
  <c r="N27" i="154"/>
  <c r="M27" i="154"/>
  <c r="L27" i="154"/>
  <c r="K27" i="154"/>
  <c r="H27" i="154"/>
  <c r="N26" i="154"/>
  <c r="M26" i="154"/>
  <c r="L26" i="154"/>
  <c r="K26" i="154"/>
  <c r="H26" i="154"/>
  <c r="N25" i="154"/>
  <c r="M25" i="154"/>
  <c r="L25" i="154"/>
  <c r="K25" i="154"/>
  <c r="H25" i="154"/>
  <c r="N24" i="154"/>
  <c r="M24" i="154"/>
  <c r="L24" i="154"/>
  <c r="K24" i="154"/>
  <c r="H24" i="154"/>
  <c r="N23" i="154"/>
  <c r="M23" i="154"/>
  <c r="L23" i="154"/>
  <c r="K23" i="154"/>
  <c r="H23" i="154"/>
  <c r="N22" i="154"/>
  <c r="M22" i="154"/>
  <c r="L22" i="154"/>
  <c r="K22" i="154"/>
  <c r="H22" i="154"/>
  <c r="N21" i="154"/>
  <c r="M21" i="154"/>
  <c r="L21" i="154"/>
  <c r="K21" i="154"/>
  <c r="H21" i="154"/>
  <c r="N20" i="154"/>
  <c r="M20" i="154"/>
  <c r="L20" i="154"/>
  <c r="K20" i="154"/>
  <c r="H20" i="154"/>
  <c r="N19" i="154"/>
  <c r="M19" i="154"/>
  <c r="L19" i="154"/>
  <c r="K19" i="154"/>
  <c r="H19" i="154"/>
  <c r="N18" i="154"/>
  <c r="M18" i="154"/>
  <c r="L18" i="154"/>
  <c r="K18" i="154"/>
  <c r="H18" i="154"/>
  <c r="N17" i="154"/>
  <c r="M17" i="154"/>
  <c r="L17" i="154"/>
  <c r="K17" i="154"/>
  <c r="H17" i="154"/>
  <c r="N16" i="154"/>
  <c r="M16" i="154"/>
  <c r="L16" i="154"/>
  <c r="K16" i="154"/>
  <c r="H16" i="154"/>
  <c r="N15" i="154"/>
  <c r="M15" i="154"/>
  <c r="L15" i="154"/>
  <c r="K15" i="154"/>
  <c r="H15" i="154"/>
  <c r="N14" i="154"/>
  <c r="M14" i="154"/>
  <c r="L14" i="154"/>
  <c r="K14" i="154"/>
  <c r="H14" i="154"/>
  <c r="N13" i="154"/>
  <c r="M13" i="154"/>
  <c r="L13" i="154"/>
  <c r="K13" i="154"/>
  <c r="H13" i="154"/>
  <c r="N12" i="154"/>
  <c r="M12" i="154"/>
  <c r="L12" i="154"/>
  <c r="K12" i="154"/>
  <c r="H12" i="154"/>
  <c r="N11" i="154"/>
  <c r="M11" i="154"/>
  <c r="L11" i="154"/>
  <c r="K11" i="154"/>
  <c r="H11" i="154"/>
  <c r="N10" i="154"/>
  <c r="M10" i="154"/>
  <c r="L10" i="154"/>
  <c r="K10" i="154"/>
  <c r="H10" i="154"/>
  <c r="N9" i="154"/>
  <c r="M9" i="154"/>
  <c r="L9" i="154"/>
  <c r="K9" i="154"/>
  <c r="H9" i="154"/>
  <c r="N8" i="154"/>
  <c r="M8" i="154"/>
  <c r="L8" i="154"/>
  <c r="K8" i="154"/>
  <c r="H8" i="154"/>
  <c r="N7" i="154"/>
  <c r="M7" i="154"/>
  <c r="L7" i="154"/>
  <c r="K7" i="154"/>
  <c r="H7" i="154"/>
  <c r="N6" i="154"/>
  <c r="M6" i="154"/>
  <c r="L6" i="154"/>
  <c r="K6" i="154"/>
  <c r="H6" i="154"/>
  <c r="N5" i="154"/>
  <c r="M5" i="154"/>
  <c r="L5" i="154"/>
  <c r="K5" i="154"/>
  <c r="H5" i="154"/>
  <c r="N4" i="154"/>
  <c r="M4" i="154"/>
  <c r="L4" i="154"/>
  <c r="K4" i="154"/>
  <c r="H4" i="154"/>
  <c r="N3" i="154"/>
  <c r="M3" i="154"/>
  <c r="L3" i="154"/>
  <c r="K3" i="154"/>
  <c r="H3" i="154"/>
  <c r="N2" i="154"/>
  <c r="M2" i="154"/>
  <c r="L2" i="154"/>
  <c r="K2" i="154"/>
  <c r="H2" i="154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<sst xmlns="http://schemas.openxmlformats.org/spreadsheetml/2006/main" count="307" uniqueCount="192">
  <si>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</si>
  <si>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</si>
  <si>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</si>
  <si>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</si>
  <si>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</si>
  <si>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</si>
  <si>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</si>
  <si>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</si>
  <si>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</si>
  <si>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</si>
  <si>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</si>
  <si>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</si>
  <si>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</si>
  <si>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</si>
  <si>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</si>
  <si>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</si>
  <si>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</si>
  <si>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</si>
  <si>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</si>
  <si>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</si>
  <si>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</si>
  <si>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</si>
  <si>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</si>
  <si>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</si>
  <si>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</si>
  <si>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</si>
  <si>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</si>
  <si>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</si>
  <si>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</si>
  <si>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</si>
  <si>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</si>
  <si>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</si>
  <si>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</si>
  <si>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</si>
  <si>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</si>
  <si>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</si>
  <si>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</si>
  <si>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</si>
  <si>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</si>
  <si>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</si>
  <si>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</si>
  <si>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</si>
  <si>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</si>
  <si>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</si>
  <si>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</si>
  <si>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</si>
  <si>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</si>
  <si>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</si>
  <si>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</si>
  <si>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</si>
  <si>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</si>
  <si>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</si>
  <si>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</si>
  <si>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性別</t>
    <rPh sb="0" eb="2">
      <t>セイベツ</t>
    </rPh>
    <phoneticPr fontId="22"/>
  </si>
  <si>
    <t>ピックアップ確率</t>
    <rPh sb="6" eb="8">
      <t>カクリツ</t>
    </rPh>
    <phoneticPr fontId="22"/>
  </si>
  <si>
    <t>確率</t>
    <rPh sb="0" eb="2">
      <t>カクリツ</t>
    </rPh>
    <phoneticPr fontId="22"/>
  </si>
  <si>
    <t>名前</t>
    <rPh sb="0" eb="2">
      <t>ナマエ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</si>
  <si>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</si>
  <si>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</si>
  <si>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</si>
  <si>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</si>
  <si>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</si>
  <si>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</si>
  <si>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</si>
  <si>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</si>
  <si>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</si>
  <si>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</si>
  <si>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</si>
  <si>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</si>
  <si>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</si>
  <si>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</si>
  <si>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</si>
  <si>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</si>
  <si>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color2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</si>
  <si>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</si>
  <si>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</si>
  <si>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</si>
  <si>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</si>
  <si>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</si>
  <si>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</si>
  <si>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</si>
  <si>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</si>
  <si>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</si>
  <si>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</si>
  <si>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</si>
  <si>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</si>
  <si>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</si>
  <si>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</si>
  <si>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</si>
  <si>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</si>
  <si>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</si>
  <si>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</si>
  <si>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</si>
  <si>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</si>
  <si>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</si>
  <si>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</si>
  <si>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</si>
  <si>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</si>
  <si>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</si>
  <si>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</si>
  <si>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</si>
  <si>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</si>
  <si>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</si>
  <si>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</si>
  <si>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</si>
  <si>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</si>
  <si>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</si>
  <si>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</si>
  <si>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</si>
  <si>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</si>
  <si>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</si>
  <si>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</si>
  <si>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</si>
  <si>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</si>
  <si>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</si>
  <si>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</si>
  <si>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</si>
  <si>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</si>
  <si>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</si>
  <si>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</si>
  <si>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</si>
  <si>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</si>
  <si>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</si>
  <si>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</si>
  <si>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</si>
  <si>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</si>
  <si>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</si>
  <si>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</si>
  <si>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</si>
  <si>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</si>
  <si>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</si>
  <si>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</si>
  <si>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</si>
  <si>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</si>
  <si>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</si>
  <si>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</si>
  <si>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</si>
  <si>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</si>
  <si>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</si>
  <si>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</si>
  <si>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</si>
  <si>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</si>
  <si>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</si>
  <si>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</si>
  <si>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</si>
  <si>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</si>
  <si>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</si>
  <si>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</si>
  <si>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</si>
  <si>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</si>
  <si>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</si>
  <si>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</si>
  <si>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</si>
  <si>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</si>
  <si>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</si>
  <si>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</si>
  <si>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</si>
  <si>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</si>
  <si>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</si>
  <si>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</si>
  <si>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</si>
  <si>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</si>
  <si>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</si>
  <si>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</si>
  <si>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</si>
  <si>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</si>
  <si>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</si>
  <si>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</si>
  <si>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</si>
  <si>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</si>
  <si>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</si>
  <si>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</si>
  <si>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</si>
  <si>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</si>
  <si>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</si>
  <si>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</si>
  <si>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</si>
  <si>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</si>
  <si>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</si>
  <si>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</si>
  <si>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</si>
  <si>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skip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</si>
  <si>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</si>
  <si>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</si>
  <si>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</si>
  <si>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</si>
  <si>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</si>
  <si>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</si>
  <si>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tables_settle_443100</t>
    <phoneticPr fontId="22"/>
  </si>
  <si>
    <t>skip</t>
    <phoneticPr fontId="22"/>
  </si>
  <si>
    <t>tables_532010</t>
    <phoneticPr fontId="22"/>
  </si>
  <si>
    <t>tables_582010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</si>
</sst>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66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12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7" fontId="0" fillId="26" borderId="1" xfId="3575" applyNumberFormat="1" applyFont="1" applyFill="1" applyBorder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27" borderId="1" xfId="0" applyFont="1" applyFill="1" applyBorder="1" applyAlignment="1">
      <alignment horizontal="left" vertical="center"/>
    </xf>
    <xf numFmtId="0" fontId="27" fillId="24" borderId="1" xfId="2" applyFont="1" applyFill="1" applyBorder="1" applyAlignment="1">
      <alignment horizontal="left" vertical="center"/>
    </xf>
    <xf numFmtId="0" fontId="26" fillId="24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8" fillId="0" borderId="0" xfId="3662" applyFont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2978" applyFont="1" applyBorder="1"/>
    <xf numFmtId="0" fontId="5" fillId="4" borderId="1" xfId="2978" applyFont="1" applyFill="1" applyBorder="1"/>
    <xf numFmtId="0" fontId="4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1" fillId="4" borderId="1" xfId="2978" applyFont="1" applyFill="1" applyBorder="1"/>
    <xf numFmtId="0" fontId="26" fillId="0" borderId="1" xfId="0" applyFont="1" applyFill="1" applyBorder="1" applyAlignment="1">
      <alignment horizontal="right" vertical="center"/>
    </xf>
    <xf numFmtId="0" fontId="27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ジョン・ドルトンR5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ジョン・ドルトンR6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ジョン・ドルトン(超覚醒)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ブーティカR4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ブーティカR5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三蔵法師_超覚醒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孫悟空_超覚醒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西王娘娘_超覚醒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月下老人_超覚醒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heal</v>
          </cell>
          <cell r="L1725" t="str">
            <v>回復タイプ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テスト紅焰焔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44" customWidth="1"/>
    <col min="2" max="16384" width="13" style="44"/>
  </cols>
  <sheetData>
    <row r="1" spans="1:13" x14ac:dyDescent="0.15">
      <c r="A1" s="44" t="s">
        <v>75</v>
      </c>
      <c r="B1" s="44" t="s">
        <v>76</v>
      </c>
    </row>
    <row r="2" spans="1:13" x14ac:dyDescent="0.15">
      <c r="A2" s="44" t="s">
        <v>77</v>
      </c>
      <c r="B2" s="44" t="s">
        <v>78</v>
      </c>
      <c r="C2" s="44" t="s">
        <v>79</v>
      </c>
      <c r="D2" s="44" t="s">
        <v>80</v>
      </c>
      <c r="E2" s="44" t="s">
        <v>81</v>
      </c>
      <c r="F2" s="44" t="s">
        <v>82</v>
      </c>
      <c r="G2" s="44" t="s">
        <v>83</v>
      </c>
      <c r="H2" s="44" t="s">
        <v>84</v>
      </c>
    </row>
    <row r="3" spans="1:13" x14ac:dyDescent="0.15">
      <c r="A3" s="44">
        <v>3</v>
      </c>
      <c r="B3" s="45" t="s">
        <v>85</v>
      </c>
      <c r="C3" s="45" t="s">
        <v>86</v>
      </c>
      <c r="D3" s="44">
        <v>0</v>
      </c>
      <c r="E3" s="45" t="s">
        <v>87</v>
      </c>
      <c r="F3" s="44">
        <v>0</v>
      </c>
      <c r="G3" s="44">
        <v>0</v>
      </c>
      <c r="H3" s="46">
        <v>0.5</v>
      </c>
    </row>
    <row r="4" spans="1:13" x14ac:dyDescent="0.15">
      <c r="A4" s="44">
        <v>4</v>
      </c>
      <c r="B4" s="45" t="s">
        <v>88</v>
      </c>
      <c r="C4" s="45" t="s">
        <v>89</v>
      </c>
      <c r="D4" s="45" t="s">
        <v>90</v>
      </c>
      <c r="E4" s="45" t="s">
        <v>91</v>
      </c>
      <c r="F4" s="45" t="s">
        <v>92</v>
      </c>
      <c r="G4" s="44">
        <v>0</v>
      </c>
      <c r="H4" s="46">
        <v>0.45</v>
      </c>
    </row>
    <row r="5" spans="1:13" x14ac:dyDescent="0.15">
      <c r="A5" s="44">
        <v>5</v>
      </c>
      <c r="B5" s="47">
        <v>0</v>
      </c>
      <c r="C5" s="45" t="s">
        <v>93</v>
      </c>
      <c r="D5" s="45" t="s">
        <v>94</v>
      </c>
      <c r="E5" s="45" t="s">
        <v>95</v>
      </c>
      <c r="F5" s="45" t="s">
        <v>96</v>
      </c>
      <c r="G5" s="45" t="s">
        <v>97</v>
      </c>
      <c r="H5" s="46">
        <v>0.05</v>
      </c>
    </row>
    <row r="6" spans="1:13" x14ac:dyDescent="0.15">
      <c r="B6" s="46" t="s">
        <v>98</v>
      </c>
      <c r="C6" s="46" t="s">
        <v>98</v>
      </c>
      <c r="D6" s="46" t="s">
        <v>99</v>
      </c>
      <c r="E6" s="46" t="s">
        <v>98</v>
      </c>
      <c r="F6" s="46" t="s">
        <v>98</v>
      </c>
      <c r="G6" s="48" t="s">
        <v>100</v>
      </c>
      <c r="H6" s="46">
        <v>1</v>
      </c>
    </row>
    <row r="7" spans="1:13" x14ac:dyDescent="0.15">
      <c r="B7" s="46"/>
      <c r="C7" s="46"/>
      <c r="D7" s="46"/>
      <c r="E7" s="46"/>
      <c r="F7" s="46"/>
      <c r="G7" s="48"/>
      <c r="H7" s="46"/>
    </row>
    <row r="8" spans="1:13" x14ac:dyDescent="0.15">
      <c r="A8" s="44" t="s">
        <v>101</v>
      </c>
      <c r="B8" s="46"/>
      <c r="C8" s="46"/>
      <c r="D8" s="46"/>
      <c r="E8" s="46"/>
      <c r="F8" s="46"/>
      <c r="G8" s="48"/>
      <c r="H8" s="46"/>
    </row>
    <row r="9" spans="1:13" x14ac:dyDescent="0.15">
      <c r="A9" s="44" t="s">
        <v>102</v>
      </c>
      <c r="B9" s="46"/>
      <c r="C9" s="46"/>
      <c r="D9" s="46"/>
      <c r="E9" s="46"/>
      <c r="F9" s="46"/>
      <c r="G9" s="48"/>
      <c r="H9" s="46"/>
    </row>
    <row r="10" spans="1:13" x14ac:dyDescent="0.15">
      <c r="A10" s="44" t="s">
        <v>103</v>
      </c>
      <c r="B10" s="46"/>
      <c r="C10" s="46"/>
      <c r="D10" s="46"/>
      <c r="E10" s="46"/>
      <c r="F10" s="46"/>
      <c r="G10" s="48"/>
      <c r="H10" s="46"/>
    </row>
    <row r="11" spans="1:13" x14ac:dyDescent="0.15">
      <c r="A11" s="44" t="s">
        <v>104</v>
      </c>
      <c r="B11" s="46"/>
      <c r="C11" s="46"/>
      <c r="D11" s="46"/>
      <c r="E11" s="46"/>
      <c r="F11" s="46"/>
      <c r="G11" s="48"/>
      <c r="H11" s="46"/>
    </row>
    <row r="12" spans="1:13" x14ac:dyDescent="0.15">
      <c r="A12" s="44" t="s">
        <v>97</v>
      </c>
      <c r="B12" s="46" t="s">
        <v>105</v>
      </c>
      <c r="C12" s="46" t="s">
        <v>106</v>
      </c>
      <c r="D12" s="46"/>
      <c r="E12" s="46"/>
      <c r="F12" s="46"/>
      <c r="G12" s="48"/>
      <c r="H12" s="46"/>
    </row>
    <row r="13" spans="1:13" x14ac:dyDescent="0.15">
      <c r="A13" s="44" t="s">
        <v>107</v>
      </c>
      <c r="B13" s="44" t="s">
        <v>108</v>
      </c>
      <c r="C13" s="44" t="s">
        <v>109</v>
      </c>
    </row>
    <row r="14" spans="1:13" x14ac:dyDescent="0.15">
      <c r="A14" s="44" t="s">
        <v>110</v>
      </c>
      <c r="B14" s="44" t="s">
        <v>105</v>
      </c>
      <c r="C14" s="47" t="s">
        <v>111</v>
      </c>
      <c r="E14" s="47"/>
      <c r="F14" s="47"/>
      <c r="M14" s="46"/>
    </row>
    <row r="15" spans="1:13" x14ac:dyDescent="0.15">
      <c r="A15" s="44" t="s">
        <v>87</v>
      </c>
      <c r="B15" s="46" t="s">
        <v>105</v>
      </c>
      <c r="C15" s="46" t="s">
        <v>112</v>
      </c>
      <c r="H15" s="49"/>
      <c r="M15" s="46"/>
    </row>
    <row r="16" spans="1:13" x14ac:dyDescent="0.15">
      <c r="A16" s="44" t="s">
        <v>91</v>
      </c>
      <c r="B16" s="46" t="s">
        <v>105</v>
      </c>
      <c r="C16" s="46" t="s">
        <v>113</v>
      </c>
      <c r="M16" s="46"/>
    </row>
    <row r="17" spans="1:13" x14ac:dyDescent="0.15">
      <c r="A17" s="44" t="s">
        <v>114</v>
      </c>
      <c r="B17" s="46" t="s">
        <v>105</v>
      </c>
      <c r="C17" s="46" t="s">
        <v>115</v>
      </c>
      <c r="M17" s="46"/>
    </row>
    <row r="18" spans="1:13" x14ac:dyDescent="0.15">
      <c r="B18" s="46"/>
      <c r="C18" s="46"/>
    </row>
    <row r="19" spans="1:13" x14ac:dyDescent="0.15">
      <c r="A19" s="44" t="s">
        <v>116</v>
      </c>
    </row>
    <row r="20" spans="1:13" x14ac:dyDescent="0.15">
      <c r="A20" s="44" t="s">
        <v>117</v>
      </c>
      <c r="B20" s="46"/>
      <c r="C20" s="46"/>
    </row>
    <row r="21" spans="1:13" x14ac:dyDescent="0.15">
      <c r="A21" s="44" t="s">
        <v>118</v>
      </c>
      <c r="B21" s="46" t="s">
        <v>119</v>
      </c>
      <c r="C21" s="46" t="s">
        <v>120</v>
      </c>
      <c r="D21" s="44" t="s">
        <v>121</v>
      </c>
    </row>
    <row r="22" spans="1:13" x14ac:dyDescent="0.15">
      <c r="A22" s="44" t="s">
        <v>122</v>
      </c>
      <c r="B22" s="46" t="s">
        <v>105</v>
      </c>
      <c r="C22" s="46" t="s">
        <v>123</v>
      </c>
      <c r="D22" s="44" t="s">
        <v>124</v>
      </c>
    </row>
    <row r="23" spans="1:13" x14ac:dyDescent="0.15">
      <c r="A23" s="44" t="s">
        <v>125</v>
      </c>
      <c r="B23" s="46" t="s">
        <v>105</v>
      </c>
      <c r="C23" s="44" t="s">
        <v>126</v>
      </c>
      <c r="D23" s="44" t="s">
        <v>127</v>
      </c>
    </row>
    <row r="24" spans="1:13" x14ac:dyDescent="0.15">
      <c r="A24" s="44" t="s">
        <v>128</v>
      </c>
      <c r="B24" s="46" t="s">
        <v>105</v>
      </c>
      <c r="C24" s="46" t="s">
        <v>129</v>
      </c>
      <c r="D24" s="44" t="s">
        <v>130</v>
      </c>
    </row>
    <row r="25" spans="1:13" x14ac:dyDescent="0.15">
      <c r="A25" s="44" t="s">
        <v>131</v>
      </c>
      <c r="B25" s="46" t="s">
        <v>105</v>
      </c>
      <c r="C25" s="46" t="s">
        <v>132</v>
      </c>
      <c r="D25" s="44" t="s">
        <v>133</v>
      </c>
    </row>
    <row r="26" spans="1:13" x14ac:dyDescent="0.15">
      <c r="A26" s="44" t="s">
        <v>134</v>
      </c>
      <c r="B26" s="46" t="s">
        <v>105</v>
      </c>
      <c r="C26" s="46" t="s">
        <v>135</v>
      </c>
      <c r="D26" s="44" t="s">
        <v>136</v>
      </c>
    </row>
    <row r="27" spans="1:13" x14ac:dyDescent="0.15">
      <c r="A27" s="44" t="s">
        <v>137</v>
      </c>
      <c r="B27" s="46" t="s">
        <v>105</v>
      </c>
      <c r="C27" s="46" t="s">
        <v>99</v>
      </c>
      <c r="D27" s="44" t="s">
        <v>138</v>
      </c>
      <c r="E27" s="44" t="s">
        <v>139</v>
      </c>
    </row>
    <row r="28" spans="1:13" x14ac:dyDescent="0.15">
      <c r="A28" s="44" t="s">
        <v>86</v>
      </c>
      <c r="B28" s="46" t="s">
        <v>105</v>
      </c>
      <c r="C28" s="46" t="s">
        <v>140</v>
      </c>
      <c r="E28" s="44" t="s">
        <v>141</v>
      </c>
    </row>
    <row r="29" spans="1:13" x14ac:dyDescent="0.15">
      <c r="A29" s="44" t="s">
        <v>89</v>
      </c>
      <c r="B29" s="46" t="s">
        <v>105</v>
      </c>
      <c r="C29" s="46" t="s">
        <v>142</v>
      </c>
    </row>
    <row r="30" spans="1:13" x14ac:dyDescent="0.15">
      <c r="B30" s="46"/>
    </row>
    <row r="31" spans="1:13" x14ac:dyDescent="0.15">
      <c r="A31" s="44" t="s">
        <v>143</v>
      </c>
    </row>
    <row r="32" spans="1:13" x14ac:dyDescent="0.15">
      <c r="A32" s="44" t="s">
        <v>144</v>
      </c>
      <c r="B32" s="46" t="s">
        <v>105</v>
      </c>
      <c r="C32" s="46" t="s">
        <v>145</v>
      </c>
    </row>
    <row r="33" spans="1:13" x14ac:dyDescent="0.15">
      <c r="A33" s="44" t="s">
        <v>89</v>
      </c>
      <c r="B33" s="46" t="s">
        <v>105</v>
      </c>
      <c r="C33" s="46" t="s">
        <v>146</v>
      </c>
    </row>
    <row r="34" spans="1:13" x14ac:dyDescent="0.15">
      <c r="A34" s="44" t="s">
        <v>86</v>
      </c>
      <c r="B34" s="46" t="s">
        <v>105</v>
      </c>
      <c r="C34" s="46" t="s">
        <v>147</v>
      </c>
    </row>
    <row r="35" spans="1:13" x14ac:dyDescent="0.15">
      <c r="A35" s="44" t="s">
        <v>85</v>
      </c>
      <c r="B35" s="46" t="s">
        <v>105</v>
      </c>
      <c r="C35" s="46" t="s">
        <v>148</v>
      </c>
    </row>
    <row r="36" spans="1:13" x14ac:dyDescent="0.15">
      <c r="A36" s="44" t="s">
        <v>88</v>
      </c>
      <c r="B36" s="46" t="s">
        <v>105</v>
      </c>
      <c r="C36" s="46" t="s">
        <v>149</v>
      </c>
    </row>
    <row r="37" spans="1:13" x14ac:dyDescent="0.15">
      <c r="A37" s="44" t="s">
        <v>94</v>
      </c>
      <c r="B37" s="46" t="s">
        <v>105</v>
      </c>
      <c r="C37" s="46" t="s">
        <v>150</v>
      </c>
    </row>
    <row r="38" spans="1:13" x14ac:dyDescent="0.15">
      <c r="A38" s="44" t="s">
        <v>90</v>
      </c>
      <c r="B38" s="46" t="s">
        <v>105</v>
      </c>
      <c r="C38" s="46" t="s">
        <v>151</v>
      </c>
    </row>
    <row r="40" spans="1:13" x14ac:dyDescent="0.15">
      <c r="J40" s="53" t="s">
        <v>155</v>
      </c>
      <c r="K40" s="53" t="s">
        <v>154</v>
      </c>
      <c r="M40" s="53" t="s">
        <v>180</v>
      </c>
    </row>
    <row r="41" spans="1:13" x14ac:dyDescent="0.15">
      <c r="J41" s="53" t="s">
        <v>156</v>
      </c>
      <c r="K41" s="53" t="s">
        <v>157</v>
      </c>
      <c r="M41" s="46" t="s">
        <v>149</v>
      </c>
    </row>
    <row r="42" spans="1:13" x14ac:dyDescent="0.15">
      <c r="J42" s="53" t="s">
        <v>158</v>
      </c>
      <c r="K42" s="53" t="s">
        <v>159</v>
      </c>
    </row>
    <row r="43" spans="1:13" x14ac:dyDescent="0.15">
      <c r="J43" s="53" t="s">
        <v>160</v>
      </c>
      <c r="K43" s="53" t="s">
        <v>161</v>
      </c>
    </row>
    <row r="44" spans="1:13" x14ac:dyDescent="0.15">
      <c r="J44" s="53" t="s">
        <v>162</v>
      </c>
      <c r="K44" s="53" t="s">
        <v>163</v>
      </c>
    </row>
    <row r="45" spans="1:13" x14ac:dyDescent="0.15">
      <c r="J45" s="53" t="s">
        <v>164</v>
      </c>
      <c r="K45" s="53" t="s">
        <v>165</v>
      </c>
    </row>
    <row r="46" spans="1:13" x14ac:dyDescent="0.15">
      <c r="J46" s="53" t="s">
        <v>166</v>
      </c>
      <c r="K46" s="53" t="s">
        <v>167</v>
      </c>
    </row>
    <row r="47" spans="1:13" x14ac:dyDescent="0.15">
      <c r="J47" s="53" t="s">
        <v>168</v>
      </c>
      <c r="K47" s="53" t="s">
        <v>172</v>
      </c>
    </row>
    <row r="48" spans="1:13" x14ac:dyDescent="0.15">
      <c r="J48" s="53" t="s">
        <v>169</v>
      </c>
      <c r="K48" s="53" t="s">
        <v>173</v>
      </c>
    </row>
    <row r="49" spans="10:11" x14ac:dyDescent="0.15">
      <c r="J49" s="53" t="s">
        <v>170</v>
      </c>
      <c r="K49" s="53" t="s">
        <v>174</v>
      </c>
    </row>
    <row r="50" spans="10:11" x14ac:dyDescent="0.15">
      <c r="J50" s="53" t="s">
        <v>171</v>
      </c>
      <c r="K50" s="53" t="s">
        <v>175</v>
      </c>
    </row>
    <row r="51" spans="10:11" x14ac:dyDescent="0.15">
      <c r="J51" s="53" t="s">
        <v>177</v>
      </c>
      <c r="K51" s="53" t="s">
        <v>176</v>
      </c>
    </row>
    <row r="52" spans="10:11" x14ac:dyDescent="0.15">
      <c r="J52" s="53" t="s">
        <v>178</v>
      </c>
      <c r="K52" s="53" t="s">
        <v>179</v>
      </c>
    </row>
    <row r="53" spans="10:11" x14ac:dyDescent="0.15">
      <c r="J53" s="5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57</v>
      </c>
    </row>
    <row r="2" spans="1:1" x14ac:dyDescent="0.15">
      <c r="A2" t="s">
        <v>58</v>
      </c>
    </row>
    <row r="3" spans="1:1" x14ac:dyDescent="0.15">
      <c r="A3" t="s">
        <v>59</v>
      </c>
    </row>
    <row r="4" spans="1:1" x14ac:dyDescent="0.15">
      <c r="A4" t="s">
        <v>60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57" t="s">
        <v>185</v>
      </c>
      <c r="B2" s="43" t="s">
        <v>74</v>
      </c>
      <c r="C2" s="38" t="str">
        <f t="shared" ref="C2" si="0">RIGHT(F2,6)</f>
        <v>582010</v>
      </c>
      <c r="D2" s="19" t="s">
        <v>45</v>
      </c>
      <c r="E2" s="17" t="str">
        <f t="shared" ref="E2" si="1">B2&amp;C2&amp;D2</f>
        <v>gacha_select_tables_582010.tmp</v>
      </c>
      <c r="F2" s="63" t="s">
        <v>191</v>
      </c>
      <c r="G2" s="37" t="s">
        <v>62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61" t="s">
        <v>181</v>
      </c>
      <c r="B3" s="43" t="s">
        <v>74</v>
      </c>
      <c r="C3" s="38" t="str">
        <f t="shared" ref="C3:C7" si="2">RIGHT(F3,6)</f>
        <v>532010</v>
      </c>
      <c r="D3" s="19" t="s">
        <v>45</v>
      </c>
      <c r="E3" s="17" t="str">
        <f t="shared" ref="E3:E10" si="3">B3&amp;C3&amp;D3</f>
        <v>gacha_select_tables_532010.tmp</v>
      </c>
      <c r="F3" s="62" t="s">
        <v>190</v>
      </c>
      <c r="G3" s="37" t="s">
        <v>62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61" t="s">
        <v>189</v>
      </c>
      <c r="B4" s="58" t="s">
        <v>186</v>
      </c>
      <c r="C4" s="59" t="str">
        <f t="shared" si="2"/>
        <v>443100</v>
      </c>
      <c r="D4" s="19" t="s">
        <v>187</v>
      </c>
      <c r="E4" s="17" t="str">
        <f t="shared" si="3"/>
        <v>gacha_settle_tables_443100.tmp</v>
      </c>
      <c r="F4" s="60" t="s">
        <v>188</v>
      </c>
      <c r="G4" s="37" t="s">
        <v>62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55" t="s">
        <v>181</v>
      </c>
      <c r="B5" s="43" t="s">
        <v>74</v>
      </c>
      <c r="C5" s="38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56" t="s">
        <v>182</v>
      </c>
      <c r="G5" s="37" t="s">
        <v>61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55" t="s">
        <v>181</v>
      </c>
      <c r="B6" s="43" t="s">
        <v>74</v>
      </c>
      <c r="C6" s="38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56" t="s">
        <v>183</v>
      </c>
      <c r="G6" s="37" t="s">
        <v>61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55" t="s">
        <v>181</v>
      </c>
      <c r="B7" s="43" t="s">
        <v>74</v>
      </c>
      <c r="C7" s="38" t="str">
        <f t="shared" si="2"/>
        <v>363100</v>
      </c>
      <c r="D7" s="19" t="s">
        <v>45</v>
      </c>
      <c r="E7" s="17" t="str">
        <f t="shared" si="4"/>
        <v>gacha_select_tables_363100.tmp</v>
      </c>
      <c r="F7" s="56" t="s">
        <v>184</v>
      </c>
      <c r="G7" s="37" t="s">
        <v>61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55" t="s">
        <v>181</v>
      </c>
      <c r="B8" s="27" t="s">
        <v>50</v>
      </c>
      <c r="C8" s="31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55" t="s">
        <v>181</v>
      </c>
      <c r="B9" s="19" t="s">
        <v>48</v>
      </c>
      <c r="C9" s="31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39" t="s">
        <v>7</v>
      </c>
      <c r="P9" s="39" t="s">
        <v>9</v>
      </c>
      <c r="Q9" s="39" t="s">
        <v>6</v>
      </c>
      <c r="R9" s="39" t="s">
        <v>63</v>
      </c>
      <c r="S9" s="39" t="s">
        <v>8</v>
      </c>
      <c r="T9" s="39" t="s">
        <v>64</v>
      </c>
      <c r="U9" s="39" t="s">
        <v>5</v>
      </c>
    </row>
    <row r="10" spans="1:21" x14ac:dyDescent="0.15">
      <c r="A10" s="55" t="s">
        <v>181</v>
      </c>
      <c r="B10" s="19" t="s">
        <v>49</v>
      </c>
      <c r="C10" s="31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73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61</v>
      </c>
      <c r="B1" s="15" t="s">
        <v>1</v>
      </c>
      <c r="C1" s="3" t="s">
        <v>31</v>
      </c>
      <c r="D1" s="3" t="s">
        <v>72</v>
      </c>
      <c r="E1" s="3" t="s">
        <v>152</v>
      </c>
      <c r="F1" s="3" t="s">
        <v>153</v>
      </c>
      <c r="G1" s="3" t="s">
        <v>73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53</v>
      </c>
      <c r="O1" s="15" t="s">
        <v>2</v>
      </c>
      <c r="P1" s="3" t="s">
        <v>55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582010</v>
      </c>
      <c r="B2" s="64">
        <v>733</v>
      </c>
      <c r="C2" s="7" t="str">
        <f t="shared" ref="C2:C65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35">
        <v>20</v>
      </c>
      <c r="P2" s="36">
        <f>O2/SUM(O:O)</f>
        <v>1.3888888888888888E-2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582010</v>
      </c>
      <c r="B3" s="64">
        <v>735</v>
      </c>
      <c r="C3" s="7" t="str">
        <f t="shared" si="0"/>
        <v>PremiumSS6R5only</v>
      </c>
      <c r="D3" s="7" t="str">
        <f t="shared" ref="D3:D66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35">
        <v>20</v>
      </c>
      <c r="P3" s="36">
        <f>O3/SUM(O:O)</f>
        <v>1.3888888888888888E-2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582010</v>
      </c>
      <c r="B4" s="65">
        <v>743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35">
        <v>20</v>
      </c>
      <c r="P4" s="36">
        <f>O4/SUM(O:O)</f>
        <v>1.3888888888888888E-2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582010</v>
      </c>
      <c r="B5" s="65">
        <v>745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35">
        <v>20</v>
      </c>
      <c r="P5" s="36">
        <f>O5/SUM(O:O)</f>
        <v>1.3888888888888888E-2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582010</v>
      </c>
      <c r="B6" s="65">
        <v>809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35">
        <v>20</v>
      </c>
      <c r="P6" s="36">
        <f>O6/SUM(O:O)</f>
        <v>1.3888888888888888E-2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582010</v>
      </c>
      <c r="B7" s="65">
        <v>811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35">
        <v>20</v>
      </c>
      <c r="P7" s="36">
        <f>O7/SUM(O:O)</f>
        <v>1.3888888888888888E-2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582010</v>
      </c>
      <c r="B8" s="65">
        <v>813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35">
        <v>20</v>
      </c>
      <c r="P8" s="36">
        <f>O8/SUM(O:O)</f>
        <v>1.3888888888888888E-2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582010</v>
      </c>
      <c r="B9" s="65">
        <v>815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35">
        <v>20</v>
      </c>
      <c r="P9" s="36">
        <f>O9/SUM(O:O)</f>
        <v>1.3888888888888888E-2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582010</v>
      </c>
      <c r="B10" s="65">
        <v>817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35">
        <v>20</v>
      </c>
      <c r="P10" s="36">
        <f>O10/SUM(O:O)</f>
        <v>1.3888888888888888E-2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582010</v>
      </c>
      <c r="B11" s="65">
        <v>819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35">
        <v>20</v>
      </c>
      <c r="P11" s="36">
        <f>O11/SUM(O:O)</f>
        <v>1.3888888888888888E-2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582010</v>
      </c>
      <c r="B12" s="65">
        <v>821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35">
        <v>20</v>
      </c>
      <c r="P12" s="36">
        <f>O12/SUM(O:O)</f>
        <v>1.3888888888888888E-2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582010</v>
      </c>
      <c r="B13" s="65">
        <v>823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35">
        <v>20</v>
      </c>
      <c r="P13" s="36">
        <f>O13/SUM(O:O)</f>
        <v>1.3888888888888888E-2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582010</v>
      </c>
      <c r="B14" s="65">
        <v>825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35">
        <v>20</v>
      </c>
      <c r="P14" s="36">
        <f>O14/SUM(O:O)</f>
        <v>1.3888888888888888E-2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582010</v>
      </c>
      <c r="B15" s="65">
        <v>827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光神しき彩雲龍 アルフヘイム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dragon</v>
      </c>
      <c r="N15" s="7" t="str">
        <f>VLOOKUP(B15,[1]characters!$A:$G,7,FALSE)</f>
        <v>男性</v>
      </c>
      <c r="O15" s="35">
        <v>20</v>
      </c>
      <c r="P15" s="36">
        <f>O15/SUM(O:O)</f>
        <v>1.3888888888888888E-2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582010</v>
      </c>
      <c r="B16" s="65">
        <v>829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銃刃乱舞の怪猫 クルミ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35">
        <v>20</v>
      </c>
      <c r="P16" s="36">
        <f>O16/SUM(O:O)</f>
        <v>1.3888888888888888E-2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582010</v>
      </c>
      <c r="B17" s="65">
        <v>830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清兆の天狗礫 フウガ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balance</v>
      </c>
      <c r="M17" s="7" t="str">
        <f>VLOOKUP(B17,[1]characters!$A:$M,13,FALSE)</f>
        <v>unknown</v>
      </c>
      <c r="N17" s="7" t="str">
        <f>VLOOKUP(B17,[1]characters!$A:$G,7,FALSE)</f>
        <v>男性</v>
      </c>
      <c r="O17" s="35">
        <v>20</v>
      </c>
      <c r="P17" s="36">
        <f>O17/SUM(O:O)</f>
        <v>1.3888888888888888E-2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582010</v>
      </c>
      <c r="B18" s="65">
        <v>833</v>
      </c>
      <c r="C18" s="7" t="str">
        <f t="shared" si="0"/>
        <v>PremiumSS6R5only</v>
      </c>
      <c r="D18" s="7" t="str">
        <f t="shared" si="1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維界の復世神 ヴィシュヌ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35">
        <v>20</v>
      </c>
      <c r="P18" s="36">
        <f>O18/SUM(O:O)</f>
        <v>1.3888888888888888E-2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582010</v>
      </c>
      <c r="B19" s="65">
        <v>835</v>
      </c>
      <c r="C19" s="7" t="str">
        <f t="shared" si="0"/>
        <v>PremiumSS6R5only</v>
      </c>
      <c r="D19" s="7" t="str">
        <f t="shared" si="1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流奏の鳳楽神 サラスヴァティ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god</v>
      </c>
      <c r="N19" s="7" t="str">
        <f>VLOOKUP(B19,[1]characters!$A:$G,7,FALSE)</f>
        <v>男性</v>
      </c>
      <c r="O19" s="35">
        <v>20</v>
      </c>
      <c r="P19" s="36">
        <f>O19/SUM(O:O)</f>
        <v>1.3888888888888888E-2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582010</v>
      </c>
      <c r="B20" s="65">
        <v>838</v>
      </c>
      <c r="C20" s="7" t="str">
        <f t="shared" si="0"/>
        <v>PremiumSS6R5only</v>
      </c>
      <c r="D20" s="7" t="str">
        <f t="shared" si="1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巌鋼の爆烈志士 近藤勇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男性</v>
      </c>
      <c r="O20" s="35">
        <v>20</v>
      </c>
      <c r="P20" s="36">
        <f>O20/SUM(O:O)</f>
        <v>1.3888888888888888E-2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582010</v>
      </c>
      <c r="B21" s="65">
        <v>839</v>
      </c>
      <c r="C21" s="7" t="str">
        <f t="shared" si="0"/>
        <v>PremiumSS6R5only</v>
      </c>
      <c r="D21" s="7" t="str">
        <f t="shared" si="1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真覇の勇魔剣 ランスロット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35">
        <v>20</v>
      </c>
      <c r="P21" s="36">
        <f>O21/SUM(O:O)</f>
        <v>1.3888888888888888E-2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582010</v>
      </c>
      <c r="B22" s="65">
        <v>849</v>
      </c>
      <c r="C22" s="7" t="str">
        <f t="shared" si="0"/>
        <v>PremiumSS6R5only</v>
      </c>
      <c r="D22" s="7" t="str">
        <f t="shared" si="1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燦然たる天使 メタトロン・ラヴァ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男性</v>
      </c>
      <c r="O22" s="35">
        <v>20</v>
      </c>
      <c r="P22" s="36">
        <f>O22/SUM(O:O)</f>
        <v>1.3888888888888888E-2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582010</v>
      </c>
      <c r="B23" s="65">
        <v>851</v>
      </c>
      <c r="C23" s="7" t="str">
        <f t="shared" si="0"/>
        <v>PremiumSS6R5only</v>
      </c>
      <c r="D23" s="7" t="str">
        <f t="shared" si="1"/>
        <v>PremiumSS</v>
      </c>
      <c r="E23" s="7" t="str">
        <f>IF(COUNTIF('R6追加前'!A:A,B23)=0,IF(OR(I23="PremiumSS",I23="PremiumSSw"),"R5only","R3less"),"")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寡黙なる凶王 バアル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35">
        <v>20</v>
      </c>
      <c r="P23" s="36">
        <f>O23/SUM(O:O)</f>
        <v>1.3888888888888888E-2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582010</v>
      </c>
      <c r="B24" s="65">
        <v>867</v>
      </c>
      <c r="C24" s="7" t="str">
        <f t="shared" si="0"/>
        <v>PremiumSS6R5only</v>
      </c>
      <c r="D24" s="7" t="str">
        <f t="shared" si="1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華麗なる作戦 白雪姫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35">
        <v>20</v>
      </c>
      <c r="P24" s="36">
        <f>O24/SUM(O:O)</f>
        <v>1.3888888888888888E-2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582010</v>
      </c>
      <c r="B25" s="65">
        <v>869</v>
      </c>
      <c r="C25" s="7" t="str">
        <f t="shared" si="0"/>
        <v>PremiumSS6R5only</v>
      </c>
      <c r="D25" s="7" t="str">
        <f t="shared" si="1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 xml:space="preserve">マスター･アラジンと殲滅機兵LAMP 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35">
        <v>20</v>
      </c>
      <c r="P25" s="36">
        <f>O25/SUM(O:O)</f>
        <v>1.3888888888888888E-2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582010</v>
      </c>
      <c r="B26" s="65">
        <v>896</v>
      </c>
      <c r="C26" s="7" t="str">
        <f t="shared" si="0"/>
        <v>PremiumSS6R5only</v>
      </c>
      <c r="D26" s="7" t="str">
        <f t="shared" si="1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天衣紡ぐ麗鶴 ハヅル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35">
        <v>20</v>
      </c>
      <c r="P26" s="36">
        <f>O26/SUM(O:O)</f>
        <v>1.3888888888888888E-2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582010</v>
      </c>
      <c r="B27" s="65">
        <v>897</v>
      </c>
      <c r="C27" s="7" t="str">
        <f t="shared" si="0"/>
        <v>PremiumSS6R5only</v>
      </c>
      <c r="D27" s="7" t="str">
        <f t="shared" si="1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天跳兎破 イナバ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35">
        <v>20</v>
      </c>
      <c r="P27" s="36">
        <f>O27/SUM(O:O)</f>
        <v>1.3888888888888888E-2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582010</v>
      </c>
      <c r="B28" s="65">
        <v>938</v>
      </c>
      <c r="C28" s="7" t="str">
        <f t="shared" si="0"/>
        <v>PremiumSS6R5only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炎焔宿す革命皇 ナポレオン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35">
        <v>20</v>
      </c>
      <c r="P28" s="36">
        <f>O28/SUM(O:O)</f>
        <v>1.3888888888888888E-2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582010</v>
      </c>
      <c r="B29" s="65">
        <v>942</v>
      </c>
      <c r="C29" s="7" t="str">
        <f t="shared" si="0"/>
        <v>PremiumSS6R5only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華戯たる傲妃 アントワネット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35">
        <v>20</v>
      </c>
      <c r="P29" s="36">
        <f>O29/SUM(O:O)</f>
        <v>1.3888888888888888E-2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582010</v>
      </c>
      <c r="B30" s="65">
        <v>944</v>
      </c>
      <c r="C30" s="7" t="str">
        <f t="shared" si="0"/>
        <v>PremiumSS6R5only</v>
      </c>
      <c r="D30" s="7" t="str">
        <f t="shared" si="1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王敬の執行者 サンソン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35">
        <v>20</v>
      </c>
      <c r="P30" s="36">
        <f>O30/SUM(O:O)</f>
        <v>1.3888888888888888E-2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582010</v>
      </c>
      <c r="B31" s="65">
        <v>962</v>
      </c>
      <c r="C31" s="7" t="str">
        <f t="shared" si="0"/>
        <v>PremiumSS6R5only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酩酊する大宴龍 ヤマタノオロチ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green</v>
      </c>
      <c r="L31" s="7" t="str">
        <f>VLOOKUP(B31,[1]characters!$A:$K,11,FALSE)</f>
        <v>hp</v>
      </c>
      <c r="M31" s="7" t="str">
        <f>VLOOKUP(B31,[1]characters!$A:$M,13,FALSE)</f>
        <v>dragon</v>
      </c>
      <c r="N31" s="7" t="str">
        <f>VLOOKUP(B31,[1]characters!$A:$G,7,FALSE)</f>
        <v>男性</v>
      </c>
      <c r="O31" s="35">
        <v>20</v>
      </c>
      <c r="P31" s="36">
        <f>O31/SUM(O:O)</f>
        <v>1.3888888888888888E-2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582010</v>
      </c>
      <c r="B32" s="65">
        <v>963</v>
      </c>
      <c r="C32" s="7" t="str">
        <f t="shared" si="0"/>
        <v>PremiumSS6R5only</v>
      </c>
      <c r="D32" s="7" t="str">
        <f t="shared" si="1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天蛇の閃皇貴魔 アスタロト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yellow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男性</v>
      </c>
      <c r="O32" s="35">
        <v>20</v>
      </c>
      <c r="P32" s="36">
        <f>O32/SUM(O:O)</f>
        <v>1.3888888888888888E-2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582010</v>
      </c>
      <c r="B33" s="65">
        <v>964</v>
      </c>
      <c r="C33" s="7" t="str">
        <f t="shared" si="0"/>
        <v>PremiumSS6R5only</v>
      </c>
      <c r="D33" s="7" t="str">
        <f t="shared" si="1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海破雨散の海龍 リヴァイアサン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blue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男性</v>
      </c>
      <c r="O33" s="35">
        <v>20</v>
      </c>
      <c r="P33" s="36">
        <f>O33/SUM(O:O)</f>
        <v>1.3888888888888888E-2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582010</v>
      </c>
      <c r="B34" s="65">
        <v>965</v>
      </c>
      <c r="C34" s="7" t="str">
        <f t="shared" si="0"/>
        <v>PremiumSS6R5only</v>
      </c>
      <c r="D34" s="7" t="str">
        <f t="shared" si="1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穿熱の緋龍王 キング・ドライグ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男性</v>
      </c>
      <c r="O34" s="35">
        <v>20</v>
      </c>
      <c r="P34" s="36">
        <f>O34/SUM(O:O)</f>
        <v>1.3888888888888888E-2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582010</v>
      </c>
      <c r="B35" s="65">
        <v>966</v>
      </c>
      <c r="C35" s="7" t="str">
        <f t="shared" si="0"/>
        <v>PremiumSS6R5only</v>
      </c>
      <c r="D35" s="7" t="str">
        <f t="shared" si="1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麗嵐の颯愛志士 土方歳三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男性</v>
      </c>
      <c r="O35" s="35">
        <v>20</v>
      </c>
      <c r="P35" s="36">
        <f>O35/SUM(O:O)</f>
        <v>1.3888888888888888E-2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582010</v>
      </c>
      <c r="B36" s="65">
        <v>967</v>
      </c>
      <c r="C36" s="7" t="str">
        <f t="shared" si="0"/>
        <v>PremiumSS6R5only</v>
      </c>
      <c r="D36" s="7" t="str">
        <f t="shared" si="1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討滅の凶妖志士 斎藤一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yellow</v>
      </c>
      <c r="L36" s="7" t="str">
        <f>VLOOKUP(B36,[1]characters!$A:$K,11,FALSE)</f>
        <v>technical</v>
      </c>
      <c r="M36" s="7" t="str">
        <f>VLOOKUP(B36,[1]characters!$A:$M,13,FALSE)</f>
        <v>human</v>
      </c>
      <c r="N36" s="7" t="str">
        <f>VLOOKUP(B36,[1]characters!$A:$G,7,FALSE)</f>
        <v>男性</v>
      </c>
      <c r="O36" s="35">
        <v>20</v>
      </c>
      <c r="P36" s="36">
        <f>O36/SUM(O:O)</f>
        <v>1.3888888888888888E-2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582010</v>
      </c>
      <c r="B37" s="65">
        <v>968</v>
      </c>
      <c r="C37" s="7" t="str">
        <f t="shared" si="0"/>
        <v>PremiumSS6R5only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夢謀の愚幻者 フール</v>
      </c>
      <c r="I37" s="7" t="str">
        <f>VLOOKUP(B37,[1]characters!$A:$J,10,FALSE)</f>
        <v>PremiumSS</v>
      </c>
      <c r="J37" s="7">
        <f>VLOOKUP(B37,[1]characters!$A:$I,9,FALSE)</f>
        <v>6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god</v>
      </c>
      <c r="N37" s="7" t="str">
        <f>VLOOKUP(B37,[1]characters!$A:$G,7,FALSE)</f>
        <v>男性</v>
      </c>
      <c r="O37" s="35">
        <v>20</v>
      </c>
      <c r="P37" s="36">
        <f>O37/SUM(O:O)</f>
        <v>1.3888888888888888E-2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582010</v>
      </c>
      <c r="B38" s="65">
        <v>969</v>
      </c>
      <c r="C38" s="7" t="str">
        <f t="shared" si="0"/>
        <v>PremiumSS6R5only</v>
      </c>
      <c r="D38" s="7" t="str">
        <f t="shared" si="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超排撃の焔砲巨神 ユミル</v>
      </c>
      <c r="I38" s="7" t="str">
        <f>VLOOKUP(B38,[1]characters!$A:$J,10,FALSE)</f>
        <v>PremiumSS</v>
      </c>
      <c r="J38" s="7">
        <f>VLOOKUP(B38,[1]characters!$A:$I,9,FALSE)</f>
        <v>6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machine</v>
      </c>
      <c r="N38" s="7" t="str">
        <f>VLOOKUP(B38,[1]characters!$A:$G,7,FALSE)</f>
        <v>男性</v>
      </c>
      <c r="O38" s="35">
        <v>20</v>
      </c>
      <c r="P38" s="36">
        <f>O38/SUM(O:O)</f>
        <v>1.3888888888888888E-2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582010</v>
      </c>
      <c r="B39" s="65">
        <v>970</v>
      </c>
      <c r="C39" s="7" t="str">
        <f t="shared" si="0"/>
        <v>PremiumSS6R5only</v>
      </c>
      <c r="D39" s="7" t="str">
        <f t="shared" si="1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目醒の鋏牙 ラプンツェル</v>
      </c>
      <c r="I39" s="7" t="str">
        <f>VLOOKUP(B39,[1]characters!$A:$J,10,FALSE)</f>
        <v>PremiumSS</v>
      </c>
      <c r="J39" s="7">
        <f>VLOOKUP(B39,[1]characters!$A:$I,9,FALSE)</f>
        <v>6</v>
      </c>
      <c r="K39" s="7" t="str">
        <f>VLOOKUP(B39,[1]characters!$A:$H,8,FALSE)</f>
        <v>yellow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男性</v>
      </c>
      <c r="O39" s="35">
        <v>20</v>
      </c>
      <c r="P39" s="36">
        <f>O39/SUM(O:O)</f>
        <v>1.3888888888888888E-2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582010</v>
      </c>
      <c r="B40" s="65">
        <v>971</v>
      </c>
      <c r="C40" s="7" t="str">
        <f t="shared" si="0"/>
        <v>PremiumSS6R5only</v>
      </c>
      <c r="D40" s="7" t="str">
        <f t="shared" si="1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機獅蛮勇 ブレイブリー・ライオン</v>
      </c>
      <c r="I40" s="7" t="str">
        <f>VLOOKUP(B40,[1]characters!$A:$J,10,FALSE)</f>
        <v>PremiumSS</v>
      </c>
      <c r="J40" s="7">
        <f>VLOOKUP(B40,[1]characters!$A:$I,9,FALSE)</f>
        <v>6</v>
      </c>
      <c r="K40" s="7" t="str">
        <f>VLOOKUP(B40,[1]characters!$A:$H,8,FALSE)</f>
        <v>yellow</v>
      </c>
      <c r="L40" s="7" t="str">
        <f>VLOOKUP(B40,[1]characters!$A:$K,11,FALSE)</f>
        <v>hp</v>
      </c>
      <c r="M40" s="7" t="str">
        <f>VLOOKUP(B40,[1]characters!$A:$M,13,FALSE)</f>
        <v>animal</v>
      </c>
      <c r="N40" s="7" t="str">
        <f>VLOOKUP(B40,[1]characters!$A:$G,7,FALSE)</f>
        <v>男性</v>
      </c>
      <c r="O40" s="35">
        <v>20</v>
      </c>
      <c r="P40" s="36">
        <f>O40/SUM(O:O)</f>
        <v>1.3888888888888888E-2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582010</v>
      </c>
      <c r="B41" s="65">
        <v>1013</v>
      </c>
      <c r="C41" s="7" t="str">
        <f t="shared" si="0"/>
        <v>PremiumSS6R5only</v>
      </c>
      <c r="D41" s="7" t="str">
        <f t="shared" si="1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聖陽昇る緋洸神 ラー</v>
      </c>
      <c r="I41" s="7" t="str">
        <f>VLOOKUP(B41,[1]characters!$A:$J,10,FALSE)</f>
        <v>PremiumSS</v>
      </c>
      <c r="J41" s="7">
        <f>VLOOKUP(B41,[1]characters!$A:$I,9,FALSE)</f>
        <v>6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35">
        <v>20</v>
      </c>
      <c r="P41" s="36">
        <f>O41/SUM(O:O)</f>
        <v>1.3888888888888888E-2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582010</v>
      </c>
      <c r="B42" s="65">
        <v>1015</v>
      </c>
      <c r="C42" s="7" t="str">
        <f t="shared" si="0"/>
        <v>PremiumSS6R5only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繁翠なる蘇聖神 イシス</v>
      </c>
      <c r="I42" s="7" t="str">
        <f>VLOOKUP(B42,[1]characters!$A:$J,10,FALSE)</f>
        <v>PremiumSS</v>
      </c>
      <c r="J42" s="7">
        <f>VLOOKUP(B42,[1]characters!$A:$I,9,FALSE)</f>
        <v>6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35">
        <v>20</v>
      </c>
      <c r="P42" s="36">
        <f>O42/SUM(O:O)</f>
        <v>1.3888888888888888E-2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582010</v>
      </c>
      <c r="B43" s="65">
        <v>1019</v>
      </c>
      <c r="C43" s="7" t="str">
        <f t="shared" si="0"/>
        <v>PremiumSS6R5only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愛鈴鳴る寵猫神 バステト</v>
      </c>
      <c r="I43" s="7" t="str">
        <f>VLOOKUP(B43,[1]characters!$A:$J,10,FALSE)</f>
        <v>PremiumSS</v>
      </c>
      <c r="J43" s="7">
        <f>VLOOKUP(B43,[1]characters!$A:$I,9,FALSE)</f>
        <v>6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5">
        <v>20</v>
      </c>
      <c r="P43" s="36">
        <f>O43/SUM(O:O)</f>
        <v>1.3888888888888888E-2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582010</v>
      </c>
      <c r="B44" s="65">
        <v>1029</v>
      </c>
      <c r="C44" s="7" t="str">
        <f t="shared" si="0"/>
        <v>PremiumSS6R5only</v>
      </c>
      <c r="D44" s="7" t="str">
        <f t="shared" si="1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天賦の軍才 牛若丸</v>
      </c>
      <c r="I44" s="7" t="str">
        <f>VLOOKUP(B44,[1]characters!$A:$J,10,FALSE)</f>
        <v>PremiumSS</v>
      </c>
      <c r="J44" s="7">
        <f>VLOOKUP(B44,[1]characters!$A:$I,9,FALSE)</f>
        <v>6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35">
        <v>20</v>
      </c>
      <c r="P44" s="36">
        <f>O44/SUM(O:O)</f>
        <v>1.3888888888888888E-2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582010</v>
      </c>
      <c r="B45" s="65">
        <v>1032</v>
      </c>
      <c r="C45" s="7" t="str">
        <f t="shared" si="0"/>
        <v>PremiumSS6R5only</v>
      </c>
      <c r="D45" s="7" t="str">
        <f t="shared" si="1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彩気煥発の創作人 紫式部</v>
      </c>
      <c r="I45" s="7" t="str">
        <f>VLOOKUP(B45,[1]characters!$A:$J,10,FALSE)</f>
        <v>PremiumSS</v>
      </c>
      <c r="J45" s="7">
        <f>VLOOKUP(B45,[1]characters!$A:$I,9,FALSE)</f>
        <v>6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35">
        <v>20</v>
      </c>
      <c r="P45" s="36">
        <f>O45/SUM(O:O)</f>
        <v>1.3888888888888888E-2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582010</v>
      </c>
      <c r="B46" s="65">
        <v>1034</v>
      </c>
      <c r="C46" s="7" t="str">
        <f t="shared" si="0"/>
        <v>PremiumSS6R5only</v>
      </c>
      <c r="D46" s="7" t="str">
        <f t="shared" si="1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爛漫なる随筆家 清少納言</v>
      </c>
      <c r="I46" s="7" t="str">
        <f>VLOOKUP(B46,[1]characters!$A:$J,10,FALSE)</f>
        <v>PremiumSS</v>
      </c>
      <c r="J46" s="7">
        <f>VLOOKUP(B46,[1]characters!$A:$I,9,FALSE)</f>
        <v>6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35">
        <v>20</v>
      </c>
      <c r="P46" s="36">
        <f>O46/SUM(O:O)</f>
        <v>1.3888888888888888E-2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582010</v>
      </c>
      <c r="B47" s="65">
        <v>1070</v>
      </c>
      <c r="C47" s="7" t="str">
        <f t="shared" si="0"/>
        <v>PremiumSS6R5only</v>
      </c>
      <c r="D47" s="7" t="str">
        <f t="shared" si="1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駆脳する造愛 イシュタル</v>
      </c>
      <c r="I47" s="7" t="str">
        <f>VLOOKUP(B47,[1]characters!$A:$J,10,FALSE)</f>
        <v>PremiumSS</v>
      </c>
      <c r="J47" s="7">
        <f>VLOOKUP(B47,[1]characters!$A:$I,9,FALSE)</f>
        <v>6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5">
        <v>20</v>
      </c>
      <c r="P47" s="36">
        <f>O47/SUM(O:O)</f>
        <v>1.3888888888888888E-2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582010</v>
      </c>
      <c r="B48" s="65">
        <v>1073</v>
      </c>
      <c r="C48" s="7" t="str">
        <f t="shared" si="0"/>
        <v>PremiumSS6R5only</v>
      </c>
      <c r="D48" s="7" t="str">
        <f t="shared" si="1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静穏なる獣勇 エンキドゥ</v>
      </c>
      <c r="I48" s="7" t="str">
        <f>VLOOKUP(B48,[1]characters!$A:$J,10,FALSE)</f>
        <v>PremiumSSw</v>
      </c>
      <c r="J48" s="7">
        <f>VLOOKUP(B48,[1]characters!$A:$I,9,FALSE)</f>
        <v>6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35">
        <v>20</v>
      </c>
      <c r="P48" s="36">
        <f>O48/SUM(O:O)</f>
        <v>1.3888888888888888E-2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582010</v>
      </c>
      <c r="B49" s="65">
        <v>1075</v>
      </c>
      <c r="C49" s="7" t="str">
        <f t="shared" si="0"/>
        <v>PremiumSS6R5only</v>
      </c>
      <c r="D49" s="7" t="str">
        <f t="shared" si="1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虚塔の神王 マルドゥク</v>
      </c>
      <c r="I49" s="7" t="str">
        <f>VLOOKUP(B49,[1]characters!$A:$J,10,FALSE)</f>
        <v>PremiumSS</v>
      </c>
      <c r="J49" s="7">
        <f>VLOOKUP(B49,[1]characters!$A:$I,9,FALSE)</f>
        <v>6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5">
        <v>20</v>
      </c>
      <c r="P49" s="36">
        <f>O49/SUM(O:O)</f>
        <v>1.3888888888888888E-2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582010</v>
      </c>
      <c r="B50" s="65">
        <v>1101</v>
      </c>
      <c r="C50" s="7" t="str">
        <f t="shared" si="0"/>
        <v>PremiumSS6R5only</v>
      </c>
      <c r="D50" s="7" t="str">
        <f t="shared" si="1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浮世万物の筆刻者 北斎</v>
      </c>
      <c r="I50" s="7" t="str">
        <f>VLOOKUP(B50,[1]characters!$A:$J,10,FALSE)</f>
        <v>PremiumSS</v>
      </c>
      <c r="J50" s="7">
        <f>VLOOKUP(B50,[1]characters!$A:$I,9,FALSE)</f>
        <v>6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5">
        <v>20</v>
      </c>
      <c r="P50" s="36">
        <f>O50/SUM(O:O)</f>
        <v>1.3888888888888888E-2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582010</v>
      </c>
      <c r="B51" s="65">
        <v>1103</v>
      </c>
      <c r="C51" s="7" t="str">
        <f t="shared" si="0"/>
        <v>PremiumSS6R5only</v>
      </c>
      <c r="D51" s="7" t="str">
        <f t="shared" si="1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舞台裏の鼠展 ドガ</v>
      </c>
      <c r="I51" s="7" t="str">
        <f>VLOOKUP(B51,[1]characters!$A:$J,10,FALSE)</f>
        <v>PremiumSSw</v>
      </c>
      <c r="J51" s="7">
        <f>VLOOKUP(B51,[1]characters!$A:$I,9,FALSE)</f>
        <v>6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35">
        <v>20</v>
      </c>
      <c r="P51" s="36">
        <f>O51/SUM(O:O)</f>
        <v>1.3888888888888888E-2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582010</v>
      </c>
      <c r="B52" s="65">
        <v>1107</v>
      </c>
      <c r="C52" s="7" t="str">
        <f t="shared" si="0"/>
        <v>PremiumSS6R5only</v>
      </c>
      <c r="D52" s="7" t="str">
        <f t="shared" si="1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天浄の鮮風 ラファエロ</v>
      </c>
      <c r="I52" s="7" t="str">
        <f>VLOOKUP(B52,[1]characters!$A:$J,10,FALSE)</f>
        <v>PremiumSS</v>
      </c>
      <c r="J52" s="7">
        <f>VLOOKUP(B52,[1]characters!$A:$I,9,FALSE)</f>
        <v>6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35">
        <v>20</v>
      </c>
      <c r="P52" s="36">
        <f>O52/SUM(O:O)</f>
        <v>1.3888888888888888E-2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582010</v>
      </c>
      <c r="B53" s="65">
        <v>1138</v>
      </c>
      <c r="C53" s="7" t="str">
        <f t="shared" si="0"/>
        <v>PremiumSS6R5only</v>
      </c>
      <c r="D53" s="7" t="str">
        <f t="shared" si="1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神算鬼謀の宰相 諸葛亮</v>
      </c>
      <c r="I53" s="7" t="str">
        <f>VLOOKUP(B53,[1]characters!$A:$J,10,FALSE)</f>
        <v>PremiumSSw</v>
      </c>
      <c r="J53" s="7">
        <f>VLOOKUP(B53,[1]characters!$A:$I,9,FALSE)</f>
        <v>6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35">
        <v>20</v>
      </c>
      <c r="P53" s="36">
        <f>O53/SUM(O:O)</f>
        <v>1.3888888888888888E-2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582010</v>
      </c>
      <c r="B54" s="65">
        <v>1140</v>
      </c>
      <c r="C54" s="7" t="str">
        <f t="shared" si="0"/>
        <v>PremiumSS6R5only</v>
      </c>
      <c r="D54" s="7" t="str">
        <f t="shared" si="1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綱紀粛正の傑璧 趙雲</v>
      </c>
      <c r="I54" s="7" t="str">
        <f>VLOOKUP(B54,[1]characters!$A:$J,10,FALSE)</f>
        <v>PremiumSS</v>
      </c>
      <c r="J54" s="7">
        <f>VLOOKUP(B54,[1]characters!$A:$I,9,FALSE)</f>
        <v>6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35">
        <v>20</v>
      </c>
      <c r="P54" s="36">
        <f>O54/SUM(O:O)</f>
        <v>1.3888888888888888E-2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582010</v>
      </c>
      <c r="B55" s="65">
        <v>1142</v>
      </c>
      <c r="C55" s="7" t="str">
        <f t="shared" si="0"/>
        <v>PremiumSS6R5only</v>
      </c>
      <c r="D55" s="7" t="str">
        <f t="shared" si="1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蒼明な機鋼士 月英</v>
      </c>
      <c r="I55" s="7" t="str">
        <f>VLOOKUP(B55,[1]characters!$A:$J,10,FALSE)</f>
        <v>PremiumSS</v>
      </c>
      <c r="J55" s="7">
        <f>VLOOKUP(B55,[1]characters!$A:$I,9,FALSE)</f>
        <v>6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35">
        <v>20</v>
      </c>
      <c r="P55" s="36">
        <f>O55/SUM(O:O)</f>
        <v>1.3888888888888888E-2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582010</v>
      </c>
      <c r="B56" s="65">
        <v>1154</v>
      </c>
      <c r="C56" s="7" t="str">
        <f t="shared" si="0"/>
        <v>PremiumSS6R5only</v>
      </c>
      <c r="D56" s="7" t="str">
        <f t="shared" si="1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幸吹の蓮華粧 ラクシュミー</v>
      </c>
      <c r="I56" s="7" t="str">
        <f>VLOOKUP(B56,[1]characters!$A:$J,10,FALSE)</f>
        <v>PremiumSSw</v>
      </c>
      <c r="J56" s="7">
        <f>VLOOKUP(B56,[1]characters!$A:$I,9,FALSE)</f>
        <v>6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35">
        <v>20</v>
      </c>
      <c r="P56" s="36">
        <f>O56/SUM(O:O)</f>
        <v>1.3888888888888888E-2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582010</v>
      </c>
      <c r="B57" s="65">
        <v>1156</v>
      </c>
      <c r="C57" s="7" t="str">
        <f t="shared" si="0"/>
        <v>PremiumSS6R5only</v>
      </c>
      <c r="D57" s="7" t="str">
        <f t="shared" si="1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麗逆の武操神 ドゥルガー</v>
      </c>
      <c r="I57" s="7" t="str">
        <f>VLOOKUP(B57,[1]characters!$A:$J,10,FALSE)</f>
        <v>PremiumSS</v>
      </c>
      <c r="J57" s="7">
        <f>VLOOKUP(B57,[1]characters!$A:$I,9,FALSE)</f>
        <v>6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35">
        <v>20</v>
      </c>
      <c r="P57" s="36">
        <f>O57/SUM(O:O)</f>
        <v>1.3888888888888888E-2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582010</v>
      </c>
      <c r="B58" s="64">
        <v>1158</v>
      </c>
      <c r="C58" s="7" t="str">
        <f t="shared" si="0"/>
        <v>PremiumSS6R5only</v>
      </c>
      <c r="D58" s="7" t="str">
        <f t="shared" si="1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天英の雷霆神 インドラ</v>
      </c>
      <c r="I58" s="7" t="str">
        <f>VLOOKUP(B58,[1]characters!$A:$J,10,FALSE)</f>
        <v>PremiumSS</v>
      </c>
      <c r="J58" s="7">
        <f>VLOOKUP(B58,[1]characters!$A:$I,9,FALSE)</f>
        <v>6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35">
        <v>20</v>
      </c>
      <c r="P58" s="36">
        <f>O58/SUM(O:O)</f>
        <v>1.3888888888888888E-2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582010</v>
      </c>
      <c r="B59" s="64">
        <v>1209</v>
      </c>
      <c r="C59" s="7" t="str">
        <f t="shared" si="0"/>
        <v>PremiumSS6R5only</v>
      </c>
      <c r="D59" s="7" t="str">
        <f t="shared" si="1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刹那の過罰神 ネメシス</v>
      </c>
      <c r="I59" s="7" t="str">
        <f>VLOOKUP(B59,[1]characters!$A:$J,10,FALSE)</f>
        <v>PremiumSS</v>
      </c>
      <c r="J59" s="7">
        <f>VLOOKUP(B59,[1]characters!$A:$I,9,FALSE)</f>
        <v>6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35">
        <v>20</v>
      </c>
      <c r="P59" s="36">
        <f>O59/SUM(O:O)</f>
        <v>1.3888888888888888E-2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582010</v>
      </c>
      <c r="B60" s="64">
        <v>1213</v>
      </c>
      <c r="C60" s="7" t="str">
        <f t="shared" si="0"/>
        <v>PremiumSS6R5only</v>
      </c>
      <c r="D60" s="7" t="str">
        <f t="shared" si="1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能洪の永地神 クロノス</v>
      </c>
      <c r="I60" s="7" t="str">
        <f>VLOOKUP(B60,[1]characters!$A:$J,10,FALSE)</f>
        <v>PremiumSS</v>
      </c>
      <c r="J60" s="7">
        <f>VLOOKUP(B60,[1]characters!$A:$I,9,FALSE)</f>
        <v>6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35">
        <v>20</v>
      </c>
      <c r="P60" s="36">
        <f>O60/SUM(O:O)</f>
        <v>1.3888888888888888E-2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582010</v>
      </c>
      <c r="B61" s="64">
        <v>1215</v>
      </c>
      <c r="C61" s="7" t="str">
        <f t="shared" si="0"/>
        <v>PremiumSS6R5only</v>
      </c>
      <c r="D61" s="7" t="str">
        <f t="shared" si="1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穿潮の雷月神 アルテミス</v>
      </c>
      <c r="I61" s="7" t="str">
        <f>VLOOKUP(B61,[1]characters!$A:$J,10,FALSE)</f>
        <v>PremiumSSw</v>
      </c>
      <c r="J61" s="7">
        <f>VLOOKUP(B61,[1]characters!$A:$I,9,FALSE)</f>
        <v>6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35">
        <v>20</v>
      </c>
      <c r="P61" s="36">
        <f>O61/SUM(O:O)</f>
        <v>1.3888888888888888E-2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582010</v>
      </c>
      <c r="B62" s="64">
        <v>1227</v>
      </c>
      <c r="C62" s="7" t="str">
        <f t="shared" si="0"/>
        <v>PremiumSS6R5only</v>
      </c>
      <c r="D62" s="7" t="str">
        <f t="shared" si="1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欲望の占猟者 トルストイ</v>
      </c>
      <c r="I62" s="7" t="str">
        <f>VLOOKUP(B62,[1]characters!$A:$J,10,FALSE)</f>
        <v>PremiumSS</v>
      </c>
      <c r="J62" s="7">
        <f>VLOOKUP(B62,[1]characters!$A:$I,9,FALSE)</f>
        <v>6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35">
        <v>20</v>
      </c>
      <c r="P62" s="36">
        <f>O62/SUM(O:O)</f>
        <v>1.3888888888888888E-2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582010</v>
      </c>
      <c r="B63" s="64">
        <v>1229</v>
      </c>
      <c r="C63" s="7" t="str">
        <f t="shared" si="0"/>
        <v>PremiumSS6R5only</v>
      </c>
      <c r="D63" s="7" t="str">
        <f t="shared" si="1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羅生の鬼我 芥川龍之介</v>
      </c>
      <c r="I63" s="7" t="str">
        <f>VLOOKUP(B63,[1]characters!$A:$J,10,FALSE)</f>
        <v>PremiumSSw</v>
      </c>
      <c r="J63" s="7">
        <f>VLOOKUP(B63,[1]characters!$A:$I,9,FALSE)</f>
        <v>6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35">
        <v>20</v>
      </c>
      <c r="P63" s="36">
        <f>O63/SUM(O:O)</f>
        <v>1.3888888888888888E-2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582010</v>
      </c>
      <c r="B64" s="64">
        <v>1231</v>
      </c>
      <c r="C64" s="7" t="str">
        <f t="shared" si="0"/>
        <v>PremiumSS6R5only</v>
      </c>
      <c r="D64" s="7" t="str">
        <f t="shared" si="1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思索する愛猫 夏目漱石</v>
      </c>
      <c r="I64" s="7" t="str">
        <f>VLOOKUP(B64,[1]characters!$A:$J,10,FALSE)</f>
        <v>PremiumSS</v>
      </c>
      <c r="J64" s="7">
        <f>VLOOKUP(B64,[1]characters!$A:$I,9,FALSE)</f>
        <v>6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35">
        <v>20</v>
      </c>
      <c r="P64" s="36">
        <f>O64/SUM(O:O)</f>
        <v>1.3888888888888888E-2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582010</v>
      </c>
      <c r="B65" s="64">
        <v>1245</v>
      </c>
      <c r="C65" s="7" t="str">
        <f t="shared" si="0"/>
        <v>PremiumSS6R5only</v>
      </c>
      <c r="D65" s="7" t="str">
        <f t="shared" si="1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甲火の特殊忍 猿飛佐助</v>
      </c>
      <c r="I65" s="7" t="str">
        <f>VLOOKUP(B65,[1]characters!$A:$J,10,FALSE)</f>
        <v>PremiumSS</v>
      </c>
      <c r="J65" s="7">
        <f>VLOOKUP(B65,[1]characters!$A:$I,9,FALSE)</f>
        <v>6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35">
        <v>20</v>
      </c>
      <c r="P65" s="36">
        <f>O65/SUM(O:O)</f>
        <v>1.3888888888888888E-2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582010</v>
      </c>
      <c r="B66" s="64">
        <v>1247</v>
      </c>
      <c r="C66" s="7" t="str">
        <f t="shared" ref="C66:C73" si="2">D66&amp;J66&amp;E66&amp;F66&amp;G66</f>
        <v>PremiumSS6R5only</v>
      </c>
      <c r="D66" s="7" t="str">
        <f t="shared" si="1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潜情のくノ一 望月千代女</v>
      </c>
      <c r="I66" s="7" t="str">
        <f>VLOOKUP(B66,[1]characters!$A:$J,10,FALSE)</f>
        <v>PremiumSS</v>
      </c>
      <c r="J66" s="7">
        <f>VLOOKUP(B66,[1]characters!$A:$I,9,FALSE)</f>
        <v>6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35">
        <v>20</v>
      </c>
      <c r="P66" s="36">
        <f>O66/SUM(O:O)</f>
        <v>1.3888888888888888E-2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582010</v>
      </c>
      <c r="B67" s="64">
        <v>1251</v>
      </c>
      <c r="C67" s="7" t="str">
        <f t="shared" si="2"/>
        <v>PremiumSS6R5only</v>
      </c>
      <c r="D67" s="7" t="str">
        <f t="shared" ref="D67:D73" si="3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錯槍の英勇 真田幸村</v>
      </c>
      <c r="I67" s="7" t="str">
        <f>VLOOKUP(B67,[1]characters!$A:$J,10,FALSE)</f>
        <v>PremiumSSw</v>
      </c>
      <c r="J67" s="7">
        <f>VLOOKUP(B67,[1]characters!$A:$I,9,FALSE)</f>
        <v>6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35">
        <v>20</v>
      </c>
      <c r="P67" s="36">
        <f>O67/SUM(O:O)</f>
        <v>1.3888888888888888E-2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582010</v>
      </c>
      <c r="B68" s="64">
        <v>1261</v>
      </c>
      <c r="C68" s="7" t="str">
        <f t="shared" si="2"/>
        <v>PremiumSS6R5only</v>
      </c>
      <c r="D68" s="7" t="str">
        <f t="shared" si="3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燃雷の鎚撃 トール</v>
      </c>
      <c r="I68" s="7" t="str">
        <f>VLOOKUP(B68,[1]characters!$A:$J,10,FALSE)</f>
        <v>PremiumSS</v>
      </c>
      <c r="J68" s="7">
        <f>VLOOKUP(B68,[1]characters!$A:$I,9,FALSE)</f>
        <v>6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35">
        <v>20</v>
      </c>
      <c r="P68" s="36">
        <f>O68/SUM(O:O)</f>
        <v>1.3888888888888888E-2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582010</v>
      </c>
      <c r="B69" s="64">
        <v>1263</v>
      </c>
      <c r="C69" s="7" t="str">
        <f t="shared" si="2"/>
        <v>PremiumSS6R5only</v>
      </c>
      <c r="D69" s="7" t="str">
        <f t="shared" si="3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純朴なる檻理人 イズン</v>
      </c>
      <c r="I69" s="7" t="str">
        <f>VLOOKUP(B69,[1]characters!$A:$J,10,FALSE)</f>
        <v>PremiumSSw</v>
      </c>
      <c r="J69" s="7">
        <f>VLOOKUP(B69,[1]characters!$A:$I,9,FALSE)</f>
        <v>6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35">
        <v>20</v>
      </c>
      <c r="P69" s="36">
        <f>O69/SUM(O:O)</f>
        <v>1.3888888888888888E-2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582010</v>
      </c>
      <c r="B70" s="64">
        <v>1265</v>
      </c>
      <c r="C70" s="7" t="str">
        <f t="shared" si="2"/>
        <v>PremiumSS6R5only</v>
      </c>
      <c r="D70" s="7" t="str">
        <f t="shared" si="3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静観する世限者 ウルズ</v>
      </c>
      <c r="I70" s="7" t="str">
        <f>VLOOKUP(B70,[1]characters!$A:$J,10,FALSE)</f>
        <v>PremiumSS</v>
      </c>
      <c r="J70" s="7">
        <f>VLOOKUP(B70,[1]characters!$A:$I,9,FALSE)</f>
        <v>6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35">
        <v>20</v>
      </c>
      <c r="P70" s="36">
        <f>O70/SUM(O:O)</f>
        <v>1.3888888888888888E-2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582010</v>
      </c>
      <c r="B71" s="65">
        <v>1333</v>
      </c>
      <c r="C71" s="7" t="str">
        <f t="shared" si="2"/>
        <v>PremiumSS6R5only</v>
      </c>
      <c r="D71" s="7" t="str">
        <f t="shared" si="3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神心を射る穂神 クシナダヒメ</v>
      </c>
      <c r="I71" s="7" t="str">
        <f>VLOOKUP(B71,[1]characters!$A:$J,10,FALSE)</f>
        <v>PremiumSSw</v>
      </c>
      <c r="J71" s="7">
        <f>VLOOKUP(B71,[1]characters!$A:$I,9,FALSE)</f>
        <v>6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35">
        <v>20</v>
      </c>
      <c r="P71" s="36">
        <f>O71/SUM(O:O)</f>
        <v>1.3888888888888888E-2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582010</v>
      </c>
      <c r="B72" s="65">
        <v>1337</v>
      </c>
      <c r="C72" s="7" t="str">
        <f t="shared" si="2"/>
        <v>PremiumSS6R5only</v>
      </c>
      <c r="D72" s="7" t="str">
        <f t="shared" si="3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成命の綜父神 イザナギ</v>
      </c>
      <c r="I72" s="7" t="str">
        <f>VLOOKUP(B72,[1]characters!$A:$J,10,FALSE)</f>
        <v>PremiumSS</v>
      </c>
      <c r="J72" s="7">
        <f>VLOOKUP(B72,[1]characters!$A:$I,9,FALSE)</f>
        <v>6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35">
        <v>20</v>
      </c>
      <c r="P72" s="36">
        <f>O72/SUM(O:O)</f>
        <v>1.3888888888888888E-2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582010</v>
      </c>
      <c r="B73" s="65">
        <v>1339</v>
      </c>
      <c r="C73" s="7" t="str">
        <f t="shared" si="2"/>
        <v>PremiumSS6R5only</v>
      </c>
      <c r="D73" s="7" t="str">
        <f t="shared" si="3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復古の舞芸神 アメノウズメ</v>
      </c>
      <c r="I73" s="7" t="str">
        <f>VLOOKUP(B73,[1]characters!$A:$J,10,FALSE)</f>
        <v>PremiumSS</v>
      </c>
      <c r="J73" s="7">
        <f>VLOOKUP(B73,[1]characters!$A:$I,9,FALSE)</f>
        <v>6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35">
        <v>20</v>
      </c>
      <c r="P73" s="36">
        <f>O73/SUM(O:O)</f>
        <v>1.3888888888888888E-2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</sheetData>
  <autoFilter ref="A1:V7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40" t="s">
        <v>65</v>
      </c>
      <c r="H1" s="40" t="s">
        <v>66</v>
      </c>
      <c r="I1" s="41" t="s">
        <v>67</v>
      </c>
      <c r="J1" s="41" t="s">
        <v>68</v>
      </c>
      <c r="K1" s="41" t="s">
        <v>69</v>
      </c>
      <c r="L1" s="41" t="s">
        <v>70</v>
      </c>
      <c r="M1" s="41" t="s">
        <v>71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50"/>
      <c r="B2" s="50"/>
      <c r="C2" s="51"/>
      <c r="D2" s="51"/>
      <c r="E2" s="51"/>
      <c r="F2" s="51"/>
      <c r="G2" s="1"/>
      <c r="H2" s="1"/>
      <c r="I2" s="1"/>
      <c r="J2" s="1"/>
      <c r="K2" s="1"/>
      <c r="L2" s="1"/>
      <c r="M2" s="1"/>
      <c r="N2" s="51"/>
      <c r="O2" s="51"/>
      <c r="P2" s="51"/>
      <c r="Q2" s="52"/>
    </row>
    <row r="3" spans="1:17" ht="21" customHeight="1" x14ac:dyDescent="0.15">
      <c r="A3" s="50"/>
      <c r="B3" s="50"/>
      <c r="G3" s="54"/>
      <c r="H3" s="54"/>
      <c r="I3" s="54"/>
      <c r="J3" s="54"/>
      <c r="K3" s="54"/>
      <c r="L3" s="54"/>
      <c r="M3" s="54"/>
      <c r="N3" s="51"/>
      <c r="O3" s="51"/>
      <c r="P3" s="51"/>
      <c r="Q3" s="52"/>
    </row>
    <row r="4" spans="1:17" ht="21" customHeight="1" x14ac:dyDescent="0.15">
      <c r="A4" s="50"/>
      <c r="B4" s="50"/>
      <c r="G4" s="54"/>
      <c r="H4" s="54"/>
      <c r="I4" s="54"/>
      <c r="J4" s="54"/>
      <c r="K4" s="54"/>
      <c r="L4" s="54"/>
      <c r="M4" s="54"/>
      <c r="N4" s="51"/>
      <c r="O4" s="51"/>
      <c r="P4" s="51"/>
      <c r="Q4" s="52"/>
    </row>
    <row r="5" spans="1:17" ht="21" customHeight="1" x14ac:dyDescent="0.15">
      <c r="A5" s="50"/>
      <c r="B5" s="50"/>
      <c r="G5" s="54"/>
      <c r="H5" s="54"/>
      <c r="I5" s="54"/>
      <c r="J5" s="54"/>
      <c r="K5" s="54"/>
      <c r="L5" s="54"/>
      <c r="M5" s="54"/>
      <c r="N5" s="51"/>
      <c r="O5" s="51"/>
      <c r="P5" s="51"/>
      <c r="Q5" s="52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2">
        <v>668</v>
      </c>
      <c r="B246" s="7" t="str">
        <f>VLOOKUP(A246,[1]characters!$A:$C,3,FALSE)</f>
        <v>アグニ</v>
      </c>
    </row>
    <row r="247" spans="1:2" x14ac:dyDescent="0.15">
      <c r="A247" s="42">
        <v>669</v>
      </c>
      <c r="B247" s="7" t="str">
        <f>VLOOKUP(A247,[1]characters!$A:$C,3,FALSE)</f>
        <v>天地の仲界 アグニ</v>
      </c>
    </row>
    <row r="248" spans="1:2" x14ac:dyDescent="0.15">
      <c r="A248" s="42">
        <v>670</v>
      </c>
      <c r="B248" s="7" t="str">
        <f>VLOOKUP(A248,[1]characters!$A:$C,3,FALSE)</f>
        <v>陽天の噴煙 アグニ</v>
      </c>
    </row>
    <row r="249" spans="1:2" x14ac:dyDescent="0.15">
      <c r="A249" s="42">
        <v>671</v>
      </c>
      <c r="B249" s="7" t="str">
        <f>VLOOKUP(A249,[1]characters!$A:$C,3,FALSE)</f>
        <v>ハヌマーン</v>
      </c>
    </row>
    <row r="250" spans="1:2" x14ac:dyDescent="0.15">
      <c r="A250" s="42">
        <v>672</v>
      </c>
      <c r="B250" s="7" t="str">
        <f>VLOOKUP(A250,[1]characters!$A:$C,3,FALSE)</f>
        <v>西遊韋駄天 ハヌマーン</v>
      </c>
    </row>
    <row r="251" spans="1:2" x14ac:dyDescent="0.15">
      <c r="A251" s="42">
        <v>673</v>
      </c>
      <c r="B251" s="7" t="str">
        <f>VLOOKUP(A251,[1]characters!$A:$C,3,FALSE)</f>
        <v>変幻自在の猿王 ハヌマーン</v>
      </c>
    </row>
    <row r="252" spans="1:2" x14ac:dyDescent="0.15">
      <c r="A252" s="42">
        <v>674</v>
      </c>
      <c r="B252" s="7" t="str">
        <f>VLOOKUP(A252,[1]characters!$A:$C,3,FALSE)</f>
        <v>サラスヴァティ</v>
      </c>
    </row>
    <row r="253" spans="1:2" x14ac:dyDescent="0.15">
      <c r="A253" s="42">
        <v>675</v>
      </c>
      <c r="B253" s="7" t="str">
        <f>VLOOKUP(A253,[1]characters!$A:$C,3,FALSE)</f>
        <v>芸楽の奔流 サラスヴァティ</v>
      </c>
    </row>
    <row r="254" spans="1:2" x14ac:dyDescent="0.15">
      <c r="A254" s="42">
        <v>676</v>
      </c>
      <c r="B254" s="7" t="str">
        <f>VLOOKUP(A254,[1]characters!$A:$C,3,FALSE)</f>
        <v>ヴィシュヌ</v>
      </c>
    </row>
    <row r="255" spans="1:2" x14ac:dyDescent="0.15">
      <c r="A255" s="42">
        <v>677</v>
      </c>
      <c r="B255" s="7" t="str">
        <f>VLOOKUP(A255,[1]characters!$A:$C,3,FALSE)</f>
        <v>武遊闊歩 ヴィシュヌ</v>
      </c>
    </row>
    <row r="256" spans="1:2" x14ac:dyDescent="0.15">
      <c r="A256" s="42">
        <v>770</v>
      </c>
      <c r="B256" s="7" t="str">
        <f>VLOOKUP(A256,[1]characters!$A:$C,3,FALSE)</f>
        <v>ハヅル</v>
      </c>
    </row>
    <row r="257" spans="1:2" x14ac:dyDescent="0.15">
      <c r="A257" s="42">
        <v>771</v>
      </c>
      <c r="B257" s="7" t="str">
        <f>VLOOKUP(A257,[1]characters!$A:$C,3,FALSE)</f>
        <v>天織羽鶴 ハヅル</v>
      </c>
    </row>
    <row r="258" spans="1:2" x14ac:dyDescent="0.15">
      <c r="A258" s="42">
        <v>772</v>
      </c>
      <c r="B258" s="7" t="str">
        <f>VLOOKUP(A258,[1]characters!$A:$C,3,FALSE)</f>
        <v>イナバ</v>
      </c>
    </row>
    <row r="259" spans="1:2" x14ac:dyDescent="0.15">
      <c r="A259" s="42">
        <v>773</v>
      </c>
      <c r="B259" s="7" t="str">
        <f>VLOOKUP(A259,[1]characters!$A:$C,3,FALSE)</f>
        <v>浮跳天兎 イナバ</v>
      </c>
    </row>
    <row r="260" spans="1:2" x14ac:dyDescent="0.15">
      <c r="A260" s="42">
        <v>774</v>
      </c>
      <c r="B260" s="7" t="str">
        <f>VLOOKUP(A260,[1]characters!$A:$C,3,FALSE)</f>
        <v>ミズチ</v>
      </c>
    </row>
    <row r="261" spans="1:2" x14ac:dyDescent="0.15">
      <c r="A261" s="42">
        <v>775</v>
      </c>
      <c r="B261" s="7" t="str">
        <f>VLOOKUP(A261,[1]characters!$A:$C,3,FALSE)</f>
        <v>水底霊竜 ミズチ</v>
      </c>
    </row>
    <row r="262" spans="1:2" x14ac:dyDescent="0.15">
      <c r="A262" s="42">
        <v>776</v>
      </c>
      <c r="B262" s="7" t="str">
        <f>VLOOKUP(A262,[1]characters!$A:$C,3,FALSE)</f>
        <v>水竜底主 ミズチ</v>
      </c>
    </row>
    <row r="263" spans="1:2" x14ac:dyDescent="0.15">
      <c r="A263" s="42">
        <v>777</v>
      </c>
      <c r="B263" s="7" t="str">
        <f>VLOOKUP(A263,[1]characters!$A:$C,3,FALSE)</f>
        <v>ガメック</v>
      </c>
    </row>
    <row r="264" spans="1:2" x14ac:dyDescent="0.15">
      <c r="A264" s="42">
        <v>778</v>
      </c>
      <c r="B264" s="7" t="str">
        <f>VLOOKUP(A264,[1]characters!$A:$C,3,FALSE)</f>
        <v>一亀懸明 ガメック</v>
      </c>
    </row>
    <row r="265" spans="1:2" x14ac:dyDescent="0.15">
      <c r="A265" s="42">
        <v>779</v>
      </c>
      <c r="B265" s="7" t="str">
        <f>VLOOKUP(A265,[1]characters!$A:$C,3,FALSE)</f>
        <v>頑堅咬亀 ガメック</v>
      </c>
    </row>
    <row r="266" spans="1:2" x14ac:dyDescent="0.15">
      <c r="A266" s="42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4" t="s">
        <v>54</v>
      </c>
      <c r="B1" s="34"/>
    </row>
    <row r="2" spans="1:2" x14ac:dyDescent="0.15">
      <c r="A2" s="32" t="s">
        <v>1</v>
      </c>
      <c r="B2" s="33" t="s">
        <v>56</v>
      </c>
    </row>
    <row r="3" spans="1:2" x14ac:dyDescent="0.15">
      <c r="A3" s="6">
        <v>166</v>
      </c>
      <c r="B3" s="33" t="str">
        <f>VLOOKUP(A3,[1]characters!$A:$C,3,FALSE)</f>
        <v>ベリアル</v>
      </c>
    </row>
    <row r="4" spans="1:2" x14ac:dyDescent="0.15">
      <c r="A4" s="6">
        <v>167</v>
      </c>
      <c r="B4" s="33" t="str">
        <f>VLOOKUP(A4,[1]characters!$A:$C,3,FALSE)</f>
        <v>逆徒 ベリアル</v>
      </c>
    </row>
    <row r="5" spans="1:2" x14ac:dyDescent="0.15">
      <c r="A5" s="6">
        <v>168</v>
      </c>
      <c r="B5" s="33" t="str">
        <f>VLOOKUP(A5,[1]characters!$A:$C,3,FALSE)</f>
        <v>猛進の大逆者 ベリアル</v>
      </c>
    </row>
    <row r="6" spans="1:2" x14ac:dyDescent="0.15">
      <c r="A6" s="32">
        <v>169</v>
      </c>
      <c r="B6" s="33" t="str">
        <f>VLOOKUP(A6,[1]characters!$A:$C,3,FALSE)</f>
        <v>オセ</v>
      </c>
    </row>
    <row r="7" spans="1:2" x14ac:dyDescent="0.15">
      <c r="A7" s="32">
        <v>170</v>
      </c>
      <c r="B7" s="33" t="str">
        <f>VLOOKUP(A7,[1]characters!$A:$C,3,FALSE)</f>
        <v>識徒 オセ</v>
      </c>
    </row>
    <row r="8" spans="1:2" x14ac:dyDescent="0.15">
      <c r="A8" s="32">
        <v>171</v>
      </c>
      <c r="B8" s="33" t="str">
        <f>VLOOKUP(A8,[1]characters!$A:$C,3,FALSE)</f>
        <v>精解の預知者 オセ</v>
      </c>
    </row>
    <row r="9" spans="1:2" x14ac:dyDescent="0.15">
      <c r="A9" s="32">
        <v>172</v>
      </c>
      <c r="B9" s="33" t="str">
        <f>VLOOKUP(A9,[1]characters!$A:$C,3,FALSE)</f>
        <v>フォルネウス</v>
      </c>
    </row>
    <row r="10" spans="1:2" x14ac:dyDescent="0.15">
      <c r="A10" s="32">
        <v>173</v>
      </c>
      <c r="B10" s="33" t="str">
        <f>VLOOKUP(A10,[1]characters!$A:$C,3,FALSE)</f>
        <v>公爵 フォルネウス</v>
      </c>
    </row>
    <row r="11" spans="1:2" x14ac:dyDescent="0.15">
      <c r="A11" s="32">
        <v>174</v>
      </c>
      <c r="B11" s="33" t="str">
        <f>VLOOKUP(A11,[1]characters!$A:$C,3,FALSE)</f>
        <v>偽愛の大公爵 フォルネウス</v>
      </c>
    </row>
    <row r="12" spans="1:2" x14ac:dyDescent="0.15">
      <c r="A12" s="32">
        <v>235</v>
      </c>
      <c r="B12" s="33" t="str">
        <f>VLOOKUP(A12,[1]characters!$A:$C,3,FALSE)</f>
        <v>イザナミ</v>
      </c>
    </row>
    <row r="13" spans="1:2" x14ac:dyDescent="0.15">
      <c r="A13" s="32">
        <v>236</v>
      </c>
      <c r="B13" s="33" t="str">
        <f>VLOOKUP(A13,[1]characters!$A:$C,3,FALSE)</f>
        <v>神産 イザナミ</v>
      </c>
    </row>
    <row r="14" spans="1:2" x14ac:dyDescent="0.15">
      <c r="A14" s="32">
        <v>237</v>
      </c>
      <c r="B14" s="33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tables_582010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2017-04-18T13:13:48Z</dcterms:modified>
</cp:coreProperties>
</file>