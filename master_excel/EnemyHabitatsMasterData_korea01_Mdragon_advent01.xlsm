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6260" yWindow="1240" windowWidth="29840" windowHeight="197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enemy_skills!$A$1:$AC$59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4" i="10" l="1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B83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D82" i="9"/>
  <c r="B79" i="10"/>
  <c r="B22" i="10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J15" i="11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E60" i="9"/>
  <c r="D60" i="9"/>
  <c r="A60" i="9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B113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B112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B111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B110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B109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B108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B107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B106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B105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B104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B103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B102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B101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B100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B99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B98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B97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B96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B95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B94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B93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B92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B91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B90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B89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B88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B87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B86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B85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B82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B81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B80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B78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B77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B76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B75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B74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B73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B72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B71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B70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B69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B68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B67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B66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B65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B64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B63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B62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B61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B60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B59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O17" i="21"/>
  <c r="I17" i="21"/>
  <c r="J17" i="21"/>
  <c r="G17" i="21"/>
  <c r="F17" i="21"/>
  <c r="D17" i="21"/>
  <c r="C17" i="21"/>
  <c r="O16" i="21"/>
  <c r="I16" i="21"/>
  <c r="J16" i="21"/>
  <c r="G16" i="21"/>
  <c r="F16" i="21"/>
  <c r="D16" i="21"/>
  <c r="C16" i="21"/>
  <c r="O15" i="21"/>
  <c r="I15" i="21"/>
  <c r="J15" i="21"/>
  <c r="G15" i="21"/>
  <c r="F15" i="21"/>
  <c r="D15" i="21"/>
  <c r="C15" i="21"/>
  <c r="O14" i="21"/>
  <c r="I14" i="21"/>
  <c r="J14" i="21"/>
  <c r="G14" i="21"/>
  <c r="F14" i="21"/>
  <c r="D14" i="21"/>
  <c r="C14" i="21"/>
  <c r="O13" i="21"/>
  <c r="I13" i="21"/>
  <c r="J13" i="21"/>
  <c r="G13" i="21"/>
  <c r="F13" i="21"/>
  <c r="D13" i="21"/>
  <c r="C13" i="21"/>
  <c r="O12" i="21"/>
  <c r="I12" i="21"/>
  <c r="J12" i="21"/>
  <c r="G12" i="21"/>
  <c r="F12" i="21"/>
  <c r="D12" i="21"/>
  <c r="C12" i="21"/>
  <c r="O11" i="21"/>
  <c r="I11" i="21"/>
  <c r="J11" i="21"/>
  <c r="G11" i="21"/>
  <c r="F11" i="21"/>
  <c r="D11" i="21"/>
  <c r="C11" i="21"/>
  <c r="O10" i="21"/>
  <c r="I10" i="21"/>
  <c r="J10" i="21"/>
  <c r="G10" i="21"/>
  <c r="F10" i="21"/>
  <c r="D10" i="21"/>
  <c r="C10" i="21"/>
  <c r="W11" i="7"/>
  <c r="U11" i="7"/>
  <c r="R11" i="7"/>
  <c r="Q11" i="7"/>
  <c r="P11" i="7"/>
  <c r="O11" i="7"/>
  <c r="N11" i="7"/>
  <c r="H11" i="7"/>
  <c r="D11" i="7"/>
  <c r="F11" i="7"/>
  <c r="E11" i="7"/>
  <c r="A11" i="7"/>
  <c r="W10" i="7"/>
  <c r="U10" i="7"/>
  <c r="R10" i="7"/>
  <c r="Q10" i="7"/>
  <c r="P10" i="7"/>
  <c r="O10" i="7"/>
  <c r="N10" i="7"/>
  <c r="H10" i="7"/>
  <c r="D10" i="7"/>
  <c r="F10" i="7"/>
  <c r="E10" i="7"/>
  <c r="A10" i="7"/>
  <c r="W9" i="7"/>
  <c r="U9" i="7"/>
  <c r="R9" i="7"/>
  <c r="Q9" i="7"/>
  <c r="P9" i="7"/>
  <c r="O9" i="7"/>
  <c r="N9" i="7"/>
  <c r="H9" i="7"/>
  <c r="D9" i="7"/>
  <c r="F9" i="7"/>
  <c r="E9" i="7"/>
  <c r="A9" i="7"/>
  <c r="W8" i="7"/>
  <c r="U8" i="7"/>
  <c r="R8" i="7"/>
  <c r="Q8" i="7"/>
  <c r="P8" i="7"/>
  <c r="O8" i="7"/>
  <c r="N8" i="7"/>
  <c r="H8" i="7"/>
  <c r="D8" i="7"/>
  <c r="F8" i="7"/>
  <c r="E8" i="7"/>
  <c r="A8" i="7"/>
  <c r="W7" i="7"/>
  <c r="U7" i="7"/>
  <c r="R7" i="7"/>
  <c r="Q7" i="7"/>
  <c r="P7" i="7"/>
  <c r="O7" i="7"/>
  <c r="N7" i="7"/>
  <c r="H7" i="7"/>
  <c r="D7" i="7"/>
  <c r="F7" i="7"/>
  <c r="E7" i="7"/>
  <c r="A7" i="7"/>
  <c r="AD13" i="1"/>
  <c r="AF13" i="1"/>
  <c r="AI13" i="1"/>
  <c r="AG13" i="1"/>
  <c r="AE13" i="1"/>
  <c r="E33" i="9"/>
  <c r="X13" i="1"/>
  <c r="V13" i="1"/>
  <c r="T13" i="1"/>
  <c r="Q13" i="1"/>
  <c r="P13" i="1"/>
  <c r="O13" i="1"/>
  <c r="N13" i="1"/>
  <c r="M13" i="1"/>
  <c r="H13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13" i="1"/>
  <c r="I13" i="1"/>
  <c r="D13" i="1"/>
  <c r="F13" i="1"/>
  <c r="E13" i="1"/>
  <c r="A13" i="1"/>
  <c r="AD12" i="1"/>
  <c r="AF12" i="1"/>
  <c r="AI12" i="1"/>
  <c r="AG12" i="1"/>
  <c r="AE12" i="1"/>
  <c r="E20" i="9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E8" i="9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E7" i="9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E4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2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2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B29" i="10"/>
  <c r="O9" i="21"/>
  <c r="I9" i="21"/>
  <c r="J9" i="21"/>
  <c r="G9" i="21"/>
  <c r="F9" i="21"/>
  <c r="D9" i="21"/>
  <c r="C9" i="21"/>
  <c r="E28" i="9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3" i="10"/>
  <c r="B24" i="10"/>
  <c r="B25" i="10"/>
  <c r="B26" i="10"/>
  <c r="B27" i="10"/>
  <c r="B28" i="10"/>
  <c r="B30" i="10"/>
  <c r="B31" i="10"/>
  <c r="B32" i="10"/>
  <c r="B33" i="10"/>
  <c r="J20" i="11"/>
  <c r="O22" i="9"/>
  <c r="N22" i="9"/>
  <c r="L22" i="9"/>
  <c r="K22" i="9"/>
  <c r="J22" i="9"/>
  <c r="I22" i="9"/>
  <c r="H22" i="9"/>
  <c r="G22" i="9"/>
  <c r="E22" i="9"/>
  <c r="D22" i="9"/>
  <c r="A22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C7" i="21"/>
  <c r="D7" i="21"/>
  <c r="F7" i="21"/>
  <c r="G7" i="21"/>
  <c r="I7" i="21"/>
  <c r="J7" i="21"/>
  <c r="O7" i="21"/>
  <c r="C8" i="21"/>
  <c r="D8" i="21"/>
  <c r="F8" i="21"/>
  <c r="G8" i="21"/>
  <c r="I8" i="21"/>
  <c r="J8" i="21"/>
  <c r="O8" i="21"/>
  <c r="C3" i="21"/>
  <c r="D3" i="21"/>
  <c r="F3" i="21"/>
  <c r="G3" i="21"/>
  <c r="I3" i="21"/>
  <c r="J3" i="21"/>
  <c r="O3" i="21"/>
  <c r="C4" i="21"/>
  <c r="D4" i="21"/>
  <c r="F4" i="21"/>
  <c r="G4" i="21"/>
  <c r="I4" i="21"/>
  <c r="J4" i="21"/>
  <c r="O4" i="21"/>
  <c r="C5" i="21"/>
  <c r="D5" i="21"/>
  <c r="F5" i="21"/>
  <c r="G5" i="21"/>
  <c r="I5" i="21"/>
  <c r="J5" i="21"/>
  <c r="O5" i="21"/>
  <c r="C6" i="21"/>
  <c r="D6" i="21"/>
  <c r="F6" i="21"/>
  <c r="G6" i="21"/>
  <c r="I6" i="21"/>
  <c r="J6" i="21"/>
  <c r="O6" i="21"/>
  <c r="D23" i="9"/>
  <c r="G3" i="9"/>
  <c r="H3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G21" i="9"/>
  <c r="H21" i="9"/>
  <c r="G23" i="9"/>
  <c r="H23" i="9"/>
  <c r="G24" i="9"/>
  <c r="H24" i="9"/>
  <c r="G25" i="9"/>
  <c r="H25" i="9"/>
  <c r="G26" i="9"/>
  <c r="H26" i="9"/>
  <c r="G27" i="9"/>
  <c r="H27" i="9"/>
  <c r="G28" i="9"/>
  <c r="H28" i="9"/>
  <c r="G29" i="9"/>
  <c r="H29" i="9"/>
  <c r="G30" i="9"/>
  <c r="H30" i="9"/>
  <c r="G31" i="9"/>
  <c r="H31" i="9"/>
  <c r="G32" i="9"/>
  <c r="H32" i="9"/>
  <c r="G33" i="9"/>
  <c r="H33" i="9"/>
  <c r="G34" i="9"/>
  <c r="H34" i="9"/>
  <c r="G35" i="9"/>
  <c r="H35" i="9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G43" i="9"/>
  <c r="H43" i="9"/>
  <c r="G44" i="9"/>
  <c r="H44" i="9"/>
  <c r="G45" i="9"/>
  <c r="H45" i="9"/>
  <c r="G46" i="9"/>
  <c r="H46" i="9"/>
  <c r="G47" i="9"/>
  <c r="H47" i="9"/>
  <c r="G48" i="9"/>
  <c r="H48" i="9"/>
  <c r="G49" i="9"/>
  <c r="H49" i="9"/>
  <c r="G50" i="9"/>
  <c r="H50" i="9"/>
  <c r="G51" i="9"/>
  <c r="H51" i="9"/>
  <c r="G52" i="9"/>
  <c r="H52" i="9"/>
  <c r="G53" i="9"/>
  <c r="H53" i="9"/>
  <c r="G54" i="9"/>
  <c r="H54" i="9"/>
  <c r="G55" i="9"/>
  <c r="H55" i="9"/>
  <c r="G56" i="9"/>
  <c r="H56" i="9"/>
  <c r="G57" i="9"/>
  <c r="H57" i="9"/>
  <c r="G58" i="9"/>
  <c r="H58" i="9"/>
  <c r="G59" i="9"/>
  <c r="H59" i="9"/>
  <c r="W3" i="7"/>
  <c r="U3" i="7"/>
  <c r="R3" i="7"/>
  <c r="Q3" i="7"/>
  <c r="P3" i="7"/>
  <c r="O3" i="7"/>
  <c r="N3" i="7"/>
  <c r="H3" i="7"/>
  <c r="D3" i="7"/>
  <c r="F3" i="7"/>
  <c r="E3" i="7"/>
  <c r="A3" i="7"/>
  <c r="H5" i="2"/>
  <c r="E5" i="2"/>
  <c r="D5" i="2"/>
  <c r="H2" i="1"/>
  <c r="H3" i="1"/>
  <c r="H4" i="1"/>
  <c r="H5" i="1"/>
  <c r="H6" i="1"/>
  <c r="H7" i="1"/>
  <c r="B5" i="2"/>
  <c r="H4" i="2"/>
  <c r="E4" i="2"/>
  <c r="D4" i="2"/>
  <c r="B4" i="2"/>
  <c r="H3" i="2"/>
  <c r="E3" i="2"/>
  <c r="D3" i="2"/>
  <c r="B3" i="2"/>
  <c r="H2" i="2"/>
  <c r="E2" i="2"/>
  <c r="D2" i="2"/>
  <c r="B2" i="2"/>
  <c r="O59" i="9"/>
  <c r="N59" i="9"/>
  <c r="K59" i="9"/>
  <c r="J59" i="9"/>
  <c r="I59" i="9"/>
  <c r="E59" i="9"/>
  <c r="D59" i="9"/>
  <c r="A59" i="9"/>
  <c r="A21" i="9"/>
  <c r="D21" i="9"/>
  <c r="E21" i="9"/>
  <c r="I21" i="9"/>
  <c r="J21" i="9"/>
  <c r="K21" i="9"/>
  <c r="L21" i="9"/>
  <c r="N21" i="9"/>
  <c r="O21" i="9"/>
  <c r="A3" i="9"/>
  <c r="D3" i="9"/>
  <c r="E3" i="9"/>
  <c r="I3" i="9"/>
  <c r="J3" i="9"/>
  <c r="K3" i="9"/>
  <c r="L3" i="9"/>
  <c r="N3" i="9"/>
  <c r="O3" i="9"/>
  <c r="A4" i="9"/>
  <c r="D4" i="9"/>
  <c r="I4" i="9"/>
  <c r="J4" i="9"/>
  <c r="K4" i="9"/>
  <c r="L4" i="9"/>
  <c r="N4" i="9"/>
  <c r="O4" i="9"/>
  <c r="A6" i="9"/>
  <c r="D6" i="9"/>
  <c r="E6" i="9"/>
  <c r="I6" i="9"/>
  <c r="J6" i="9"/>
  <c r="K6" i="9"/>
  <c r="L6" i="9"/>
  <c r="N6" i="9"/>
  <c r="O6" i="9"/>
  <c r="A7" i="9"/>
  <c r="D7" i="9"/>
  <c r="I7" i="9"/>
  <c r="J7" i="9"/>
  <c r="K7" i="9"/>
  <c r="L7" i="9"/>
  <c r="N7" i="9"/>
  <c r="O7" i="9"/>
  <c r="A8" i="9"/>
  <c r="D8" i="9"/>
  <c r="I8" i="9"/>
  <c r="J8" i="9"/>
  <c r="K8" i="9"/>
  <c r="L8" i="9"/>
  <c r="N8" i="9"/>
  <c r="O8" i="9"/>
  <c r="A10" i="9"/>
  <c r="D10" i="9"/>
  <c r="E10" i="9"/>
  <c r="I10" i="9"/>
  <c r="J10" i="9"/>
  <c r="K10" i="9"/>
  <c r="L10" i="9"/>
  <c r="N10" i="9"/>
  <c r="O10" i="9"/>
  <c r="A11" i="9"/>
  <c r="D11" i="9"/>
  <c r="E11" i="9"/>
  <c r="I11" i="9"/>
  <c r="J11" i="9"/>
  <c r="K11" i="9"/>
  <c r="L11" i="9"/>
  <c r="N11" i="9"/>
  <c r="O11" i="9"/>
  <c r="A12" i="9"/>
  <c r="D12" i="9"/>
  <c r="E12" i="9"/>
  <c r="I12" i="9"/>
  <c r="J12" i="9"/>
  <c r="K12" i="9"/>
  <c r="L12" i="9"/>
  <c r="N12" i="9"/>
  <c r="O12" i="9"/>
  <c r="A13" i="9"/>
  <c r="D13" i="9"/>
  <c r="E13" i="9"/>
  <c r="I13" i="9"/>
  <c r="J13" i="9"/>
  <c r="K13" i="9"/>
  <c r="L13" i="9"/>
  <c r="N13" i="9"/>
  <c r="O13" i="9"/>
  <c r="A15" i="9"/>
  <c r="D15" i="9"/>
  <c r="E15" i="9"/>
  <c r="I15" i="9"/>
  <c r="J15" i="9"/>
  <c r="K15" i="9"/>
  <c r="L15" i="9"/>
  <c r="N15" i="9"/>
  <c r="O15" i="9"/>
  <c r="A16" i="9"/>
  <c r="D16" i="9"/>
  <c r="E16" i="9"/>
  <c r="I16" i="9"/>
  <c r="J16" i="9"/>
  <c r="K16" i="9"/>
  <c r="L16" i="9"/>
  <c r="N16" i="9"/>
  <c r="O16" i="9"/>
  <c r="A17" i="9"/>
  <c r="D17" i="9"/>
  <c r="E17" i="9"/>
  <c r="I17" i="9"/>
  <c r="J17" i="9"/>
  <c r="K17" i="9"/>
  <c r="L17" i="9"/>
  <c r="N17" i="9"/>
  <c r="O17" i="9"/>
  <c r="A18" i="9"/>
  <c r="D18" i="9"/>
  <c r="E18" i="9"/>
  <c r="I18" i="9"/>
  <c r="J18" i="9"/>
  <c r="K18" i="9"/>
  <c r="L18" i="9"/>
  <c r="N18" i="9"/>
  <c r="O18" i="9"/>
  <c r="A20" i="9"/>
  <c r="D20" i="9"/>
  <c r="I20" i="9"/>
  <c r="J20" i="9"/>
  <c r="K20" i="9"/>
  <c r="L20" i="9"/>
  <c r="N20" i="9"/>
  <c r="O20" i="9"/>
  <c r="A23" i="9"/>
  <c r="E23" i="9"/>
  <c r="I23" i="9"/>
  <c r="J23" i="9"/>
  <c r="K23" i="9"/>
  <c r="L23" i="9"/>
  <c r="N23" i="9"/>
  <c r="O23" i="9"/>
  <c r="A24" i="9"/>
  <c r="D24" i="9"/>
  <c r="E24" i="9"/>
  <c r="I24" i="9"/>
  <c r="J24" i="9"/>
  <c r="K24" i="9"/>
  <c r="L24" i="9"/>
  <c r="N24" i="9"/>
  <c r="O24" i="9"/>
  <c r="A25" i="9"/>
  <c r="D25" i="9"/>
  <c r="E25" i="9"/>
  <c r="I25" i="9"/>
  <c r="J25" i="9"/>
  <c r="K25" i="9"/>
  <c r="N25" i="9"/>
  <c r="J23" i="11"/>
  <c r="O25" i="9"/>
  <c r="A26" i="9"/>
  <c r="D26" i="9"/>
  <c r="E26" i="9"/>
  <c r="I26" i="9"/>
  <c r="J26" i="9"/>
  <c r="K26" i="9"/>
  <c r="N26" i="9"/>
  <c r="O26" i="9"/>
  <c r="A28" i="9"/>
  <c r="D28" i="9"/>
  <c r="I28" i="9"/>
  <c r="J28" i="9"/>
  <c r="K28" i="9"/>
  <c r="N28" i="9"/>
  <c r="O28" i="9"/>
  <c r="A29" i="9"/>
  <c r="D29" i="9"/>
  <c r="E29" i="9"/>
  <c r="I29" i="9"/>
  <c r="J29" i="9"/>
  <c r="K29" i="9"/>
  <c r="N29" i="9"/>
  <c r="O29" i="9"/>
  <c r="A30" i="9"/>
  <c r="D30" i="9"/>
  <c r="E30" i="9"/>
  <c r="I30" i="9"/>
  <c r="J30" i="9"/>
  <c r="K30" i="9"/>
  <c r="N30" i="9"/>
  <c r="O30" i="9"/>
  <c r="A31" i="9"/>
  <c r="D31" i="9"/>
  <c r="E31" i="9"/>
  <c r="I31" i="9"/>
  <c r="J31" i="9"/>
  <c r="K31" i="9"/>
  <c r="N31" i="9"/>
  <c r="O31" i="9"/>
  <c r="A32" i="9"/>
  <c r="D32" i="9"/>
  <c r="E32" i="9"/>
  <c r="I32" i="9"/>
  <c r="J32" i="9"/>
  <c r="K32" i="9"/>
  <c r="N32" i="9"/>
  <c r="O32" i="9"/>
  <c r="A33" i="9"/>
  <c r="D33" i="9"/>
  <c r="I33" i="9"/>
  <c r="J33" i="9"/>
  <c r="K33" i="9"/>
  <c r="N33" i="9"/>
  <c r="O33" i="9"/>
  <c r="A35" i="9"/>
  <c r="D35" i="9"/>
  <c r="E35" i="9"/>
  <c r="I35" i="9"/>
  <c r="J35" i="9"/>
  <c r="K35" i="9"/>
  <c r="N35" i="9"/>
  <c r="O35" i="9"/>
  <c r="A36" i="9"/>
  <c r="D36" i="9"/>
  <c r="E36" i="9"/>
  <c r="I36" i="9"/>
  <c r="J36" i="9"/>
  <c r="K36" i="9"/>
  <c r="N36" i="9"/>
  <c r="O36" i="9"/>
  <c r="A37" i="9"/>
  <c r="D37" i="9"/>
  <c r="E37" i="9"/>
  <c r="I37" i="9"/>
  <c r="J37" i="9"/>
  <c r="K37" i="9"/>
  <c r="N37" i="9"/>
  <c r="O37" i="9"/>
  <c r="A38" i="9"/>
  <c r="D38" i="9"/>
  <c r="E38" i="9"/>
  <c r="I38" i="9"/>
  <c r="J38" i="9"/>
  <c r="K38" i="9"/>
  <c r="N38" i="9"/>
  <c r="O38" i="9"/>
  <c r="A39" i="9"/>
  <c r="D39" i="9"/>
  <c r="E39" i="9"/>
  <c r="I39" i="9"/>
  <c r="J39" i="9"/>
  <c r="K39" i="9"/>
  <c r="N39" i="9"/>
  <c r="O39" i="9"/>
  <c r="A41" i="9"/>
  <c r="D41" i="9"/>
  <c r="E41" i="9"/>
  <c r="I41" i="9"/>
  <c r="J41" i="9"/>
  <c r="K41" i="9"/>
  <c r="N41" i="9"/>
  <c r="O41" i="9"/>
  <c r="A42" i="9"/>
  <c r="D42" i="9"/>
  <c r="E42" i="9"/>
  <c r="I42" i="9"/>
  <c r="J42" i="9"/>
  <c r="K42" i="9"/>
  <c r="N42" i="9"/>
  <c r="O42" i="9"/>
  <c r="A43" i="9"/>
  <c r="D43" i="9"/>
  <c r="E43" i="9"/>
  <c r="I43" i="9"/>
  <c r="J43" i="9"/>
  <c r="K43" i="9"/>
  <c r="N43" i="9"/>
  <c r="O43" i="9"/>
  <c r="A44" i="9"/>
  <c r="D44" i="9"/>
  <c r="E44" i="9"/>
  <c r="I44" i="9"/>
  <c r="J44" i="9"/>
  <c r="K44" i="9"/>
  <c r="N44" i="9"/>
  <c r="O44" i="9"/>
  <c r="A46" i="9"/>
  <c r="D46" i="9"/>
  <c r="E46" i="9"/>
  <c r="I46" i="9"/>
  <c r="J46" i="9"/>
  <c r="K46" i="9"/>
  <c r="N46" i="9"/>
  <c r="O46" i="9"/>
  <c r="A47" i="9"/>
  <c r="D47" i="9"/>
  <c r="E47" i="9"/>
  <c r="I47" i="9"/>
  <c r="J47" i="9"/>
  <c r="K47" i="9"/>
  <c r="N47" i="9"/>
  <c r="O47" i="9"/>
  <c r="A48" i="9"/>
  <c r="D48" i="9"/>
  <c r="E48" i="9"/>
  <c r="I48" i="9"/>
  <c r="J48" i="9"/>
  <c r="K48" i="9"/>
  <c r="N48" i="9"/>
  <c r="O48" i="9"/>
  <c r="A49" i="9"/>
  <c r="D49" i="9"/>
  <c r="E49" i="9"/>
  <c r="I49" i="9"/>
  <c r="J49" i="9"/>
  <c r="K49" i="9"/>
  <c r="N49" i="9"/>
  <c r="O49" i="9"/>
  <c r="A50" i="9"/>
  <c r="D50" i="9"/>
  <c r="E50" i="9"/>
  <c r="I50" i="9"/>
  <c r="J50" i="9"/>
  <c r="K50" i="9"/>
  <c r="N50" i="9"/>
  <c r="O50" i="9"/>
  <c r="A51" i="9"/>
  <c r="D51" i="9"/>
  <c r="E51" i="9"/>
  <c r="I51" i="9"/>
  <c r="J51" i="9"/>
  <c r="K51" i="9"/>
  <c r="N51" i="9"/>
  <c r="O51" i="9"/>
  <c r="A52" i="9"/>
  <c r="D52" i="9"/>
  <c r="E52" i="9"/>
  <c r="I52" i="9"/>
  <c r="J52" i="9"/>
  <c r="K52" i="9"/>
  <c r="N52" i="9"/>
  <c r="O52" i="9"/>
  <c r="A53" i="9"/>
  <c r="D53" i="9"/>
  <c r="E53" i="9"/>
  <c r="I53" i="9"/>
  <c r="J53" i="9"/>
  <c r="K53" i="9"/>
  <c r="N53" i="9"/>
  <c r="O53" i="9"/>
  <c r="A54" i="9"/>
  <c r="D54" i="9"/>
  <c r="E54" i="9"/>
  <c r="I54" i="9"/>
  <c r="J54" i="9"/>
  <c r="K54" i="9"/>
  <c r="N54" i="9"/>
  <c r="O54" i="9"/>
  <c r="A55" i="9"/>
  <c r="D55" i="9"/>
  <c r="E55" i="9"/>
  <c r="I55" i="9"/>
  <c r="J55" i="9"/>
  <c r="K55" i="9"/>
  <c r="N55" i="9"/>
  <c r="O55" i="9"/>
  <c r="A56" i="9"/>
  <c r="D56" i="9"/>
  <c r="E56" i="9"/>
  <c r="I56" i="9"/>
  <c r="J56" i="9"/>
  <c r="K56" i="9"/>
  <c r="N56" i="9"/>
  <c r="O56" i="9"/>
  <c r="A57" i="9"/>
  <c r="D57" i="9"/>
  <c r="E57" i="9"/>
  <c r="I57" i="9"/>
  <c r="J57" i="9"/>
  <c r="K57" i="9"/>
  <c r="N57" i="9"/>
  <c r="O57" i="9"/>
  <c r="A5" i="9"/>
  <c r="D5" i="9"/>
  <c r="E5" i="9"/>
  <c r="I5" i="9"/>
  <c r="J5" i="9"/>
  <c r="K5" i="9"/>
  <c r="L5" i="9"/>
  <c r="N5" i="9"/>
  <c r="O5" i="9"/>
  <c r="A9" i="9"/>
  <c r="D9" i="9"/>
  <c r="E9" i="9"/>
  <c r="I9" i="9"/>
  <c r="J9" i="9"/>
  <c r="K9" i="9"/>
  <c r="L9" i="9"/>
  <c r="N9" i="9"/>
  <c r="O9" i="9"/>
  <c r="A14" i="9"/>
  <c r="D14" i="9"/>
  <c r="E14" i="9"/>
  <c r="I14" i="9"/>
  <c r="J14" i="9"/>
  <c r="K14" i="9"/>
  <c r="L14" i="9"/>
  <c r="N14" i="9"/>
  <c r="O14" i="9"/>
  <c r="A19" i="9"/>
  <c r="D19" i="9"/>
  <c r="E19" i="9"/>
  <c r="I19" i="9"/>
  <c r="J19" i="9"/>
  <c r="K19" i="9"/>
  <c r="L19" i="9"/>
  <c r="N19" i="9"/>
  <c r="O19" i="9"/>
  <c r="A27" i="9"/>
  <c r="D27" i="9"/>
  <c r="E27" i="9"/>
  <c r="I27" i="9"/>
  <c r="J27" i="9"/>
  <c r="K27" i="9"/>
  <c r="N27" i="9"/>
  <c r="O27" i="9"/>
  <c r="A34" i="9"/>
  <c r="D34" i="9"/>
  <c r="E34" i="9"/>
  <c r="I34" i="9"/>
  <c r="J34" i="9"/>
  <c r="K34" i="9"/>
  <c r="N34" i="9"/>
  <c r="O34" i="9"/>
  <c r="A40" i="9"/>
  <c r="D40" i="9"/>
  <c r="E40" i="9"/>
  <c r="I40" i="9"/>
  <c r="J40" i="9"/>
  <c r="K40" i="9"/>
  <c r="N40" i="9"/>
  <c r="O40" i="9"/>
  <c r="A45" i="9"/>
  <c r="D45" i="9"/>
  <c r="E45" i="9"/>
  <c r="I45" i="9"/>
  <c r="J45" i="9"/>
  <c r="K45" i="9"/>
  <c r="N45" i="9"/>
  <c r="O45" i="9"/>
  <c r="A58" i="9"/>
  <c r="D58" i="9"/>
  <c r="E58" i="9"/>
  <c r="I58" i="9"/>
  <c r="J58" i="9"/>
  <c r="K58" i="9"/>
  <c r="N58" i="9"/>
  <c r="O58" i="9"/>
  <c r="J6" i="11"/>
  <c r="J7" i="11"/>
  <c r="J8" i="11"/>
  <c r="J9" i="11"/>
  <c r="J10" i="11"/>
  <c r="J11" i="11"/>
  <c r="J12" i="11"/>
  <c r="J13" i="11"/>
  <c r="J14" i="11"/>
  <c r="J16" i="11"/>
  <c r="J17" i="11"/>
  <c r="J18" i="11"/>
  <c r="J19" i="11"/>
  <c r="J21" i="11"/>
  <c r="J22" i="11"/>
  <c r="J24" i="11"/>
  <c r="J25" i="11"/>
  <c r="J26" i="11"/>
  <c r="J27" i="11"/>
  <c r="J28" i="11"/>
  <c r="J29" i="11"/>
  <c r="J30" i="11"/>
  <c r="J31" i="11"/>
  <c r="J32" i="11"/>
  <c r="J34" i="11"/>
  <c r="J33" i="11"/>
  <c r="J35" i="11"/>
  <c r="J37" i="11"/>
  <c r="J36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3" i="11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A4" i="7"/>
  <c r="D4" i="7"/>
  <c r="E4" i="7"/>
  <c r="F4" i="7"/>
  <c r="H4" i="7"/>
  <c r="N4" i="7"/>
  <c r="O4" i="7"/>
  <c r="P4" i="7"/>
  <c r="Q4" i="7"/>
  <c r="R4" i="7"/>
  <c r="U4" i="7"/>
  <c r="W4" i="7"/>
  <c r="A5" i="7"/>
  <c r="D5" i="7"/>
  <c r="E5" i="7"/>
  <c r="F5" i="7"/>
  <c r="H5" i="7"/>
  <c r="N5" i="7"/>
  <c r="O5" i="7"/>
  <c r="P5" i="7"/>
  <c r="Q5" i="7"/>
  <c r="R5" i="7"/>
  <c r="U5" i="7"/>
  <c r="W5" i="7"/>
  <c r="A6" i="7"/>
  <c r="D6" i="7"/>
  <c r="E6" i="7"/>
  <c r="F6" i="7"/>
  <c r="H6" i="7"/>
  <c r="N6" i="7"/>
  <c r="O6" i="7"/>
  <c r="P6" i="7"/>
  <c r="Q6" i="7"/>
  <c r="R6" i="7"/>
  <c r="U6" i="7"/>
  <c r="W6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H9" i="2"/>
  <c r="E9" i="2"/>
  <c r="D9" i="2"/>
  <c r="B9" i="2"/>
  <c r="H8" i="2"/>
  <c r="E8" i="2"/>
  <c r="D8" i="2"/>
  <c r="B8" i="2"/>
  <c r="B7" i="2"/>
  <c r="D7" i="2"/>
  <c r="E7" i="2"/>
  <c r="H7" i="2"/>
  <c r="J4" i="11"/>
  <c r="J5" i="11"/>
  <c r="B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T3" i="1"/>
  <c r="V3" i="1"/>
  <c r="X3" i="1"/>
  <c r="AD3" i="1"/>
  <c r="AE3" i="1"/>
  <c r="AF3" i="1"/>
  <c r="AG3" i="1"/>
  <c r="AI3" i="1"/>
  <c r="A3" i="1"/>
  <c r="D3" i="1"/>
  <c r="E3" i="1"/>
  <c r="F3" i="1"/>
  <c r="I3" i="1"/>
  <c r="J3" i="1"/>
  <c r="M3" i="1"/>
  <c r="N3" i="1"/>
  <c r="O3" i="1"/>
  <c r="P3" i="1"/>
  <c r="Q3" i="1"/>
  <c r="W2" i="7"/>
  <c r="U2" i="7"/>
  <c r="R2" i="7"/>
  <c r="Q2" i="7"/>
  <c r="P2" i="7"/>
  <c r="O2" i="7"/>
  <c r="N2" i="7"/>
  <c r="H2" i="7"/>
  <c r="D2" i="7"/>
  <c r="F2" i="7"/>
  <c r="E2" i="7"/>
  <c r="A2" i="7"/>
  <c r="O2" i="21"/>
  <c r="J2" i="11"/>
  <c r="B2" i="10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J2" i="21"/>
  <c r="G2" i="21"/>
  <c r="F2" i="21"/>
  <c r="D2" i="21"/>
  <c r="C2" i="21"/>
  <c r="E12" i="16"/>
  <c r="E11" i="16"/>
  <c r="E10" i="16"/>
  <c r="O2" i="9"/>
  <c r="N2" i="9"/>
  <c r="L2" i="9"/>
  <c r="K2" i="9"/>
  <c r="J2" i="9"/>
  <c r="I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6" i="2"/>
  <c r="E6" i="2"/>
  <c r="H6" i="2"/>
  <c r="D2" i="1"/>
  <c r="E2" i="1"/>
  <c r="F2" i="1"/>
  <c r="B6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<sst xmlns="http://schemas.openxmlformats.org/spreadsheetml/2006/main" count="1231" uniqueCount="532">
  <si>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</si>
  <si>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</si>
  <si>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</si>
  <si>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</si>
  <si>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</si>
  <si>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</si>
  <si>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</si>
  <si>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</si>
  <si>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</si>
  <si>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</si>
  <si>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</si>
  <si>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</si>
  <si>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</si>
  <si>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</si>
  <si>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</si>
  <si>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</si>
  <si>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</si>
  <si>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</si>
  <si>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</si>
  <si>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</si>
  <si>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</si>
  <si>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</si>
  <si>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</si>
  <si>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</si>
  <si>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</si>
  <si>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</si>
  <si>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</si>
  <si>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</si>
  <si>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</si>
  <si>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</si>
  <si>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</si>
  <si>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</si>
  <si>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</si>
  <si>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</si>
  <si>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</si>
  <si>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</si>
  <si>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</si>
  <si>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</si>
  <si>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</si>
  <si>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</si>
  <si>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</si>
  <si>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</si>
  <si>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</si>
  <si>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</si>
  <si>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</si>
  <si>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</si>
  <si>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</si>
  <si>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</si>
  <si>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</si>
  <si>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</si>
  <si>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</si>
  <si>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</si>
  <si>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</si>
  <si>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</si>
  <si>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</si>
  <si>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</si>
  <si>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</si>
  <si>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</si>
  <si>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</si>
  <si>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</si>
  <si>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</si>
  <si>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</si>
  <si>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</si>
  <si>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</si>
  <si>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</si>
  <si>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</si>
  <si>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</si>
  <si>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</si>
  <si>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</si>
  <si>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</si>
  <si>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</si>
  <si>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</si>
  <si>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</si>
  <si>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</si>
  <si>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</si>
  <si>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</si>
  <si>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</si>
  <si>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</si>
  <si>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</si>
  <si>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</si>
  <si>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</si>
  <si>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</si>
  <si>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</si>
  <si>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</si>
  <si>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</si>
  <si>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</si>
  <si>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</si>
  <si>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</si>
  <si>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</si>
  <si>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</si>
  <si>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</si>
  <si>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</si>
  <si>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</si>
  <si>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</si>
  <si>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</si>
  <si>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</si>
  <si>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</si>
  <si>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</si>
  <si>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</si>
  <si>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</si>
  <si>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</si>
  <si>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</si>
  <si>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</si>
  <si>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</si>
  <si>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</si>
  <si>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</si>
  <si>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</si>
  <si>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</si>
  <si>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</si>
  <si>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</si>
  <si>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</si>
  <si>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</si>
  <si>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</si>
  <si>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</si>
  <si>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</si>
  <si>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</si>
  <si>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</si>
  <si>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</si>
  <si>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</si>
  <si>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</si>
  <si>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</si>
  <si>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</si>
  <si>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</si>
  <si>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</si>
  <si>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</si>
  <si>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</si>
  <si>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</si>
  <si>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</si>
  <si>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</si>
  <si>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</si>
  <si>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</si>
  <si>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</si>
  <si>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</si>
  <si>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</si>
  <si>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</si>
  <si>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</si>
  <si>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</si>
  <si>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</si>
  <si>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</si>
  <si>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</si>
  <si>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</si>
  <si>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</si>
  <si>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</si>
  <si>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</si>
  <si>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</si>
  <si>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</si>
  <si>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</si>
  <si>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</si>
  <si>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</si>
  <si>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</si>
  <si>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</si>
  <si>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</si>
  <si>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</si>
  <si>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</si>
  <si>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</si>
  <si>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</si>
  <si>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</si>
  <si>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</si>
  <si>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</si>
  <si>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</si>
  <si>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</si>
  <si>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</si>
  <si>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</si>
  <si>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</si>
  <si>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</si>
  <si>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</si>
  <si>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</si>
  <si>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</si>
  <si>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</si>
  <si>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</si>
  <si>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</si>
  <si>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</si>
  <si>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</si>
  <si>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</si>
  <si>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</si>
  <si>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</si>
  <si>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</si>
  <si>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</si>
  <si>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</si>
  <si>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</si>
  <si>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</si>
  <si>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</si>
  <si>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</si>
  <si>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</si>
  <si>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</si>
  <si>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</si>
  <si>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</si>
  <si>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</si>
  <si>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</si>
  <si>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</si>
  <si>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</si>
  <si>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</si>
  <si>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</si>
  <si>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</si>
  <si>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</si>
  <si>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</si>
  <si>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</si>
  <si>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</si>
  <si>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</si>
  <si>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</si>
  <si>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</si>
  <si>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</si>
  <si>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</si>
  <si>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</si>
  <si>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</si>
  <si>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</si>
  <si>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</si>
  <si>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</si>
  <si>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</si>
  <si>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</si>
  <si>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</si>
  <si>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</si>
  <si>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</si>
  <si>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</si>
  <si>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</si>
  <si>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</si>
  <si>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</si>
  <si>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</si>
  <si>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</si>
  <si>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</si>
  <si>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</si>
  <si>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</si>
  <si>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</si>
  <si>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</si>
  <si>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</si>
  <si>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</si>
  <si>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</si>
  <si>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</si>
  <si>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</si>
  <si>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</si>
  <si>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</si>
  <si>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</si>
  <si>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</si>
  <si>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</si>
  <si>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</si>
  <si>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</si>
  <si>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</si>
  <si>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</si>
  <si>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</si>
  <si>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</si>
  <si>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</si>
  <si>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</si>
  <si>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</si>
  <si>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</si>
  <si>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</si>
  <si>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</si>
  <si>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</si>
  <si>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</si>
  <si>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</si>
  <si>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</si>
  <si>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</si>
  <si>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</si>
  <si>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null</t>
  </si>
  <si>
    <t>クリティカル！</t>
    <phoneticPr fontId="5"/>
  </si>
  <si>
    <t>unit</t>
  </si>
  <si>
    <t>２回連続攻撃</t>
    <phoneticPr fontId="5"/>
  </si>
  <si>
    <t>何もしない</t>
    <rPh sb="0" eb="1">
      <t>ナn</t>
    </rPh>
    <phoneticPr fontId="5"/>
  </si>
  <si>
    <t>アカネ開幕</t>
    <phoneticPr fontId="5"/>
  </si>
  <si>
    <t>エレナ５０％</t>
    <phoneticPr fontId="5"/>
  </si>
  <si>
    <t>なんかセリフ</t>
    <phoneticPr fontId="5"/>
  </si>
  <si>
    <t>アカネ５０％</t>
    <phoneticPr fontId="5"/>
  </si>
  <si>
    <t>ユノ２ターン毎</t>
    <phoneticPr fontId="5"/>
  </si>
  <si>
    <t>単体攻撃（対象の攻撃力５０％DOWN）</t>
    <rPh sb="0" eb="4">
      <t>タンタイ</t>
    </rPh>
    <rPh sb="5" eb="7">
      <t>タイsy</t>
    </rPh>
    <phoneticPr fontId="5"/>
  </si>
  <si>
    <t>状態異常耐性</t>
    <rPh sb="0" eb="6">
      <t>ジョウタ</t>
    </rPh>
    <phoneticPr fontId="5"/>
  </si>
  <si>
    <t>全体攻撃（5000）＋1ターン全ユニットの攻撃力３０％DOWN</t>
    <phoneticPr fontId="5"/>
  </si>
  <si>
    <t>バハムート奇数ターン</t>
    <rPh sb="5" eb="7">
      <t>キス</t>
    </rPh>
    <phoneticPr fontId="5"/>
  </si>
  <si>
    <t>全体攻撃（5000）</t>
    <phoneticPr fontId="5"/>
  </si>
  <si>
    <t>５回連続攻撃（5000）</t>
    <phoneticPr fontId="5"/>
  </si>
  <si>
    <t>状態異常耐性＋３ターン暗闇</t>
    <rPh sb="0" eb="6">
      <t>ジョウタ</t>
    </rPh>
    <phoneticPr fontId="5"/>
  </si>
  <si>
    <t>全体攻撃（4000）＋1ターン全ユニットの攻撃力５０％DOWN</t>
  </si>
  <si>
    <t>単体攻撃（3000）＋青パネルを最大５個青の時限式ダメージパネルに変換</t>
    <phoneticPr fontId="5"/>
  </si>
  <si>
    <t>単体攻撃（3000）＋緑パネルを最大５個緑の時限式ダメージパネルに変換</t>
    <phoneticPr fontId="5"/>
  </si>
  <si>
    <t>中央の特大範囲をハートパネルに変換</t>
  </si>
  <si>
    <t>状態異常耐性＋１ターンハートパネルを吸収して攻撃力UP</t>
    <phoneticPr fontId="5"/>
  </si>
  <si>
    <t>青パネルを吸収して単体攻撃</t>
    <phoneticPr fontId="5"/>
  </si>
  <si>
    <t>緑パネルを吸収して単体攻撃</t>
    <phoneticPr fontId="5"/>
  </si>
  <si>
    <t>ランダムで属性パネルを最大７個プロテクト＋クリティカル！</t>
    <phoneticPr fontId="5"/>
  </si>
  <si>
    <t>状態異常耐性＋赤パネル出現率DOWN（攻撃頻度を１に）</t>
    <phoneticPr fontId="5"/>
  </si>
  <si>
    <t>赤パネルを吸収して全体攻撃（平均6000くらい）（攻撃頻度を１に）</t>
    <phoneticPr fontId="5"/>
  </si>
  <si>
    <t>青パネル＆緑パネルを最大５個ずつプロテクト</t>
    <phoneticPr fontId="5"/>
  </si>
  <si>
    <t>３回連続攻撃（３ターン対象の回復力50％DOWN）</t>
    <phoneticPr fontId="5"/>
  </si>
  <si>
    <t>単体攻撃＋黄色パネルを黄の時限式ダメージパネルに最大３個変換</t>
    <phoneticPr fontId="5"/>
  </si>
  <si>
    <t>クリティカル！（6000強くらい）</t>
  </si>
  <si>
    <t>1夢龍開幕</t>
    <rPh sb="1" eb="3">
      <t>ユm</t>
    </rPh>
    <rPh sb="3" eb="5">
      <t>カイマk</t>
    </rPh>
    <phoneticPr fontId="5"/>
  </si>
  <si>
    <t>1夢龍１ターン目</t>
    <rPh sb="1" eb="3">
      <t>ユm</t>
    </rPh>
    <phoneticPr fontId="5"/>
  </si>
  <si>
    <t>1夢龍２ターン目</t>
    <rPh sb="1" eb="3">
      <t>ユm</t>
    </rPh>
    <phoneticPr fontId="5"/>
  </si>
  <si>
    <t>1夢龍３０％</t>
    <rPh sb="1" eb="3">
      <t>ユm</t>
    </rPh>
    <phoneticPr fontId="5"/>
  </si>
  <si>
    <t>1夢龍４０％</t>
    <rPh sb="1" eb="3">
      <t>ユm</t>
    </rPh>
    <phoneticPr fontId="5"/>
  </si>
  <si>
    <t>2夢龍開幕</t>
    <rPh sb="1" eb="3">
      <t>ユm</t>
    </rPh>
    <rPh sb="3" eb="5">
      <t>カイマk</t>
    </rPh>
    <phoneticPr fontId="5"/>
  </si>
  <si>
    <t>2夢龍２ターン毎</t>
    <rPh sb="1" eb="3">
      <t>ユm</t>
    </rPh>
    <phoneticPr fontId="5"/>
  </si>
  <si>
    <t>2夢龍４ターン毎</t>
    <rPh sb="1" eb="3">
      <t>ユm</t>
    </rPh>
    <phoneticPr fontId="5"/>
  </si>
  <si>
    <t>2夢龍奇数ターン</t>
    <rPh sb="1" eb="3">
      <t>ユm</t>
    </rPh>
    <rPh sb="3" eb="5">
      <t>キス</t>
    </rPh>
    <phoneticPr fontId="5"/>
  </si>
  <si>
    <t>3夢龍開幕</t>
    <rPh sb="1" eb="3">
      <t>ユm</t>
    </rPh>
    <rPh sb="3" eb="5">
      <t>カイマk</t>
    </rPh>
    <phoneticPr fontId="5"/>
  </si>
  <si>
    <t>3夢龍１００HP１ターン目</t>
    <rPh sb="1" eb="3">
      <t>ユm</t>
    </rPh>
    <rPh sb="12" eb="13">
      <t>メ</t>
    </rPh>
    <phoneticPr fontId="5"/>
  </si>
  <si>
    <t>3夢龍１００HP２ターン目</t>
    <rPh sb="1" eb="3">
      <t>ユm</t>
    </rPh>
    <rPh sb="12" eb="13">
      <t>メ</t>
    </rPh>
    <phoneticPr fontId="5"/>
  </si>
  <si>
    <t>3夢龍１００HP３ターン目</t>
    <rPh sb="1" eb="3">
      <t>ユm</t>
    </rPh>
    <rPh sb="12" eb="13">
      <t>メ</t>
    </rPh>
    <phoneticPr fontId="5"/>
  </si>
  <si>
    <t>3夢龍１００HP４ターン目</t>
    <rPh sb="1" eb="3">
      <t>ユm</t>
    </rPh>
    <rPh sb="12" eb="13">
      <t>メ</t>
    </rPh>
    <phoneticPr fontId="5"/>
  </si>
  <si>
    <t>3夢龍１００HP５０％</t>
    <rPh sb="1" eb="3">
      <t>ユm</t>
    </rPh>
    <phoneticPr fontId="5"/>
  </si>
  <si>
    <t>3夢龍１００HP２５％</t>
    <rPh sb="1" eb="3">
      <t>ユm</t>
    </rPh>
    <phoneticPr fontId="5"/>
  </si>
  <si>
    <t>3夢龍５０HP１ターン目</t>
    <rPh sb="1" eb="3">
      <t>ユm</t>
    </rPh>
    <rPh sb="11" eb="12">
      <t>メ</t>
    </rPh>
    <phoneticPr fontId="5"/>
  </si>
  <si>
    <t>3夢龍５０HP２ターン目</t>
    <rPh sb="1" eb="3">
      <t>ユm</t>
    </rPh>
    <rPh sb="11" eb="12">
      <t>メ</t>
    </rPh>
    <phoneticPr fontId="5"/>
  </si>
  <si>
    <t>3夢龍５０HP４０％</t>
    <rPh sb="1" eb="3">
      <t>ユm</t>
    </rPh>
    <phoneticPr fontId="5"/>
  </si>
  <si>
    <t>3夢龍５０HP３０％</t>
    <rPh sb="1" eb="3">
      <t>ユm</t>
    </rPh>
    <phoneticPr fontId="5"/>
  </si>
  <si>
    <t>1バハムート開幕</t>
    <rPh sb="6" eb="8">
      <t>カイマk</t>
    </rPh>
    <phoneticPr fontId="5"/>
  </si>
  <si>
    <t>1バハムート１ターン目</t>
    <phoneticPr fontId="5"/>
  </si>
  <si>
    <t>1バハムート偶数ターン</t>
    <rPh sb="6" eb="8">
      <t>グウス</t>
    </rPh>
    <phoneticPr fontId="5"/>
  </si>
  <si>
    <t>2バハムート開幕</t>
    <rPh sb="6" eb="8">
      <t>カイマk</t>
    </rPh>
    <phoneticPr fontId="5"/>
  </si>
  <si>
    <t>2バハムート３０％</t>
    <phoneticPr fontId="5"/>
  </si>
  <si>
    <t>2バハムート死亡</t>
    <phoneticPr fontId="5"/>
  </si>
  <si>
    <t>1ハーメルン開幕</t>
    <rPh sb="6" eb="8">
      <t>カイマk</t>
    </rPh>
    <phoneticPr fontId="5"/>
  </si>
  <si>
    <t>1ハーメルン２０％</t>
    <phoneticPr fontId="5"/>
  </si>
  <si>
    <t>2ハーメルン開幕</t>
    <phoneticPr fontId="5"/>
  </si>
  <si>
    <t>2ハーメルン１ターンめ</t>
    <phoneticPr fontId="5"/>
  </si>
  <si>
    <t>2ハーメルン２ターンめ</t>
    <phoneticPr fontId="5"/>
  </si>
  <si>
    <t>2ハーメルン３０％</t>
    <phoneticPr fontId="5"/>
  </si>
  <si>
    <t>2ハーメルン４０％</t>
    <phoneticPr fontId="5"/>
  </si>
  <si>
    <t>状態異常耐性＋１ターン青パネル出現率UP（大）</t>
    <phoneticPr fontId="5"/>
  </si>
  <si>
    <t>暗闇３ターン+青パネルを青の時限式ダメージパネルに変換（1〜３ターン低威力）</t>
    <phoneticPr fontId="5"/>
  </si>
  <si>
    <t>赤パネル吸収して全体攻撃（4000威力低め）</t>
    <phoneticPr fontId="5"/>
  </si>
  <si>
    <t>４回連続攻撃（6000）</t>
    <phoneticPr fontId="5"/>
  </si>
  <si>
    <t>全体攻撃＋全ユニットに攻撃力２０％DOWN</t>
    <phoneticPr fontId="5"/>
  </si>
  <si>
    <t>状態異常耐性＋４ターン全ユニットのタップ回数を１DOWN</t>
    <phoneticPr fontId="5"/>
  </si>
  <si>
    <t>１ターン暗闇＋クリティカル！</t>
    <phoneticPr fontId="5"/>
  </si>
  <si>
    <t>青パネルを青の時限式ダメージパネルに変換＋黄パネルをプロテクト</t>
    <phoneticPr fontId="5"/>
  </si>
  <si>
    <t>状態異常耐性＋２ターン全ユニットの回復力５０％DOWN（攻撃頻度を１に）</t>
    <phoneticPr fontId="5"/>
  </si>
  <si>
    <t>全体攻撃＋ランダムで属性パネルを時限式ダメージパネルに８個変換（攻撃頻度を１に）</t>
    <phoneticPr fontId="5"/>
  </si>
  <si>
    <t>２ターン暗闇＋２ターンタップ回数を１DOWN（攻撃頻度を１に）</t>
    <phoneticPr fontId="5"/>
  </si>
  <si>
    <t>黄パネルをプロテクト（最大４個）＋単体攻撃（攻撃頻度を１に）</t>
  </si>
  <si>
    <t>青パネルをプロテクト（最大４個）＋単体攻撃</t>
  </si>
  <si>
    <t>クリティカル！（6000）</t>
  </si>
  <si>
    <t>ハートパネルを吸収して全体攻撃（最低3000最高7000くらい）</t>
    <phoneticPr fontId="5"/>
  </si>
  <si>
    <t>ランダムに時限式ダメージパネルをドロップ（威力小２〜３ターン）（攻撃頻度を１に）</t>
    <phoneticPr fontId="5"/>
  </si>
  <si>
    <t>８回連続攻撃（7000）</t>
    <phoneticPr fontId="5"/>
  </si>
  <si>
    <t>黄色パネルを最大７個吸収して単体攻撃</t>
    <phoneticPr fontId="5"/>
  </si>
  <si>
    <t>緑色パネルを最大７個吸収して単体攻撃</t>
  </si>
  <si>
    <t>3夢龍死亡</t>
    <rPh sb="1" eb="3">
      <t>ユm</t>
    </rPh>
    <rPh sb="3" eb="5">
      <t>シボ</t>
    </rPh>
    <phoneticPr fontId="5"/>
  </si>
  <si>
    <t>セリフ</t>
    <phoneticPr fontId="5"/>
  </si>
  <si>
    <t>春香開幕</t>
    <rPh sb="0" eb="2">
      <t>ハr</t>
    </rPh>
    <rPh sb="2" eb="4">
      <t>カ</t>
    </rPh>
    <phoneticPr fontId="5"/>
  </si>
  <si>
    <t>春香死亡時</t>
    <rPh sb="0" eb="5">
      <t>ハルカシボウj</t>
    </rPh>
    <phoneticPr fontId="5"/>
  </si>
  <si>
    <t>old</t>
  </si>
  <si>
    <t>[effect:tolerance, target:myself, turn:-1, count:-1, tolerance_effect:all, animation:enemy_tolerance]</t>
    <phoneticPr fontId="5"/>
  </si>
  <si>
    <t>[effect:spread, val:0.3]</t>
    <phoneticPr fontId="5"/>
  </si>
  <si>
    <t>[effect:drop_block, block_type:time_bomb, color:block_all, val:0.1, rate:0.5, turn:-1, min_time_count:2, max_time_count:3, animation:time_bomb_influence04]</t>
    <phoneticPr fontId="5"/>
  </si>
  <si>
    <t>[effect:break_attack_fix, target:unit_one, val:500, lowest_val:3000, count:7, color:green, block01:block_green]</t>
    <phoneticPr fontId="5"/>
  </si>
  <si>
    <t>[effect:sp_boost, target:unit_all, val:3, animation:sp_boost_one03]</t>
    <phoneticPr fontId="5"/>
  </si>
  <si>
    <t>[effect:rush, count:2, val:0.8]</t>
    <phoneticPr fontId="5"/>
  </si>
  <si>
    <t>[effect:rush, count:5, val:0.3]</t>
    <phoneticPr fontId="5"/>
  </si>
  <si>
    <t>[effect:rush, count:4, val:0.3]</t>
    <phoneticPr fontId="5"/>
  </si>
  <si>
    <t>使わない</t>
    <rPh sb="0" eb="1">
      <t>ツカワN</t>
    </rPh>
    <phoneticPr fontId="5"/>
  </si>
  <si>
    <t>2回連続攻撃</t>
  </si>
  <si>
    <t>5回連続攻撃</t>
    <phoneticPr fontId="5"/>
  </si>
  <si>
    <t>状態異常耐性+3ターン暗闇</t>
    <rPh sb="0" eb="6">
      <t>ジョウタ</t>
    </rPh>
    <phoneticPr fontId="5"/>
  </si>
  <si>
    <t>赤パネルを吸収して全体攻撃</t>
    <phoneticPr fontId="5"/>
  </si>
  <si>
    <t>クリティカル！</t>
    <phoneticPr fontId="5"/>
  </si>
  <si>
    <t>3ターン暗闇+
青パネルを青の時限式ダメージパネルに変換</t>
    <phoneticPr fontId="5"/>
  </si>
  <si>
    <t>4回連続攻撃</t>
    <phoneticPr fontId="5"/>
  </si>
  <si>
    <t>状態異常耐性+
4ターン全ユニットのタップ回数を1DOWN</t>
    <phoneticPr fontId="5"/>
  </si>
  <si>
    <t>1ターン暗闇+クリティカル！</t>
    <phoneticPr fontId="5"/>
  </si>
  <si>
    <t>2ターン暗闇+
2ターンタップ回数を1DOWN</t>
    <phoneticPr fontId="5"/>
  </si>
  <si>
    <t>ハートパネルを吸収して全体攻撃</t>
    <phoneticPr fontId="5"/>
  </si>
  <si>
    <t>8回連続攻撃</t>
    <phoneticPr fontId="5"/>
  </si>
  <si>
    <t>[effect:break_attack_fix, target:unit_one, val:500, lowest_val:3000, count:7, color:green, block01:block_yellow]</t>
    <phoneticPr fontId="5"/>
  </si>
  <si>
    <t>[effect:rush, count:8, val:0.3]</t>
    <phoneticPr fontId="5"/>
  </si>
  <si>
    <t>[effect:rush, count:2, val:0.8]</t>
    <phoneticPr fontId="5"/>
  </si>
  <si>
    <t>ユノは攻撃力DOWNのスキルを使用します
ターゲットを指定して優先的に倒しましょう</t>
    <rPh sb="3" eb="6">
      <t>コウゲk</t>
    </rPh>
    <rPh sb="15" eb="17">
      <t>シヨ</t>
    </rPh>
    <rPh sb="27" eb="29">
      <t>シテ</t>
    </rPh>
    <rPh sb="31" eb="34">
      <t>ユウセn</t>
    </rPh>
    <rPh sb="40" eb="41">
      <t>ウ</t>
    </rPh>
    <phoneticPr fontId="5"/>
  </si>
  <si>
    <t>1ハーメルン1ターン目</t>
  </si>
  <si>
    <t>全体攻撃</t>
  </si>
  <si>
    <t>ハーメルンがパネル出現率を変更したら
次のターンその色のパネルを吸収して
強力な全体攻撃を繰り出すので要注意です</t>
    <rPh sb="13" eb="15">
      <t>ヘンコ</t>
    </rPh>
    <rPh sb="19" eb="20">
      <t>ツg</t>
    </rPh>
    <rPh sb="32" eb="34">
      <t>キュウシュ</t>
    </rPh>
    <rPh sb="37" eb="39">
      <t>キョウリョk</t>
    </rPh>
    <rPh sb="45" eb="46">
      <t>クリダs</t>
    </rPh>
    <rPh sb="51" eb="54">
      <t>ヨウチュウ</t>
    </rPh>
    <phoneticPr fontId="5"/>
  </si>
  <si>
    <t>夢龍は吸収攻撃を頻繁に使用します
上手く活用して
たくさんパネルを繋げましょう</t>
    <rPh sb="0" eb="2">
      <t>ユm</t>
    </rPh>
    <rPh sb="3" eb="7">
      <t>キュ</t>
    </rPh>
    <rPh sb="8" eb="10">
      <t>ヒンパn</t>
    </rPh>
    <rPh sb="17" eb="19">
      <t>ウマk</t>
    </rPh>
    <rPh sb="33" eb="34">
      <t>ツナゲ</t>
    </rPh>
    <phoneticPr fontId="5"/>
  </si>
  <si>
    <t>状態異常耐性+4ターン攻撃頻度UP+
2ターン全ユニットの回復力50％DOWN</t>
    <phoneticPr fontId="5"/>
  </si>
  <si>
    <t>状態異常耐性+1ターン攻撃頻度UP+
1ターンハートパネルを吸収して攻撃力UP</t>
    <phoneticPr fontId="5"/>
  </si>
  <si>
    <t>全体攻撃+
1ターン全ユニットの攻撃力30％DOWN</t>
    <phoneticPr fontId="5"/>
  </si>
  <si>
    <t>全ユニットのスキルゲージを3ターン減少</t>
    <rPh sb="0" eb="1">
      <t>ゼn</t>
    </rPh>
    <rPh sb="17" eb="19">
      <t>ゲンsy</t>
    </rPh>
    <phoneticPr fontId="5"/>
  </si>
  <si>
    <t>単体攻撃
(命中したユニットに2ターン攻撃力50％DOWN）</t>
    <rPh sb="0" eb="4">
      <t>タンタイ</t>
    </rPh>
    <phoneticPr fontId="5"/>
  </si>
  <si>
    <t>3回連続攻撃
(命中したユニットに3ターン回復力50％DOWN）</t>
    <rPh sb="8" eb="10">
      <t>メイチュ</t>
    </rPh>
    <phoneticPr fontId="5"/>
  </si>
  <si>
    <t>状態異常耐性+2ターン攻撃頻度UP+
1ターン青パネルドロップ率UP</t>
    <rPh sb="31" eb="32">
      <t>リt</t>
    </rPh>
    <phoneticPr fontId="5"/>
  </si>
  <si>
    <t>3回連続攻撃
（命中したユニットの3ターン回復力50％DOWN）</t>
    <rPh sb="8" eb="10">
      <t>メイチュウシタユニッt</t>
    </rPh>
    <phoneticPr fontId="5"/>
  </si>
  <si>
    <t>二人の出会い</t>
  </si>
  <si>
    <t>飛び出した夢龍</t>
    <phoneticPr fontId="5"/>
  </si>
  <si>
    <t>二人の性格</t>
    <phoneticPr fontId="5"/>
  </si>
  <si>
    <t>春香と夢龍はどちらも
ALICEの中心から離れたサーバーで地道に
個人放送を運営する名も無きアイドルでした
同じ境遇の二人が運命的に出会い
恋人同士になりました</t>
    <phoneticPr fontId="5"/>
  </si>
  <si>
    <t>幸せに暮らしていた春香と夢龍ですが
ALICEのトップアイドルになるという野心を
捨て切れなかった夢龍はALICE中心に向かい
春香にこう約束しました
「いつか君を迎えにくる」</t>
    <phoneticPr fontId="5"/>
  </si>
  <si>
    <t>夢龍は自分の事をALICE一番のイケメンだと
思っているナルシストです
春香は考えより行動が先に出るような
短気な性格です
二人はトップアイドルになれるのでしょうか</t>
    <phoneticPr fontId="5"/>
  </si>
  <si>
    <t>complete</t>
    <phoneticPr fontId="5"/>
  </si>
  <si>
    <t>私たちM.Dragonファンクラブ！</t>
    <rPh sb="0" eb="1">
      <t>ワタs</t>
    </rPh>
    <phoneticPr fontId="5"/>
  </si>
  <si>
    <t>♪〜♪♪〜</t>
    <phoneticPr fontId="5"/>
  </si>
  <si>
    <t>全体攻撃</t>
    <phoneticPr fontId="5"/>
  </si>
  <si>
    <t>エレナはダンスを踊っている！</t>
    <rPh sb="8" eb="9">
      <t>オドッt</t>
    </rPh>
    <phoneticPr fontId="5"/>
  </si>
  <si>
    <t>ファンクラブに勧誘された！</t>
    <rPh sb="7" eb="9">
      <t>カンユ</t>
    </rPh>
    <phoneticPr fontId="5"/>
  </si>
  <si>
    <t>状態異常耐性+
4ターン全ユニットのタップ回数を1DOWN</t>
    <phoneticPr fontId="5"/>
  </si>
  <si>
    <t>M.Dragonは私たちのアイドルなの…！</t>
    <phoneticPr fontId="5"/>
  </si>
  <si>
    <t>春香さん！？
M.Dragonは渡さないわ！</t>
    <rPh sb="0" eb="2">
      <t>ハr</t>
    </rPh>
    <rPh sb="16" eb="17">
      <t>ワタサn</t>
    </rPh>
    <phoneticPr fontId="5"/>
  </si>
  <si>
    <t>ほら！ショーが始まるから大人しくしてて！</t>
    <rPh sb="7" eb="8">
      <t>ハジマr</t>
    </rPh>
    <rPh sb="12" eb="14">
      <t>オトナシクシテテ</t>
    </rPh>
    <phoneticPr fontId="5"/>
  </si>
  <si>
    <t>春香さんならM.Dragonを幸せにできるかな…</t>
    <rPh sb="0" eb="2">
      <t>ハr</t>
    </rPh>
    <rPh sb="15" eb="16">
      <t>シアワs</t>
    </rPh>
    <phoneticPr fontId="5"/>
  </si>
  <si>
    <t>それ、僕にくれるのかい？</t>
    <rPh sb="3" eb="4">
      <t>ボk</t>
    </rPh>
    <phoneticPr fontId="5"/>
  </si>
  <si>
    <t>M.Dragonなんかより僕と遊ぼうよ！</t>
    <phoneticPr fontId="5"/>
  </si>
  <si>
    <t>M.Dragonより僕の方がかっこいいよ！</t>
    <rPh sb="10" eb="11">
      <t>b</t>
    </rPh>
    <phoneticPr fontId="5"/>
  </si>
  <si>
    <t>わ！なんで春香がここに！</t>
    <rPh sb="5" eb="7">
      <t>ハルk</t>
    </rPh>
    <phoneticPr fontId="5"/>
  </si>
  <si>
    <t>ボクはアイドルになったんだ！</t>
    <phoneticPr fontId="5"/>
  </si>
  <si>
    <t>old</t>
    <phoneticPr fontId="5"/>
  </si>
  <si>
    <t>ごめん春香…帰るよ……</t>
    <rPh sb="3" eb="5">
      <t>ハルk</t>
    </rPh>
    <rPh sb="6" eb="7">
      <t>カ</t>
    </rPh>
    <phoneticPr fontId="5"/>
  </si>
  <si>
    <t>夢龍は名残惜しそうに
春香の元へ帰っていった…</t>
    <rPh sb="0" eb="2">
      <t>ユm</t>
    </rPh>
    <rPh sb="3" eb="6">
      <t>ナゴr</t>
    </rPh>
    <rPh sb="11" eb="13">
      <t>ハルk</t>
    </rPh>
    <rPh sb="14" eb="15">
      <t>モト</t>
    </rPh>
    <rPh sb="16" eb="17">
      <t>カエッt</t>
    </rPh>
    <phoneticPr fontId="5"/>
  </si>
  <si>
    <t>ボクを連れ戻しに来たって？</t>
    <rPh sb="3" eb="4">
      <t>ツレモドs</t>
    </rPh>
    <phoneticPr fontId="5"/>
  </si>
  <si>
    <t>春香のことは忘れてないよ
でもボクはスーパーアイドルなんだ！</t>
    <rPh sb="0" eb="2">
      <t>ハr</t>
    </rPh>
    <rPh sb="6" eb="7">
      <t>ワスレテ</t>
    </rPh>
    <phoneticPr fontId="5"/>
  </si>
  <si>
    <t>M.Dragonをどうするつもりなの！？</t>
    <phoneticPr fontId="5"/>
  </si>
  <si>
    <t>M.Dragon逃げて〜！</t>
    <rPh sb="8" eb="9">
      <t>ニゲt</t>
    </rPh>
    <phoneticPr fontId="5"/>
  </si>
  <si>
    <t>お願い…彼に私の愛を伝えて…</t>
    <rPh sb="4" eb="5">
      <t>カレニ</t>
    </rPh>
    <rPh sb="6" eb="7">
      <t>ワタs</t>
    </rPh>
    <rPh sb="10" eb="11">
      <t>ツタ</t>
    </rPh>
    <phoneticPr fontId="5"/>
  </si>
  <si>
    <t>私がM.Dragonファンクラブのリーダーよ！</t>
    <rPh sb="0" eb="1">
      <t>ワタs</t>
    </rPh>
    <phoneticPr fontId="5"/>
  </si>
  <si>
    <t>帰って！！</t>
    <rPh sb="0" eb="1">
      <t>カエッt</t>
    </rPh>
    <phoneticPr fontId="5"/>
  </si>
  <si>
    <t>全体攻撃+
1ターン全ユニットの攻撃力50％DOWN</t>
    <phoneticPr fontId="5"/>
  </si>
  <si>
    <t>私の方がM.Dragonを愛してるわ！</t>
    <rPh sb="0" eb="1">
      <t>ワタシ</t>
    </rPh>
    <rPh sb="13" eb="14">
      <t>アイs</t>
    </rPh>
    <phoneticPr fontId="5"/>
  </si>
  <si>
    <t>ブルーペンライト！</t>
    <phoneticPr fontId="5"/>
  </si>
  <si>
    <t>グリーンペンライト！</t>
    <phoneticPr fontId="5"/>
  </si>
  <si>
    <t>しつこいわね！！</t>
    <phoneticPr fontId="5"/>
  </si>
  <si>
    <t>僕の演奏を楽しんでよ！</t>
    <rPh sb="0" eb="1">
      <t>ボクノ</t>
    </rPh>
    <rPh sb="5" eb="6">
      <t>タノシンデ</t>
    </rPh>
    <phoneticPr fontId="5"/>
  </si>
  <si>
    <t>ブルーホイッスル</t>
    <phoneticPr fontId="5"/>
  </si>
  <si>
    <t>グリーンホイッスル</t>
    <phoneticPr fontId="5"/>
  </si>
  <si>
    <t>彼を連れて行かないでくれっ！</t>
    <rPh sb="0" eb="1">
      <t>カr</t>
    </rPh>
    <rPh sb="2" eb="3">
      <t>ツr</t>
    </rPh>
    <phoneticPr fontId="5"/>
  </si>
  <si>
    <t>僕たちは良きライバルなんだ…</t>
    <rPh sb="0" eb="1">
      <t>ボk</t>
    </rPh>
    <rPh sb="4" eb="5">
      <t>ヨキラ</t>
    </rPh>
    <phoneticPr fontId="5"/>
  </si>
  <si>
    <t>やあ、僕の演奏を聴きに来たのかい？</t>
    <rPh sb="3" eb="4">
      <t>ボク</t>
    </rPh>
    <rPh sb="5" eb="7">
      <t>エンソ</t>
    </rPh>
    <rPh sb="8" eb="9">
      <t>キキn</t>
    </rPh>
    <phoneticPr fontId="5"/>
  </si>
  <si>
    <t>triad harmony</t>
  </si>
  <si>
    <t>行かせないよっ！</t>
    <phoneticPr fontId="5"/>
  </si>
  <si>
    <t>tremolo noise</t>
    <phoneticPr fontId="5"/>
  </si>
  <si>
    <t>ついにボクは夢を叶えたんだ！</t>
    <rPh sb="6" eb="7">
      <t>ユm</t>
    </rPh>
    <phoneticPr fontId="5"/>
  </si>
  <si>
    <t>絶対帰らないよ！</t>
    <rPh sb="0" eb="2">
      <t>ゼッタ</t>
    </rPh>
    <phoneticPr fontId="5"/>
  </si>
  <si>
    <t>TWO OF A KIND</t>
    <phoneticPr fontId="5"/>
  </si>
  <si>
    <t>さあボクのショーを楽しんで！</t>
    <rPh sb="9" eb="10">
      <t>タノs</t>
    </rPh>
    <phoneticPr fontId="5"/>
  </si>
  <si>
    <t>さあショーの始まりだ！！</t>
    <phoneticPr fontId="5"/>
  </si>
  <si>
    <t>しつこいぞ！</t>
    <phoneticPr fontId="5"/>
  </si>
  <si>
    <t>帰らないって言ってるだろ！</t>
    <phoneticPr fontId="5"/>
  </si>
  <si>
    <t>もう帰ってくれ！</t>
    <rPh sb="2" eb="3">
      <t>カエッt</t>
    </rPh>
    <phoneticPr fontId="5"/>
  </si>
  <si>
    <t>ボクを連れ戻したいならショーを見てからだ！</t>
    <rPh sb="3" eb="4">
      <t>ツレモドs</t>
    </rPh>
    <phoneticPr fontId="5"/>
  </si>
  <si>
    <t>ステージ暗転！</t>
    <rPh sb="4" eb="6">
      <t>アンテn</t>
    </rPh>
    <phoneticPr fontId="5"/>
  </si>
  <si>
    <t>ボクはスーパーアイドルになれたんだ…</t>
    <phoneticPr fontId="5"/>
  </si>
  <si>
    <t>ボクはQoHのアイドルなんだ…</t>
    <phoneticPr fontId="5"/>
  </si>
  <si>
    <t>今さら引き返せないよ…！</t>
    <rPh sb="0" eb="1">
      <t>イマサラ</t>
    </rPh>
    <rPh sb="3" eb="4">
      <t>ヒキカエs</t>
    </rPh>
    <phoneticPr fontId="5"/>
  </si>
  <si>
    <t>アイドルになれて楽しかったな……</t>
    <rPh sb="8" eb="9">
      <t>タノs</t>
    </rPh>
    <phoneticPr fontId="5"/>
  </si>
  <si>
    <t>ドラゴンダンス</t>
    <phoneticPr fontId="5"/>
  </si>
  <si>
    <t>魅惑の美声</t>
    <phoneticPr fontId="5"/>
  </si>
  <si>
    <t>イエロースマッシュ</t>
    <phoneticPr fontId="5"/>
  </si>
  <si>
    <t>パーフェクトダンス</t>
    <phoneticPr fontId="5"/>
  </si>
  <si>
    <t>グリーンスマッシュ</t>
    <phoneticPr fontId="5"/>
  </si>
  <si>
    <t>春香…？ごめんね。
売れてないアイドルは知らないんだ…</t>
    <rPh sb="0" eb="2">
      <t>ハr</t>
    </rPh>
    <rPh sb="10" eb="11">
      <t>ウレt</t>
    </rPh>
    <rPh sb="20" eb="21">
      <t>シラn</t>
    </rPh>
    <phoneticPr fontId="5"/>
  </si>
  <si>
    <t>[effect:force_change_block, new_block:block_heart, target:block_normal, count:10, val:0, animation:change_range_block],[effect:suicide, target:myself, val:1, dead_type:suicide]</t>
    <phoneticPr fontId="5"/>
  </si>
  <si>
    <t>[effect:force_change_block, new_block:crack_bomb, target:block_normal, color:block_red, count:10, val:0, animation:change_range_block],[effect:suicide, target:myself, val:1, dead_type:suicide]</t>
    <phoneticPr fontId="5"/>
  </si>
  <si>
    <t>triad harmony</t>
    <phoneticPr fontId="5"/>
  </si>
  <si>
    <t>単体攻撃
(命中したユニットに2ターン攻撃力30％DOWN）</t>
    <rPh sb="0" eb="4">
      <t>タンタイ</t>
    </rPh>
    <phoneticPr fontId="5"/>
  </si>
  <si>
    <t>[effect:rush, count:5, val:0.2]</t>
    <phoneticPr fontId="5"/>
  </si>
  <si>
    <t>HeartCrusher！</t>
    <phoneticPr fontId="5"/>
  </si>
  <si>
    <t>あ! あんたどこかで見覚えあるよ！</t>
    <phoneticPr fontId="5"/>
  </si>
  <si>
    <t>[effect:critical, val:1.2, animation:enemy_critical]</t>
    <phoneticPr fontId="5"/>
  </si>
  <si>
    <t>[effect:critical, val:1.6, animation:enemy_critical]</t>
    <phoneticPr fontId="5"/>
  </si>
  <si>
    <t>[effect:critical, val:1.4, animation:enemy_critical]</t>
    <phoneticPr fontId="5"/>
  </si>
  <si>
    <t>[effect:force_change_block, new_block:time_bomb, target:block_yellow, color:yellow, count:3, val:0.2, min_time_count:2, max_time_count:3, animation:change_block],[effect:critical, val:1.5, animation:enemy_critical]</t>
    <phoneticPr fontId="5"/>
  </si>
  <si>
    <t>[effect:break_attack_fix, target:unit_all, val:200, lowest_val:1000, count:-1, color:green, block01:block_red]</t>
    <phoneticPr fontId="5"/>
  </si>
  <si>
    <t>[effect:break_attack_fix, target:unit_all, val:150, lowest_val:500, count:-1, color:green, block01:block_red]</t>
    <phoneticPr fontId="5"/>
  </si>
  <si>
    <t>[effect:break_attack_fix, target:unit_all, val:180, lowest_val:750, count:-1, color:green, block01:block_heart]</t>
    <phoneticPr fontId="5"/>
  </si>
  <si>
    <t>[effect:break_attack_fix, target:unit_all, val:250, lowest_val:1000, count:-1, color:green, block01:block_heart]</t>
    <phoneticPr fontId="5"/>
  </si>
  <si>
    <t>bit</t>
  </si>
  <si>
    <t>link</t>
  </si>
  <si>
    <t>everyone</t>
    <phoneticPr fontId="5"/>
  </si>
  <si>
    <t>no_continue</t>
  </si>
  <si>
    <t>full_member</t>
  </si>
  <si>
    <t>[effect:enemy_message, val1:2.1, val2:2.7]</t>
    <phoneticPr fontId="5"/>
  </si>
  <si>
    <t>[effect:enemy_message, val1:1.7, val2:2.7]</t>
    <phoneticPr fontId="5"/>
  </si>
  <si>
    <t>あ、ごめん！
ぶつかる！</t>
    <phoneticPr fontId="5"/>
  </si>
  <si>
    <t>全体攻撃+
2ターン全ユニットの攻撃力20％DOWN</t>
    <phoneticPr fontId="5"/>
  </si>
  <si>
    <t>[effect:damage_abnormal, target:unit_one, val:1.0, status:attack, turn:2, val_abnormal:0.5, calc:mul, animation:attack_break01]</t>
    <phoneticPr fontId="5"/>
  </si>
  <si>
    <t>[effect:damage_abnormal, target:unit_one, val:1.0, status:attack, turn:2, val_abnormal:0.3, calc:mul, animation:attack_break01]</t>
  </si>
  <si>
    <t>[effect:spread, val:0.3],[effect:attack_break, target:unit_all, turn:1, val:0.3, calc:mul, animation:attack_break01]</t>
  </si>
  <si>
    <t>[effect:tolerance, target:myself, turn:-1, count:-1, tolerance_effect:all, animation:enemy_tolerance],[effect:dark, target:unit_all, turn:3, animation:enemy_dark]</t>
  </si>
  <si>
    <t>[effect:critical, val:1.1, animation:enemy_critical],[effect:force_change_block, new_block:time_bomb, target:block_blue, color:blue, count:5, val:0.12, min_time_count:2, max_time_count:3, animation:change_block]</t>
  </si>
  <si>
    <t>[effect:critical, val:1.1, animation:enemy_critical],[effect:force_change_block, new_block:time_bomb, target:block_green, color:green, count:5, val:0.12, min_time_count:2, max_time_count:3, animation:change_block]</t>
  </si>
  <si>
    <t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t>
  </si>
  <si>
    <t>[effect:panel_freeze, target:normal, count:7],[effect:critical, val:1.2, animation:enemy_critical]</t>
  </si>
  <si>
    <t>[effect:panel_freeze, target:normal, color:block_blue, count:5],[effect:panel_freeze, target:normal, color:block_green, count:5]</t>
  </si>
  <si>
    <t>[effect:damage_abnormal, target:unit_one, val:0.5, status:heal, turn:3, val_abnormal:0.5, calc:mul],[effect:damage_abnormal, target:unit_one, val:0.5, status:heal, turn:3, val_abnormal:0.5, calc:mul],[effect:damage_abnormal, target:unit_one, val:0.5, status:heal, turn:3, val_abnormal:0.5, calc:mul]</t>
  </si>
  <si>
    <t>[effect:tolerance, target:myself, turn:-1, count:-1, tolerance_effect:all, animation:enemy_tolerance],[effect:freq_turn, target:myself, turn:2, val:1, animation:enemy_freq_turn],[effect:change_panel_ratio, turn:1, block_type:blue, val:0.8, animation:block_incidence04]</t>
  </si>
  <si>
    <t>[effect:dark, target:unit_all, turn:3, animation:enemy_dark],[effect:force_change_block, new_block:time_bomb, target:block_blue, color:blue, count:-1, val:0.1, min_time_count:2, max_time_count:3, animation:change_block]</t>
  </si>
  <si>
    <t>[effect:tolerance, target:myself, turn:-1, count:-1, tolerance_effect:all, animation:enemy_tolerance],[effect:degrade_unit, target:unit_all, turn:4, status:action, val:1, animation:enemy_tap_down]</t>
  </si>
  <si>
    <t>[effect:panel_freeze, target:normal, color:yellow, count:-1],[effect:force_change_block, new_block:time_bomb, target:block_blue, color:blue, count:-1, val:0.2, min_time_count:2, max_time_count:3, animation:change_block]</t>
  </si>
  <si>
    <t>[effect:dark, target:unit_all, turn:1, animation:enemy_dark],[effect:critical, val:1.3, animation:enemy_critical]</t>
  </si>
  <si>
    <t>[effect:tolerance, target:myself, turn:-1, count:-1, tolerance_effect:all, animation:enemy_tolerance],[effect:freq_turn, target:myself, turn:4, val:1, animation:enemy_freq_turn],[effect:degrade_unit, target:unit_all, turn:2, status:heal, val:0.5, animation:degrade_unit_all_heal]</t>
  </si>
  <si>
    <t>[effect:spread, val:0.3],[effect:force_change_block, new_block:time_bomb, target:normal, count:8, val:0.2, min_time_count:1, max_time_count:3, animation:change_block]</t>
  </si>
  <si>
    <t>[effect:dark, target:unit_all, turn:2, animation:enemy_dark],[effect:degrade_unit, target:unit_all, turn:2, status:action, val:1, animation:enemy_tap_down]</t>
  </si>
  <si>
    <t>[effect:panel_freeze, target:normal, color:yellow, count:4],[effect:critical, val:1.2, animation:enemy_critical]</t>
  </si>
  <si>
    <t>[effect:panel_freeze, target:normal, color:blue, count:4],[effect:critical, val:1.2, animation:enemy_critical]</t>
  </si>
  <si>
    <t>[effect:damage_abnormal, target:unit_one, val:0.4, status:heal, turn:3, val_abnormal:0.5, calc:mul],[effect:damage_abnormal, target:unit_one, val:0.4, status:heal, turn:3, val_abnormal:0.5, calc:mul],[effect:damage_abnormal, target:unit_one, val:0.4, status:heal, turn:3, val_abnormal:0.5, calc:mul]</t>
  </si>
  <si>
    <t>[effect:critical, val:1.1, animation:enemy_critical],[effect:force_change_block, new_block:time_bomb, target:block_blue, color:blue, count:5, val:0.2, min_time_count:2, max_time_count:3, animation:change_block]</t>
  </si>
  <si>
    <t>[effect:critical, val:1.1, animation:enemy_critical],[effect:force_change_block, new_block:time_bomb, target:block_green, color:green, count:5, val:0.2, min_time_count:2, max_time_count:3, animation:change_block]</t>
  </si>
  <si>
    <t>青パネル&amp;緑パネルプロテクト(最大5個ずつ)</t>
    <phoneticPr fontId="5"/>
  </si>
  <si>
    <t>黄パネルプロテクト+
青パネルを青の時限式ダメージパネルに変換</t>
    <phoneticPr fontId="5"/>
  </si>
  <si>
    <t>黄パネルプロテクト（最大4個）+クリティカル！</t>
    <phoneticPr fontId="5"/>
  </si>
  <si>
    <t>青パネルプロテクト（最大4個）+クリティカル！</t>
    <phoneticPr fontId="5"/>
  </si>
  <si>
    <t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t>
    <phoneticPr fontId="5"/>
  </si>
  <si>
    <t>属性パネルプロテクト(最大7個)+
クリティカル！</t>
    <phoneticPr fontId="5"/>
  </si>
  <si>
    <t>赤パネルを吸収して全体攻撃</t>
    <phoneticPr fontId="5"/>
  </si>
  <si>
    <t>青パネルを青の時限式ダメージパネルに5個変換+
クリティカル！</t>
    <phoneticPr fontId="5"/>
  </si>
  <si>
    <t>緑パネルを緑の時限式ダメージパネルに5個変換+
クリティカル！</t>
    <phoneticPr fontId="5"/>
  </si>
  <si>
    <t>全体攻撃+
属性パネルを緑の時限式ダメージパネルに8個変換</t>
    <rPh sb="12" eb="13">
      <t>ミドr</t>
    </rPh>
    <phoneticPr fontId="5"/>
  </si>
  <si>
    <t>超高確率で緑の時限式ダメージパネルがドロップ</t>
    <phoneticPr fontId="5"/>
  </si>
  <si>
    <t>属性パネルをハートパネルに10個変換</t>
    <rPh sb="15" eb="16">
      <t>k</t>
    </rPh>
    <phoneticPr fontId="5"/>
  </si>
  <si>
    <t>属性パネルを赤ボムパネルに10個変換</t>
    <rPh sb="0" eb="2">
      <t>ゾクセ</t>
    </rPh>
    <rPh sb="15" eb="16">
      <t>k</t>
    </rPh>
    <phoneticPr fontId="5"/>
  </si>
  <si>
    <t>属性パネルをハートパネルに10個変換</t>
    <rPh sb="0" eb="2">
      <t>ゾクセ</t>
    </rPh>
    <rPh sb="15" eb="16">
      <t>k</t>
    </rPh>
    <phoneticPr fontId="5"/>
  </si>
  <si>
    <t>私と彼の間を邪魔するなら許さないわよ…</t>
    <rPh sb="0" eb="1">
      <t>ワタs</t>
    </rPh>
    <rPh sb="2" eb="3">
      <t>カr</t>
    </rPh>
    <rPh sb="4" eb="5">
      <t>ア</t>
    </rPh>
    <rPh sb="6" eb="8">
      <t>ジャm</t>
    </rPh>
    <rPh sb="12" eb="13">
      <t>ユルサn</t>
    </rPh>
    <phoneticPr fontId="5"/>
  </si>
  <si>
    <t>時限式ダメージパネルは
暗闇の中では解除が難しいです
パネル吸収スキルを使うと
パネルが繋がりやすくなり有利になります</t>
    <phoneticPr fontId="5"/>
  </si>
  <si>
    <t>夢龍の3ゲージ目はHPが半分以下になると
時限式ダメージパネルが大量に降り始めます
一気に倒しましょう！</t>
    <rPh sb="0" eb="2">
      <t>ユm</t>
    </rPh>
    <rPh sb="7" eb="8">
      <t>メ</t>
    </rPh>
    <rPh sb="12" eb="16">
      <t>ハンブn</t>
    </rPh>
    <rPh sb="21" eb="24">
      <t>ジゲn</t>
    </rPh>
    <rPh sb="32" eb="34">
      <t>タイリョ</t>
    </rPh>
    <rPh sb="35" eb="36">
      <t>フr</t>
    </rPh>
    <rPh sb="42" eb="44">
      <t>イッk</t>
    </rPh>
    <rPh sb="45" eb="46">
      <t>タオs</t>
    </rPh>
    <phoneticPr fontId="5"/>
  </si>
  <si>
    <t>黄パネルを黄の時限式ダメージパネルに3個変換+
クリティカル！</t>
  </si>
  <si>
    <t>黄パネルを黄の時限式ダメージパネルに3個変換+
クリティカル！</t>
    <phoneticPr fontId="5"/>
  </si>
  <si>
    <t>黄パネルを吸収して攻撃(最大7個)</t>
  </si>
  <si>
    <t>黄パネルを吸収して攻撃(最大7個)</t>
    <phoneticPr fontId="5"/>
  </si>
  <si>
    <t>緑パネルを吸収して攻撃(最大7個)</t>
  </si>
  <si>
    <t>緑パネルを吸収して攻撃(最大7個)</t>
    <phoneticPr fontId="5"/>
  </si>
  <si>
    <t>[effect:spread, val:0.3],[effect:attack_break, target:unit_all, turn:1, val:0.5, calc:mul, animation:attack_break01]</t>
    <phoneticPr fontId="5"/>
  </si>
  <si>
    <t>[effect:spread, val:0.3],[effect:attack_break, target:unit_all, turn:1, val:0.8, calc:mul, animation:attack_break01],[effect:force_change_block, new_block:crash, target:block_green, count:0, val:6, animation:change_block]</t>
    <phoneticPr fontId="5"/>
  </si>
  <si>
    <t>全体攻撃+
1ターン全ユニットの攻撃力80％DOWN+
緑パネルを先頭ユニットのCパネルに変換</t>
    <rPh sb="28" eb="29">
      <t>ミドr</t>
    </rPh>
    <phoneticPr fontId="5"/>
  </si>
  <si>
    <t>状態異常耐性+4ターン攻撃頻度UP+
緑パネルを先頭ユニットのCパネルに変換</t>
    <rPh sb="11" eb="15">
      <t>コウゲk</t>
    </rPh>
    <phoneticPr fontId="5"/>
  </si>
  <si>
    <t>2バハムート35％</t>
    <phoneticPr fontId="5"/>
  </si>
  <si>
    <t>[effect:spread, val:0.3],[effect:force_change_block, new_block:time_bomb, target:normal, color:block_green, count:2, val:0.08, animation:change_block]</t>
    <phoneticPr fontId="5"/>
  </si>
  <si>
    <t>全体攻撃+
属性パネルを緑の時限式ダメージパネルに2個変換</t>
    <rPh sb="0" eb="4">
      <t>ゼンタ</t>
    </rPh>
    <rPh sb="6" eb="8">
      <t>ゾクセ</t>
    </rPh>
    <rPh sb="12" eb="13">
      <t>m</t>
    </rPh>
    <rPh sb="14" eb="17">
      <t>ジゲンs</t>
    </rPh>
    <rPh sb="27" eb="29">
      <t>ヘンカn</t>
    </rPh>
    <phoneticPr fontId="5"/>
  </si>
  <si>
    <t>赤パネルを青の時限式ダメージパネルに2個変換+
青パネルを吸収して攻撃</t>
    <rPh sb="0" eb="1">
      <t>アカ</t>
    </rPh>
    <rPh sb="5" eb="6">
      <t>ア</t>
    </rPh>
    <phoneticPr fontId="5"/>
  </si>
  <si>
    <t>黄パネルを緑の時限式ダメージパネルに2個変換+
緑パネルを吸収して攻撃</t>
    <rPh sb="0" eb="1">
      <t>ki</t>
    </rPh>
    <rPh sb="5" eb="6">
      <t>ミドr</t>
    </rPh>
    <phoneticPr fontId="5"/>
  </si>
  <si>
    <t>[effect:force_change_block, new_block:time_bomb, target:block_red, color:block_blue, count:2, val:0.08, animation:change_block],[effect:break_attack_fix, target:unit_one, val:300, lowest_val:3000, count:-1, color:green, block01:block_blue]</t>
    <phoneticPr fontId="5"/>
  </si>
  <si>
    <t>[effect:force_change_block, new_block:time_bomb, target:block_yellow, color:block_green, count:2, val:0.08, animation:change_block],[effect:break_attack_fix, target:unit_one, val:300, lowest_val:3000, count:-1, color:green, block01:block_green]</t>
    <phoneticPr fontId="5"/>
  </si>
  <si>
    <t>[effect:spread, val:0.6],[effect:attack_break, target:unit_all, turn:2, val:0.2, calc:mul, animation:attack_break01]</t>
    <phoneticPr fontId="5"/>
  </si>
  <si>
    <t>[effect:tolerance, target:myself, turn:-1, count:-1, tolerance_effect:all, animation:enemy_tolerance],[effect:freq_turn, target:myself, turn:4, val:1, animation:enemy_freq_turn],[effect:force_change_block, new_block:crash, target:block_green, count:0, val:6, animation:change_block]</t>
    <phoneticPr fontId="5"/>
  </si>
  <si>
    <t>[effect:force_change_block, new_block:time_bomb, target:block_red, color:block_blue, count:2, val:0.08, animation:change_block],[effect:break_attack_fix, target:unit_one, val:300, lowest_val:1500, count:-1, color:green, block01:block_blue]</t>
    <phoneticPr fontId="5"/>
  </si>
  <si>
    <t>[effect:force_change_block, new_block:time_bomb, target:block_yellow, color:block_green, count:2, val:0.08, animation:change_block],[effect:break_attack_fix, target:unit_one, val:300, lowest_val:1500, count:-1, color:green, block01:block_green]</t>
    <phoneticPr fontId="5"/>
  </si>
  <si>
    <t>全体攻撃+
1ターン全ユニットの攻撃力50％DOWN+
緑パネルを先頭ユニットのCパネルに変換</t>
    <phoneticPr fontId="5"/>
  </si>
  <si>
    <t>[effect:spread, val:0.3],[effect:attack_break, target:unit_all, turn:1, val:0.5, calc:mul, animation:attack_break01],[effect:force_change_block, new_block:crash, target:block_green, count:0, val:6, animation:change_block]</t>
    <phoneticPr fontId="5"/>
  </si>
  <si>
    <t>状態異常耐性+
赤パネルドロップ率DOWN</t>
    <phoneticPr fontId="5"/>
  </si>
  <si>
    <t>[effect:tolerance, target:myself, turn:-1, count:-1, tolerance_effect:all, animation:enemy_tolerance],[effect:change_panel_ratio, turn:-1, block_type:red, val:0.1, animation:block_incidence04],[effect:fix_speed, target:myself, turn:1]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</si>
</sst>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0"/>
      <color theme="8"/>
      <name val="ＭＳ Ｐゴシック"/>
      <family val="3"/>
      <charset val="128"/>
      <scheme val="minor"/>
    </font>
    <font>
      <sz val="12"/>
      <color theme="8"/>
      <name val="ＭＳ Ｐゴシック"/>
      <family val="2"/>
      <charset val="128"/>
      <scheme val="minor"/>
    </font>
    <font>
      <sz val="16"/>
      <color rgb="FF000000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0"/>
      <color rgb="FFC00000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1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3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176" fontId="8" fillId="0" borderId="7" xfId="0" applyNumberFormat="1" applyFont="1" applyBorder="1" applyAlignment="1">
      <alignment vertical="center"/>
    </xf>
    <xf numFmtId="0" fontId="16" fillId="32" borderId="0" xfId="0" applyFont="1" applyFill="1" applyAlignment="1">
      <alignment vertical="center"/>
    </xf>
    <xf numFmtId="0" fontId="26" fillId="6" borderId="7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55" fillId="6" borderId="7" xfId="0" applyFont="1" applyFill="1" applyBorder="1" applyAlignment="1">
      <alignment horizontal="center" vertical="center"/>
    </xf>
    <xf numFmtId="0" fontId="55" fillId="6" borderId="2" xfId="0" applyFont="1" applyFill="1" applyBorder="1" applyAlignment="1">
      <alignment horizontal="center" vertical="center"/>
    </xf>
    <xf numFmtId="0" fontId="56" fillId="32" borderId="7" xfId="0" applyFont="1" applyFill="1" applyBorder="1" applyAlignment="1">
      <alignment vertical="center"/>
    </xf>
    <xf numFmtId="0" fontId="56" fillId="0" borderId="7" xfId="0" applyFont="1" applyFill="1" applyBorder="1" applyAlignment="1">
      <alignment vertical="center"/>
    </xf>
    <xf numFmtId="0" fontId="56" fillId="3" borderId="7" xfId="0" applyFont="1" applyFill="1" applyBorder="1" applyAlignment="1">
      <alignment vertical="center"/>
    </xf>
    <xf numFmtId="0" fontId="56" fillId="0" borderId="0" xfId="0" applyFont="1" applyFill="1" applyAlignment="1">
      <alignment vertical="center"/>
    </xf>
    <xf numFmtId="0" fontId="57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57" fillId="32" borderId="0" xfId="0" applyFont="1" applyFill="1" applyAlignment="1">
      <alignment vertical="center"/>
    </xf>
    <xf numFmtId="0" fontId="23" fillId="32" borderId="0" xfId="0" applyFont="1" applyFill="1" applyAlignment="1">
      <alignment vertical="center"/>
    </xf>
    <xf numFmtId="0" fontId="57" fillId="0" borderId="7" xfId="0" applyFont="1" applyFill="1" applyBorder="1" applyAlignment="1">
      <alignment horizontal="left" vertical="center" wrapText="1"/>
    </xf>
    <xf numFmtId="0" fontId="23" fillId="0" borderId="7" xfId="0" applyFont="1" applyFill="1" applyBorder="1" applyAlignment="1">
      <alignment horizontal="left" vertical="center" wrapText="1"/>
    </xf>
    <xf numFmtId="0" fontId="0" fillId="0" borderId="7" xfId="0" applyFill="1" applyBorder="1"/>
    <xf numFmtId="0" fontId="11" fillId="0" borderId="7" xfId="0" applyFont="1" applyBorder="1" applyAlignment="1">
      <alignment vertical="center"/>
    </xf>
    <xf numFmtId="0" fontId="26" fillId="0" borderId="7" xfId="0" applyFont="1" applyBorder="1"/>
    <xf numFmtId="0" fontId="0" fillId="6" borderId="7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6" fillId="3" borderId="7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52" fillId="0" borderId="7" xfId="0" applyFont="1" applyBorder="1" applyAlignment="1">
      <alignment vertical="center"/>
    </xf>
    <xf numFmtId="0" fontId="58" fillId="3" borderId="7" xfId="0" applyFont="1" applyFill="1" applyBorder="1" applyAlignment="1">
      <alignment horizontal="left" vertical="center"/>
    </xf>
    <xf numFmtId="0" fontId="52" fillId="3" borderId="7" xfId="0" applyFont="1" applyFill="1" applyBorder="1" applyAlignment="1">
      <alignment vertical="center"/>
    </xf>
    <xf numFmtId="0" fontId="54" fillId="0" borderId="7" xfId="0" applyFont="1" applyBorder="1" applyAlignment="1">
      <alignment vertical="center"/>
    </xf>
    <xf numFmtId="0" fontId="53" fillId="3" borderId="7" xfId="0" applyFont="1" applyFill="1" applyBorder="1" applyAlignment="1">
      <alignment horizontal="left" vertical="center"/>
    </xf>
    <xf numFmtId="0" fontId="54" fillId="3" borderId="7" xfId="0" applyFont="1" applyFill="1" applyBorder="1" applyAlignment="1">
      <alignment vertical="center"/>
    </xf>
    <xf numFmtId="0" fontId="59" fillId="0" borderId="24" xfId="0" applyFont="1" applyBorder="1" applyAlignment="1">
      <alignment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vertical="center" wrapText="1"/>
    </xf>
    <xf numFmtId="0" fontId="56" fillId="14" borderId="7" xfId="0" applyFont="1" applyFill="1" applyBorder="1" applyAlignment="1">
      <alignment vertical="center"/>
    </xf>
    <xf numFmtId="0" fontId="16" fillId="14" borderId="0" xfId="0" applyFont="1" applyFill="1" applyAlignment="1">
      <alignment vertical="center"/>
    </xf>
    <xf numFmtId="0" fontId="57" fillId="14" borderId="7" xfId="0" applyFont="1" applyFill="1" applyBorder="1" applyAlignment="1">
      <alignment horizontal="left" vertical="center" wrapText="1"/>
    </xf>
    <xf numFmtId="0" fontId="23" fillId="14" borderId="7" xfId="0" applyFont="1" applyFill="1" applyBorder="1" applyAlignment="1">
      <alignment horizontal="left" vertical="center" wrapText="1"/>
    </xf>
    <xf numFmtId="0" fontId="60" fillId="14" borderId="11" xfId="0" applyNumberFormat="1" applyFont="1" applyFill="1" applyBorder="1" applyAlignment="1">
      <alignment vertical="top" wrapText="1"/>
    </xf>
    <xf numFmtId="56" fontId="60" fillId="14" borderId="7" xfId="0" applyNumberFormat="1" applyFont="1" applyFill="1" applyBorder="1" applyAlignment="1">
      <alignment horizontal="center"/>
    </xf>
    <xf numFmtId="0" fontId="60" fillId="0" borderId="0" xfId="0" applyFont="1"/>
    <xf numFmtId="0" fontId="53" fillId="0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4" fillId="0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5" xfId="0" applyFont="1" applyBorder="1" applyAlignment="1">
      <alignment vertical="center"/>
    </xf>
    <xf numFmtId="176" fontId="8" fillId="0" borderId="25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4" fillId="0" borderId="28" xfId="0" applyFont="1" applyFill="1" applyBorder="1" applyAlignment="1">
      <alignment vertical="center"/>
    </xf>
    <xf numFmtId="0" fontId="4" fillId="0" borderId="28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8" fillId="0" borderId="31" xfId="0" applyFont="1" applyBorder="1" applyAlignment="1">
      <alignment vertical="center"/>
    </xf>
    <xf numFmtId="176" fontId="8" fillId="0" borderId="31" xfId="0" applyNumberFormat="1" applyFont="1" applyBorder="1" applyAlignment="1">
      <alignment vertical="center"/>
    </xf>
    <xf numFmtId="1" fontId="32" fillId="31" borderId="28" xfId="0" applyNumberFormat="1" applyFont="1" applyFill="1" applyBorder="1" applyAlignment="1">
      <alignment vertical="center"/>
    </xf>
    <xf numFmtId="176" fontId="8" fillId="0" borderId="28" xfId="0" applyNumberFormat="1" applyFont="1" applyBorder="1" applyAlignment="1">
      <alignment vertical="center"/>
    </xf>
    <xf numFmtId="0" fontId="59" fillId="0" borderId="32" xfId="0" applyFont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4" fillId="3" borderId="28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6" fillId="0" borderId="35" xfId="0" applyFont="1" applyFill="1" applyBorder="1" applyAlignment="1">
      <alignment vertical="center"/>
    </xf>
    <xf numFmtId="0" fontId="11" fillId="0" borderId="28" xfId="0" applyFont="1" applyBorder="1" applyAlignment="1">
      <alignment vertical="center"/>
    </xf>
    <xf numFmtId="0" fontId="6" fillId="0" borderId="36" xfId="0" applyFont="1" applyFill="1" applyBorder="1" applyAlignment="1">
      <alignment vertical="center"/>
    </xf>
    <xf numFmtId="0" fontId="27" fillId="0" borderId="11" xfId="0" applyFont="1" applyFill="1" applyBorder="1"/>
    <xf numFmtId="0" fontId="26" fillId="0" borderId="11" xfId="0" applyFont="1" applyBorder="1"/>
    <xf numFmtId="0" fontId="30" fillId="0" borderId="11" xfId="0" applyFont="1" applyFill="1" applyBorder="1"/>
    <xf numFmtId="0" fontId="30" fillId="30" borderId="11" xfId="0" applyFont="1" applyFill="1" applyBorder="1"/>
    <xf numFmtId="0" fontId="30" fillId="14" borderId="11" xfId="0" applyFont="1" applyFill="1" applyBorder="1"/>
    <xf numFmtId="0" fontId="31" fillId="0" borderId="11" xfId="0" applyFont="1" applyFill="1" applyBorder="1"/>
    <xf numFmtId="38" fontId="16" fillId="0" borderId="11" xfId="628" applyFont="1" applyFill="1" applyBorder="1" applyAlignment="1">
      <alignment wrapText="1"/>
    </xf>
    <xf numFmtId="0" fontId="0" fillId="0" borderId="11" xfId="0" applyBorder="1"/>
    <xf numFmtId="0" fontId="27" fillId="0" borderId="28" xfId="0" applyFont="1" applyFill="1" applyBorder="1"/>
    <xf numFmtId="0" fontId="26" fillId="0" borderId="28" xfId="0" applyFont="1" applyBorder="1"/>
    <xf numFmtId="0" fontId="29" fillId="3" borderId="28" xfId="0" applyFont="1" applyFill="1" applyBorder="1" applyAlignment="1">
      <alignment vertical="center"/>
    </xf>
    <xf numFmtId="0" fontId="30" fillId="0" borderId="28" xfId="0" applyFont="1" applyFill="1" applyBorder="1"/>
    <xf numFmtId="0" fontId="29" fillId="0" borderId="28" xfId="0" applyFont="1" applyFill="1" applyBorder="1" applyAlignment="1">
      <alignment vertical="center"/>
    </xf>
    <xf numFmtId="0" fontId="30" fillId="30" borderId="28" xfId="0" applyFont="1" applyFill="1" applyBorder="1"/>
    <xf numFmtId="0" fontId="30" fillId="14" borderId="28" xfId="0" applyFont="1" applyFill="1" applyBorder="1"/>
    <xf numFmtId="0" fontId="31" fillId="0" borderId="28" xfId="0" applyFont="1" applyFill="1" applyBorder="1"/>
    <xf numFmtId="38" fontId="16" fillId="0" borderId="28" xfId="628" applyFont="1" applyFill="1" applyBorder="1" applyAlignment="1">
      <alignment wrapText="1"/>
    </xf>
    <xf numFmtId="0" fontId="0" fillId="0" borderId="28" xfId="0" applyBorder="1"/>
    <xf numFmtId="0" fontId="60" fillId="14" borderId="28" xfId="0" applyNumberFormat="1" applyFont="1" applyFill="1" applyBorder="1" applyAlignment="1">
      <alignment vertical="top" wrapText="1"/>
    </xf>
    <xf numFmtId="0" fontId="16" fillId="3" borderId="28" xfId="0" applyFont="1" applyFill="1" applyBorder="1" applyAlignment="1">
      <alignment vertical="center"/>
    </xf>
    <xf numFmtId="0" fontId="16" fillId="0" borderId="28" xfId="0" applyFont="1" applyFill="1" applyBorder="1" applyAlignment="1">
      <alignment horizontal="left" vertical="center"/>
    </xf>
    <xf numFmtId="0" fontId="16" fillId="0" borderId="28" xfId="0" applyFont="1" applyFill="1" applyBorder="1" applyAlignment="1">
      <alignment horizontal="left" vertical="center" wrapText="1"/>
    </xf>
    <xf numFmtId="0" fontId="53" fillId="0" borderId="28" xfId="0" applyFont="1" applyFill="1" applyBorder="1" applyAlignment="1">
      <alignment horizontal="left" vertical="center" wrapText="1"/>
    </xf>
    <xf numFmtId="0" fontId="16" fillId="3" borderId="28" xfId="0" applyFont="1" applyFill="1" applyBorder="1" applyAlignment="1">
      <alignment horizontal="left" vertical="center" wrapText="1"/>
    </xf>
    <xf numFmtId="14" fontId="16" fillId="0" borderId="28" xfId="0" applyNumberFormat="1" applyFont="1" applyFill="1" applyBorder="1" applyAlignment="1">
      <alignment horizontal="left" vertical="center"/>
    </xf>
    <xf numFmtId="0" fontId="0" fillId="0" borderId="28" xfId="0" applyFont="1" applyFill="1" applyBorder="1" applyAlignment="1">
      <alignment vertical="center" wrapText="1"/>
    </xf>
    <xf numFmtId="0" fontId="14" fillId="7" borderId="27" xfId="0" applyFont="1" applyFill="1" applyBorder="1" applyAlignment="1">
      <alignment vertical="center"/>
    </xf>
    <xf numFmtId="0" fontId="26" fillId="0" borderId="28" xfId="0" applyFont="1" applyBorder="1" applyAlignment="1">
      <alignment vertical="center"/>
    </xf>
    <xf numFmtId="0" fontId="52" fillId="0" borderId="28" xfId="0" applyFont="1" applyBorder="1" applyAlignment="1">
      <alignment vertical="center"/>
    </xf>
    <xf numFmtId="0" fontId="58" fillId="3" borderId="28" xfId="0" applyFont="1" applyFill="1" applyBorder="1" applyAlignment="1">
      <alignment horizontal="left" vertical="center"/>
    </xf>
    <xf numFmtId="0" fontId="52" fillId="3" borderId="28" xfId="0" applyFont="1" applyFill="1" applyBorder="1" applyAlignment="1">
      <alignment vertical="center"/>
    </xf>
    <xf numFmtId="0" fontId="0" fillId="3" borderId="28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1" fillId="34" borderId="7" xfId="0" applyFont="1" applyFill="1" applyBorder="1" applyAlignment="1">
      <alignment vertical="center"/>
    </xf>
    <xf numFmtId="0" fontId="11" fillId="34" borderId="28" xfId="0" applyFont="1" applyFill="1" applyBorder="1" applyAlignment="1">
      <alignment vertical="center"/>
    </xf>
    <xf numFmtId="0" fontId="11" fillId="35" borderId="7" xfId="0" applyFont="1" applyFill="1" applyBorder="1" applyAlignment="1">
      <alignment vertical="center"/>
    </xf>
    <xf numFmtId="0" fontId="11" fillId="35" borderId="28" xfId="0" applyFont="1" applyFill="1" applyBorder="1" applyAlignment="1">
      <alignment vertical="center"/>
    </xf>
    <xf numFmtId="0" fontId="26" fillId="0" borderId="10" xfId="0" applyFont="1" applyBorder="1"/>
    <xf numFmtId="0" fontId="26" fillId="0" borderId="37" xfId="0" applyFont="1" applyBorder="1"/>
    <xf numFmtId="0" fontId="26" fillId="36" borderId="37" xfId="0" applyFont="1" applyFill="1" applyBorder="1"/>
    <xf numFmtId="0" fontId="26" fillId="37" borderId="11" xfId="0" applyFont="1" applyFill="1" applyBorder="1"/>
    <xf numFmtId="0" fontId="26" fillId="37" borderId="37" xfId="0" applyFont="1" applyFill="1" applyBorder="1"/>
    <xf numFmtId="0" fontId="26" fillId="38" borderId="37" xfId="0" applyFont="1" applyFill="1" applyBorder="1"/>
    <xf numFmtId="0" fontId="30" fillId="0" borderId="7" xfId="0" applyFont="1" applyBorder="1"/>
    <xf numFmtId="0" fontId="30" fillId="13" borderId="7" xfId="0" applyFont="1" applyFill="1" applyBorder="1"/>
    <xf numFmtId="0" fontId="30" fillId="0" borderId="11" xfId="0" applyFont="1" applyBorder="1"/>
    <xf numFmtId="0" fontId="11" fillId="0" borderId="0" xfId="0" applyFont="1" applyAlignment="1">
      <alignment vertical="center"/>
    </xf>
    <xf numFmtId="0" fontId="58" fillId="0" borderId="7" xfId="0" applyFont="1" applyFill="1" applyBorder="1" applyAlignment="1">
      <alignment horizontal="left" vertical="center" wrapText="1"/>
    </xf>
    <xf numFmtId="0" fontId="52" fillId="0" borderId="7" xfId="0" applyFont="1" applyFill="1" applyBorder="1" applyAlignment="1">
      <alignment vertical="center" wrapText="1"/>
    </xf>
    <xf numFmtId="0" fontId="61" fillId="0" borderId="7" xfId="0" applyFont="1" applyFill="1" applyBorder="1" applyAlignment="1">
      <alignment horizontal="left" vertical="center" wrapText="1"/>
    </xf>
    <xf numFmtId="0" fontId="0" fillId="13" borderId="7" xfId="0" applyFont="1" applyFill="1" applyBorder="1" applyAlignment="1">
      <alignment vertical="center" wrapText="1"/>
    </xf>
  </cellXfs>
  <cellStyles count="71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赤字強調" xfId="431"/>
    <cellStyle name="青字強調" xfId="43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1"/>
      </font>
      <fill>
        <patternFill>
          <bgColor rgb="FFFFE3EA"/>
        </patternFill>
      </fill>
    </dxf>
    <dxf>
      <font>
        <color theme="1"/>
      </font>
      <fill>
        <patternFill>
          <bgColor rgb="FFFFE3EA"/>
        </patternFill>
      </fill>
    </dxf>
    <dxf>
      <font>
        <color theme="1"/>
      </font>
      <fill>
        <patternFill>
          <bgColor rgb="FFE0FFE6"/>
        </patternFill>
      </fill>
    </dxf>
    <dxf>
      <font>
        <color rgb="FF9C0006"/>
      </font>
    </dxf>
    <dxf>
      <font>
        <color rgb="FF9C0006"/>
      </font>
    </dxf>
    <dxf>
      <font>
        <color theme="8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E3EA"/>
        </patternFill>
      </fill>
    </dxf>
    <dxf>
      <font>
        <color theme="1"/>
      </font>
      <fill>
        <patternFill>
          <bgColor rgb="FFFFE3EA"/>
        </patternFill>
      </fill>
    </dxf>
    <dxf>
      <font>
        <color theme="1"/>
      </font>
      <fill>
        <patternFill>
          <bgColor rgb="FFE0FFE6"/>
        </patternFill>
      </fill>
    </dxf>
    <dxf>
      <font>
        <color rgb="FF9C0006"/>
      </font>
    </dxf>
    <dxf>
      <font>
        <color rgb="FF9C0006"/>
      </font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theme="8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3EA"/>
      <color rgb="FFE0FF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48012</v>
          </cell>
        </row>
        <row r="246">
          <cell r="A246">
            <v>48501</v>
          </cell>
        </row>
        <row r="247">
          <cell r="A247">
            <v>48502</v>
          </cell>
        </row>
        <row r="248">
          <cell r="A248">
            <v>48701</v>
          </cell>
        </row>
        <row r="249">
          <cell r="A249">
            <v>41001</v>
          </cell>
        </row>
        <row r="250">
          <cell r="A250">
            <v>41002</v>
          </cell>
        </row>
        <row r="251">
          <cell r="A251">
            <v>41003</v>
          </cell>
        </row>
        <row r="252">
          <cell r="A252">
            <v>41004</v>
          </cell>
        </row>
        <row r="253">
          <cell r="A253">
            <v>41005</v>
          </cell>
        </row>
        <row r="254">
          <cell r="A254">
            <v>41006</v>
          </cell>
        </row>
        <row r="255">
          <cell r="A255">
            <v>41007</v>
          </cell>
        </row>
        <row r="256">
          <cell r="A256">
            <v>41008</v>
          </cell>
        </row>
        <row r="257">
          <cell r="A257">
            <v>41009</v>
          </cell>
        </row>
        <row r="258">
          <cell r="A258">
            <v>41010</v>
          </cell>
        </row>
        <row r="259">
          <cell r="A259">
            <v>41011</v>
          </cell>
        </row>
        <row r="260">
          <cell r="A260">
            <v>41012</v>
          </cell>
        </row>
        <row r="261">
          <cell r="A261">
            <v>41013</v>
          </cell>
        </row>
        <row r="262">
          <cell r="A262">
            <v>41014</v>
          </cell>
        </row>
        <row r="263">
          <cell r="A263">
            <v>41015</v>
          </cell>
        </row>
        <row r="264">
          <cell r="A264">
            <v>47001</v>
          </cell>
        </row>
        <row r="265">
          <cell r="A265">
            <v>47002</v>
          </cell>
        </row>
        <row r="266">
          <cell r="A266">
            <v>47003</v>
          </cell>
        </row>
        <row r="267">
          <cell r="A267">
            <v>47004</v>
          </cell>
        </row>
        <row r="268">
          <cell r="A268">
            <v>47005</v>
          </cell>
        </row>
        <row r="269">
          <cell r="A269">
            <v>47006</v>
          </cell>
        </row>
        <row r="270">
          <cell r="A270">
            <v>47007</v>
          </cell>
        </row>
        <row r="271">
          <cell r="A271">
            <v>47008</v>
          </cell>
        </row>
        <row r="272">
          <cell r="A272">
            <v>47009</v>
          </cell>
        </row>
        <row r="273">
          <cell r="A273">
            <v>47010</v>
          </cell>
        </row>
        <row r="274">
          <cell r="A274">
            <v>47011</v>
          </cell>
        </row>
        <row r="275">
          <cell r="A275">
            <v>47012</v>
          </cell>
        </row>
        <row r="276">
          <cell r="A276">
            <v>49001</v>
          </cell>
        </row>
        <row r="277">
          <cell r="A277">
            <v>49002</v>
          </cell>
        </row>
        <row r="278">
          <cell r="A278">
            <v>49003</v>
          </cell>
        </row>
        <row r="279">
          <cell r="A279">
            <v>49004</v>
          </cell>
        </row>
        <row r="280">
          <cell r="A280">
            <v>49005</v>
          </cell>
        </row>
        <row r="281">
          <cell r="A281">
            <v>49006</v>
          </cell>
        </row>
        <row r="282">
          <cell r="A282">
            <v>49007</v>
          </cell>
        </row>
        <row r="283">
          <cell r="A283">
            <v>49008</v>
          </cell>
        </row>
        <row r="284">
          <cell r="A284">
            <v>49009</v>
          </cell>
        </row>
        <row r="285">
          <cell r="A285">
            <v>49010</v>
          </cell>
        </row>
        <row r="286">
          <cell r="A286">
            <v>49011</v>
          </cell>
        </row>
        <row r="287">
          <cell r="A287">
            <v>49012</v>
          </cell>
        </row>
        <row r="288">
          <cell r="A288">
            <v>49013</v>
          </cell>
        </row>
        <row r="289">
          <cell r="A289">
            <v>49014</v>
          </cell>
        </row>
        <row r="290">
          <cell r="A290">
            <v>49015</v>
          </cell>
        </row>
        <row r="291">
          <cell r="A291">
            <v>50001</v>
          </cell>
        </row>
        <row r="292">
          <cell r="A292">
            <v>50002</v>
          </cell>
        </row>
        <row r="293">
          <cell r="A293">
            <v>50003</v>
          </cell>
        </row>
        <row r="294">
          <cell r="A294">
            <v>50004</v>
          </cell>
        </row>
        <row r="295">
          <cell r="A295">
            <v>50005</v>
          </cell>
        </row>
        <row r="296">
          <cell r="A296">
            <v>50006</v>
          </cell>
        </row>
        <row r="297">
          <cell r="A297">
            <v>50007</v>
          </cell>
        </row>
        <row r="298">
          <cell r="A298">
            <v>50008</v>
          </cell>
        </row>
        <row r="299">
          <cell r="A299">
            <v>50009</v>
          </cell>
        </row>
        <row r="300">
          <cell r="A300">
            <v>50010</v>
          </cell>
        </row>
        <row r="301">
          <cell r="A301">
            <v>50011</v>
          </cell>
        </row>
        <row r="302">
          <cell r="A302">
            <v>50012</v>
          </cell>
        </row>
        <row r="303">
          <cell r="A303">
            <v>50013</v>
          </cell>
        </row>
        <row r="304">
          <cell r="A304">
            <v>50014</v>
          </cell>
        </row>
        <row r="305">
          <cell r="A305">
            <v>51001</v>
          </cell>
        </row>
        <row r="306">
          <cell r="A306">
            <v>51002</v>
          </cell>
        </row>
        <row r="307">
          <cell r="A307">
            <v>58001</v>
          </cell>
        </row>
        <row r="308">
          <cell r="A308">
            <v>59001</v>
          </cell>
        </row>
        <row r="309">
          <cell r="A309">
            <v>59002</v>
          </cell>
        </row>
        <row r="310">
          <cell r="A310">
            <v>60001</v>
          </cell>
        </row>
        <row r="311">
          <cell r="A311">
            <v>60002</v>
          </cell>
        </row>
        <row r="312">
          <cell r="A312">
            <v>60003</v>
          </cell>
        </row>
        <row r="313">
          <cell r="A313">
            <v>60004</v>
          </cell>
        </row>
        <row r="314">
          <cell r="A314">
            <v>60005</v>
          </cell>
        </row>
        <row r="315">
          <cell r="A315">
            <v>60006</v>
          </cell>
        </row>
        <row r="316">
          <cell r="A316">
            <v>60007</v>
          </cell>
        </row>
        <row r="317">
          <cell r="A317">
            <v>60010</v>
          </cell>
        </row>
        <row r="318">
          <cell r="A318">
            <v>60011</v>
          </cell>
        </row>
        <row r="319">
          <cell r="A319">
            <v>61011</v>
          </cell>
        </row>
        <row r="320">
          <cell r="A320">
            <v>60012</v>
          </cell>
        </row>
        <row r="321">
          <cell r="A321">
            <v>60013</v>
          </cell>
        </row>
        <row r="322">
          <cell r="A322">
            <v>60014</v>
          </cell>
        </row>
        <row r="323">
          <cell r="A323">
            <v>60015</v>
          </cell>
        </row>
        <row r="324">
          <cell r="A324">
            <v>60016</v>
          </cell>
        </row>
        <row r="325">
          <cell r="A325">
            <v>60017</v>
          </cell>
        </row>
        <row r="326">
          <cell r="A326">
            <v>60018</v>
          </cell>
        </row>
        <row r="327">
          <cell r="A327">
            <v>60019</v>
          </cell>
        </row>
        <row r="328">
          <cell r="A328">
            <v>60020</v>
          </cell>
        </row>
        <row r="329">
          <cell r="A329">
            <v>60025</v>
          </cell>
        </row>
        <row r="330">
          <cell r="A330">
            <v>60026</v>
          </cell>
        </row>
        <row r="331">
          <cell r="A331">
            <v>60027</v>
          </cell>
        </row>
        <row r="332">
          <cell r="A332">
            <v>60028</v>
          </cell>
        </row>
        <row r="333">
          <cell r="A333">
            <v>65525</v>
          </cell>
        </row>
        <row r="334">
          <cell r="A334">
            <v>65526</v>
          </cell>
        </row>
        <row r="335">
          <cell r="A335">
            <v>65527</v>
          </cell>
        </row>
        <row r="336">
          <cell r="A336">
            <v>65528</v>
          </cell>
        </row>
        <row r="337">
          <cell r="A337">
            <v>65529</v>
          </cell>
        </row>
        <row r="338">
          <cell r="A338">
            <v>65530</v>
          </cell>
        </row>
        <row r="339">
          <cell r="A339">
            <v>65531</v>
          </cell>
        </row>
        <row r="340">
          <cell r="A340">
            <v>65532</v>
          </cell>
        </row>
        <row r="341">
          <cell r="A341">
            <v>65533</v>
          </cell>
        </row>
        <row r="342">
          <cell r="A342">
            <v>65534</v>
          </cell>
        </row>
        <row r="343">
          <cell r="A343">
            <v>65535</v>
          </cell>
        </row>
        <row r="344">
          <cell r="A344">
            <v>60021</v>
          </cell>
        </row>
        <row r="345">
          <cell r="A345">
            <v>60022</v>
          </cell>
        </row>
        <row r="346">
          <cell r="A346">
            <v>60023</v>
          </cell>
        </row>
        <row r="347">
          <cell r="A34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47012_1</v>
          </cell>
        </row>
        <row r="852">
          <cell r="A852" t="str">
            <v>47012_2</v>
          </cell>
        </row>
        <row r="853">
          <cell r="A853" t="str">
            <v>48001_1</v>
          </cell>
        </row>
        <row r="854">
          <cell r="A854" t="str">
            <v>48002_1</v>
          </cell>
        </row>
        <row r="855">
          <cell r="A855" t="str">
            <v>48002_2</v>
          </cell>
        </row>
        <row r="856">
          <cell r="A856" t="str">
            <v>48002_3</v>
          </cell>
        </row>
        <row r="857">
          <cell r="A857" t="str">
            <v>48003_1</v>
          </cell>
        </row>
        <row r="858">
          <cell r="A858" t="str">
            <v>48003_2</v>
          </cell>
        </row>
        <row r="859">
          <cell r="A859" t="str">
            <v>48004_1</v>
          </cell>
        </row>
        <row r="860">
          <cell r="A860" t="str">
            <v>48004_2</v>
          </cell>
        </row>
        <row r="861">
          <cell r="A861" t="str">
            <v>48005_1</v>
          </cell>
        </row>
        <row r="862">
          <cell r="A862" t="str">
            <v>48005_2</v>
          </cell>
        </row>
        <row r="863">
          <cell r="A863" t="str">
            <v>48006_1</v>
          </cell>
        </row>
        <row r="864">
          <cell r="A864" t="str">
            <v>48006_2</v>
          </cell>
        </row>
        <row r="865">
          <cell r="A865" t="str">
            <v>48007_1</v>
          </cell>
        </row>
        <row r="866">
          <cell r="A866" t="str">
            <v>48007_2</v>
          </cell>
        </row>
        <row r="867">
          <cell r="A867" t="str">
            <v>48008_1</v>
          </cell>
        </row>
        <row r="868">
          <cell r="A868" t="str">
            <v>48008_2</v>
          </cell>
        </row>
        <row r="869">
          <cell r="A869" t="str">
            <v>48009_1</v>
          </cell>
        </row>
        <row r="870">
          <cell r="A870" t="str">
            <v>48009_2</v>
          </cell>
        </row>
        <row r="871">
          <cell r="A871" t="str">
            <v>48010_1</v>
          </cell>
        </row>
        <row r="872">
          <cell r="A872" t="str">
            <v>48011_1</v>
          </cell>
        </row>
        <row r="873">
          <cell r="A873" t="str">
            <v>48011_2</v>
          </cell>
        </row>
        <row r="874">
          <cell r="A874" t="str">
            <v>48012_1</v>
          </cell>
        </row>
        <row r="875">
          <cell r="A875" t="str">
            <v>48012_2</v>
          </cell>
        </row>
        <row r="876">
          <cell r="A876" t="str">
            <v>48501_1</v>
          </cell>
        </row>
        <row r="877">
          <cell r="A877" t="str">
            <v>48501_2</v>
          </cell>
        </row>
        <row r="878">
          <cell r="A878" t="str">
            <v>48502_1</v>
          </cell>
        </row>
        <row r="879">
          <cell r="A879" t="str">
            <v>48502_2</v>
          </cell>
        </row>
        <row r="880">
          <cell r="A880" t="str">
            <v>48701_1</v>
          </cell>
        </row>
        <row r="881">
          <cell r="A881" t="str">
            <v>48701_2</v>
          </cell>
        </row>
        <row r="882">
          <cell r="A882" t="str">
            <v>49001_1</v>
          </cell>
        </row>
        <row r="883">
          <cell r="A883" t="str">
            <v>49002_1</v>
          </cell>
        </row>
        <row r="884">
          <cell r="A884" t="str">
            <v>49002_2</v>
          </cell>
        </row>
        <row r="885">
          <cell r="A885" t="str">
            <v>49003_1</v>
          </cell>
        </row>
        <row r="886">
          <cell r="A886" t="str">
            <v>49003_2</v>
          </cell>
        </row>
        <row r="887">
          <cell r="A887" t="str">
            <v>49004_1</v>
          </cell>
        </row>
        <row r="888">
          <cell r="A888" t="str">
            <v>49004_2</v>
          </cell>
        </row>
        <row r="889">
          <cell r="A889" t="str">
            <v>49004_3</v>
          </cell>
        </row>
        <row r="890">
          <cell r="A890" t="str">
            <v>49005_1</v>
          </cell>
        </row>
        <row r="891">
          <cell r="A891" t="str">
            <v>49006_1</v>
          </cell>
        </row>
        <row r="892">
          <cell r="A892" t="str">
            <v>49006_2</v>
          </cell>
        </row>
        <row r="893">
          <cell r="A893" t="str">
            <v>49007_1</v>
          </cell>
        </row>
        <row r="894">
          <cell r="A894" t="str">
            <v>49007_2</v>
          </cell>
        </row>
        <row r="895">
          <cell r="A895" t="str">
            <v>49007_3</v>
          </cell>
        </row>
        <row r="896">
          <cell r="A896" t="str">
            <v>49008_1</v>
          </cell>
        </row>
        <row r="897">
          <cell r="A897" t="str">
            <v>49009_1</v>
          </cell>
        </row>
        <row r="898">
          <cell r="A898" t="str">
            <v>49010_1</v>
          </cell>
        </row>
        <row r="899">
          <cell r="A899" t="str">
            <v>49011_1</v>
          </cell>
        </row>
        <row r="900">
          <cell r="A900" t="str">
            <v>49012_1</v>
          </cell>
        </row>
        <row r="901">
          <cell r="A901" t="str">
            <v>49013_1</v>
          </cell>
        </row>
        <row r="902">
          <cell r="A902" t="str">
            <v>49014_1</v>
          </cell>
        </row>
        <row r="903">
          <cell r="A903" t="str">
            <v>49014_2</v>
          </cell>
        </row>
        <row r="904">
          <cell r="A904" t="str">
            <v>49015_1</v>
          </cell>
        </row>
        <row r="905">
          <cell r="A905" t="str">
            <v>49015_2</v>
          </cell>
        </row>
        <row r="906">
          <cell r="A906" t="str">
            <v>49015_3</v>
          </cell>
        </row>
        <row r="907">
          <cell r="A907" t="str">
            <v>50001_1</v>
          </cell>
        </row>
        <row r="908">
          <cell r="A908" t="str">
            <v>50002_1</v>
          </cell>
        </row>
        <row r="909">
          <cell r="A909" t="str">
            <v>50003_1</v>
          </cell>
        </row>
        <row r="910">
          <cell r="A910" t="str">
            <v>50004_1</v>
          </cell>
        </row>
        <row r="911">
          <cell r="A911" t="str">
            <v>50005_1</v>
          </cell>
        </row>
        <row r="912">
          <cell r="A912" t="str">
            <v>50006_1</v>
          </cell>
        </row>
        <row r="913">
          <cell r="A913" t="str">
            <v>50007_1</v>
          </cell>
        </row>
        <row r="914">
          <cell r="A914" t="str">
            <v>50008_1</v>
          </cell>
        </row>
        <row r="915">
          <cell r="A915" t="str">
            <v>50009_1</v>
          </cell>
        </row>
        <row r="916">
          <cell r="A916" t="str">
            <v>50010_1</v>
          </cell>
        </row>
        <row r="917">
          <cell r="A917" t="str">
            <v>50011_1</v>
          </cell>
        </row>
        <row r="918">
          <cell r="A918" t="str">
            <v>50012_1</v>
          </cell>
        </row>
        <row r="919">
          <cell r="A919" t="str">
            <v>50013_1</v>
          </cell>
        </row>
        <row r="920">
          <cell r="A920" t="str">
            <v>50014_1</v>
          </cell>
        </row>
        <row r="921">
          <cell r="A921" t="str">
            <v>51001_1</v>
          </cell>
        </row>
        <row r="922">
          <cell r="A922" t="str">
            <v>51002_1</v>
          </cell>
        </row>
        <row r="923">
          <cell r="A923" t="str">
            <v>58001_1</v>
          </cell>
        </row>
        <row r="924">
          <cell r="A924" t="str">
            <v>59001_1</v>
          </cell>
        </row>
        <row r="925">
          <cell r="A925" t="str">
            <v>59002_1</v>
          </cell>
        </row>
        <row r="926">
          <cell r="A926" t="str">
            <v>60001_1</v>
          </cell>
        </row>
        <row r="927">
          <cell r="A927" t="str">
            <v>60002_1</v>
          </cell>
        </row>
        <row r="928">
          <cell r="A928" t="str">
            <v>60002_2</v>
          </cell>
        </row>
        <row r="929">
          <cell r="A929" t="str">
            <v>60003_1</v>
          </cell>
        </row>
        <row r="930">
          <cell r="A930" t="str">
            <v>60003_2</v>
          </cell>
        </row>
        <row r="931">
          <cell r="A931" t="str">
            <v>60003_3</v>
          </cell>
        </row>
        <row r="932">
          <cell r="A932" t="str">
            <v>60004_1</v>
          </cell>
        </row>
        <row r="933">
          <cell r="A933" t="str">
            <v>60005_1</v>
          </cell>
        </row>
        <row r="934">
          <cell r="A934" t="str">
            <v>60006_1</v>
          </cell>
        </row>
        <row r="935">
          <cell r="A935" t="str">
            <v>60006_2</v>
          </cell>
        </row>
        <row r="936">
          <cell r="A936" t="str">
            <v>60006_3</v>
          </cell>
        </row>
        <row r="937">
          <cell r="A937" t="str">
            <v>60007_1</v>
          </cell>
        </row>
        <row r="938">
          <cell r="A938" t="str">
            <v>60007_2</v>
          </cell>
        </row>
        <row r="939">
          <cell r="A939" t="str">
            <v>60007_3</v>
          </cell>
        </row>
        <row r="940">
          <cell r="A940" t="str">
            <v>60010_1</v>
          </cell>
        </row>
        <row r="941">
          <cell r="A941" t="str">
            <v>60011_1</v>
          </cell>
        </row>
        <row r="942">
          <cell r="A942" t="str">
            <v>60011_2</v>
          </cell>
        </row>
        <row r="943">
          <cell r="A943" t="str">
            <v>60012_1</v>
          </cell>
        </row>
        <row r="944">
          <cell r="A944" t="str">
            <v>60013_1</v>
          </cell>
        </row>
        <row r="945">
          <cell r="A945" t="str">
            <v>60013_2</v>
          </cell>
        </row>
        <row r="946">
          <cell r="A946" t="str">
            <v>60013_3</v>
          </cell>
        </row>
        <row r="947">
          <cell r="A947" t="str">
            <v>60014_1</v>
          </cell>
        </row>
        <row r="948">
          <cell r="A948" t="str">
            <v>60015_1</v>
          </cell>
        </row>
        <row r="949">
          <cell r="A949" t="str">
            <v>60016_1</v>
          </cell>
        </row>
        <row r="950">
          <cell r="A950" t="str">
            <v>60017_1</v>
          </cell>
        </row>
        <row r="951">
          <cell r="A951" t="str">
            <v>60018_1</v>
          </cell>
        </row>
        <row r="952">
          <cell r="A952" t="str">
            <v>60019_1</v>
          </cell>
        </row>
        <row r="953">
          <cell r="A953" t="str">
            <v>60020_1</v>
          </cell>
        </row>
        <row r="954">
          <cell r="A954" t="str">
            <v>60021_3</v>
          </cell>
        </row>
        <row r="955">
          <cell r="A955" t="str">
            <v>60022_3</v>
          </cell>
        </row>
        <row r="956">
          <cell r="A956" t="str">
            <v>60023_3</v>
          </cell>
        </row>
        <row r="957">
          <cell r="A957" t="str">
            <v>60024_3</v>
          </cell>
        </row>
        <row r="958">
          <cell r="A958" t="str">
            <v>60025_1</v>
          </cell>
        </row>
        <row r="959">
          <cell r="A959" t="str">
            <v>60026_1</v>
          </cell>
        </row>
        <row r="960">
          <cell r="A960" t="str">
            <v>61011_1</v>
          </cell>
        </row>
        <row r="961">
          <cell r="A961" t="str">
            <v>60027_1</v>
          </cell>
        </row>
        <row r="962">
          <cell r="A962" t="str">
            <v>60028_1</v>
          </cell>
        </row>
        <row r="963">
          <cell r="A963" t="str">
            <v>65525_1</v>
          </cell>
        </row>
        <row r="964">
          <cell r="A964" t="str">
            <v>65526_1</v>
          </cell>
        </row>
        <row r="965">
          <cell r="A965" t="str">
            <v>65526_2</v>
          </cell>
        </row>
        <row r="966">
          <cell r="A966" t="str">
            <v>65527_1</v>
          </cell>
        </row>
        <row r="967">
          <cell r="A967" t="str">
            <v>65528_1</v>
          </cell>
        </row>
        <row r="968">
          <cell r="A968" t="str">
            <v>65529_1</v>
          </cell>
        </row>
        <row r="969">
          <cell r="A969" t="str">
            <v>65530_1</v>
          </cell>
        </row>
        <row r="970">
          <cell r="A970" t="str">
            <v>65531_1</v>
          </cell>
        </row>
        <row r="971">
          <cell r="A971" t="str">
            <v>65531_2</v>
          </cell>
        </row>
        <row r="972">
          <cell r="A972" t="str">
            <v>65532_1</v>
          </cell>
        </row>
        <row r="973">
          <cell r="A973" t="str">
            <v>65532_2</v>
          </cell>
        </row>
        <row r="974">
          <cell r="A974" t="str">
            <v>65533_1</v>
          </cell>
        </row>
        <row r="975">
          <cell r="A975" t="str">
            <v>65533_2</v>
          </cell>
        </row>
        <row r="976">
          <cell r="A976" t="str">
            <v>65534_1</v>
          </cell>
        </row>
        <row r="977">
          <cell r="A977" t="str">
            <v>65534_2</v>
          </cell>
        </row>
        <row r="978">
          <cell r="A978" t="str">
            <v>65535_1</v>
          </cell>
        </row>
        <row r="979">
          <cell r="A979" t="str">
            <v>65535_2</v>
          </cell>
        </row>
        <row r="980">
          <cell r="A980" t="str">
            <v>65535_3</v>
          </cell>
        </row>
        <row r="981">
          <cell r="A981" t="str">
            <v>65535_4</v>
          </cell>
        </row>
        <row r="982">
          <cell r="A982" t="str">
            <v>65535_5</v>
          </cell>
        </row>
        <row r="983">
          <cell r="A983" t="str">
            <v>65535_6</v>
          </cell>
        </row>
        <row r="984">
          <cell r="A984" t="str">
            <v>65535_7</v>
          </cell>
        </row>
        <row r="985">
          <cell r="A985" t="str">
            <v>65535_8</v>
          </cell>
        </row>
        <row r="986">
          <cell r="A986" t="str">
            <v>65535_9</v>
          </cell>
        </row>
        <row r="987">
          <cell r="A98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5" sqref="B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3" t="s">
        <v>128</v>
      </c>
      <c r="B1" s="48" t="s">
        <v>99</v>
      </c>
      <c r="C1" s="48" t="s">
        <v>100</v>
      </c>
      <c r="D1" s="48" t="s">
        <v>101</v>
      </c>
      <c r="E1" s="48" t="s">
        <v>102</v>
      </c>
      <c r="F1" s="48" t="s">
        <v>103</v>
      </c>
      <c r="G1" s="48" t="s">
        <v>104</v>
      </c>
      <c r="H1" s="48"/>
      <c r="I1" s="48"/>
      <c r="J1" s="48"/>
      <c r="K1" s="48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</row>
    <row r="2" spans="1:30" x14ac:dyDescent="0.15">
      <c r="A2" s="54" t="s">
        <v>339</v>
      </c>
      <c r="B2" s="50" t="s">
        <v>105</v>
      </c>
      <c r="C2" s="121">
        <v>48701</v>
      </c>
      <c r="D2" s="50" t="s">
        <v>106</v>
      </c>
      <c r="E2" s="49" t="str">
        <f>B2&amp;C2&amp;D2</f>
        <v>floors_48701.tmp</v>
      </c>
      <c r="F2" s="50" t="s">
        <v>107</v>
      </c>
      <c r="G2" s="51" t="s">
        <v>0</v>
      </c>
      <c r="H2" s="51" t="s">
        <v>1</v>
      </c>
      <c r="I2" s="51" t="s">
        <v>13</v>
      </c>
      <c r="J2" s="51" t="s">
        <v>14</v>
      </c>
      <c r="K2" s="51" t="s">
        <v>15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</row>
    <row r="3" spans="1:30" x14ac:dyDescent="0.15">
      <c r="A3" s="54" t="s">
        <v>339</v>
      </c>
      <c r="B3" s="50" t="s">
        <v>108</v>
      </c>
      <c r="C3" s="121">
        <v>48701</v>
      </c>
      <c r="D3" s="50" t="s">
        <v>106</v>
      </c>
      <c r="E3" s="49" t="str">
        <f>B3&amp;C3&amp;D3</f>
        <v>enemy_habitats_48701.tmp</v>
      </c>
      <c r="F3" s="50" t="s">
        <v>109</v>
      </c>
      <c r="G3" s="51" t="s">
        <v>0</v>
      </c>
      <c r="H3" s="51" t="s">
        <v>1</v>
      </c>
      <c r="I3" s="51" t="s">
        <v>13</v>
      </c>
      <c r="J3" s="51" t="s">
        <v>2</v>
      </c>
      <c r="K3" s="51" t="s">
        <v>3</v>
      </c>
      <c r="L3" s="51" t="s">
        <v>47</v>
      </c>
      <c r="M3" s="51" t="s">
        <v>49</v>
      </c>
      <c r="N3" s="51" t="s">
        <v>51</v>
      </c>
      <c r="O3" s="51" t="s">
        <v>22</v>
      </c>
      <c r="P3" s="51" t="s">
        <v>5</v>
      </c>
      <c r="Q3" s="51" t="s">
        <v>6</v>
      </c>
      <c r="R3" s="51" t="s">
        <v>7</v>
      </c>
      <c r="S3" s="51" t="s">
        <v>8</v>
      </c>
      <c r="T3" s="51" t="s">
        <v>9</v>
      </c>
      <c r="U3" s="51" t="s">
        <v>10</v>
      </c>
      <c r="V3" s="51" t="s">
        <v>11</v>
      </c>
      <c r="W3" s="51" t="s">
        <v>12</v>
      </c>
      <c r="X3" s="51" t="s">
        <v>37</v>
      </c>
      <c r="Y3" s="51" t="s">
        <v>39</v>
      </c>
      <c r="Z3" s="51" t="s">
        <v>41</v>
      </c>
      <c r="AA3" s="51" t="s">
        <v>43</v>
      </c>
      <c r="AB3" s="51" t="s">
        <v>45</v>
      </c>
      <c r="AC3" s="51" t="s">
        <v>54</v>
      </c>
      <c r="AD3" s="51" t="s">
        <v>175</v>
      </c>
    </row>
    <row r="4" spans="1:30" x14ac:dyDescent="0.15">
      <c r="A4" s="54" t="s">
        <v>339</v>
      </c>
      <c r="B4" s="50" t="s">
        <v>110</v>
      </c>
      <c r="C4" s="121">
        <v>48701</v>
      </c>
      <c r="D4" s="50" t="s">
        <v>106</v>
      </c>
      <c r="E4" s="49" t="str">
        <f>B4&amp;C4&amp;D4</f>
        <v>enemy_habitat_S_48701.tmp</v>
      </c>
      <c r="F4" s="50" t="s">
        <v>111</v>
      </c>
      <c r="G4" s="51" t="s">
        <v>0</v>
      </c>
      <c r="H4" s="51" t="s">
        <v>1</v>
      </c>
      <c r="I4" s="51" t="s">
        <v>13</v>
      </c>
      <c r="J4" s="51" t="s">
        <v>54</v>
      </c>
      <c r="K4" s="51" t="s">
        <v>55</v>
      </c>
      <c r="L4" s="51" t="s">
        <v>56</v>
      </c>
      <c r="M4" s="51" t="s">
        <v>57</v>
      </c>
      <c r="N4" s="51" t="s">
        <v>58</v>
      </c>
      <c r="O4" s="51" t="s">
        <v>59</v>
      </c>
      <c r="P4" s="51" t="s">
        <v>48</v>
      </c>
      <c r="Q4" s="51" t="s">
        <v>50</v>
      </c>
      <c r="R4" s="51" t="s">
        <v>52</v>
      </c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</row>
    <row r="5" spans="1:30" x14ac:dyDescent="0.15">
      <c r="A5" s="54" t="s">
        <v>339</v>
      </c>
      <c r="B5" s="50" t="s">
        <v>112</v>
      </c>
      <c r="C5" s="121">
        <v>48701</v>
      </c>
      <c r="D5" s="50" t="s">
        <v>106</v>
      </c>
      <c r="E5" s="49" t="str">
        <f>B5&amp;C5&amp;D5</f>
        <v>enemy_skill_sets_48701.tmp</v>
      </c>
      <c r="F5" s="50" t="s">
        <v>113</v>
      </c>
      <c r="G5" s="52" t="s">
        <v>22</v>
      </c>
      <c r="H5" s="52" t="s">
        <v>98</v>
      </c>
      <c r="I5" s="52" t="s">
        <v>93</v>
      </c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</row>
    <row r="6" spans="1:30" x14ac:dyDescent="0.15">
      <c r="A6" s="54" t="s">
        <v>339</v>
      </c>
      <c r="B6" s="50" t="s">
        <v>114</v>
      </c>
      <c r="C6" s="121">
        <v>48701</v>
      </c>
      <c r="D6" s="50" t="s">
        <v>115</v>
      </c>
      <c r="E6" s="49" t="str">
        <f t="shared" ref="E6:E10" si="0">B6&amp;C6&amp;D6</f>
        <v>enemy_skills_tmp_48701.tmp</v>
      </c>
      <c r="F6" s="50" t="s">
        <v>89</v>
      </c>
      <c r="G6" s="51" t="s">
        <v>79</v>
      </c>
      <c r="H6" s="51" t="s">
        <v>80</v>
      </c>
      <c r="I6" s="51" t="s">
        <v>81</v>
      </c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</row>
    <row r="7" spans="1:30" x14ac:dyDescent="0.15">
      <c r="A7" s="54" t="s">
        <v>339</v>
      </c>
      <c r="B7" s="50" t="s">
        <v>116</v>
      </c>
      <c r="C7" s="121">
        <v>48701</v>
      </c>
      <c r="D7" s="50" t="s">
        <v>106</v>
      </c>
      <c r="E7" s="49" t="str">
        <f>B7&amp;C7&amp;D7</f>
        <v>enemy_skills_i18n_48701.tmp</v>
      </c>
      <c r="F7" s="50" t="s">
        <v>117</v>
      </c>
      <c r="G7" s="51" t="s">
        <v>79</v>
      </c>
      <c r="H7" s="51" t="s">
        <v>90</v>
      </c>
      <c r="I7" s="51" t="s">
        <v>91</v>
      </c>
      <c r="J7" s="51" t="s">
        <v>92</v>
      </c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</row>
    <row r="8" spans="1:30" x14ac:dyDescent="0.15">
      <c r="A8" s="54" t="s">
        <v>339</v>
      </c>
      <c r="B8" s="50" t="s">
        <v>118</v>
      </c>
      <c r="C8" s="121">
        <v>48701</v>
      </c>
      <c r="D8" s="50" t="s">
        <v>119</v>
      </c>
      <c r="E8" s="49" t="str">
        <f t="shared" si="0"/>
        <v>enemy_skill_triggers_48701.tmp</v>
      </c>
      <c r="F8" s="50" t="s">
        <v>120</v>
      </c>
      <c r="G8" s="51" t="s">
        <v>93</v>
      </c>
      <c r="H8" s="51" t="s">
        <v>94</v>
      </c>
      <c r="I8" s="51" t="s">
        <v>95</v>
      </c>
      <c r="J8" s="51" t="s">
        <v>96</v>
      </c>
      <c r="K8" s="51" t="s">
        <v>121</v>
      </c>
      <c r="L8" s="51" t="s">
        <v>97</v>
      </c>
      <c r="M8" s="51" t="s">
        <v>122</v>
      </c>
      <c r="N8" s="51" t="s">
        <v>123</v>
      </c>
      <c r="O8" s="51" t="s">
        <v>124</v>
      </c>
      <c r="P8" s="51" t="s">
        <v>67</v>
      </c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</row>
    <row r="9" spans="1:30" x14ac:dyDescent="0.15">
      <c r="A9" s="54" t="s">
        <v>339</v>
      </c>
      <c r="B9" s="59" t="s">
        <v>174</v>
      </c>
      <c r="C9" s="121">
        <v>48701</v>
      </c>
      <c r="D9" s="59" t="s">
        <v>168</v>
      </c>
      <c r="E9" s="60" t="str">
        <f t="shared" si="0"/>
        <v>stage_bug_bonuses_48701.tmp</v>
      </c>
      <c r="F9" s="59" t="s">
        <v>169</v>
      </c>
      <c r="G9" s="56" t="s">
        <v>148</v>
      </c>
      <c r="H9" s="56" t="s">
        <v>170</v>
      </c>
      <c r="I9" s="56" t="s">
        <v>171</v>
      </c>
      <c r="J9" s="58" t="s">
        <v>172</v>
      </c>
      <c r="K9" s="56" t="s">
        <v>173</v>
      </c>
      <c r="L9" s="56" t="s">
        <v>154</v>
      </c>
      <c r="M9" s="56" t="s">
        <v>155</v>
      </c>
      <c r="N9" s="56" t="s">
        <v>156</v>
      </c>
      <c r="O9" s="56" t="s">
        <v>157</v>
      </c>
      <c r="P9" s="56" t="s">
        <v>158</v>
      </c>
      <c r="Q9" s="56" t="s">
        <v>159</v>
      </c>
      <c r="R9" s="56" t="s">
        <v>160</v>
      </c>
      <c r="S9" s="56" t="s">
        <v>161</v>
      </c>
      <c r="T9" s="56" t="s">
        <v>162</v>
      </c>
      <c r="U9" s="56" t="s">
        <v>163</v>
      </c>
      <c r="V9" s="56" t="s">
        <v>164</v>
      </c>
      <c r="W9" s="56" t="s">
        <v>165</v>
      </c>
      <c r="X9" s="50"/>
      <c r="Y9" s="50"/>
      <c r="Z9" s="50"/>
      <c r="AA9" s="50"/>
      <c r="AB9" s="50"/>
      <c r="AC9" s="50"/>
      <c r="AD9" s="50"/>
    </row>
    <row r="10" spans="1:30" s="66" customFormat="1" x14ac:dyDescent="0.15">
      <c r="A10" s="54" t="s">
        <v>399</v>
      </c>
      <c r="B10" s="59" t="s">
        <v>197</v>
      </c>
      <c r="C10" s="121">
        <v>48701</v>
      </c>
      <c r="D10" s="59" t="s">
        <v>177</v>
      </c>
      <c r="E10" s="60" t="str">
        <f t="shared" si="0"/>
        <v>stage_hints_data_c_48701.tmp</v>
      </c>
      <c r="F10" s="59" t="s">
        <v>205</v>
      </c>
      <c r="G10" s="64" t="s">
        <v>178</v>
      </c>
      <c r="H10" s="64" t="s">
        <v>170</v>
      </c>
      <c r="I10" s="65" t="s">
        <v>179</v>
      </c>
      <c r="J10" s="58" t="s">
        <v>180</v>
      </c>
      <c r="K10" s="58" t="s">
        <v>181</v>
      </c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</row>
    <row r="11" spans="1:30" s="66" customFormat="1" x14ac:dyDescent="0.15">
      <c r="A11" s="54" t="s">
        <v>339</v>
      </c>
      <c r="B11" s="59" t="s">
        <v>198</v>
      </c>
      <c r="C11" s="121">
        <v>48701</v>
      </c>
      <c r="D11" s="59" t="s">
        <v>168</v>
      </c>
      <c r="E11" s="60" t="str">
        <f t="shared" ref="E11:E13" si="1">B11&amp;C11&amp;D11</f>
        <v>stage_hints_data_f_48701.tmp</v>
      </c>
      <c r="F11" s="59" t="s">
        <v>206</v>
      </c>
      <c r="G11" s="64" t="s">
        <v>178</v>
      </c>
      <c r="H11" s="64" t="s">
        <v>170</v>
      </c>
      <c r="I11" s="65" t="s">
        <v>179</v>
      </c>
      <c r="J11" s="58" t="s">
        <v>180</v>
      </c>
      <c r="K11" s="58" t="s">
        <v>181</v>
      </c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</row>
    <row r="12" spans="1:30" s="66" customFormat="1" x14ac:dyDescent="0.15">
      <c r="A12" s="54" t="s">
        <v>339</v>
      </c>
      <c r="B12" s="59" t="s">
        <v>199</v>
      </c>
      <c r="C12" s="121">
        <v>48701</v>
      </c>
      <c r="D12" s="59" t="s">
        <v>168</v>
      </c>
      <c r="E12" s="60" t="str">
        <f t="shared" si="1"/>
        <v>stage_hints_i18n_48701.tmp</v>
      </c>
      <c r="F12" s="59" t="s">
        <v>207</v>
      </c>
      <c r="G12" s="65" t="s">
        <v>200</v>
      </c>
      <c r="H12" s="84" t="s">
        <v>201</v>
      </c>
      <c r="I12" s="64" t="s">
        <v>202</v>
      </c>
      <c r="J12" s="92" t="s">
        <v>203</v>
      </c>
      <c r="K12" s="58" t="s">
        <v>204</v>
      </c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</row>
    <row r="13" spans="1:30" s="66" customFormat="1" x14ac:dyDescent="0.15">
      <c r="A13" s="54" t="s">
        <v>339</v>
      </c>
      <c r="B13" s="59" t="s">
        <v>245</v>
      </c>
      <c r="C13" s="121">
        <v>48701</v>
      </c>
      <c r="D13" s="59" t="s">
        <v>226</v>
      </c>
      <c r="E13" s="60" t="str">
        <f t="shared" si="1"/>
        <v>stage_bonuses_48701.tmp</v>
      </c>
      <c r="F13" s="59" t="s">
        <v>225</v>
      </c>
      <c r="G13" s="64" t="s">
        <v>227</v>
      </c>
      <c r="H13" s="64" t="s">
        <v>228</v>
      </c>
      <c r="I13" s="64" t="s">
        <v>229</v>
      </c>
      <c r="J13" s="64" t="s">
        <v>230</v>
      </c>
      <c r="K13" s="64" t="s">
        <v>231</v>
      </c>
      <c r="L13" s="64" t="s">
        <v>232</v>
      </c>
      <c r="M13" s="64" t="s">
        <v>233</v>
      </c>
      <c r="N13" s="64" t="s">
        <v>234</v>
      </c>
      <c r="O13" s="64" t="s">
        <v>235</v>
      </c>
      <c r="P13" s="64" t="s">
        <v>236</v>
      </c>
      <c r="Q13" s="64" t="s">
        <v>237</v>
      </c>
      <c r="R13" s="64" t="s">
        <v>238</v>
      </c>
      <c r="S13" s="64" t="s">
        <v>239</v>
      </c>
      <c r="T13" s="64" t="s">
        <v>240</v>
      </c>
      <c r="U13" s="64" t="s">
        <v>241</v>
      </c>
      <c r="V13" s="64" t="s">
        <v>242</v>
      </c>
      <c r="W13" s="64" t="s">
        <v>243</v>
      </c>
      <c r="X13" s="64" t="s">
        <v>244</v>
      </c>
      <c r="Y13" s="91"/>
      <c r="Z13" s="91"/>
      <c r="AA13" s="91"/>
      <c r="AB13" s="91"/>
      <c r="AC13" s="91"/>
      <c r="AD13" s="9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L11" sqref="L11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0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48701_1-1</v>
      </c>
      <c r="B2" s="15" t="str">
        <f>IF(COUNTIF(enemy_habitats!$H:$H,A2),"OK","NG")</f>
        <v>OK</v>
      </c>
      <c r="C2" s="99">
        <v>48701</v>
      </c>
      <c r="D2" s="11" t="str">
        <f ca="1">VLOOKUP($C2,OFFSET([2]quests!$A$1,0,0,COUNTA([2]quests!$A:$A),MATCH(D$1,[2]quests!$1:$1,0)-MATCH($C$1,[2]quests!$1:$1,0)+1),MATCH(D$1,[2]quests!$1:$1,0)-MATCH($C$1,[2]quests!$1:$1,0)+1,FALSE)</f>
        <v>M.Dragon襲来！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韓国版降臨1</v>
      </c>
      <c r="F2" s="19">
        <v>1</v>
      </c>
      <c r="G2" s="20" t="str">
        <f>C2&amp;"_"&amp;F2</f>
        <v>48701_1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【超絶級】M.Dragon襲来</v>
      </c>
      <c r="I2" s="19">
        <v>1</v>
      </c>
      <c r="J2" s="12">
        <v>55</v>
      </c>
      <c r="K2" s="12">
        <v>55</v>
      </c>
    </row>
    <row r="3" spans="1:11" ht="21" customHeight="1" x14ac:dyDescent="0.15">
      <c r="A3" s="15" t="str">
        <f>G3&amp;"-"&amp;I3</f>
        <v>48701_1-2</v>
      </c>
      <c r="B3" s="15" t="str">
        <f>IF(COUNTIF(enemy_habitats!$H:$H,A3),"OK","NG")</f>
        <v>OK</v>
      </c>
      <c r="C3" s="99">
        <v>48701</v>
      </c>
      <c r="D3" s="11" t="str">
        <f ca="1">VLOOKUP($C3,OFFSET([2]quests!$A$1,0,0,COUNTA([2]quests!$A:$A),MATCH(D$1,[2]quests!$1:$1,0)-MATCH($C$1,[2]quests!$1:$1,0)+1),MATCH(D$1,[2]quests!$1:$1,0)-MATCH($C$1,[2]quests!$1:$1,0)+1,FALSE)</f>
        <v>M.Dragon襲来！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韓国版降臨1</v>
      </c>
      <c r="F3" s="19">
        <v>1</v>
      </c>
      <c r="G3" s="20" t="str">
        <f>C3&amp;"_"&amp;F3</f>
        <v>48701_1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【超絶級】M.Dragon襲来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>G4&amp;"-"&amp;I4</f>
        <v>48701_1-3</v>
      </c>
      <c r="B4" s="15" t="str">
        <f>IF(COUNTIF(enemy_habitats!$H:$H,A4),"OK","NG")</f>
        <v>OK</v>
      </c>
      <c r="C4" s="99">
        <v>48701</v>
      </c>
      <c r="D4" s="11" t="str">
        <f ca="1">VLOOKUP($C4,OFFSET([2]quests!$A$1,0,0,COUNTA([2]quests!$A:$A),MATCH(D$1,[2]quests!$1:$1,0)-MATCH($C$1,[2]quests!$1:$1,0)+1),MATCH(D$1,[2]quests!$1:$1,0)-MATCH($C$1,[2]quests!$1:$1,0)+1,FALSE)</f>
        <v>M.Dragon襲来！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韓国版降臨1</v>
      </c>
      <c r="F4" s="19">
        <v>1</v>
      </c>
      <c r="G4" s="20" t="str">
        <f>C4&amp;"_"&amp;F4</f>
        <v>48701_1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【超絶級】M.Dragon襲来</v>
      </c>
      <c r="I4" s="19">
        <v>3</v>
      </c>
      <c r="J4" s="12">
        <v>60</v>
      </c>
      <c r="K4" s="12">
        <v>60</v>
      </c>
    </row>
    <row r="5" spans="1:11" ht="21" customHeight="1" x14ac:dyDescent="0.15">
      <c r="A5" s="15" t="str">
        <f>G5&amp;"-"&amp;I5</f>
        <v>48701_1-4</v>
      </c>
      <c r="B5" s="15" t="str">
        <f>IF(COUNTIF(enemy_habitats!$H:$H,A5),"OK","NG")</f>
        <v>OK</v>
      </c>
      <c r="C5" s="99">
        <v>48701</v>
      </c>
      <c r="D5" s="11" t="str">
        <f ca="1">VLOOKUP($C5,OFFSET([2]quests!$A$1,0,0,COUNTA([2]quests!$A:$A),MATCH(D$1,[2]quests!$1:$1,0)-MATCH($C$1,[2]quests!$1:$1,0)+1),MATCH(D$1,[2]quests!$1:$1,0)-MATCH($C$1,[2]quests!$1:$1,0)+1,FALSE)</f>
        <v>M.Dragon襲来！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韓国版降臨1</v>
      </c>
      <c r="F5" s="19">
        <v>1</v>
      </c>
      <c r="G5" s="20" t="str">
        <f>C5&amp;"_"&amp;F5</f>
        <v>48701_1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【超絶級】M.Dragon襲来</v>
      </c>
      <c r="I5" s="19">
        <v>4</v>
      </c>
      <c r="J5" s="12">
        <v>60</v>
      </c>
      <c r="K5" s="12">
        <v>60</v>
      </c>
    </row>
    <row r="6" spans="1:11" ht="21" customHeight="1" x14ac:dyDescent="0.15">
      <c r="A6" s="15" t="str">
        <f t="shared" ref="A6:A9" si="0">G6&amp;"-"&amp;I6</f>
        <v>48701_2-1</v>
      </c>
      <c r="B6" s="15" t="str">
        <f>IF(COUNTIF(enemy_habitats!$H:$H,A6),"OK","NG")</f>
        <v>OK</v>
      </c>
      <c r="C6" s="99">
        <v>48701</v>
      </c>
      <c r="D6" s="11" t="str">
        <f ca="1">VLOOKUP($C6,OFFSET([2]quests!$A$1,0,0,COUNTA([2]quests!$A:$A),MATCH(D$1,[2]quests!$1:$1,0)-MATCH($C$1,[2]quests!$1:$1,0)+1),MATCH(D$1,[2]quests!$1:$1,0)-MATCH($C$1,[2]quests!$1:$1,0)+1,FALSE)</f>
        <v>M.Dragon襲来！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韓国版降臨1</v>
      </c>
      <c r="F6" s="19">
        <v>2</v>
      </c>
      <c r="G6" s="20" t="str">
        <f t="shared" ref="G6:G9" si="1">C6&amp;"_"&amp;F6</f>
        <v>48701_2</v>
      </c>
      <c r="H6" s="14" t="str">
        <f ca="1">VLOOKUP($G6,OFFSET([2]stages!$A$1,0,0,COUNTA([2]stages!$A:$A),MATCH(H$1,[2]stages!$2:$2,0)-MATCH($G$1,[2]stages!$2:$2,0)+1),MATCH(H$1,[2]stages!$2:$2,0)-MATCH($G$1,[2]stages!$2:$2,0)+1,FALSE)</f>
        <v>【ウィザード級】M.Dragon襲来</v>
      </c>
      <c r="I6" s="19">
        <v>1</v>
      </c>
      <c r="J6" s="12">
        <v>55</v>
      </c>
      <c r="K6" s="12">
        <v>55</v>
      </c>
    </row>
    <row r="7" spans="1:11" ht="21" customHeight="1" x14ac:dyDescent="0.15">
      <c r="A7" s="15" t="str">
        <f t="shared" si="0"/>
        <v>48701_2-2</v>
      </c>
      <c r="B7" s="15" t="str">
        <f>IF(COUNTIF(enemy_habitats!$H:$H,A7),"OK","NG")</f>
        <v>OK</v>
      </c>
      <c r="C7" s="99">
        <v>48701</v>
      </c>
      <c r="D7" s="11" t="str">
        <f ca="1">VLOOKUP($C7,OFFSET([2]quests!$A$1,0,0,COUNTA([2]quests!$A:$A),MATCH(D$1,[2]quests!$1:$1,0)-MATCH($C$1,[2]quests!$1:$1,0)+1),MATCH(D$1,[2]quests!$1:$1,0)-MATCH($C$1,[2]quests!$1:$1,0)+1,FALSE)</f>
        <v>M.Dragon襲来！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韓国版降臨1</v>
      </c>
      <c r="F7" s="19">
        <v>2</v>
      </c>
      <c r="G7" s="20" t="str">
        <f t="shared" si="1"/>
        <v>48701_2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【ウィザード級】M.Dragon襲来</v>
      </c>
      <c r="I7" s="19">
        <v>2</v>
      </c>
      <c r="J7" s="12">
        <v>60</v>
      </c>
      <c r="K7" s="12">
        <v>60</v>
      </c>
    </row>
    <row r="8" spans="1:11" ht="21" customHeight="1" x14ac:dyDescent="0.15">
      <c r="A8" s="15" t="str">
        <f t="shared" si="0"/>
        <v>48701_2-3</v>
      </c>
      <c r="B8" s="15" t="str">
        <f>IF(COUNTIF(enemy_habitats!$H:$H,A8),"OK","NG")</f>
        <v>OK</v>
      </c>
      <c r="C8" s="99">
        <v>48701</v>
      </c>
      <c r="D8" s="11" t="str">
        <f ca="1">VLOOKUP($C8,OFFSET([2]quests!$A$1,0,0,COUNTA([2]quests!$A:$A),MATCH(D$1,[2]quests!$1:$1,0)-MATCH($C$1,[2]quests!$1:$1,0)+1),MATCH(D$1,[2]quests!$1:$1,0)-MATCH($C$1,[2]quests!$1:$1,0)+1,FALSE)</f>
        <v>M.Dragon襲来！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韓国版降臨1</v>
      </c>
      <c r="F8" s="19">
        <v>2</v>
      </c>
      <c r="G8" s="20" t="str">
        <f t="shared" si="1"/>
        <v>48701_2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【ウィザード級】M.Dragon襲来</v>
      </c>
      <c r="I8" s="19">
        <v>3</v>
      </c>
      <c r="J8" s="12">
        <v>60</v>
      </c>
      <c r="K8" s="12">
        <v>60</v>
      </c>
    </row>
    <row r="9" spans="1:11" ht="21" customHeight="1" x14ac:dyDescent="0.15">
      <c r="A9" s="15" t="str">
        <f t="shared" si="0"/>
        <v>48701_2-4</v>
      </c>
      <c r="B9" s="15" t="str">
        <f>IF(COUNTIF(enemy_habitats!$H:$H,A9),"OK","NG")</f>
        <v>OK</v>
      </c>
      <c r="C9" s="99">
        <v>48701</v>
      </c>
      <c r="D9" s="11" t="str">
        <f ca="1">VLOOKUP($C9,OFFSET([2]quests!$A$1,0,0,COUNTA([2]quests!$A:$A),MATCH(D$1,[2]quests!$1:$1,0)-MATCH($C$1,[2]quests!$1:$1,0)+1),MATCH(D$1,[2]quests!$1:$1,0)-MATCH($C$1,[2]quests!$1:$1,0)+1,FALSE)</f>
        <v>M.Dragon襲来！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韓国版降臨1</v>
      </c>
      <c r="F9" s="19">
        <v>2</v>
      </c>
      <c r="G9" s="20" t="str">
        <f t="shared" si="1"/>
        <v>48701_2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【ウィザード級】M.Dragon襲来</v>
      </c>
      <c r="I9" s="19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2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A15" sqref="AA15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6.83203125" style="3" customWidth="1"/>
    <col min="20" max="20" width="7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98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20</v>
      </c>
      <c r="F1" s="27" t="s">
        <v>20</v>
      </c>
      <c r="G1" s="25" t="s">
        <v>19</v>
      </c>
      <c r="H1" s="26" t="s">
        <v>35</v>
      </c>
      <c r="I1" s="26" t="s">
        <v>14</v>
      </c>
      <c r="J1" s="26" t="s">
        <v>15</v>
      </c>
      <c r="K1" s="33" t="s">
        <v>54</v>
      </c>
      <c r="L1" s="34" t="s">
        <v>2</v>
      </c>
      <c r="M1" s="28" t="s">
        <v>21</v>
      </c>
      <c r="N1" s="26" t="s">
        <v>24</v>
      </c>
      <c r="O1" s="26" t="s">
        <v>23</v>
      </c>
      <c r="P1" s="29" t="s">
        <v>26</v>
      </c>
      <c r="Q1" s="27" t="s">
        <v>25</v>
      </c>
      <c r="R1" s="25" t="s">
        <v>3</v>
      </c>
      <c r="S1" s="23" t="s">
        <v>48</v>
      </c>
      <c r="T1" s="93" t="s">
        <v>246</v>
      </c>
      <c r="U1" s="23" t="s">
        <v>50</v>
      </c>
      <c r="V1" s="93" t="s">
        <v>247</v>
      </c>
      <c r="W1" s="23" t="s">
        <v>52</v>
      </c>
      <c r="X1" s="26" t="s">
        <v>31</v>
      </c>
      <c r="Y1" s="25" t="s">
        <v>4</v>
      </c>
      <c r="Z1" s="25" t="s">
        <v>5</v>
      </c>
      <c r="AA1" s="25" t="s">
        <v>6</v>
      </c>
      <c r="AB1" s="25" t="s">
        <v>7</v>
      </c>
      <c r="AC1" s="25" t="s">
        <v>8</v>
      </c>
      <c r="AD1" s="30" t="s">
        <v>9</v>
      </c>
      <c r="AE1" s="31" t="s">
        <v>16</v>
      </c>
      <c r="AF1" s="31" t="s">
        <v>17</v>
      </c>
      <c r="AG1" s="31" t="s">
        <v>27</v>
      </c>
      <c r="AH1" s="30" t="s">
        <v>10</v>
      </c>
      <c r="AI1" s="25" t="s">
        <v>11</v>
      </c>
      <c r="AJ1" s="25" t="s">
        <v>12</v>
      </c>
      <c r="AK1" s="25" t="s">
        <v>38</v>
      </c>
      <c r="AL1" s="25" t="s">
        <v>40</v>
      </c>
      <c r="AM1" s="25" t="s">
        <v>42</v>
      </c>
      <c r="AN1" s="25" t="s">
        <v>44</v>
      </c>
      <c r="AO1" s="25" t="s">
        <v>46</v>
      </c>
      <c r="AP1" s="33" t="s">
        <v>176</v>
      </c>
    </row>
    <row r="2" spans="1:42" ht="21" customHeight="1" x14ac:dyDescent="0.15">
      <c r="A2" s="15" t="str">
        <f t="shared" ref="A2" si="0">B2&amp;"_"&amp;C2&amp;"-"&amp;G2&amp;"/"&amp;L2&amp;"&lt;lv"&amp;R2&amp;"&gt;s"&amp;AC2</f>
        <v>48701_1-1/156&lt;lv40&gt;s1</v>
      </c>
      <c r="B2" s="99">
        <v>48701</v>
      </c>
      <c r="C2" s="19">
        <v>1</v>
      </c>
      <c r="D2" s="2" t="str">
        <f>B2&amp;"_"&amp;C2</f>
        <v>48701_1</v>
      </c>
      <c r="E2" s="4" t="str">
        <f ca="1">VLOOKUP($B2,OFFSET([2]quests!$A$1,0,0,COUNTA([2]quests!$A:$A),MATCH(E$1,[2]quests!$1:$1,0)-MATCH($B$1,[2]quests!$1:$1,0)+1),MATCH(E$1,[2]quests!$1:$1,0)-MATCH($B$1,[2]quests!$1:$1,0)+1,FALSE)</f>
        <v>M.Dragon襲来！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【超絶級】M.Dragon襲来</v>
      </c>
      <c r="G2" s="19">
        <v>1</v>
      </c>
      <c r="H2" s="14" t="str">
        <f>B2&amp;"_"&amp;C2&amp;"-"&amp;G2</f>
        <v>48701_1-1</v>
      </c>
      <c r="I2" s="4">
        <f ca="1">VLOOKUP($H2,OFFSET(floors!$A$1,0,0,COUNTA(floors!$A:$A),MATCH(I$1,floors!$1:$1,0)-MATCH($H$1,floors!$1:$1,0)+1),MATCH(I$1,floors!$1:$1,0)-MATCH($H$1,floors!$1:$1,0)+1,FALSE)</f>
        <v>55</v>
      </c>
      <c r="J2" s="4">
        <f ca="1">VLOOKUP($H2,OFFSET(floors!$A$1,0,0,COUNTA(floors!$A:$A),MATCH(J$1,floors!$1:$1,0)-MATCH($H$1,floors!$1:$1,0)+1),MATCH(J$1,floors!$1:$1,0)-MATCH($H$1,floors!$1:$1,0)+1,FALSE)</f>
        <v>55</v>
      </c>
      <c r="K2" s="35" t="s">
        <v>53</v>
      </c>
      <c r="L2" s="97">
        <v>156</v>
      </c>
      <c r="M2" s="96" t="str">
        <f ca="1">VLOOKUP($L2,OFFSET([3]enemies!$A$1,0,0,COUNTA([3]enemies!$A:$A),MATCH(M$1,[3]enemies!$1:$1,0)-MATCH($L$1,[3]enemies!$1:$1,0)+1),MATCH(M$1,[3]enemies!$1:$1,0)-MATCH($L$1,[3]enemies!$1:$1,0)+1,FALSE)</f>
        <v>踊り子 エレナ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40</v>
      </c>
      <c r="S2" s="22">
        <v>0.8</v>
      </c>
      <c r="T2" s="9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26913.600000000002</v>
      </c>
      <c r="U2" s="22">
        <v>0.9</v>
      </c>
      <c r="V2" s="9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2727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2" s="100">
        <v>48701000</v>
      </c>
      <c r="Z2" s="6">
        <v>0</v>
      </c>
      <c r="AA2" s="6">
        <v>100</v>
      </c>
      <c r="AB2" s="6">
        <v>2</v>
      </c>
      <c r="AC2" s="95">
        <v>1</v>
      </c>
      <c r="AD2" s="21">
        <f t="shared" ref="AD2" si="1">L2</f>
        <v>156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踊り子 エレナ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1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1">
        <v>1</v>
      </c>
    </row>
    <row r="3" spans="1:42" ht="21" customHeight="1" x14ac:dyDescent="0.15">
      <c r="A3" s="15" t="str">
        <f t="shared" ref="A3:A4" si="2">B3&amp;"_"&amp;C3&amp;"-"&amp;G3&amp;"/"&amp;L3&amp;"&lt;lv"&amp;R3&amp;"&gt;s"&amp;AC3</f>
        <v>48701_1-1/16&lt;lv40&gt;s2</v>
      </c>
      <c r="B3" s="99">
        <v>48701</v>
      </c>
      <c r="C3" s="19">
        <v>1</v>
      </c>
      <c r="D3" s="2" t="str">
        <f t="shared" ref="D3" si="3">B3&amp;"_"&amp;C3</f>
        <v>48701_1</v>
      </c>
      <c r="E3" s="4" t="str">
        <f ca="1">VLOOKUP($B3,OFFSET([2]quests!$A$1,0,0,COUNTA([2]quests!$A:$A),MATCH(E$1,[2]quests!$1:$1,0)-MATCH($B$1,[2]quests!$1:$1,0)+1),MATCH(E$1,[2]quests!$1:$1,0)-MATCH($B$1,[2]quests!$1:$1,0)+1,FALSE)</f>
        <v>M.Dragon襲来！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【超絶級】M.Dragon襲来</v>
      </c>
      <c r="G3" s="19">
        <v>1</v>
      </c>
      <c r="H3" s="14" t="str">
        <f t="shared" ref="H3" si="4">B3&amp;"_"&amp;C3&amp;"-"&amp;G3</f>
        <v>48701_1-1</v>
      </c>
      <c r="I3" s="4">
        <f ca="1">VLOOKUP($H3,OFFSET(floors!$A$1,0,0,COUNTA(floors!$A:$A),MATCH(I$1,floors!$1:$1,0)-MATCH($H$1,floors!$1:$1,0)+1),MATCH(I$1,floors!$1:$1,0)-MATCH($H$1,floors!$1:$1,0)+1,FALSE)</f>
        <v>55</v>
      </c>
      <c r="J3" s="4">
        <f ca="1">VLOOKUP($H3,OFFSET(floors!$A$1,0,0,COUNTA(floors!$A:$A),MATCH(J$1,floors!$1:$1,0)-MATCH($H$1,floors!$1:$1,0)+1),MATCH(J$1,floors!$1:$1,0)-MATCH($H$1,floors!$1:$1,0)+1,FALSE)</f>
        <v>55</v>
      </c>
      <c r="K3" s="35" t="s">
        <v>53</v>
      </c>
      <c r="L3" s="97">
        <v>16</v>
      </c>
      <c r="M3" s="96" t="str">
        <f ca="1">VLOOKUP($L3,OFFSET([3]enemies!$A$1,0,0,COUNTA([3]enemies!$A:$A),MATCH(M$1,[3]enemies!$1:$1,0)-MATCH($L$1,[3]enemies!$1:$1,0)+1),MATCH(M$1,[3]enemies!$1:$1,0)-MATCH($L$1,[3]enemies!$1:$1,0)+1,FALSE)</f>
        <v>炎戦少女 アカネ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22">
        <v>3</v>
      </c>
      <c r="T3" s="9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23406</v>
      </c>
      <c r="U3" s="104">
        <v>0.9</v>
      </c>
      <c r="V3" s="9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2262.6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ファンクラブに勧誘された！</v>
      </c>
      <c r="Y3" s="100">
        <v>48701001</v>
      </c>
      <c r="Z3" s="6">
        <v>0</v>
      </c>
      <c r="AA3" s="6">
        <v>100</v>
      </c>
      <c r="AB3" s="6">
        <v>1</v>
      </c>
      <c r="AC3" s="95">
        <v>2</v>
      </c>
      <c r="AD3" s="21">
        <f t="shared" ref="AD3:AD4" si="5">L3</f>
        <v>16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炎戦少女 アカネ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1">
        <f t="shared" ref="AI3" ca="1" si="6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1">
        <v>1</v>
      </c>
    </row>
    <row r="4" spans="1:42" ht="21" customHeight="1" x14ac:dyDescent="0.15">
      <c r="A4" s="15" t="str">
        <f t="shared" si="2"/>
        <v>48701_1-1/126&lt;lv40&gt;s1</v>
      </c>
      <c r="B4" s="99">
        <v>48701</v>
      </c>
      <c r="C4" s="19">
        <v>1</v>
      </c>
      <c r="D4" s="2" t="str">
        <f>B4&amp;"_"&amp;C4</f>
        <v>48701_1</v>
      </c>
      <c r="E4" s="4" t="str">
        <f ca="1">VLOOKUP($B4,OFFSET([2]quests!$A$1,0,0,COUNTA([2]quests!$A:$A),MATCH(E$1,[2]quests!$1:$1,0)-MATCH($B$1,[2]quests!$1:$1,0)+1),MATCH(E$1,[2]quests!$1:$1,0)-MATCH($B$1,[2]quests!$1:$1,0)+1,FALSE)</f>
        <v>M.Dragon襲来！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【超絶級】M.Dragon襲来</v>
      </c>
      <c r="G4" s="19">
        <v>1</v>
      </c>
      <c r="H4" s="14" t="str">
        <f>B4&amp;"_"&amp;C4&amp;"-"&amp;G4</f>
        <v>48701_1-1</v>
      </c>
      <c r="I4" s="4">
        <f ca="1">VLOOKUP($H4,OFFSET(floors!$A$1,0,0,COUNTA(floors!$A:$A),MATCH(I$1,floors!$1:$1,0)-MATCH($H$1,floors!$1:$1,0)+1),MATCH(I$1,floors!$1:$1,0)-MATCH($H$1,floors!$1:$1,0)+1,FALSE)</f>
        <v>55</v>
      </c>
      <c r="J4" s="4">
        <f ca="1">VLOOKUP($H4,OFFSET(floors!$A$1,0,0,COUNTA(floors!$A:$A),MATCH(J$1,floors!$1:$1,0)-MATCH($H$1,floors!$1:$1,0)+1),MATCH(J$1,floors!$1:$1,0)-MATCH($H$1,floors!$1:$1,0)+1,FALSE)</f>
        <v>55</v>
      </c>
      <c r="K4" s="35" t="s">
        <v>53</v>
      </c>
      <c r="L4" s="97">
        <v>126</v>
      </c>
      <c r="M4" s="96" t="str">
        <f ca="1">VLOOKUP($L4,OFFSET([3]enemies!$A$1,0,0,COUNTA([3]enemies!$A:$A),MATCH(M$1,[3]enemies!$1:$1,0)-MATCH($L$1,[3]enemies!$1:$1,0)+1),MATCH(M$1,[3]enemies!$1:$1,0)-MATCH($L$1,[3]enemies!$1:$1,0)+1,FALSE)</f>
        <v>骨器使い ユノ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40</v>
      </c>
      <c r="S4" s="22">
        <v>0.6</v>
      </c>
      <c r="T4" s="9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25746.6</v>
      </c>
      <c r="U4" s="22">
        <v>0.5</v>
      </c>
      <c r="V4" s="9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2608.5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単体攻撃_x000D_(命中したユニットに2ターン攻撃力30％DOWN）</v>
      </c>
      <c r="Y4" s="100">
        <v>48701002</v>
      </c>
      <c r="Z4" s="6">
        <v>0</v>
      </c>
      <c r="AA4" s="6">
        <v>100</v>
      </c>
      <c r="AB4" s="6">
        <v>0</v>
      </c>
      <c r="AC4" s="95">
        <v>1</v>
      </c>
      <c r="AD4" s="21">
        <f t="shared" si="5"/>
        <v>126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7">
        <v>1</v>
      </c>
      <c r="AI4" s="21">
        <f ca="1">AF4</f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1">
        <v>1</v>
      </c>
    </row>
    <row r="5" spans="1:42" ht="21" customHeight="1" x14ac:dyDescent="0.15">
      <c r="A5" s="15" t="str">
        <f t="shared" ref="A5:A10" si="7">B5&amp;"_"&amp;C5&amp;"-"&amp;G5&amp;"/"&amp;L5&amp;"&lt;lv"&amp;R5&amp;"&gt;s"&amp;AC5</f>
        <v>48701_1-2/381&lt;lv40&gt;s2</v>
      </c>
      <c r="B5" s="99">
        <v>48701</v>
      </c>
      <c r="C5" s="19">
        <v>1</v>
      </c>
      <c r="D5" s="2" t="str">
        <f t="shared" ref="D5" si="8">B5&amp;"_"&amp;C5</f>
        <v>48701_1</v>
      </c>
      <c r="E5" s="4" t="str">
        <f ca="1">VLOOKUP($B5,OFFSET([2]quests!$A$1,0,0,COUNTA([2]quests!$A:$A),MATCH(E$1,[2]quests!$1:$1,0)-MATCH($B$1,[2]quests!$1:$1,0)+1),MATCH(E$1,[2]quests!$1:$1,0)-MATCH($B$1,[2]quests!$1:$1,0)+1,FALSE)</f>
        <v>M.Dragon襲来！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【超絶級】M.Dragon襲来</v>
      </c>
      <c r="G5" s="19">
        <v>2</v>
      </c>
      <c r="H5" s="14" t="str">
        <f t="shared" ref="H5" si="9">B5&amp;"_"&amp;C5&amp;"-"&amp;G5</f>
        <v>48701_1-2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5">
        <v>1</v>
      </c>
      <c r="L5" s="97">
        <v>381</v>
      </c>
      <c r="M5" s="96" t="str">
        <f ca="1">VLOOKUP($L5,OFFSET([3]enemies!$A$1,0,0,COUNTA([3]enemies!$A:$A),MATCH(M$1,[3]enemies!$1:$1,0)-MATCH($L$1,[3]enemies!$1:$1,0)+1),MATCH(M$1,[3]enemies!$1:$1,0)-MATCH($L$1,[3]enemies!$1:$1,0)+1,FALSE)</f>
        <v>肉食の恋火 バハムート</v>
      </c>
      <c r="N5" s="16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40</v>
      </c>
      <c r="S5" s="22">
        <v>2.6</v>
      </c>
      <c r="T5" s="9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145178.80000000002</v>
      </c>
      <c r="U5" s="104">
        <v>0.7</v>
      </c>
      <c r="V5" s="9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2974.2999999999997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5" s="100">
        <v>48701003</v>
      </c>
      <c r="Z5" s="6">
        <v>0</v>
      </c>
      <c r="AA5" s="6">
        <v>100</v>
      </c>
      <c r="AB5" s="6">
        <v>1</v>
      </c>
      <c r="AC5" s="95">
        <v>2</v>
      </c>
      <c r="AD5" s="21">
        <f t="shared" ref="AD5:AD10" si="10">L5</f>
        <v>381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1">
        <f t="shared" ref="AI5" ca="1" si="11">AF5</f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1">
        <v>1</v>
      </c>
    </row>
    <row r="6" spans="1:42" ht="21" customHeight="1" x14ac:dyDescent="0.15">
      <c r="A6" s="15" t="str">
        <f t="shared" si="7"/>
        <v>48701_1-3/494&lt;lv40&gt;s2</v>
      </c>
      <c r="B6" s="99">
        <v>48701</v>
      </c>
      <c r="C6" s="19">
        <v>1</v>
      </c>
      <c r="D6" s="2" t="str">
        <f>B6&amp;"_"&amp;C6</f>
        <v>48701_1</v>
      </c>
      <c r="E6" s="4" t="str">
        <f ca="1">VLOOKUP($B6,OFFSET([2]quests!$A$1,0,0,COUNTA([2]quests!$A:$A),MATCH(E$1,[2]quests!$1:$1,0)-MATCH($B$1,[2]quests!$1:$1,0)+1),MATCH(E$1,[2]quests!$1:$1,0)-MATCH($B$1,[2]quests!$1:$1,0)+1,FALSE)</f>
        <v>M.Dragon襲来！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【超絶級】M.Dragon襲来</v>
      </c>
      <c r="G6" s="19">
        <v>3</v>
      </c>
      <c r="H6" s="14" t="str">
        <f>B6&amp;"_"&amp;C6&amp;"-"&amp;G6</f>
        <v>48701_1-3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5">
        <v>2</v>
      </c>
      <c r="L6" s="97">
        <v>494</v>
      </c>
      <c r="M6" s="96" t="str">
        <f ca="1">VLOOKUP($L6,OFFSET([3]enemies!$A$1,0,0,COUNTA([3]enemies!$A:$A),MATCH(M$1,[3]enemies!$1:$1,0)-MATCH($L$1,[3]enemies!$1:$1,0)+1),MATCH(M$1,[3]enemies!$1:$1,0)-MATCH($L$1,[3]enemies!$1:$1,0)+1,FALSE)</f>
        <v>ハーメルン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40</v>
      </c>
      <c r="S6" s="22">
        <v>3.7</v>
      </c>
      <c r="T6" s="9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172253.5</v>
      </c>
      <c r="U6" s="22">
        <v>1.3</v>
      </c>
      <c r="V6" s="9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4776.2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状態異常耐性+1ターン攻撃頻度UP+_x000D_1ターンハートパネルを吸収して攻撃力UP</v>
      </c>
      <c r="Y6" s="134">
        <v>48701005</v>
      </c>
      <c r="Z6" s="6">
        <v>0</v>
      </c>
      <c r="AA6" s="6">
        <v>100</v>
      </c>
      <c r="AB6" s="6">
        <v>1</v>
      </c>
      <c r="AC6" s="95">
        <v>2</v>
      </c>
      <c r="AD6" s="21">
        <f t="shared" si="10"/>
        <v>494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ハーメルン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1">
        <f ca="1">AF6</f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1">
        <v>1</v>
      </c>
    </row>
    <row r="7" spans="1:42" ht="21" customHeight="1" thickBot="1" x14ac:dyDescent="0.2">
      <c r="A7" s="158" t="str">
        <f t="shared" si="7"/>
        <v>48701_1-4/9003&lt;lv40&gt;s2</v>
      </c>
      <c r="B7" s="159">
        <v>48701</v>
      </c>
      <c r="C7" s="160">
        <v>1</v>
      </c>
      <c r="D7" s="161" t="str">
        <f t="shared" ref="D7" si="12">B7&amp;"_"&amp;C7</f>
        <v>48701_1</v>
      </c>
      <c r="E7" s="162" t="str">
        <f ca="1">VLOOKUP($B7,OFFSET([2]quests!$A$1,0,0,COUNTA([2]quests!$A:$A),MATCH(E$1,[2]quests!$1:$1,0)-MATCH($B$1,[2]quests!$1:$1,0)+1),MATCH(E$1,[2]quests!$1:$1,0)-MATCH($B$1,[2]quests!$1:$1,0)+1,FALSE)</f>
        <v>M.Dragon襲来！</v>
      </c>
      <c r="F7" s="162" t="str">
        <f ca="1">VLOOKUP($D7,OFFSET([2]stages!$A$1,0,0,COUNTA([2]stages!$A:$A),MATCH(F$1,[2]stages!$2:$2,0)-MATCH($D$1,[2]stages!$2:$2,0)+1),MATCH(F$1,[2]stages!$2:$2,0)-MATCH($D$1,[2]stages!$2:$2,0)+1,FALSE)</f>
        <v>【超絶級】M.Dragon襲来</v>
      </c>
      <c r="G7" s="160">
        <v>4</v>
      </c>
      <c r="H7" s="161" t="str">
        <f t="shared" ref="H7" si="13">B7&amp;"_"&amp;C7&amp;"-"&amp;G7</f>
        <v>48701_1-4</v>
      </c>
      <c r="I7" s="162">
        <f ca="1">VLOOKUP($H7,OFFSET(floors!$A$1,0,0,COUNTA(floors!$A:$A),MATCH(I$1,floors!$1:$1,0)-MATCH($H$1,floors!$1:$1,0)+1),MATCH(I$1,floors!$1:$1,0)-MATCH($H$1,floors!$1:$1,0)+1,FALSE)</f>
        <v>60</v>
      </c>
      <c r="J7" s="162">
        <f ca="1">VLOOKUP($H7,OFFSET(floors!$A$1,0,0,COUNTA(floors!$A:$A),MATCH(J$1,floors!$1:$1,0)-MATCH($H$1,floors!$1:$1,0)+1),MATCH(J$1,floors!$1:$1,0)-MATCH($H$1,floors!$1:$1,0)+1,FALSE)</f>
        <v>60</v>
      </c>
      <c r="K7" s="163">
        <v>3</v>
      </c>
      <c r="L7" s="164">
        <v>9003</v>
      </c>
      <c r="M7" s="165" t="str">
        <f ca="1">VLOOKUP($L7,OFFSET([3]enemies!$A$1,0,0,COUNTA([3]enemies!$A:$A),MATCH(M$1,[3]enemies!$1:$1,0)-MATCH($L$1,[3]enemies!$1:$1,0)+1),MATCH(M$1,[3]enemies!$1:$1,0)-MATCH($L$1,[3]enemies!$1:$1,0)+1,FALSE)</f>
        <v>夢龍</v>
      </c>
      <c r="N7" s="16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6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6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6">
        <f ca="1">VLOOKUP($L7,OFFSET([3]enemies!$A$1,0,0,COUNTA([3]enemies!$A:$A),MATCH(Q$1,[3]enemies!$1:$1,0)-MATCH($L$1,[3]enemies!$1:$1,0)+1),MATCH(Q$1,[3]enemies!$1:$1,0)-MATCH($L$1,[3]enemies!$1:$1,0)+1,FALSE)</f>
        <v>60</v>
      </c>
      <c r="R7" s="167">
        <v>40</v>
      </c>
      <c r="S7" s="168">
        <v>3</v>
      </c>
      <c r="T7" s="16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70">
        <v>1.2</v>
      </c>
      <c r="V7" s="16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167">
        <v>0</v>
      </c>
      <c r="X7" s="162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状態異常耐性+2ターン攻撃頻度UP+_x000D_1ターン青パネルドロップ率UP</v>
      </c>
      <c r="Y7" s="171">
        <v>48701007</v>
      </c>
      <c r="Z7" s="172">
        <v>0</v>
      </c>
      <c r="AA7" s="172">
        <v>100</v>
      </c>
      <c r="AB7" s="172">
        <v>1</v>
      </c>
      <c r="AC7" s="173">
        <v>2</v>
      </c>
      <c r="AD7" s="174">
        <f t="shared" si="10"/>
        <v>9003</v>
      </c>
      <c r="AE7" s="162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夢龍</v>
      </c>
      <c r="AF7" s="162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62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59">
        <v>1</v>
      </c>
      <c r="AI7" s="174">
        <f t="shared" ref="AI7" ca="1" si="14">AF7</f>
        <v>5</v>
      </c>
      <c r="AJ7" s="175">
        <v>15</v>
      </c>
      <c r="AK7" s="159">
        <v>0</v>
      </c>
      <c r="AL7" s="159">
        <v>0</v>
      </c>
      <c r="AM7" s="159">
        <v>0</v>
      </c>
      <c r="AN7" s="159">
        <v>0</v>
      </c>
      <c r="AO7" s="159">
        <v>1</v>
      </c>
      <c r="AP7" s="176">
        <v>1</v>
      </c>
    </row>
    <row r="8" spans="1:42" ht="21" customHeight="1" x14ac:dyDescent="0.15">
      <c r="A8" s="15" t="str">
        <f t="shared" si="7"/>
        <v>48701_2-1/156&lt;lv60&gt;s1</v>
      </c>
      <c r="B8" s="146">
        <v>48701</v>
      </c>
      <c r="C8" s="147">
        <v>2</v>
      </c>
      <c r="D8" s="148" t="str">
        <f>B8&amp;"_"&amp;C8</f>
        <v>48701_2</v>
      </c>
      <c r="E8" s="4" t="str">
        <f ca="1">VLOOKUP($B8,OFFSET([2]quests!$A$1,0,0,COUNTA([2]quests!$A:$A),MATCH(E$1,[2]quests!$1:$1,0)-MATCH($B$1,[2]quests!$1:$1,0)+1),MATCH(E$1,[2]quests!$1:$1,0)-MATCH($B$1,[2]quests!$1:$1,0)+1,FALSE)</f>
        <v>M.Dragon襲来！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【ウィザード級】M.Dragon襲来</v>
      </c>
      <c r="G8" s="147">
        <v>1</v>
      </c>
      <c r="H8" s="148" t="str">
        <f>B8&amp;"_"&amp;C8&amp;"-"&amp;G8</f>
        <v>48701_2-1</v>
      </c>
      <c r="I8" s="4">
        <f ca="1">VLOOKUP($H8,OFFSET(floors!$A$1,0,0,COUNTA(floors!$A:$A),MATCH(I$1,floors!$1:$1,0)-MATCH($H$1,floors!$1:$1,0)+1),MATCH(I$1,floors!$1:$1,0)-MATCH($H$1,floors!$1:$1,0)+1,FALSE)</f>
        <v>55</v>
      </c>
      <c r="J8" s="4">
        <f ca="1">VLOOKUP($H8,OFFSET(floors!$A$1,0,0,COUNTA(floors!$A:$A),MATCH(J$1,floors!$1:$1,0)-MATCH($H$1,floors!$1:$1,0)+1),MATCH(J$1,floors!$1:$1,0)-MATCH($H$1,floors!$1:$1,0)+1,FALSE)</f>
        <v>55</v>
      </c>
      <c r="K8" s="149" t="s">
        <v>53</v>
      </c>
      <c r="L8" s="150">
        <v>156</v>
      </c>
      <c r="M8" s="96" t="str">
        <f ca="1">VLOOKUP($L8,OFFSET([3]enemies!$A$1,0,0,COUNTA([3]enemies!$A:$A),MATCH(M$1,[3]enemies!$1:$1,0)-MATCH($L$1,[3]enemies!$1:$1,0)+1),MATCH(M$1,[3]enemies!$1:$1,0)-MATCH($L$1,[3]enemies!$1:$1,0)+1,FALSE)</f>
        <v>踊り子 エレナ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20</v>
      </c>
      <c r="R8" s="151">
        <v>60</v>
      </c>
      <c r="S8" s="152">
        <v>0.8</v>
      </c>
      <c r="T8" s="15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39884</v>
      </c>
      <c r="U8" s="152">
        <v>0.9</v>
      </c>
      <c r="V8" s="15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4041</v>
      </c>
      <c r="W8" s="151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8" s="100">
        <v>48701010</v>
      </c>
      <c r="Z8" s="154">
        <v>0</v>
      </c>
      <c r="AA8" s="154">
        <v>100</v>
      </c>
      <c r="AB8" s="154">
        <v>2</v>
      </c>
      <c r="AC8" s="95">
        <v>1</v>
      </c>
      <c r="AD8" s="155">
        <f t="shared" si="10"/>
        <v>156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踊り子 エレナ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146">
        <v>1</v>
      </c>
      <c r="AI8" s="155">
        <f ca="1">AF8</f>
        <v>3</v>
      </c>
      <c r="AJ8" s="156">
        <v>0</v>
      </c>
      <c r="AK8" s="146">
        <v>0</v>
      </c>
      <c r="AL8" s="146">
        <v>0</v>
      </c>
      <c r="AM8" s="146">
        <v>0</v>
      </c>
      <c r="AN8" s="146">
        <v>0</v>
      </c>
      <c r="AO8" s="146">
        <v>1</v>
      </c>
      <c r="AP8" s="157">
        <v>1</v>
      </c>
    </row>
    <row r="9" spans="1:42" ht="21" customHeight="1" x14ac:dyDescent="0.15">
      <c r="A9" s="15" t="str">
        <f t="shared" si="7"/>
        <v>48701_2-1/16&lt;lv60&gt;s2</v>
      </c>
      <c r="B9" s="99">
        <v>48701</v>
      </c>
      <c r="C9" s="19">
        <v>2</v>
      </c>
      <c r="D9" s="2" t="str">
        <f t="shared" ref="D9" si="15">B9&amp;"_"&amp;C9</f>
        <v>48701_2</v>
      </c>
      <c r="E9" s="4" t="str">
        <f ca="1">VLOOKUP($B9,OFFSET([2]quests!$A$1,0,0,COUNTA([2]quests!$A:$A),MATCH(E$1,[2]quests!$1:$1,0)-MATCH($B$1,[2]quests!$1:$1,0)+1),MATCH(E$1,[2]quests!$1:$1,0)-MATCH($B$1,[2]quests!$1:$1,0)+1,FALSE)</f>
        <v>M.Dragon襲来！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【ウィザード級】M.Dragon襲来</v>
      </c>
      <c r="G9" s="19">
        <v>1</v>
      </c>
      <c r="H9" s="14" t="str">
        <f t="shared" ref="H9" si="16">B9&amp;"_"&amp;C9&amp;"-"&amp;G9</f>
        <v>48701_2-1</v>
      </c>
      <c r="I9" s="4">
        <f ca="1">VLOOKUP($H9,OFFSET(floors!$A$1,0,0,COUNTA(floors!$A:$A),MATCH(I$1,floors!$1:$1,0)-MATCH($H$1,floors!$1:$1,0)+1),MATCH(I$1,floors!$1:$1,0)-MATCH($H$1,floors!$1:$1,0)+1,FALSE)</f>
        <v>55</v>
      </c>
      <c r="J9" s="4">
        <f ca="1">VLOOKUP($H9,OFFSET(floors!$A$1,0,0,COUNTA(floors!$A:$A),MATCH(J$1,floors!$1:$1,0)-MATCH($H$1,floors!$1:$1,0)+1),MATCH(J$1,floors!$1:$1,0)-MATCH($H$1,floors!$1:$1,0)+1,FALSE)</f>
        <v>55</v>
      </c>
      <c r="K9" s="35" t="s">
        <v>53</v>
      </c>
      <c r="L9" s="97">
        <v>16</v>
      </c>
      <c r="M9" s="96" t="str">
        <f ca="1">VLOOKUP($L9,OFFSET([3]enemies!$A$1,0,0,COUNTA([3]enemies!$A:$A),MATCH(M$1,[3]enemies!$1:$1,0)-MATCH($L$1,[3]enemies!$1:$1,0)+1),MATCH(M$1,[3]enemies!$1:$1,0)-MATCH($L$1,[3]enemies!$1:$1,0)+1,FALSE)</f>
        <v>炎戦少女 アカネ</v>
      </c>
      <c r="N9" s="16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60</v>
      </c>
      <c r="S9" s="22">
        <v>3</v>
      </c>
      <c r="T9" s="9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34686</v>
      </c>
      <c r="U9" s="104">
        <v>0.9</v>
      </c>
      <c r="V9" s="9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3353.4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ファンクラブに勧誘された！</v>
      </c>
      <c r="Y9" s="100">
        <v>48701011</v>
      </c>
      <c r="Z9" s="6">
        <v>0</v>
      </c>
      <c r="AA9" s="6">
        <v>100</v>
      </c>
      <c r="AB9" s="6">
        <v>1</v>
      </c>
      <c r="AC9" s="95">
        <v>2</v>
      </c>
      <c r="AD9" s="21">
        <f t="shared" si="10"/>
        <v>16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炎戦少女 アカネ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" s="7">
        <v>1</v>
      </c>
      <c r="AI9" s="21">
        <f t="shared" ref="AI9" ca="1" si="17">AF9</f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1">
        <v>1</v>
      </c>
    </row>
    <row r="10" spans="1:42" ht="21" customHeight="1" x14ac:dyDescent="0.15">
      <c r="A10" s="15" t="str">
        <f t="shared" si="7"/>
        <v>48701_2-1/126&lt;lv60&gt;s1</v>
      </c>
      <c r="B10" s="99">
        <v>48701</v>
      </c>
      <c r="C10" s="19">
        <v>2</v>
      </c>
      <c r="D10" s="2" t="str">
        <f>B10&amp;"_"&amp;C10</f>
        <v>48701_2</v>
      </c>
      <c r="E10" s="4" t="str">
        <f ca="1">VLOOKUP($B10,OFFSET([2]quests!$A$1,0,0,COUNTA([2]quests!$A:$A),MATCH(E$1,[2]quests!$1:$1,0)-MATCH($B$1,[2]quests!$1:$1,0)+1),MATCH(E$1,[2]quests!$1:$1,0)-MATCH($B$1,[2]quests!$1:$1,0)+1,FALSE)</f>
        <v>M.Dragon襲来！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【ウィザード級】M.Dragon襲来</v>
      </c>
      <c r="G10" s="19">
        <v>1</v>
      </c>
      <c r="H10" s="14" t="str">
        <f>B10&amp;"_"&amp;C10&amp;"-"&amp;G10</f>
        <v>48701_2-1</v>
      </c>
      <c r="I10" s="4">
        <f ca="1">VLOOKUP($H10,OFFSET(floors!$A$1,0,0,COUNTA(floors!$A:$A),MATCH(I$1,floors!$1:$1,0)-MATCH($H$1,floors!$1:$1,0)+1),MATCH(I$1,floors!$1:$1,0)-MATCH($H$1,floors!$1:$1,0)+1,FALSE)</f>
        <v>55</v>
      </c>
      <c r="J10" s="4">
        <f ca="1">VLOOKUP($H10,OFFSET(floors!$A$1,0,0,COUNTA(floors!$A:$A),MATCH(J$1,floors!$1:$1,0)-MATCH($H$1,floors!$1:$1,0)+1),MATCH(J$1,floors!$1:$1,0)-MATCH($H$1,floors!$1:$1,0)+1,FALSE)</f>
        <v>55</v>
      </c>
      <c r="K10" s="35" t="s">
        <v>53</v>
      </c>
      <c r="L10" s="97">
        <v>126</v>
      </c>
      <c r="M10" s="96" t="str">
        <f ca="1">VLOOKUP($L10,OFFSET([3]enemies!$A$1,0,0,COUNTA([3]enemies!$A:$A),MATCH(M$1,[3]enemies!$1:$1,0)-MATCH($L$1,[3]enemies!$1:$1,0)+1),MATCH(M$1,[3]enemies!$1:$1,0)-MATCH($L$1,[3]enemies!$1:$1,0)+1,FALSE)</f>
        <v>骨器使い ユノ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6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60</v>
      </c>
      <c r="S10" s="22">
        <v>0.6</v>
      </c>
      <c r="T10" s="9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38154.6</v>
      </c>
      <c r="U10" s="22">
        <v>0.5</v>
      </c>
      <c r="V10" s="9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3865.5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単体攻撃_x000D_(命中したユニットに2ターン攻撃力50％DOWN）</v>
      </c>
      <c r="Y10" s="100">
        <v>48701012</v>
      </c>
      <c r="Z10" s="6">
        <v>0</v>
      </c>
      <c r="AA10" s="6">
        <v>100</v>
      </c>
      <c r="AB10" s="6">
        <v>0</v>
      </c>
      <c r="AC10" s="95">
        <v>1</v>
      </c>
      <c r="AD10" s="21">
        <f t="shared" si="10"/>
        <v>126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0" s="7">
        <v>1</v>
      </c>
      <c r="AI10" s="21">
        <f ca="1">AF10</f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1">
        <v>1</v>
      </c>
    </row>
    <row r="11" spans="1:42" ht="21" customHeight="1" x14ac:dyDescent="0.15">
      <c r="A11" s="15" t="str">
        <f t="shared" ref="A11:A13" si="18">B11&amp;"_"&amp;C11&amp;"-"&amp;G11&amp;"/"&amp;L11&amp;"&lt;lv"&amp;R11&amp;"&gt;s"&amp;AC11</f>
        <v>48701_2-2/381&lt;lv60&gt;s2</v>
      </c>
      <c r="B11" s="99">
        <v>48701</v>
      </c>
      <c r="C11" s="19">
        <v>2</v>
      </c>
      <c r="D11" s="2" t="str">
        <f t="shared" ref="D11" si="19">B11&amp;"_"&amp;C11</f>
        <v>48701_2</v>
      </c>
      <c r="E11" s="4" t="str">
        <f ca="1">VLOOKUP($B11,OFFSET([2]quests!$A$1,0,0,COUNTA([2]quests!$A:$A),MATCH(E$1,[2]quests!$1:$1,0)-MATCH($B$1,[2]quests!$1:$1,0)+1),MATCH(E$1,[2]quests!$1:$1,0)-MATCH($B$1,[2]quests!$1:$1,0)+1,FALSE)</f>
        <v>M.Dragon襲来！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【ウィザード級】M.Dragon襲来</v>
      </c>
      <c r="G11" s="19">
        <v>2</v>
      </c>
      <c r="H11" s="14" t="str">
        <f t="shared" ref="H11" si="20">B11&amp;"_"&amp;C11&amp;"-"&amp;G11</f>
        <v>48701_2-2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5">
        <v>1</v>
      </c>
      <c r="L11" s="97">
        <v>381</v>
      </c>
      <c r="M11" s="96" t="str">
        <f ca="1">VLOOKUP($L11,OFFSET([3]enemies!$A$1,0,0,COUNTA([3]enemies!$A:$A),MATCH(M$1,[3]enemies!$1:$1,0)-MATCH($L$1,[3]enemies!$1:$1,0)+1),MATCH(M$1,[3]enemies!$1:$1,0)-MATCH($L$1,[3]enemies!$1:$1,0)+1,FALSE)</f>
        <v>肉食の恋火 バハムート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6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60</v>
      </c>
      <c r="S11" s="22">
        <v>2.6</v>
      </c>
      <c r="T11" s="9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215144.80000000002</v>
      </c>
      <c r="U11" s="104">
        <v>0.7</v>
      </c>
      <c r="V11" s="9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4407.8999999999996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1" s="100">
        <v>48701013</v>
      </c>
      <c r="Z11" s="6">
        <v>0</v>
      </c>
      <c r="AA11" s="6">
        <v>100</v>
      </c>
      <c r="AB11" s="6">
        <v>1</v>
      </c>
      <c r="AC11" s="95">
        <v>2</v>
      </c>
      <c r="AD11" s="21">
        <f t="shared" ref="AD11:AD13" si="21">L11</f>
        <v>381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7">
        <v>1</v>
      </c>
      <c r="AI11" s="21">
        <f t="shared" ref="AI11" ca="1" si="22">AF11</f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1">
        <v>1</v>
      </c>
    </row>
    <row r="12" spans="1:42" ht="21" customHeight="1" x14ac:dyDescent="0.15">
      <c r="A12" s="15" t="str">
        <f t="shared" si="18"/>
        <v>48701_2-3/494&lt;lv60&gt;s2</v>
      </c>
      <c r="B12" s="99">
        <v>48701</v>
      </c>
      <c r="C12" s="19">
        <v>2</v>
      </c>
      <c r="D12" s="2" t="str">
        <f>B12&amp;"_"&amp;C12</f>
        <v>48701_2</v>
      </c>
      <c r="E12" s="4" t="str">
        <f ca="1">VLOOKUP($B12,OFFSET([2]quests!$A$1,0,0,COUNTA([2]quests!$A:$A),MATCH(E$1,[2]quests!$1:$1,0)-MATCH($B$1,[2]quests!$1:$1,0)+1),MATCH(E$1,[2]quests!$1:$1,0)-MATCH($B$1,[2]quests!$1:$1,0)+1,FALSE)</f>
        <v>M.Dragon襲来！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【ウィザード級】M.Dragon襲来</v>
      </c>
      <c r="G12" s="19">
        <v>3</v>
      </c>
      <c r="H12" s="14" t="str">
        <f>B12&amp;"_"&amp;C12&amp;"-"&amp;G12</f>
        <v>48701_2-3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5">
        <v>2</v>
      </c>
      <c r="L12" s="97">
        <v>494</v>
      </c>
      <c r="M12" s="96" t="str">
        <f ca="1">VLOOKUP($L12,OFFSET([3]enemies!$A$1,0,0,COUNTA([3]enemies!$A:$A),MATCH(M$1,[3]enemies!$1:$1,0)-MATCH($L$1,[3]enemies!$1:$1,0)+1),MATCH(M$1,[3]enemies!$1:$1,0)-MATCH($L$1,[3]enemies!$1:$1,0)+1,FALSE)</f>
        <v>ハーメルン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22">
        <v>3.7</v>
      </c>
      <c r="T12" s="9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255263</v>
      </c>
      <c r="U12" s="22">
        <v>1.3</v>
      </c>
      <c r="V12" s="9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7078.5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状態異常耐性+1ターン攻撃頻度UP+_x000D_1ターンハートパネルを吸収して攻撃力UP</v>
      </c>
      <c r="Y12" s="134">
        <v>48701015</v>
      </c>
      <c r="Z12" s="6">
        <v>0</v>
      </c>
      <c r="AA12" s="6">
        <v>100</v>
      </c>
      <c r="AB12" s="6">
        <v>1</v>
      </c>
      <c r="AC12" s="95">
        <v>2</v>
      </c>
      <c r="AD12" s="21">
        <f t="shared" si="21"/>
        <v>494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ハーメルン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2" s="7">
        <v>1</v>
      </c>
      <c r="AI12" s="21">
        <f ca="1">AF12</f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1">
        <v>1</v>
      </c>
    </row>
    <row r="13" spans="1:42" ht="21" customHeight="1" x14ac:dyDescent="0.15">
      <c r="A13" s="15" t="str">
        <f t="shared" si="18"/>
        <v>48701_2-4/9003&lt;lv60&gt;s2</v>
      </c>
      <c r="B13" s="99">
        <v>48701</v>
      </c>
      <c r="C13" s="19">
        <v>2</v>
      </c>
      <c r="D13" s="2" t="str">
        <f t="shared" ref="D13" si="23">B13&amp;"_"&amp;C13</f>
        <v>48701_2</v>
      </c>
      <c r="E13" s="4" t="str">
        <f ca="1">VLOOKUP($B13,OFFSET([2]quests!$A$1,0,0,COUNTA([2]quests!$A:$A),MATCH(E$1,[2]quests!$1:$1,0)-MATCH($B$1,[2]quests!$1:$1,0)+1),MATCH(E$1,[2]quests!$1:$1,0)-MATCH($B$1,[2]quests!$1:$1,0)+1,FALSE)</f>
        <v>M.Dragon襲来！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【ウィザード級】M.Dragon襲来</v>
      </c>
      <c r="G13" s="19">
        <v>4</v>
      </c>
      <c r="H13" s="14" t="str">
        <f t="shared" ref="H13" si="24">B13&amp;"_"&amp;C13&amp;"-"&amp;G13</f>
        <v>48701_2-4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5">
        <v>3</v>
      </c>
      <c r="L13" s="97">
        <v>9003</v>
      </c>
      <c r="M13" s="96" t="str">
        <f ca="1">VLOOKUP($L13,OFFSET([3]enemies!$A$1,0,0,COUNTA([3]enemies!$A:$A),MATCH(M$1,[3]enemies!$1:$1,0)-MATCH($L$1,[3]enemies!$1:$1,0)+1),MATCH(M$1,[3]enemies!$1:$1,0)-MATCH($L$1,[3]enemies!$1:$1,0)+1,FALSE)</f>
        <v>夢龍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6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2">
        <v>3</v>
      </c>
      <c r="T13" s="9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104">
        <v>1.2</v>
      </c>
      <c r="V13" s="9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状態異常耐性+2ターン攻撃頻度UP+_x000D_1ターン青パネルドロップ率UP</v>
      </c>
      <c r="Y13" s="134">
        <v>48701017</v>
      </c>
      <c r="Z13" s="6">
        <v>0</v>
      </c>
      <c r="AA13" s="6">
        <v>100</v>
      </c>
      <c r="AB13" s="6">
        <v>1</v>
      </c>
      <c r="AC13" s="95">
        <v>2</v>
      </c>
      <c r="AD13" s="21">
        <f t="shared" si="21"/>
        <v>9003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夢龍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1">
        <f t="shared" ref="AI13" ca="1" si="25">AF13</f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1">
        <v>1</v>
      </c>
    </row>
    <row r="16" spans="1:42" ht="21" customHeight="1" x14ac:dyDescent="0.15">
      <c r="AC16" s="98"/>
      <c r="AD16" s="10"/>
      <c r="AE16" s="10"/>
      <c r="AG16" s="3"/>
      <c r="AH16" s="3"/>
    </row>
    <row r="17" spans="29:34" ht="21" customHeight="1" x14ac:dyDescent="0.15">
      <c r="AC17" s="98"/>
      <c r="AD17" s="10"/>
      <c r="AE17" s="10"/>
      <c r="AG17" s="3"/>
      <c r="AH17" s="3"/>
    </row>
    <row r="18" spans="29:34" ht="21" customHeight="1" x14ac:dyDescent="0.15">
      <c r="AC18" s="98"/>
      <c r="AD18" s="10"/>
      <c r="AE18" s="10"/>
      <c r="AG18" s="3"/>
      <c r="AH18" s="3"/>
    </row>
    <row r="19" spans="29:34" ht="21" customHeight="1" x14ac:dyDescent="0.15">
      <c r="AC19" s="98"/>
      <c r="AD19" s="10"/>
      <c r="AE19" s="10"/>
      <c r="AG19" s="3"/>
      <c r="AH19" s="3"/>
    </row>
    <row r="20" spans="29:34" ht="21" customHeight="1" x14ac:dyDescent="0.15">
      <c r="AC20" s="98"/>
      <c r="AD20" s="10"/>
      <c r="AE20" s="10"/>
      <c r="AG20" s="3"/>
      <c r="AH20" s="3"/>
    </row>
    <row r="21" spans="29:34" ht="21" customHeight="1" x14ac:dyDescent="0.15">
      <c r="AC21" s="98"/>
      <c r="AD21" s="10"/>
      <c r="AE21" s="10"/>
      <c r="AG21" s="3"/>
      <c r="AH21" s="3"/>
    </row>
    <row r="22" spans="29:34" ht="21" customHeight="1" x14ac:dyDescent="0.15">
      <c r="AC22" s="98"/>
      <c r="AD22" s="10"/>
      <c r="AE22" s="10"/>
      <c r="AG22" s="3"/>
      <c r="AH22" s="3"/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1"/>
  <sheetViews>
    <sheetView showGridLines="0" workbookViewId="0">
      <pane xSplit="18" ySplit="1" topLeftCell="X2" activePane="bottomRight" state="frozen"/>
      <selection activeCell="E25" sqref="E25"/>
      <selection pane="topRight" activeCell="E25" sqref="E25"/>
      <selection pane="bottomLeft" activeCell="E25" sqref="E25"/>
      <selection pane="bottomRight" activeCell="AA4" sqref="AA4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1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16</v>
      </c>
      <c r="F1" s="27" t="s">
        <v>16</v>
      </c>
      <c r="G1" s="25" t="s">
        <v>19</v>
      </c>
      <c r="H1" s="26" t="s">
        <v>30</v>
      </c>
      <c r="I1" s="26" t="s">
        <v>14</v>
      </c>
      <c r="J1" s="26" t="s">
        <v>15</v>
      </c>
      <c r="K1" s="33" t="s">
        <v>54</v>
      </c>
      <c r="L1" s="33" t="s">
        <v>55</v>
      </c>
      <c r="M1" s="34" t="s">
        <v>2</v>
      </c>
      <c r="N1" s="28" t="s">
        <v>16</v>
      </c>
      <c r="O1" s="26" t="s">
        <v>24</v>
      </c>
      <c r="P1" s="26" t="s">
        <v>23</v>
      </c>
      <c r="Q1" s="29" t="s">
        <v>26</v>
      </c>
      <c r="R1" s="27" t="s">
        <v>25</v>
      </c>
      <c r="S1" s="25" t="s">
        <v>3</v>
      </c>
      <c r="T1" s="23" t="s">
        <v>48</v>
      </c>
      <c r="U1" s="93" t="s">
        <v>246</v>
      </c>
      <c r="V1" s="23" t="s">
        <v>50</v>
      </c>
      <c r="W1" s="93" t="s">
        <v>247</v>
      </c>
      <c r="X1" s="23" t="s">
        <v>52</v>
      </c>
      <c r="Y1" s="25" t="s">
        <v>127</v>
      </c>
      <c r="Z1" s="26" t="s">
        <v>126</v>
      </c>
      <c r="AA1" s="25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48701_1-2/382&lt;lv40&gt;sq1st2</v>
      </c>
      <c r="B2" s="122">
        <v>48701</v>
      </c>
      <c r="C2" s="101">
        <v>1</v>
      </c>
      <c r="D2" s="14" t="str">
        <f>B2&amp;"_"&amp;C2</f>
        <v>48701_1</v>
      </c>
      <c r="E2" s="4" t="str">
        <f ca="1">VLOOKUP($B2,OFFSET([2]quests!$A$1,0,0,COUNTA([2]quests!$A:$A),MATCH(E$1,[2]quests!$1:$1,0)-MATCH($B$1,[2]quests!$1:$1,0)+1),MATCH(E$1,[2]quests!$1:$1,0)-MATCH($B$1,[2]quests!$1:$1,0)+1,FALSE)</f>
        <v>M.Dragon襲来！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【超絶級】M.Dragon襲来</v>
      </c>
      <c r="G2" s="101">
        <v>2</v>
      </c>
      <c r="H2" s="14" t="str">
        <f>B2&amp;"_"&amp;C2&amp;"-"&amp;G2</f>
        <v>48701_1-2</v>
      </c>
      <c r="I2" s="4" t="e">
        <v>#N/A</v>
      </c>
      <c r="J2" s="4" t="e">
        <v>#N/A</v>
      </c>
      <c r="K2" s="35">
        <v>1</v>
      </c>
      <c r="L2" s="35">
        <v>2</v>
      </c>
      <c r="M2" s="97">
        <v>382</v>
      </c>
      <c r="N2" s="16" t="str">
        <f ca="1">VLOOKUP($M2,OFFSET([3]enemies!$A$1,0,0,COUNTA([3]enemies!$A:$A),MATCH(N$1,[3]enemies!$1:$1,0)-MATCH($M$1,[3]enemies!$1:$1,0)+1),MATCH(N$1,[3]enemies!$1:$1,0)-MATCH($M$1,[3]enemies!$1:$1,0)+1,FALSE)</f>
        <v>激情の愛炎 バハムート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2">
        <v>2.2999999999999998</v>
      </c>
      <c r="U2" s="9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167943.69999999998</v>
      </c>
      <c r="V2" s="22">
        <v>0.7</v>
      </c>
      <c r="W2" s="9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3203.2</v>
      </c>
      <c r="X2" s="5">
        <v>0</v>
      </c>
      <c r="Y2" s="4" t="e">
        <v>#N/A</v>
      </c>
      <c r="Z2" s="100">
        <v>48701004</v>
      </c>
      <c r="AA2" s="102">
        <v>1</v>
      </c>
    </row>
    <row r="3" spans="1:27" ht="21" customHeight="1" x14ac:dyDescent="0.15">
      <c r="A3" s="15" t="str">
        <f>B3&amp;"_"&amp;C3&amp;"-"&amp;G3&amp;"/"&amp;M3&amp;"&lt;lv"&amp;S3&amp;"&gt;sq"&amp;K3&amp;"st"&amp;L3</f>
        <v>48701_1-2/382&lt;lv40&gt;sq1st3</v>
      </c>
      <c r="B3" s="122">
        <v>48701</v>
      </c>
      <c r="C3" s="101">
        <v>1</v>
      </c>
      <c r="D3" s="14" t="str">
        <f>B3&amp;"_"&amp;C3</f>
        <v>48701_1</v>
      </c>
      <c r="E3" s="4" t="str">
        <f ca="1">VLOOKUP($B3,OFFSET([2]quests!$A$1,0,0,COUNTA([2]quests!$A:$A),MATCH(E$1,[2]quests!$1:$1,0)-MATCH($B$1,[2]quests!$1:$1,0)+1),MATCH(E$1,[2]quests!$1:$1,0)-MATCH($B$1,[2]quests!$1:$1,0)+1,FALSE)</f>
        <v>M.Dragon襲来！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【超絶級】M.Dragon襲来</v>
      </c>
      <c r="G3" s="101">
        <v>2</v>
      </c>
      <c r="H3" s="14" t="str">
        <f>B3&amp;"_"&amp;C3&amp;"-"&amp;G3</f>
        <v>48701_1-2</v>
      </c>
      <c r="I3" s="4" t="e">
        <v>#N/A</v>
      </c>
      <c r="J3" s="4" t="e">
        <v>#N/A</v>
      </c>
      <c r="K3" s="35">
        <v>1</v>
      </c>
      <c r="L3" s="35">
        <v>3</v>
      </c>
      <c r="M3" s="97">
        <v>382</v>
      </c>
      <c r="N3" s="16" t="str">
        <f ca="1">VLOOKUP($M3,OFFSET([3]enemies!$A$1,0,0,COUNTA([3]enemies!$A:$A),MATCH(N$1,[3]enemies!$1:$1,0)-MATCH($M$1,[3]enemies!$1:$1,0)+1),MATCH(N$1,[3]enemies!$1:$1,0)-MATCH($M$1,[3]enemies!$1:$1,0)+1,FALSE)</f>
        <v>激情の愛炎 バハムート</v>
      </c>
      <c r="O3" s="16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2">
        <v>1</v>
      </c>
      <c r="U3" s="9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73019</v>
      </c>
      <c r="V3" s="22">
        <v>1</v>
      </c>
      <c r="W3" s="9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4576</v>
      </c>
      <c r="X3" s="5">
        <v>0</v>
      </c>
      <c r="Y3" s="4" t="e">
        <v>#N/A</v>
      </c>
      <c r="Z3" s="100">
        <v>48701054</v>
      </c>
      <c r="AA3" s="102">
        <v>1</v>
      </c>
    </row>
    <row r="4" spans="1:27" ht="21" customHeight="1" x14ac:dyDescent="0.15">
      <c r="A4" s="15" t="str">
        <f t="shared" ref="A4:A6" si="0">B4&amp;"_"&amp;C4&amp;"-"&amp;G4&amp;"/"&amp;M4&amp;"&lt;lv"&amp;S4&amp;"&gt;sq"&amp;K4&amp;"st"&amp;L4</f>
        <v>48701_1-3/495&lt;lv40&gt;sq2st2</v>
      </c>
      <c r="B4" s="122">
        <v>48701</v>
      </c>
      <c r="C4" s="101">
        <v>1</v>
      </c>
      <c r="D4" s="14" t="str">
        <f t="shared" ref="D4:D6" si="1">B4&amp;"_"&amp;C4</f>
        <v>48701_1</v>
      </c>
      <c r="E4" s="4" t="str">
        <f ca="1">VLOOKUP($B4,OFFSET([2]quests!$A$1,0,0,COUNTA([2]quests!$A:$A),MATCH(E$1,[2]quests!$1:$1,0)-MATCH($B$1,[2]quests!$1:$1,0)+1),MATCH(E$1,[2]quests!$1:$1,0)-MATCH($B$1,[2]quests!$1:$1,0)+1,FALSE)</f>
        <v>M.Dragon襲来！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【超絶級】M.Dragon襲来</v>
      </c>
      <c r="G4" s="101">
        <v>3</v>
      </c>
      <c r="H4" s="14" t="str">
        <f t="shared" ref="H4:H6" si="2">B4&amp;"_"&amp;C4&amp;"-"&amp;G4</f>
        <v>48701_1-3</v>
      </c>
      <c r="I4" s="4" t="e">
        <v>#N/A</v>
      </c>
      <c r="J4" s="4" t="e">
        <v>#N/A</v>
      </c>
      <c r="K4" s="35">
        <v>2</v>
      </c>
      <c r="L4" s="35">
        <v>2</v>
      </c>
      <c r="M4" s="97">
        <v>495</v>
      </c>
      <c r="N4" s="16" t="str">
        <f ca="1">VLOOKUP($M4,OFFSET([3]enemies!$A$1,0,0,COUNTA([3]enemies!$A:$A),MATCH(N$1,[3]enemies!$1:$1,0)-MATCH($M$1,[3]enemies!$1:$1,0)+1),MATCH(N$1,[3]enemies!$1:$1,0)-MATCH($M$1,[3]enemies!$1:$1,0)+1,FALSE)</f>
        <v>鼠災呼ぶ笛音 ハーメルン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2">
        <v>3.8</v>
      </c>
      <c r="U4" s="9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231340.19999999998</v>
      </c>
      <c r="V4" s="22">
        <v>1.1000000000000001</v>
      </c>
      <c r="W4" s="9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4352.7000000000007</v>
      </c>
      <c r="X4" s="5">
        <v>0</v>
      </c>
      <c r="Y4" s="4" t="e">
        <v>#N/A</v>
      </c>
      <c r="Z4" s="134">
        <v>48701006</v>
      </c>
      <c r="AA4" s="102">
        <v>1</v>
      </c>
    </row>
    <row r="5" spans="1:27" ht="21" customHeight="1" x14ac:dyDescent="0.15">
      <c r="A5" s="15" t="str">
        <f t="shared" si="0"/>
        <v>48701_1-4/9003&lt;lv40&gt;sq3st2</v>
      </c>
      <c r="B5" s="122">
        <v>48701</v>
      </c>
      <c r="C5" s="101">
        <v>1</v>
      </c>
      <c r="D5" s="14" t="str">
        <f t="shared" si="1"/>
        <v>48701_1</v>
      </c>
      <c r="E5" s="4" t="str">
        <f ca="1">VLOOKUP($B5,OFFSET([2]quests!$A$1,0,0,COUNTA([2]quests!$A:$A),MATCH(E$1,[2]quests!$1:$1,0)-MATCH($B$1,[2]quests!$1:$1,0)+1),MATCH(E$1,[2]quests!$1:$1,0)-MATCH($B$1,[2]quests!$1:$1,0)+1,FALSE)</f>
        <v>M.Dragon襲来！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【超絶級】M.Dragon襲来</v>
      </c>
      <c r="G5" s="101">
        <v>4</v>
      </c>
      <c r="H5" s="14" t="str">
        <f t="shared" si="2"/>
        <v>48701_1-4</v>
      </c>
      <c r="I5" s="4" t="e">
        <v>#N/A</v>
      </c>
      <c r="J5" s="4" t="e">
        <v>#N/A</v>
      </c>
      <c r="K5" s="35">
        <v>3</v>
      </c>
      <c r="L5" s="35">
        <v>2</v>
      </c>
      <c r="M5" s="97">
        <v>9003</v>
      </c>
      <c r="N5" s="16" t="str">
        <f ca="1">VLOOKUP($M5,OFFSET([3]enemies!$A$1,0,0,COUNTA([3]enemies!$A:$A),MATCH(N$1,[3]enemies!$1:$1,0)-MATCH($M$1,[3]enemies!$1:$1,0)+1),MATCH(N$1,[3]enemies!$1:$1,0)-MATCH($M$1,[3]enemies!$1:$1,0)+1,FALSE)</f>
        <v>夢龍</v>
      </c>
      <c r="O5" s="16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40</v>
      </c>
      <c r="T5" s="22">
        <v>3.4</v>
      </c>
      <c r="U5" s="9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2">
        <v>0.8</v>
      </c>
      <c r="W5" s="9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e">
        <v>#N/A</v>
      </c>
      <c r="Z5" s="134">
        <v>48701008</v>
      </c>
      <c r="AA5" s="102">
        <v>1</v>
      </c>
    </row>
    <row r="6" spans="1:27" ht="21" customHeight="1" thickBot="1" x14ac:dyDescent="0.2">
      <c r="A6" s="158" t="str">
        <f t="shared" si="0"/>
        <v>48701_1-4/9004&lt;lv40&gt;sq3st3</v>
      </c>
      <c r="B6" s="179">
        <v>48701</v>
      </c>
      <c r="C6" s="160">
        <v>1</v>
      </c>
      <c r="D6" s="161" t="str">
        <f t="shared" si="1"/>
        <v>48701_1</v>
      </c>
      <c r="E6" s="162" t="str">
        <f ca="1">VLOOKUP($B6,OFFSET([2]quests!$A$1,0,0,COUNTA([2]quests!$A:$A),MATCH(E$1,[2]quests!$1:$1,0)-MATCH($B$1,[2]quests!$1:$1,0)+1),MATCH(E$1,[2]quests!$1:$1,0)-MATCH($B$1,[2]quests!$1:$1,0)+1,FALSE)</f>
        <v>M.Dragon襲来！</v>
      </c>
      <c r="F6" s="162" t="str">
        <f ca="1">VLOOKUP($D6,OFFSET([2]stages!$A$1,0,0,COUNTA([2]stages!$A:$A),MATCH(F$1,[2]stages!$2:$2,0)-MATCH($D$1,[2]stages!$2:$2,0)+1),MATCH(F$1,[2]stages!$2:$2,0)-MATCH($D$1,[2]stages!$2:$2,0)+1,FALSE)</f>
        <v>【超絶級】M.Dragon襲来</v>
      </c>
      <c r="G6" s="160">
        <v>4</v>
      </c>
      <c r="H6" s="161" t="str">
        <f t="shared" si="2"/>
        <v>48701_1-4</v>
      </c>
      <c r="I6" s="162" t="e">
        <v>#N/A</v>
      </c>
      <c r="J6" s="162" t="e">
        <v>#N/A</v>
      </c>
      <c r="K6" s="163">
        <v>3</v>
      </c>
      <c r="L6" s="163">
        <v>3</v>
      </c>
      <c r="M6" s="164">
        <v>9004</v>
      </c>
      <c r="N6" s="166" t="str">
        <f ca="1">VLOOKUP($M6,OFFSET([3]enemies!$A$1,0,0,COUNTA([3]enemies!$A:$A),MATCH(N$1,[3]enemies!$1:$1,0)-MATCH($M$1,[3]enemies!$1:$1,0)+1),MATCH(N$1,[3]enemies!$1:$1,0)-MATCH($M$1,[3]enemies!$1:$1,0)+1,FALSE)</f>
        <v>夢龍★６</v>
      </c>
      <c r="O6" s="166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66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6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66">
        <f ca="1">VLOOKUP($M6,OFFSET([3]enemies!$A$1,0,0,COUNTA([3]enemies!$A:$A),MATCH(R$1,[3]enemies!$1:$1,0)-MATCH($M$1,[3]enemies!$1:$1,0)+1),MATCH(R$1,[3]enemies!$1:$1,0)-MATCH($M$1,[3]enemies!$1:$1,0)+1,FALSE)</f>
        <v>60</v>
      </c>
      <c r="S6" s="167">
        <v>40</v>
      </c>
      <c r="T6" s="168">
        <v>6.7</v>
      </c>
      <c r="U6" s="169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168">
        <v>1.2</v>
      </c>
      <c r="W6" s="169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167">
        <v>0</v>
      </c>
      <c r="Y6" s="162" t="e">
        <v>#N/A</v>
      </c>
      <c r="Z6" s="171">
        <v>48701009</v>
      </c>
      <c r="AA6" s="180">
        <v>2</v>
      </c>
    </row>
    <row r="7" spans="1:27" ht="21" customHeight="1" x14ac:dyDescent="0.15">
      <c r="A7" s="15" t="str">
        <f>B7&amp;"_"&amp;C7&amp;"-"&amp;G7&amp;"/"&amp;M7&amp;"&lt;lv"&amp;S7&amp;"&gt;sq"&amp;K7&amp;"st"&amp;L7</f>
        <v>48701_2-2/382&lt;lv60&gt;sq1st2</v>
      </c>
      <c r="B7" s="177">
        <v>48701</v>
      </c>
      <c r="C7" s="147">
        <v>2</v>
      </c>
      <c r="D7" s="148" t="str">
        <f>B7&amp;"_"&amp;C7</f>
        <v>48701_2</v>
      </c>
      <c r="E7" s="4" t="str">
        <f ca="1">VLOOKUP($B7,OFFSET([2]quests!$A$1,0,0,COUNTA([2]quests!$A:$A),MATCH(E$1,[2]quests!$1:$1,0)-MATCH($B$1,[2]quests!$1:$1,0)+1),MATCH(E$1,[2]quests!$1:$1,0)-MATCH($B$1,[2]quests!$1:$1,0)+1,FALSE)</f>
        <v>M.Dragon襲来！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【ウィザード級】M.Dragon襲来</v>
      </c>
      <c r="G7" s="147">
        <v>2</v>
      </c>
      <c r="H7" s="148" t="str">
        <f>B7&amp;"_"&amp;C7&amp;"-"&amp;G7</f>
        <v>48701_2-2</v>
      </c>
      <c r="I7" s="4" t="e">
        <v>#N/A</v>
      </c>
      <c r="J7" s="4" t="e">
        <v>#N/A</v>
      </c>
      <c r="K7" s="149">
        <v>1</v>
      </c>
      <c r="L7" s="149">
        <v>2</v>
      </c>
      <c r="M7" s="150">
        <v>382</v>
      </c>
      <c r="N7" s="16" t="str">
        <f ca="1">VLOOKUP($M7,OFFSET([3]enemies!$A$1,0,0,COUNTA([3]enemies!$A:$A),MATCH(N$1,[3]enemies!$1:$1,0)-MATCH($M$1,[3]enemies!$1:$1,0)+1),MATCH(N$1,[3]enemies!$1:$1,0)-MATCH($M$1,[3]enemies!$1:$1,0)+1,FALSE)</f>
        <v>激情の愛炎 バハムート</v>
      </c>
      <c r="O7" s="16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6" t="str">
        <f ca="1">VLOOKUP($M7,OFFSET([3]enemies!$A$1,0,0,COUNTA([3]enemies!$A:$A),MATCH(Q$1,[3]enemies!$1:$1,0)-MATCH($M$1,[3]enemies!$1:$1,0)+1),MATCH(Q$1,[3]enemies!$1:$1,0)-MATCH($M$1,[3]enemies!$1:$1,0)+1,FALSE)</f>
        <v>dragon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151">
        <v>60</v>
      </c>
      <c r="T7" s="152">
        <v>2.2999999999999998</v>
      </c>
      <c r="U7" s="153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248880.69999999998</v>
      </c>
      <c r="V7" s="152">
        <v>0.7</v>
      </c>
      <c r="W7" s="153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4747.3999999999996</v>
      </c>
      <c r="X7" s="151">
        <v>0</v>
      </c>
      <c r="Y7" s="4" t="e">
        <v>#N/A</v>
      </c>
      <c r="Z7" s="100">
        <v>48701014</v>
      </c>
      <c r="AA7" s="178">
        <v>1</v>
      </c>
    </row>
    <row r="8" spans="1:27" ht="21" customHeight="1" x14ac:dyDescent="0.15">
      <c r="A8" s="15" t="str">
        <f>B8&amp;"_"&amp;C8&amp;"-"&amp;G8&amp;"/"&amp;M8&amp;"&lt;lv"&amp;S8&amp;"&gt;sq"&amp;K8&amp;"st"&amp;L8</f>
        <v>48701_2-2/382&lt;lv60&gt;sq1st3</v>
      </c>
      <c r="B8" s="122">
        <v>48701</v>
      </c>
      <c r="C8" s="101">
        <v>2</v>
      </c>
      <c r="D8" s="14" t="str">
        <f>B8&amp;"_"&amp;C8</f>
        <v>48701_2</v>
      </c>
      <c r="E8" s="4" t="str">
        <f ca="1">VLOOKUP($B8,OFFSET([2]quests!$A$1,0,0,COUNTA([2]quests!$A:$A),MATCH(E$1,[2]quests!$1:$1,0)-MATCH($B$1,[2]quests!$1:$1,0)+1),MATCH(E$1,[2]quests!$1:$1,0)-MATCH($B$1,[2]quests!$1:$1,0)+1,FALSE)</f>
        <v>M.Dragon襲来！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【ウィザード級】M.Dragon襲来</v>
      </c>
      <c r="G8" s="101">
        <v>2</v>
      </c>
      <c r="H8" s="14" t="str">
        <f>B8&amp;"_"&amp;C8&amp;"-"&amp;G8</f>
        <v>48701_2-2</v>
      </c>
      <c r="I8" s="4" t="e">
        <v>#N/A</v>
      </c>
      <c r="J8" s="4" t="e">
        <v>#N/A</v>
      </c>
      <c r="K8" s="35">
        <v>1</v>
      </c>
      <c r="L8" s="35">
        <v>3</v>
      </c>
      <c r="M8" s="97">
        <v>382</v>
      </c>
      <c r="N8" s="16" t="str">
        <f ca="1">VLOOKUP($M8,OFFSET([3]enemies!$A$1,0,0,COUNTA([3]enemies!$A:$A),MATCH(N$1,[3]enemies!$1:$1,0)-MATCH($M$1,[3]enemies!$1:$1,0)+1),MATCH(N$1,[3]enemies!$1:$1,0)-MATCH($M$1,[3]enemies!$1:$1,0)+1,FALSE)</f>
        <v>激情の愛炎 バハムート</v>
      </c>
      <c r="O8" s="16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dragon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60</v>
      </c>
      <c r="T8" s="22">
        <v>1</v>
      </c>
      <c r="U8" s="94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108209</v>
      </c>
      <c r="V8" s="22">
        <v>1</v>
      </c>
      <c r="W8" s="94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6782</v>
      </c>
      <c r="X8" s="5">
        <v>0</v>
      </c>
      <c r="Y8" s="4" t="e">
        <v>#N/A</v>
      </c>
      <c r="Z8" s="100">
        <v>48701064</v>
      </c>
      <c r="AA8" s="102">
        <v>1</v>
      </c>
    </row>
    <row r="9" spans="1:27" ht="21" customHeight="1" x14ac:dyDescent="0.15">
      <c r="A9" s="15" t="str">
        <f t="shared" ref="A9:A11" si="3">B9&amp;"_"&amp;C9&amp;"-"&amp;G9&amp;"/"&amp;M9&amp;"&lt;lv"&amp;S9&amp;"&gt;sq"&amp;K9&amp;"st"&amp;L9</f>
        <v>48701_2-3/495&lt;lv60&gt;sq2st2</v>
      </c>
      <c r="B9" s="122">
        <v>48701</v>
      </c>
      <c r="C9" s="101">
        <v>2</v>
      </c>
      <c r="D9" s="14" t="str">
        <f t="shared" ref="D9:D11" si="4">B9&amp;"_"&amp;C9</f>
        <v>48701_2</v>
      </c>
      <c r="E9" s="4" t="str">
        <f ca="1">VLOOKUP($B9,OFFSET([2]quests!$A$1,0,0,COUNTA([2]quests!$A:$A),MATCH(E$1,[2]quests!$1:$1,0)-MATCH($B$1,[2]quests!$1:$1,0)+1),MATCH(E$1,[2]quests!$1:$1,0)-MATCH($B$1,[2]quests!$1:$1,0)+1,FALSE)</f>
        <v>M.Dragon襲来！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【ウィザード級】M.Dragon襲来</v>
      </c>
      <c r="G9" s="101">
        <v>3</v>
      </c>
      <c r="H9" s="14" t="str">
        <f t="shared" ref="H9:H11" si="5">B9&amp;"_"&amp;C9&amp;"-"&amp;G9</f>
        <v>48701_2-3</v>
      </c>
      <c r="I9" s="4" t="e">
        <v>#N/A</v>
      </c>
      <c r="J9" s="4" t="e">
        <v>#N/A</v>
      </c>
      <c r="K9" s="35">
        <v>2</v>
      </c>
      <c r="L9" s="35">
        <v>2</v>
      </c>
      <c r="M9" s="97">
        <v>495</v>
      </c>
      <c r="N9" s="16" t="str">
        <f ca="1">VLOOKUP($M9,OFFSET([3]enemies!$A$1,0,0,COUNTA([3]enemies!$A:$A),MATCH(N$1,[3]enemies!$1:$1,0)-MATCH($M$1,[3]enemies!$1:$1,0)+1),MATCH(N$1,[3]enemies!$1:$1,0)-MATCH($M$1,[3]enemies!$1:$1,0)+1,FALSE)</f>
        <v>鼠災呼ぶ笛音 ハーメルン</v>
      </c>
      <c r="O9" s="16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PremiumSS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2">
        <v>3.8</v>
      </c>
      <c r="U9" s="94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342828.39999999997</v>
      </c>
      <c r="V9" s="22">
        <v>1.1000000000000001</v>
      </c>
      <c r="W9" s="94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6450.4000000000005</v>
      </c>
      <c r="X9" s="5">
        <v>0</v>
      </c>
      <c r="Y9" s="4" t="e">
        <v>#N/A</v>
      </c>
      <c r="Z9" s="134">
        <v>48701016</v>
      </c>
      <c r="AA9" s="102">
        <v>1</v>
      </c>
    </row>
    <row r="10" spans="1:27" ht="21" customHeight="1" x14ac:dyDescent="0.15">
      <c r="A10" s="15" t="str">
        <f t="shared" si="3"/>
        <v>48701_2-4/9003&lt;lv60&gt;sq3st2</v>
      </c>
      <c r="B10" s="122">
        <v>48701</v>
      </c>
      <c r="C10" s="101">
        <v>2</v>
      </c>
      <c r="D10" s="14" t="str">
        <f t="shared" si="4"/>
        <v>48701_2</v>
      </c>
      <c r="E10" s="4" t="str">
        <f ca="1">VLOOKUP($B10,OFFSET([2]quests!$A$1,0,0,COUNTA([2]quests!$A:$A),MATCH(E$1,[2]quests!$1:$1,0)-MATCH($B$1,[2]quests!$1:$1,0)+1),MATCH(E$1,[2]quests!$1:$1,0)-MATCH($B$1,[2]quests!$1:$1,0)+1,FALSE)</f>
        <v>M.Dragon襲来！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【ウィザード級】M.Dragon襲来</v>
      </c>
      <c r="G10" s="101">
        <v>4</v>
      </c>
      <c r="H10" s="14" t="str">
        <f t="shared" si="5"/>
        <v>48701_2-4</v>
      </c>
      <c r="I10" s="4" t="e">
        <v>#N/A</v>
      </c>
      <c r="J10" s="4" t="e">
        <v>#N/A</v>
      </c>
      <c r="K10" s="35">
        <v>3</v>
      </c>
      <c r="L10" s="35">
        <v>2</v>
      </c>
      <c r="M10" s="97">
        <v>9003</v>
      </c>
      <c r="N10" s="16" t="str">
        <f ca="1">VLOOKUP($M10,OFFSET([3]enemies!$A$1,0,0,COUNTA([3]enemies!$A:$A),MATCH(N$1,[3]enemies!$1:$1,0)-MATCH($M$1,[3]enemies!$1:$1,0)+1),MATCH(N$1,[3]enemies!$1:$1,0)-MATCH($M$1,[3]enemies!$1:$1,0)+1,FALSE)</f>
        <v>夢龍</v>
      </c>
      <c r="O10" s="16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6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6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6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60</v>
      </c>
      <c r="T10" s="22">
        <v>3.4</v>
      </c>
      <c r="U10" s="94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0</v>
      </c>
      <c r="V10" s="22">
        <v>0.8</v>
      </c>
      <c r="W10" s="94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0</v>
      </c>
      <c r="X10" s="5">
        <v>0</v>
      </c>
      <c r="Y10" s="4" t="e">
        <v>#N/A</v>
      </c>
      <c r="Z10" s="134">
        <v>48701018</v>
      </c>
      <c r="AA10" s="102">
        <v>1</v>
      </c>
    </row>
    <row r="11" spans="1:27" ht="21" customHeight="1" x14ac:dyDescent="0.15">
      <c r="A11" s="15" t="str">
        <f t="shared" si="3"/>
        <v>48701_2-4/9004&lt;lv60&gt;sq3st3</v>
      </c>
      <c r="B11" s="122">
        <v>48701</v>
      </c>
      <c r="C11" s="101">
        <v>2</v>
      </c>
      <c r="D11" s="14" t="str">
        <f t="shared" si="4"/>
        <v>48701_2</v>
      </c>
      <c r="E11" s="4" t="str">
        <f ca="1">VLOOKUP($B11,OFFSET([2]quests!$A$1,0,0,COUNTA([2]quests!$A:$A),MATCH(E$1,[2]quests!$1:$1,0)-MATCH($B$1,[2]quests!$1:$1,0)+1),MATCH(E$1,[2]quests!$1:$1,0)-MATCH($B$1,[2]quests!$1:$1,0)+1,FALSE)</f>
        <v>M.Dragon襲来！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【ウィザード級】M.Dragon襲来</v>
      </c>
      <c r="G11" s="101">
        <v>4</v>
      </c>
      <c r="H11" s="14" t="str">
        <f t="shared" si="5"/>
        <v>48701_2-4</v>
      </c>
      <c r="I11" s="4" t="e">
        <v>#N/A</v>
      </c>
      <c r="J11" s="4" t="e">
        <v>#N/A</v>
      </c>
      <c r="K11" s="35">
        <v>3</v>
      </c>
      <c r="L11" s="35">
        <v>3</v>
      </c>
      <c r="M11" s="97">
        <v>9004</v>
      </c>
      <c r="N11" s="16" t="str">
        <f ca="1">VLOOKUP($M11,OFFSET([3]enemies!$A$1,0,0,COUNTA([3]enemies!$A:$A),MATCH(N$1,[3]enemies!$1:$1,0)-MATCH($M$1,[3]enemies!$1:$1,0)+1),MATCH(N$1,[3]enemies!$1:$1,0)-MATCH($M$1,[3]enemies!$1:$1,0)+1,FALSE)</f>
        <v>夢龍★６</v>
      </c>
      <c r="O11" s="16" t="str">
        <f ca="1">VLOOKUP($M11,OFFSET([3]enemies!$A$1,0,0,COUNTA([3]enemies!$A:$A),MATCH(O$1,[3]enemies!$1:$1,0)-MATCH($M$1,[3]enemies!$1:$1,0)+1),MATCH(O$1,[3]enemies!$1:$1,0)-MATCH($M$1,[3]enemies!$1:$1,0)+1,FALSE)</f>
        <v>green</v>
      </c>
      <c r="P11" s="16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6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6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60</v>
      </c>
      <c r="T11" s="22">
        <v>6.7</v>
      </c>
      <c r="U11" s="94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0</v>
      </c>
      <c r="V11" s="22">
        <v>1.2</v>
      </c>
      <c r="W11" s="94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0</v>
      </c>
      <c r="X11" s="5">
        <v>0</v>
      </c>
      <c r="Y11" s="4" t="e">
        <v>#N/A</v>
      </c>
      <c r="Z11" s="134">
        <v>48701019</v>
      </c>
      <c r="AA11" s="102">
        <v>2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7"/>
  <sheetViews>
    <sheetView showGridLines="0" workbookViewId="0">
      <pane xSplit="5" ySplit="1" topLeftCell="F93" activePane="bottomRight" state="frozen"/>
      <selection pane="topRight"/>
      <selection pane="bottomLeft"/>
      <selection pane="bottomRight" activeCell="E97" sqref="E97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108" bestFit="1" customWidth="1"/>
    <col min="3" max="3" width="9.6640625" style="108" customWidth="1"/>
    <col min="4" max="4" width="18.5" style="43" customWidth="1" outlineLevel="1"/>
    <col min="5" max="5" width="44.1640625" style="43" bestFit="1" customWidth="1" outlineLevel="1"/>
    <col min="6" max="6" width="10.83203125" style="108" bestFit="1" customWidth="1"/>
    <col min="7" max="7" width="8.33203125" style="108" bestFit="1" customWidth="1" outlineLevel="1"/>
    <col min="8" max="9" width="12.83203125" style="108" outlineLevel="1"/>
    <col min="10" max="10" width="17.6640625" style="108" bestFit="1" customWidth="1" outlineLevel="1"/>
    <col min="11" max="15" width="12.83203125" style="108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6" t="s">
        <v>60</v>
      </c>
      <c r="B1" s="124" t="s">
        <v>61</v>
      </c>
      <c r="C1" s="124" t="s">
        <v>62</v>
      </c>
      <c r="D1" s="38" t="s">
        <v>63</v>
      </c>
      <c r="E1" s="38" t="s">
        <v>64</v>
      </c>
      <c r="F1" s="106" t="s">
        <v>65</v>
      </c>
      <c r="G1" s="126" t="s">
        <v>66</v>
      </c>
      <c r="H1" s="126" t="s">
        <v>68</v>
      </c>
      <c r="I1" s="126" t="s">
        <v>69</v>
      </c>
      <c r="J1" s="126" t="s">
        <v>70</v>
      </c>
      <c r="K1" s="127" t="s">
        <v>71</v>
      </c>
      <c r="L1" s="127" t="s">
        <v>72</v>
      </c>
      <c r="M1" s="126" t="s">
        <v>73</v>
      </c>
      <c r="N1" s="126" t="s">
        <v>74</v>
      </c>
      <c r="O1" s="126" t="s">
        <v>75</v>
      </c>
      <c r="P1" s="38" t="s">
        <v>76</v>
      </c>
      <c r="Q1" s="38" t="s">
        <v>77</v>
      </c>
      <c r="R1" s="38" t="s">
        <v>78</v>
      </c>
    </row>
    <row r="2" spans="1:18" ht="21" customHeight="1" x14ac:dyDescent="0.15">
      <c r="A2" s="36" t="str">
        <f t="shared" ref="A2" si="0">B2&amp;"_"&amp;C2</f>
        <v>48701000_48701000</v>
      </c>
      <c r="B2" s="125">
        <v>48701000</v>
      </c>
      <c r="C2" s="125">
        <v>48701000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あ、ごめん！_x000D_ぶつかる！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" s="125">
        <v>48701000</v>
      </c>
      <c r="G2" s="107">
        <v>1</v>
      </c>
      <c r="H2" s="107">
        <v>100</v>
      </c>
      <c r="I2" s="10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10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0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0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10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10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0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1"/>
      <c r="Q2" s="41"/>
      <c r="R2" s="41"/>
    </row>
    <row r="3" spans="1:18" ht="21" customHeight="1" x14ac:dyDescent="0.15">
      <c r="A3" s="36" t="str">
        <f t="shared" ref="A3:A58" si="1">B3&amp;"_"&amp;C3</f>
        <v>48701000_48701001</v>
      </c>
      <c r="B3" s="125">
        <v>48701000</v>
      </c>
      <c r="C3" s="125">
        <v>48701001</v>
      </c>
      <c r="D3" s="40" t="str">
        <f ca="1">VLOOKUP($C3,OFFSET(enemy_skills!$A$1,0,0,COUNTA(enemy_skills!$A:$A),MATCH(D$1,enemy_skills!$1:$1,0)-MATCH("enemy_skill_id",enemy_skills!$1:$1,0)+1),MATCH(D$1,enemy_skills!$1:$1,0)-MATCH("enemy_skill_id",enemy_skills!$1:$1,0)+1,FALSE)</f>
        <v>♪〜♪♪〜</v>
      </c>
      <c r="E3" s="40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エレナはダンスを踊っている！</v>
      </c>
      <c r="F3" s="125">
        <v>48701001</v>
      </c>
      <c r="G3" s="130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130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10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10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0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0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10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10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0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1"/>
      <c r="Q3" s="41"/>
      <c r="R3" s="41"/>
    </row>
    <row r="4" spans="1:18" ht="21" customHeight="1" x14ac:dyDescent="0.15">
      <c r="A4" s="36" t="str">
        <f>B4&amp;"_"&amp;C4</f>
        <v>48701001_48701002</v>
      </c>
      <c r="B4" s="125">
        <v>48701001</v>
      </c>
      <c r="C4" s="131">
        <v>48701002</v>
      </c>
      <c r="D4" s="132" t="str">
        <f ca="1">VLOOKUP($C4,OFFSET(enemy_skills!$A$1,0,0,COUNTA(enemy_skills!$A:$A),MATCH(D$1,enemy_skills!$1:$1,0)-MATCH("enemy_skill_id",enemy_skills!$1:$1,0)+1),MATCH(D$1,enemy_skills!$1:$1,0)-MATCH("enemy_skill_id",enemy_skills!$1:$1,0)+1,FALSE)</f>
        <v>私たちM.Dragonファンクラブ！</v>
      </c>
      <c r="E4" s="132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ファンクラブに勧誘された！</v>
      </c>
      <c r="F4" s="131">
        <v>48701002</v>
      </c>
      <c r="G4" s="130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130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" s="133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133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33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33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10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133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33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1"/>
      <c r="Q4" s="41"/>
      <c r="R4" s="41"/>
    </row>
    <row r="5" spans="1:18" ht="21" customHeight="1" x14ac:dyDescent="0.15">
      <c r="A5" s="36" t="str">
        <f>B5&amp;"_"&amp;C5</f>
        <v>48701001_48701003</v>
      </c>
      <c r="B5" s="125">
        <v>48701001</v>
      </c>
      <c r="C5" s="131">
        <v>48701003</v>
      </c>
      <c r="D5" s="132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あ! あんたどこかで見覚えあるよ！</v>
      </c>
      <c r="E5" s="132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全ユニットのスキルゲージを3ターン減少</v>
      </c>
      <c r="F5" s="131">
        <v>48701900</v>
      </c>
      <c r="G5" s="130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30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5" s="13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33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3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3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0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133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5" s="13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1"/>
      <c r="Q5" s="41"/>
      <c r="R5" s="41"/>
    </row>
    <row r="6" spans="1:18" ht="21" customHeight="1" x14ac:dyDescent="0.15">
      <c r="A6" s="36" t="str">
        <f t="shared" si="1"/>
        <v>48701001_48701004</v>
      </c>
      <c r="B6" s="125">
        <v>48701001</v>
      </c>
      <c r="C6" s="125">
        <v>48701004</v>
      </c>
      <c r="D6" s="40" t="str">
        <f ca="1">VLOOKUP($C6,OFFSET(enemy_skills!$A$1,0,0,COUNTA(enemy_skills!$A:$A),MATCH(D$1,enemy_skills!$1:$1,0)-MATCH("enemy_skill_id",enemy_skills!$1:$1,0)+1),MATCH(D$1,enemy_skills!$1:$1,0)-MATCH("enemy_skill_id",enemy_skills!$1:$1,0)+1,FALSE)</f>
        <v>M.Dragonをどうするつもりなの！？</v>
      </c>
      <c r="E6" s="40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125">
        <v>48701003</v>
      </c>
      <c r="G6" s="130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30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" s="10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10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0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0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0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10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0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1"/>
      <c r="Q6" s="41"/>
      <c r="R6" s="41"/>
    </row>
    <row r="7" spans="1:18" ht="21" customHeight="1" x14ac:dyDescent="0.15">
      <c r="A7" s="36" t="str">
        <f t="shared" si="1"/>
        <v>48701002_48701005</v>
      </c>
      <c r="B7" s="125">
        <v>48701002</v>
      </c>
      <c r="C7" s="125">
        <v>48701005</v>
      </c>
      <c r="D7" s="40" t="str">
        <f ca="1">VLOOKUP($C7,OFFSET(enemy_skills!$A$1,0,0,COUNTA(enemy_skills!$A:$A),MATCH(D$1,enemy_skills!$1:$1,0)-MATCH("enemy_skill_id",enemy_skills!$1:$1,0)+1),MATCH(D$1,enemy_skills!$1:$1,0)-MATCH("enemy_skill_id",enemy_skills!$1:$1,0)+1,FALSE)</f>
        <v>M.Dragon逃げて〜！</v>
      </c>
      <c r="E7" s="40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単体攻撃_x000D_(命中したユニットに2ターン攻撃力30％DOWN）</v>
      </c>
      <c r="F7" s="125">
        <v>48701004</v>
      </c>
      <c r="G7" s="130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30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10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0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0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0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10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10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0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1"/>
      <c r="Q7" s="41"/>
      <c r="R7" s="41"/>
    </row>
    <row r="8" spans="1:18" ht="21" customHeight="1" x14ac:dyDescent="0.15">
      <c r="A8" s="36" t="str">
        <f>B8&amp;"_"&amp;C8</f>
        <v>48701003_48701006</v>
      </c>
      <c r="B8" s="125">
        <v>48701003</v>
      </c>
      <c r="C8" s="131">
        <v>48701006</v>
      </c>
      <c r="D8" s="132" t="str">
        <f ca="1">VLOOKUP($C8,OFFSET(enemy_skills!$A$1,0,0,COUNTA(enemy_skills!$A:$A),MATCH(D$1,enemy_skills!$1:$1,0)-MATCH("enemy_skill_id",enemy_skills!$1:$1,0)+1),MATCH(D$1,enemy_skills!$1:$1,0)-MATCH("enemy_skill_id",enemy_skills!$1:$1,0)+1,FALSE)</f>
        <v>私と彼の間を邪魔するなら許さないわよ…</v>
      </c>
      <c r="E8" s="132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131">
        <v>48701005</v>
      </c>
      <c r="G8" s="130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130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8" s="133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33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33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33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10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133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33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1"/>
      <c r="Q8" s="41"/>
      <c r="R8" s="41"/>
    </row>
    <row r="9" spans="1:18" ht="21" customHeight="1" x14ac:dyDescent="0.15">
      <c r="A9" s="36" t="str">
        <f>B9&amp;"_"&amp;C9</f>
        <v>48701003_48701007</v>
      </c>
      <c r="B9" s="125">
        <v>48701003</v>
      </c>
      <c r="C9" s="131">
        <v>48701007</v>
      </c>
      <c r="D9" s="132" t="str">
        <f ca="1">VLOOKUP($C9,OFFSET(enemy_skills!$A$1,0,0,COUNTA(enemy_skills!$A:$A),MATCH(D$1,enemy_skills!$1:$1,0)-MATCH("enemy_skill_id",enemy_skills!$1:$1,0)+1),MATCH(D$1,enemy_skills!$1:$1,0)-MATCH("enemy_skill_id",enemy_skills!$1:$1,0)+1,FALSE)</f>
        <v>春香さん！？_x000D_M.Dragonは渡さないわ！</v>
      </c>
      <c r="E9" s="132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" s="131">
        <v>48701900</v>
      </c>
      <c r="G9" s="130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130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9" s="133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33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33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33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0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133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9" s="133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1"/>
      <c r="Q9" s="41"/>
      <c r="R9" s="41"/>
    </row>
    <row r="10" spans="1:18" ht="21" customHeight="1" x14ac:dyDescent="0.15">
      <c r="A10" s="36" t="str">
        <f t="shared" si="1"/>
        <v>48701003_48701008</v>
      </c>
      <c r="B10" s="125">
        <v>48701003</v>
      </c>
      <c r="C10" s="125">
        <v>48701008</v>
      </c>
      <c r="D10" s="40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私がM.Dragonファンクラブのリーダーよ！</v>
      </c>
      <c r="E10" s="40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全体攻撃+_x000D_1ターン全ユニットの攻撃力30％DOWN</v>
      </c>
      <c r="F10" s="125">
        <v>48701006</v>
      </c>
      <c r="G10" s="130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30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" s="10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0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0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0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0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10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0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1"/>
      <c r="Q10" s="41"/>
      <c r="R10" s="41"/>
    </row>
    <row r="11" spans="1:18" ht="21" customHeight="1" x14ac:dyDescent="0.15">
      <c r="A11" s="36" t="str">
        <f t="shared" si="1"/>
        <v>48701003_48701009</v>
      </c>
      <c r="B11" s="125">
        <v>48701003</v>
      </c>
      <c r="C11" s="125">
        <v>48701009</v>
      </c>
      <c r="D11" s="40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帰って！！</v>
      </c>
      <c r="E11" s="40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125">
        <v>48701007</v>
      </c>
      <c r="G11" s="130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30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1" s="10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0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0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0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0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10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0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1"/>
      <c r="Q11" s="41"/>
      <c r="R11" s="41"/>
    </row>
    <row r="12" spans="1:18" ht="21" customHeight="1" x14ac:dyDescent="0.15">
      <c r="A12" s="36" t="str">
        <f t="shared" si="1"/>
        <v>48701003_48701010</v>
      </c>
      <c r="B12" s="125">
        <v>48701003</v>
      </c>
      <c r="C12" s="125">
        <v>48701010</v>
      </c>
      <c r="D12" s="40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しつこいわね！！</v>
      </c>
      <c r="E12" s="40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2" s="125">
        <v>48701008</v>
      </c>
      <c r="G12" s="130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30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2" s="10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0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0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0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10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10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0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1"/>
      <c r="Q12" s="41"/>
      <c r="R12" s="41"/>
    </row>
    <row r="13" spans="1:18" ht="21" customHeight="1" x14ac:dyDescent="0.15">
      <c r="A13" s="36" t="str">
        <f t="shared" si="1"/>
        <v>48701004_48701011</v>
      </c>
      <c r="B13" s="125">
        <v>48701004</v>
      </c>
      <c r="C13" s="131">
        <v>48701011</v>
      </c>
      <c r="D13" s="13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ほら！ショーが始まるから大人しくしてて！</v>
      </c>
      <c r="E13" s="13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状態異常耐性+3ターン暗闇</v>
      </c>
      <c r="F13" s="131">
        <v>48701009</v>
      </c>
      <c r="G13" s="130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30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3" s="133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33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33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33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0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133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33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1"/>
      <c r="Q13" s="41"/>
      <c r="R13" s="41"/>
    </row>
    <row r="14" spans="1:18" ht="21" customHeight="1" x14ac:dyDescent="0.15">
      <c r="A14" s="36" t="str">
        <f>B14&amp;"_"&amp;C14</f>
        <v>48701004_48701012</v>
      </c>
      <c r="B14" s="125">
        <v>48701004</v>
      </c>
      <c r="C14" s="131">
        <v>48701012</v>
      </c>
      <c r="D14" s="13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M.Dragonは私たちのアイドルなの…！</v>
      </c>
      <c r="E14" s="13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状態異常耐性+3ターン暗闇</v>
      </c>
      <c r="F14" s="131">
        <v>48701900</v>
      </c>
      <c r="G14" s="130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30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4" s="133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33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33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33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0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133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14" s="133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1"/>
      <c r="Q14" s="41"/>
      <c r="R14" s="41"/>
    </row>
    <row r="15" spans="1:18" ht="21" customHeight="1" x14ac:dyDescent="0.15">
      <c r="A15" s="36" t="str">
        <f t="shared" si="1"/>
        <v>48701004_48701013</v>
      </c>
      <c r="B15" s="125">
        <v>48701004</v>
      </c>
      <c r="C15" s="125">
        <v>48701013</v>
      </c>
      <c r="D15" s="40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私の方がM.Dragonを愛してるわ！</v>
      </c>
      <c r="E15" s="40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全体攻撃+_x000D_1ターン全ユニットの攻撃力50％DOWN+_x000D_緑パネルを先頭ユニットのCパネルに変換</v>
      </c>
      <c r="F15" s="125">
        <v>48701010</v>
      </c>
      <c r="G15" s="130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130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5" s="10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5" s="10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10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0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10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10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0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5" s="41"/>
      <c r="Q15" s="41"/>
      <c r="R15" s="41"/>
    </row>
    <row r="16" spans="1:18" ht="21" customHeight="1" x14ac:dyDescent="0.15">
      <c r="A16" s="36" t="str">
        <f t="shared" si="1"/>
        <v>48701004_48701014</v>
      </c>
      <c r="B16" s="125">
        <v>48701004</v>
      </c>
      <c r="C16" s="125">
        <v>48701014</v>
      </c>
      <c r="D16" s="40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ブルーペンライト！</v>
      </c>
      <c r="E16" s="40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青パネルを青の時限式ダメージパネルに5個変換+_x000D_クリティカル！</v>
      </c>
      <c r="F16" s="125">
        <v>48701011</v>
      </c>
      <c r="G16" s="130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130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6" s="10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10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10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10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10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10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10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1"/>
      <c r="Q16" s="41"/>
      <c r="R16" s="41"/>
    </row>
    <row r="17" spans="1:18" ht="21" customHeight="1" x14ac:dyDescent="0.15">
      <c r="A17" s="36" t="str">
        <f t="shared" si="1"/>
        <v>48701004_48701015</v>
      </c>
      <c r="B17" s="125">
        <v>48701004</v>
      </c>
      <c r="C17" s="125">
        <v>48701015</v>
      </c>
      <c r="D17" s="40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グリーンペンライト！</v>
      </c>
      <c r="E17" s="40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緑パネルを緑の時限式ダメージパネルに5個変換+_x000D_クリティカル！</v>
      </c>
      <c r="F17" s="125">
        <v>48701012</v>
      </c>
      <c r="G17" s="130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30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7" s="10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0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0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0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10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10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0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1"/>
      <c r="Q17" s="41"/>
      <c r="R17" s="41"/>
    </row>
    <row r="18" spans="1:18" ht="21" customHeight="1" x14ac:dyDescent="0.15">
      <c r="A18" s="36" t="str">
        <f t="shared" si="1"/>
        <v>48701054_48701016</v>
      </c>
      <c r="B18" s="125">
        <v>48701054</v>
      </c>
      <c r="C18" s="128">
        <v>48701016</v>
      </c>
      <c r="D18" s="129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お願い…彼に私の愛を伝えて…</v>
      </c>
      <c r="E18" s="129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</v>
      </c>
      <c r="F18" s="128">
        <v>48701009</v>
      </c>
      <c r="G18" s="130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130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8" s="130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30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30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30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0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130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30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1"/>
      <c r="Q18" s="41"/>
      <c r="R18" s="41"/>
    </row>
    <row r="19" spans="1:18" ht="21" customHeight="1" x14ac:dyDescent="0.15">
      <c r="A19" s="36" t="str">
        <f>B19&amp;"_"&amp;C19</f>
        <v>48701054_48701017</v>
      </c>
      <c r="B19" s="125">
        <v>48701054</v>
      </c>
      <c r="C19" s="128">
        <v>48701017</v>
      </c>
      <c r="D19" s="129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春香さんならM.Dragonを幸せにできるかな…</v>
      </c>
      <c r="E19" s="129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属性パネルを赤ボムパネルに10個変換</v>
      </c>
      <c r="F19" s="128">
        <v>48701900</v>
      </c>
      <c r="G19" s="130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130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9" s="130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30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30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30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10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130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19" s="130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1"/>
      <c r="Q19" s="41"/>
      <c r="R19" s="41"/>
    </row>
    <row r="20" spans="1:18" ht="21" customHeight="1" x14ac:dyDescent="0.15">
      <c r="A20" s="36" t="str">
        <f t="shared" si="1"/>
        <v>48701005_48701018</v>
      </c>
      <c r="B20" s="125">
        <v>48701005</v>
      </c>
      <c r="C20" s="131">
        <v>48701018</v>
      </c>
      <c r="D20" s="13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それ、僕にくれるのかい？</v>
      </c>
      <c r="E20" s="13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状態異常耐性+1ターン攻撃頻度UP+_x000D_1ターンハートパネルを吸収して攻撃力UP</v>
      </c>
      <c r="F20" s="131">
        <v>48701014</v>
      </c>
      <c r="G20" s="130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130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0" s="133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33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33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33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10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133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33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1"/>
      <c r="Q20" s="41"/>
      <c r="R20" s="41"/>
    </row>
    <row r="21" spans="1:18" ht="21" customHeight="1" x14ac:dyDescent="0.15">
      <c r="A21" s="36" t="str">
        <f>B21&amp;"_"&amp;C21</f>
        <v>48701005_48701019</v>
      </c>
      <c r="B21" s="125">
        <v>48701005</v>
      </c>
      <c r="C21" s="131">
        <v>48701019</v>
      </c>
      <c r="D21" s="13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春香…？ごめんね。_x000D_売れてないアイドルは知らないんだ…</v>
      </c>
      <c r="E21" s="13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状態異常耐性+1ターン攻撃頻度UP+_x000D_1ターンハートパネルを吸収して攻撃力UP</v>
      </c>
      <c r="F21" s="131">
        <v>48701900</v>
      </c>
      <c r="G21" s="130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130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1" s="133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33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33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33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0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133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21" s="133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1"/>
      <c r="Q21" s="41"/>
      <c r="R21" s="41"/>
    </row>
    <row r="22" spans="1:18" ht="21" customHeight="1" x14ac:dyDescent="0.15">
      <c r="A22" s="36" t="str">
        <f t="shared" ref="A22" si="2">B22&amp;"_"&amp;C22</f>
        <v>48701005_48701520</v>
      </c>
      <c r="B22" s="125">
        <v>48701005</v>
      </c>
      <c r="C22" s="125">
        <v>48701520</v>
      </c>
      <c r="D22" s="40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やあ、僕の演奏を聴きに来たのかい？</v>
      </c>
      <c r="E22" s="40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全体攻撃+_x000D_属性パネルを緑の時限式ダメージパネルに2個変換</v>
      </c>
      <c r="F22" s="125">
        <v>48701115</v>
      </c>
      <c r="G22" s="130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30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22" s="10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0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10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0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0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10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0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1"/>
      <c r="Q22" s="41"/>
      <c r="R22" s="41"/>
    </row>
    <row r="23" spans="1:18" ht="21" customHeight="1" x14ac:dyDescent="0.15">
      <c r="A23" s="36" t="str">
        <f t="shared" si="1"/>
        <v>48701005_48701020</v>
      </c>
      <c r="B23" s="125">
        <v>48701005</v>
      </c>
      <c r="C23" s="125">
        <v>48701020</v>
      </c>
      <c r="D23" s="40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ブルーホイッスル</v>
      </c>
      <c r="E23" s="40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赤パネルを青の時限式ダメージパネルに2個変換+_x000D_青パネルを吸収して攻撃</v>
      </c>
      <c r="F23" s="125">
        <v>48701015</v>
      </c>
      <c r="G23" s="130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130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3" s="10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3" s="10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0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0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10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10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0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3" s="41"/>
      <c r="Q23" s="41"/>
      <c r="R23" s="41"/>
    </row>
    <row r="24" spans="1:18" ht="21" customHeight="1" x14ac:dyDescent="0.15">
      <c r="A24" s="36" t="str">
        <f t="shared" si="1"/>
        <v>48701005_48701021</v>
      </c>
      <c r="B24" s="125">
        <v>48701005</v>
      </c>
      <c r="C24" s="125">
        <v>48701021</v>
      </c>
      <c r="D24" s="40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グリーンホイッスル</v>
      </c>
      <c r="E24" s="40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黄パネルを緑の時限式ダメージパネルに2個変換+_x000D_緑パネルを吸収して攻撃</v>
      </c>
      <c r="F24" s="125">
        <v>48701016</v>
      </c>
      <c r="G24" s="130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30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4" s="10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4" s="10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0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0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10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10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0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4" s="41"/>
      <c r="Q24" s="41"/>
      <c r="R24" s="41"/>
    </row>
    <row r="25" spans="1:18" ht="21" customHeight="1" x14ac:dyDescent="0.15">
      <c r="A25" s="36" t="str">
        <f t="shared" si="1"/>
        <v>48701005_48701022</v>
      </c>
      <c r="B25" s="125">
        <v>48701005</v>
      </c>
      <c r="C25" s="125">
        <v>48701022</v>
      </c>
      <c r="D25" s="40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僕の演奏を楽しんでよ！</v>
      </c>
      <c r="E25" s="40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属性パネルプロテクト(最大7個)+_x000D_クリティカル！</v>
      </c>
      <c r="F25" s="125">
        <v>48701017</v>
      </c>
      <c r="G25" s="130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130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25" s="10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34</v>
      </c>
      <c r="J25" s="10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0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0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10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10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0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34</v>
      </c>
      <c r="P25" s="41"/>
      <c r="Q25" s="41"/>
      <c r="R25" s="41"/>
    </row>
    <row r="26" spans="1:18" ht="21" customHeight="1" x14ac:dyDescent="0.15">
      <c r="A26" s="36" t="str">
        <f t="shared" si="1"/>
        <v>48701006_48701023</v>
      </c>
      <c r="B26" s="125">
        <v>48701006</v>
      </c>
      <c r="C26" s="131">
        <v>48701023</v>
      </c>
      <c r="D26" s="13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M.Dragonより僕の方がかっこいいよ！</v>
      </c>
      <c r="E26" s="13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状態異常耐性+_x000D_赤パネルドロップ率DOWN</v>
      </c>
      <c r="F26" s="131">
        <v>48701018</v>
      </c>
      <c r="G26" s="130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30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6" s="133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33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33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0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0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133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133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1"/>
      <c r="Q26" s="41"/>
      <c r="R26" s="41"/>
    </row>
    <row r="27" spans="1:18" ht="20" customHeight="1" x14ac:dyDescent="0.15">
      <c r="A27" s="36" t="str">
        <f>B27&amp;"_"&amp;C27</f>
        <v>48701006_48701024</v>
      </c>
      <c r="B27" s="125">
        <v>48701006</v>
      </c>
      <c r="C27" s="131">
        <v>48701024</v>
      </c>
      <c r="D27" s="13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M.Dragonなんかより僕と遊ぼうよ！</v>
      </c>
      <c r="E27" s="13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状態異常耐性+_x000D_赤パネルドロップ率DOWN</v>
      </c>
      <c r="F27" s="131">
        <v>48701900</v>
      </c>
      <c r="G27" s="130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130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7" s="133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33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33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0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10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133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27" s="133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1"/>
      <c r="Q27" s="41"/>
      <c r="R27" s="41"/>
    </row>
    <row r="28" spans="1:18" ht="21" customHeight="1" x14ac:dyDescent="0.15">
      <c r="A28" s="36" t="str">
        <f t="shared" si="1"/>
        <v>48701006_48701025</v>
      </c>
      <c r="B28" s="125">
        <v>48701006</v>
      </c>
      <c r="C28" s="125">
        <v>48701025</v>
      </c>
      <c r="D28" s="40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僕たちは良きライバルなんだ…</v>
      </c>
      <c r="E28" s="40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28" s="125">
        <v>48701019</v>
      </c>
      <c r="G28" s="130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30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8" s="10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10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0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0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10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10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0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1"/>
      <c r="Q28" s="41"/>
      <c r="R28" s="41"/>
    </row>
    <row r="29" spans="1:18" ht="21" customHeight="1" x14ac:dyDescent="0.15">
      <c r="A29" s="36" t="str">
        <f t="shared" si="1"/>
        <v>48701006_48701026</v>
      </c>
      <c r="B29" s="125">
        <v>48701006</v>
      </c>
      <c r="C29" s="125">
        <v>48701026</v>
      </c>
      <c r="D29" s="40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彼を連れて行かないでくれっ！</v>
      </c>
      <c r="E29" s="40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青パネル&amp;緑パネルプロテクト(最大5個ずつ)</v>
      </c>
      <c r="F29" s="125">
        <v>48701020</v>
      </c>
      <c r="G29" s="130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130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9" s="10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0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0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0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10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10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0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1"/>
      <c r="Q29" s="41"/>
      <c r="R29" s="41"/>
    </row>
    <row r="30" spans="1:18" ht="21" customHeight="1" x14ac:dyDescent="0.15">
      <c r="A30" s="36" t="str">
        <f t="shared" si="1"/>
        <v>48701006_48701027</v>
      </c>
      <c r="B30" s="125">
        <v>48701006</v>
      </c>
      <c r="C30" s="125">
        <v>48701027</v>
      </c>
      <c r="D30" s="40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行かせないよっ！</v>
      </c>
      <c r="E30" s="40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3回連続攻撃_x000D_(命中したユニットに3ターン回復力50％DOWN）</v>
      </c>
      <c r="F30" s="125">
        <v>48701021</v>
      </c>
      <c r="G30" s="130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30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0" s="10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0" s="10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0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0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10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10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0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0" s="41"/>
      <c r="Q30" s="41"/>
      <c r="R30" s="41"/>
    </row>
    <row r="31" spans="1:18" ht="21" customHeight="1" x14ac:dyDescent="0.15">
      <c r="A31" s="36" t="str">
        <f t="shared" si="1"/>
        <v>48701006_48701028</v>
      </c>
      <c r="B31" s="125">
        <v>48701006</v>
      </c>
      <c r="C31" s="125">
        <v>48701028</v>
      </c>
      <c r="D31" s="40" t="str">
        <f ca="1">VLOOKUP($C31,OFFSET(enemy_skills!$A$1,0,0,COUNTA(enemy_skills!$A:$A),MATCH(D$1,enemy_skills!$1:$1,0)-MATCH("enemy_skill_id",enemy_skills!$1:$1,0)+1),MATCH(D$1,enemy_skills!$1:$1,0)-MATCH("enemy_skill_id",enemy_skills!$1:$1,0)+1,FALSE)</f>
        <v>triad harmony</v>
      </c>
      <c r="E31" s="40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黄パネルを黄の時限式ダメージパネルに3個変換+_x000D_クリティカル！</v>
      </c>
      <c r="F31" s="125">
        <v>48701022</v>
      </c>
      <c r="G31" s="130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30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31" s="10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10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0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0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10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10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0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1"/>
      <c r="Q31" s="41"/>
      <c r="R31" s="41"/>
    </row>
    <row r="32" spans="1:18" ht="21" customHeight="1" x14ac:dyDescent="0.15">
      <c r="A32" s="36" t="str">
        <f t="shared" si="1"/>
        <v>48701006_48701029</v>
      </c>
      <c r="B32" s="125">
        <v>48701006</v>
      </c>
      <c r="C32" s="125">
        <v>48701029</v>
      </c>
      <c r="D32" s="40" t="str">
        <f ca="1">VLOOKUP($C32,OFFSET(enemy_skills!$A$1,0,0,COUNTA(enemy_skills!$A:$A),MATCH(D$1,enemy_skills!$1:$1,0)-MATCH("enemy_skill_id",enemy_skills!$1:$1,0)+1),MATCH(D$1,enemy_skills!$1:$1,0)-MATCH("enemy_skill_id",enemy_skills!$1:$1,0)+1,FALSE)</f>
        <v>tremolo noise</v>
      </c>
      <c r="E32" s="40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2" s="125">
        <v>48701023</v>
      </c>
      <c r="G32" s="130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30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32" s="10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0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0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0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10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10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0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1"/>
      <c r="Q32" s="41"/>
      <c r="R32" s="41"/>
    </row>
    <row r="33" spans="1:18" ht="21" customHeight="1" x14ac:dyDescent="0.15">
      <c r="A33" s="36" t="str">
        <f t="shared" si="1"/>
        <v>48701007_48701030</v>
      </c>
      <c r="B33" s="125">
        <v>48701007</v>
      </c>
      <c r="C33" s="131">
        <v>48701030</v>
      </c>
      <c r="D33" s="13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ボクを連れ戻しに来たって？</v>
      </c>
      <c r="E33" s="13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状態異常耐性+2ターン攻撃頻度UP+_x000D_1ターン青パネルドロップ率UP</v>
      </c>
      <c r="F33" s="131">
        <v>48701024</v>
      </c>
      <c r="G33" s="130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130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3" s="133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33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133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0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10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133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33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1"/>
      <c r="Q33" s="41"/>
      <c r="R33" s="41"/>
    </row>
    <row r="34" spans="1:18" ht="21" customHeight="1" x14ac:dyDescent="0.15">
      <c r="A34" s="36" t="str">
        <f>B34&amp;"_"&amp;C34</f>
        <v>48701007_48701031</v>
      </c>
      <c r="B34" s="125">
        <v>48701007</v>
      </c>
      <c r="C34" s="131">
        <v>48701031</v>
      </c>
      <c r="D34" s="13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わ！なんで春香がここに！</v>
      </c>
      <c r="E34" s="13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状態異常耐性+2ターン攻撃頻度UP+_x000D_1ターン青パネルドロップ率UP</v>
      </c>
      <c r="F34" s="131">
        <v>48701900</v>
      </c>
      <c r="G34" s="130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130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34" s="133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133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133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10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10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133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34" s="133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1"/>
      <c r="Q34" s="41"/>
      <c r="R34" s="41"/>
    </row>
    <row r="35" spans="1:18" ht="21" customHeight="1" x14ac:dyDescent="0.15">
      <c r="A35" s="36" t="str">
        <f t="shared" si="1"/>
        <v>48701007_48701032</v>
      </c>
      <c r="B35" s="125">
        <v>48701007</v>
      </c>
      <c r="C35" s="125">
        <v>48701032</v>
      </c>
      <c r="D35" s="4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ついにボクは夢を叶えたんだ！</v>
      </c>
      <c r="E35" s="4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3ターン暗闇+_x000D_青パネルを青の時限式ダメージパネルに変換</v>
      </c>
      <c r="F35" s="125">
        <v>48701025</v>
      </c>
      <c r="G35" s="130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30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5" s="10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10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0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0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10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10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0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1"/>
      <c r="Q35" s="41"/>
      <c r="R35" s="41"/>
    </row>
    <row r="36" spans="1:18" ht="21" customHeight="1" x14ac:dyDescent="0.15">
      <c r="A36" s="36" t="str">
        <f t="shared" si="1"/>
        <v>48701007_48701033</v>
      </c>
      <c r="B36" s="125">
        <v>48701007</v>
      </c>
      <c r="C36" s="125">
        <v>48701033</v>
      </c>
      <c r="D36" s="40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絶対帰らないよ！</v>
      </c>
      <c r="E36" s="40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36" s="125">
        <v>48701026</v>
      </c>
      <c r="G36" s="130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130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6" s="10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10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0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0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10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10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0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1"/>
      <c r="Q36" s="41"/>
      <c r="R36" s="41"/>
    </row>
    <row r="37" spans="1:18" ht="21" customHeight="1" x14ac:dyDescent="0.15">
      <c r="A37" s="36" t="str">
        <f t="shared" si="1"/>
        <v>48701007_48701034</v>
      </c>
      <c r="B37" s="125">
        <v>48701007</v>
      </c>
      <c r="C37" s="125">
        <v>48701034</v>
      </c>
      <c r="D37" s="40" t="str">
        <f ca="1">VLOOKUP($C37,OFFSET(enemy_skills!$A$1,0,0,COUNTA(enemy_skills!$A:$A),MATCH(D$1,enemy_skills!$1:$1,0)-MATCH("enemy_skill_id",enemy_skills!$1:$1,0)+1),MATCH(D$1,enemy_skills!$1:$1,0)-MATCH("enemy_skill_id",enemy_skills!$1:$1,0)+1,FALSE)</f>
        <v>TWO OF A KIND</v>
      </c>
      <c r="E37" s="40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全体攻撃+_x000D_2ターン全ユニットの攻撃力20％DOWN</v>
      </c>
      <c r="F37" s="125">
        <v>48701027</v>
      </c>
      <c r="G37" s="130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30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7" s="10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7" s="10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0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0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10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10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10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7" s="41"/>
      <c r="Q37" s="41"/>
      <c r="R37" s="41"/>
    </row>
    <row r="38" spans="1:18" ht="21" customHeight="1" x14ac:dyDescent="0.15">
      <c r="A38" s="36" t="str">
        <f t="shared" si="1"/>
        <v>48701007_48701035</v>
      </c>
      <c r="B38" s="125">
        <v>48701007</v>
      </c>
      <c r="C38" s="125">
        <v>48701035</v>
      </c>
      <c r="D38" s="40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さあボクのショーを楽しんで！</v>
      </c>
      <c r="E38" s="40" t="str">
        <f ca="1">VLOOKUP($C38,OFFSET(enemy_skills!$A$1,0,0,COUNTA(enemy_skills!$A:$A),MATCH(E$1,enemy_skills!$1:$1,0)-MATCH("enemy_skill_id",enemy_skills!$1:$1,0)+1),MATCH(E$1,enemy_skills!$1:$1,0)-MATCH("enemy_skill_id",enemy_skills!$1:$1,0)+1,FALSE)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8" s="125">
        <v>48701028</v>
      </c>
      <c r="G38" s="130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130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38" s="10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10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0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0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10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10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0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1"/>
      <c r="Q38" s="41"/>
      <c r="R38" s="41"/>
    </row>
    <row r="39" spans="1:18" ht="21" customHeight="1" x14ac:dyDescent="0.15">
      <c r="A39" s="36" t="str">
        <f t="shared" si="1"/>
        <v>48701008_48701036</v>
      </c>
      <c r="B39" s="125">
        <v>48701008</v>
      </c>
      <c r="C39" s="131">
        <v>48701036</v>
      </c>
      <c r="D39" s="13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ボクはアイドルになったんだ！</v>
      </c>
      <c r="E39" s="13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状態異常耐性+_x000D_4ターン全ユニットのタップ回数を1DOWN</v>
      </c>
      <c r="F39" s="131">
        <v>48701029</v>
      </c>
      <c r="G39" s="130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130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9" s="133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33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133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0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10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133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133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1"/>
      <c r="Q39" s="41"/>
      <c r="R39" s="41"/>
    </row>
    <row r="40" spans="1:18" ht="21" customHeight="1" x14ac:dyDescent="0.15">
      <c r="A40" s="36" t="str">
        <f>B40&amp;"_"&amp;C40</f>
        <v>48701008_48701037</v>
      </c>
      <c r="B40" s="125">
        <v>48701008</v>
      </c>
      <c r="C40" s="131">
        <v>48701037</v>
      </c>
      <c r="D40" s="13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ボクはアイドルになったんだ！</v>
      </c>
      <c r="E40" s="13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状態異常耐性+_x000D_4ターン全ユニットのタップ回数を1DOWN</v>
      </c>
      <c r="F40" s="131">
        <v>48701900</v>
      </c>
      <c r="G40" s="130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130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40" s="133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33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33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0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10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133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40" s="133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1"/>
      <c r="Q40" s="41"/>
      <c r="R40" s="41"/>
    </row>
    <row r="41" spans="1:18" ht="21" customHeight="1" x14ac:dyDescent="0.15">
      <c r="A41" s="36" t="str">
        <f t="shared" si="1"/>
        <v>48701008_48701038</v>
      </c>
      <c r="B41" s="125">
        <v>48701008</v>
      </c>
      <c r="C41" s="125">
        <v>48701038</v>
      </c>
      <c r="D41" s="40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もう帰ってくれ！</v>
      </c>
      <c r="E41" s="40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黄パネルプロテクト+_x000D_青パネルを青の時限式ダメージパネルに変換</v>
      </c>
      <c r="F41" s="125">
        <v>48701030</v>
      </c>
      <c r="G41" s="130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130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1" s="10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10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0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0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10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1" s="10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10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1"/>
      <c r="Q41" s="41"/>
      <c r="R41" s="41"/>
    </row>
    <row r="42" spans="1:18" ht="21" customHeight="1" x14ac:dyDescent="0.15">
      <c r="A42" s="36" t="str">
        <f t="shared" si="1"/>
        <v>48701008_48701039</v>
      </c>
      <c r="B42" s="125">
        <v>48701008</v>
      </c>
      <c r="C42" s="125">
        <v>48701039</v>
      </c>
      <c r="D42" s="40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帰らないって言ってるだろ！</v>
      </c>
      <c r="E42" s="40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1ターン暗闇+クリティカル！</v>
      </c>
      <c r="F42" s="125">
        <v>48701031</v>
      </c>
      <c r="G42" s="130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30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42" s="10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0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0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0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10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10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10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1"/>
      <c r="Q42" s="41"/>
      <c r="R42" s="41"/>
    </row>
    <row r="43" spans="1:18" ht="21" customHeight="1" x14ac:dyDescent="0.15">
      <c r="A43" s="36" t="str">
        <f t="shared" si="1"/>
        <v>48701008_48701040</v>
      </c>
      <c r="B43" s="125">
        <v>48701008</v>
      </c>
      <c r="C43" s="125">
        <v>48701040</v>
      </c>
      <c r="D43" s="40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しつこいぞ！</v>
      </c>
      <c r="E43" s="40" t="str">
        <f ca="1">VLOOKUP($C43,OFFSET(enemy_skills!$A$1,0,0,COUNTA(enemy_skills!$A:$A),MATCH(E$1,enemy_skills!$1:$1,0)-MATCH("enemy_skill_id",enemy_skills!$1:$1,0)+1),MATCH(E$1,enemy_skills!$1:$1,0)-MATCH("enemy_skill_id",enemy_skills!$1:$1,0)+1,FALSE)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3" s="125">
        <v>48701032</v>
      </c>
      <c r="G43" s="130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130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43" s="10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0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0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0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10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10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0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1"/>
      <c r="Q43" s="41"/>
      <c r="R43" s="41"/>
    </row>
    <row r="44" spans="1:18" ht="21" customHeight="1" x14ac:dyDescent="0.15">
      <c r="A44" s="36" t="str">
        <f t="shared" si="1"/>
        <v>48701009_48701041</v>
      </c>
      <c r="B44" s="125">
        <v>48701009</v>
      </c>
      <c r="C44" s="131">
        <v>48701041</v>
      </c>
      <c r="D44" s="13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ボクを連れ戻したいならショーを見てからだ！</v>
      </c>
      <c r="E44" s="13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状態異常耐性+4ターン攻撃頻度UP+_x000D_2ターン全ユニットの回復力50％DOWN</v>
      </c>
      <c r="F44" s="131">
        <v>48701033</v>
      </c>
      <c r="G44" s="130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130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4" s="133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133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133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0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10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133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133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1"/>
      <c r="Q44" s="41"/>
      <c r="R44" s="41"/>
    </row>
    <row r="45" spans="1:18" ht="21" customHeight="1" x14ac:dyDescent="0.15">
      <c r="A45" s="36" t="str">
        <f>B45&amp;"_"&amp;C45</f>
        <v>48701009_48701042</v>
      </c>
      <c r="B45" s="125">
        <v>48701009</v>
      </c>
      <c r="C45" s="131">
        <v>48701042</v>
      </c>
      <c r="D45" s="13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春香のことは忘れてないよ_x000D_でもボクはスーパーアイドルなんだ！</v>
      </c>
      <c r="E45" s="13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状態異常耐性+4ターン攻撃頻度UP+_x000D_緑パネルを先頭ユニットのCパネルに変換</v>
      </c>
      <c r="F45" s="131">
        <v>48701900</v>
      </c>
      <c r="G45" s="130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130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45" s="133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33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33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0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10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133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45" s="133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1"/>
      <c r="Q45" s="41"/>
      <c r="R45" s="41"/>
    </row>
    <row r="46" spans="1:18" ht="21" customHeight="1" x14ac:dyDescent="0.15">
      <c r="A46" s="36" t="str">
        <f t="shared" si="1"/>
        <v>48701009_48701043</v>
      </c>
      <c r="B46" s="125">
        <v>48701009</v>
      </c>
      <c r="C46" s="125">
        <v>48701043</v>
      </c>
      <c r="D46" s="40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さあショーの始まりだ！！</v>
      </c>
      <c r="E46" s="40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全体攻撃+_x000D_属性パネルを緑の時限式ダメージパネルに8個変換</v>
      </c>
      <c r="F46" s="125">
        <v>48701034</v>
      </c>
      <c r="G46" s="130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30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6" s="10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0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10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0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0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10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0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1"/>
      <c r="Q46" s="41"/>
      <c r="R46" s="41"/>
    </row>
    <row r="47" spans="1:18" ht="21" customHeight="1" x14ac:dyDescent="0.15">
      <c r="A47" s="36" t="str">
        <f t="shared" si="1"/>
        <v>48701009_48701044</v>
      </c>
      <c r="B47" s="125">
        <v>48701009</v>
      </c>
      <c r="C47" s="125">
        <v>48701044</v>
      </c>
      <c r="D47" s="40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ステージ暗転！</v>
      </c>
      <c r="E47" s="40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2ターン暗闇+_x000D_2ターンタップ回数を1DOWN</v>
      </c>
      <c r="F47" s="125">
        <v>48701035</v>
      </c>
      <c r="G47" s="130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30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47" s="10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07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7" s="10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0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0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10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0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1"/>
      <c r="Q47" s="41"/>
      <c r="R47" s="41"/>
    </row>
    <row r="48" spans="1:18" ht="21" customHeight="1" x14ac:dyDescent="0.15">
      <c r="A48" s="36" t="str">
        <f t="shared" si="1"/>
        <v>48701009_48701045</v>
      </c>
      <c r="B48" s="125">
        <v>48701009</v>
      </c>
      <c r="C48" s="125">
        <v>48701045</v>
      </c>
      <c r="D48" s="40" t="str">
        <f ca="1">VLOOKUP($C48,OFFSET(enemy_skills!$A$1,0,0,COUNTA(enemy_skills!$A:$A),MATCH(D$1,enemy_skills!$1:$1,0)-MATCH("enemy_skill_id",enemy_skills!$1:$1,0)+1),MATCH(D$1,enemy_skills!$1:$1,0)-MATCH("enemy_skill_id",enemy_skills!$1:$1,0)+1,FALSE)</f>
        <v>魅惑の美声</v>
      </c>
      <c r="E48" s="40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黄パネルプロテクト（最大4個）+クリティカル！</v>
      </c>
      <c r="F48" s="125">
        <v>48701036</v>
      </c>
      <c r="G48" s="130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130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48" s="10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0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10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0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10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10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10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1"/>
      <c r="Q48" s="41"/>
      <c r="R48" s="41"/>
    </row>
    <row r="49" spans="1:18" ht="21" customHeight="1" x14ac:dyDescent="0.15">
      <c r="A49" s="36" t="str">
        <f t="shared" si="1"/>
        <v>48701009_48701046</v>
      </c>
      <c r="B49" s="125">
        <v>48701009</v>
      </c>
      <c r="C49" s="125">
        <v>48701046</v>
      </c>
      <c r="D49" s="40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パーフェクトダンス</v>
      </c>
      <c r="E49" s="40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青パネルプロテクト（最大4個）+クリティカル！</v>
      </c>
      <c r="F49" s="125">
        <v>48701037</v>
      </c>
      <c r="G49" s="130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130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49" s="10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10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10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0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107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10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10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1"/>
      <c r="Q49" s="41"/>
      <c r="R49" s="41"/>
    </row>
    <row r="50" spans="1:18" ht="21" customHeight="1" x14ac:dyDescent="0.15">
      <c r="A50" s="36" t="str">
        <f t="shared" si="1"/>
        <v>48701009_48701047</v>
      </c>
      <c r="B50" s="125">
        <v>48701009</v>
      </c>
      <c r="C50" s="125">
        <v>48701047</v>
      </c>
      <c r="D50" s="40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ボクはスーパーアイドルになれたんだ…</v>
      </c>
      <c r="E50" s="40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0" s="125">
        <v>48701038</v>
      </c>
      <c r="G50" s="130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130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50" s="10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10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0" s="10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0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10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10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10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41"/>
      <c r="Q50" s="41"/>
      <c r="R50" s="41"/>
    </row>
    <row r="51" spans="1:18" ht="21" customHeight="1" x14ac:dyDescent="0.15">
      <c r="A51" s="36" t="str">
        <f t="shared" si="1"/>
        <v>48701009_48701048</v>
      </c>
      <c r="B51" s="125">
        <v>48701009</v>
      </c>
      <c r="C51" s="125">
        <v>48701048</v>
      </c>
      <c r="D51" s="40" t="str">
        <f ca="1">VLOOKUP($C51,OFFSET(enemy_skills!$A$1,0,0,COUNTA(enemy_skills!$A:$A),MATCH(D$1,enemy_skills!$1:$1,0)-MATCH("enemy_skill_id",enemy_skills!$1:$1,0)+1),MATCH(D$1,enemy_skills!$1:$1,0)-MATCH("enemy_skill_id",enemy_skills!$1:$1,0)+1,FALSE)</f>
        <v>HeartCrusher！</v>
      </c>
      <c r="E51" s="40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51" s="125">
        <v>48701039</v>
      </c>
      <c r="G51" s="130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30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51" s="10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" s="10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1" s="10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0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10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10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0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" s="41"/>
      <c r="Q51" s="41"/>
      <c r="R51" s="41"/>
    </row>
    <row r="52" spans="1:18" ht="21" customHeight="1" x14ac:dyDescent="0.15">
      <c r="A52" s="36" t="str">
        <f t="shared" si="1"/>
        <v>48701009_48701049</v>
      </c>
      <c r="B52" s="125">
        <v>48701009</v>
      </c>
      <c r="C52" s="125">
        <v>48701049</v>
      </c>
      <c r="D52" s="40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ボクはQoHのアイドルなんだ…</v>
      </c>
      <c r="E52" s="40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超高確率で緑の時限式ダメージパネルがドロップ</v>
      </c>
      <c r="F52" s="125">
        <v>48701040</v>
      </c>
      <c r="G52" s="130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30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2" s="10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0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52" s="10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0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0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10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10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1"/>
      <c r="Q52" s="41"/>
      <c r="R52" s="41"/>
    </row>
    <row r="53" spans="1:18" ht="21" customHeight="1" x14ac:dyDescent="0.15">
      <c r="A53" s="36" t="str">
        <f t="shared" si="1"/>
        <v>48701009_48701050</v>
      </c>
      <c r="B53" s="125">
        <v>48701009</v>
      </c>
      <c r="C53" s="125">
        <v>48701050</v>
      </c>
      <c r="D53" s="40" t="str">
        <f ca="1">VLOOKUP($C53,OFFSET(enemy_skills!$A$1,0,0,COUNTA(enemy_skills!$A:$A),MATCH(D$1,enemy_skills!$1:$1,0)-MATCH("enemy_skill_id",enemy_skills!$1:$1,0)+1),MATCH(D$1,enemy_skills!$1:$1,0)-MATCH("enemy_skill_id",enemy_skills!$1:$1,0)+1,FALSE)</f>
        <v>今さら引き返せないよ…！</v>
      </c>
      <c r="E53" s="40" t="str">
        <f ca="1">VLOOKUP($C53,OFFSET(enemy_skills!$A$1,0,0,COUNTA(enemy_skills!$A:$A),MATCH(E$1,enemy_skills!$1:$1,0)-MATCH("enemy_skill_id",enemy_skills!$1:$1,0)+1),MATCH(E$1,enemy_skills!$1:$1,0)-MATCH("enemy_skill_id",enemy_skills!$1:$1,0)+1,FALSE)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53" s="125">
        <v>48701041</v>
      </c>
      <c r="G53" s="130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30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53" s="10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0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53" s="10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0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10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10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10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1"/>
      <c r="Q53" s="41"/>
      <c r="R53" s="41"/>
    </row>
    <row r="54" spans="1:18" ht="21" customHeight="1" x14ac:dyDescent="0.15">
      <c r="A54" s="36" t="str">
        <f t="shared" si="1"/>
        <v>48701009_48701051</v>
      </c>
      <c r="B54" s="125">
        <v>48701009</v>
      </c>
      <c r="C54" s="125">
        <v>48701051</v>
      </c>
      <c r="D54" s="40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ドラゴンダンス</v>
      </c>
      <c r="E54" s="40" t="str">
        <f ca="1">VLOOKUP($C54,OFFSET(enemy_skills!$A$1,0,0,COUNTA(enemy_skills!$A:$A),MATCH(E$1,enemy_skills!$1:$1,0)-MATCH("enemy_skill_id",enemy_skills!$1:$1,0)+1),MATCH(E$1,enemy_skills!$1:$1,0)-MATCH("enemy_skill_id",enemy_skills!$1:$1,0)+1,FALSE)</f>
        <v>3回連続攻撃_x000D_（命中したユニットの3ターン回復力50％DOWN）</v>
      </c>
      <c r="F54" s="125">
        <v>48701042</v>
      </c>
      <c r="G54" s="130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30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54" s="10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4" s="10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54" s="10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0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10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10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10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4" s="41"/>
      <c r="Q54" s="41"/>
      <c r="R54" s="41"/>
    </row>
    <row r="55" spans="1:18" ht="21" customHeight="1" x14ac:dyDescent="0.15">
      <c r="A55" s="36" t="str">
        <f t="shared" si="1"/>
        <v>48701009_48701052</v>
      </c>
      <c r="B55" s="125">
        <v>48701009</v>
      </c>
      <c r="C55" s="125">
        <v>48701052</v>
      </c>
      <c r="D55" s="40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イエロースマッシュ</v>
      </c>
      <c r="E55" s="40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黄パネルを吸収して攻撃(最大7個)</v>
      </c>
      <c r="F55" s="125">
        <v>48701043</v>
      </c>
      <c r="G55" s="130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130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55" s="10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5" s="10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55" s="10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0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107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10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10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5" s="41"/>
      <c r="Q55" s="41"/>
      <c r="R55" s="41"/>
    </row>
    <row r="56" spans="1:18" ht="21" customHeight="1" x14ac:dyDescent="0.15">
      <c r="A56" s="36" t="str">
        <f t="shared" si="1"/>
        <v>48701009_48701053</v>
      </c>
      <c r="B56" s="125">
        <v>48701009</v>
      </c>
      <c r="C56" s="125">
        <v>48701053</v>
      </c>
      <c r="D56" s="40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グリーンスマッシュ</v>
      </c>
      <c r="E56" s="40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緑パネルを吸収して攻撃(最大7個)</v>
      </c>
      <c r="F56" s="125">
        <v>48701044</v>
      </c>
      <c r="G56" s="130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130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56" s="10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107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56" s="10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0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107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10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10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1"/>
      <c r="Q56" s="41"/>
      <c r="R56" s="41"/>
    </row>
    <row r="57" spans="1:18" ht="21" customHeight="1" x14ac:dyDescent="0.15">
      <c r="A57" s="36" t="str">
        <f t="shared" si="1"/>
        <v>48701009_48701054</v>
      </c>
      <c r="B57" s="125">
        <v>48701009</v>
      </c>
      <c r="C57" s="128">
        <v>48701054</v>
      </c>
      <c r="D57" s="129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アイドルになれて楽しかったな……</v>
      </c>
      <c r="E57" s="129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夢龍は名残惜しそうに_x000D_春香の元へ帰っていった…</v>
      </c>
      <c r="F57" s="128">
        <v>48701045</v>
      </c>
      <c r="G57" s="130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130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57" s="130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130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30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0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107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130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" s="130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1"/>
      <c r="Q57" s="41"/>
      <c r="R57" s="41"/>
    </row>
    <row r="58" spans="1:18" ht="21" customHeight="1" x14ac:dyDescent="0.15">
      <c r="A58" s="36" t="str">
        <f t="shared" si="1"/>
        <v>48701009_48701055</v>
      </c>
      <c r="B58" s="125">
        <v>48701009</v>
      </c>
      <c r="C58" s="128">
        <v>48701055</v>
      </c>
      <c r="D58" s="129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ごめん春香…帰るよ……</v>
      </c>
      <c r="E58" s="129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夢龍は名残惜しそうに_x000D_春香の元へ帰っていった…</v>
      </c>
      <c r="F58" s="128">
        <v>48701901</v>
      </c>
      <c r="G58" s="130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130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58" s="130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30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30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0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10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130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58" s="130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1"/>
      <c r="Q58" s="41"/>
      <c r="R58" s="41"/>
    </row>
    <row r="59" spans="1:18" ht="21" customHeight="1" thickBot="1" x14ac:dyDescent="0.2">
      <c r="A59" s="207" t="str">
        <f t="shared" ref="A59:A61" si="3">B59&amp;"_"&amp;C59</f>
        <v>48701009_48701055</v>
      </c>
      <c r="B59" s="208">
        <v>48701009</v>
      </c>
      <c r="C59" s="209">
        <v>48701055</v>
      </c>
      <c r="D59" s="210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ごめん春香…帰るよ……</v>
      </c>
      <c r="E59" s="210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夢龍は名残惜しそうに_x000D_春香の元へ帰っていった…</v>
      </c>
      <c r="F59" s="209">
        <v>48701902</v>
      </c>
      <c r="G59" s="211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211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59" s="211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211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211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212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212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211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9002</v>
      </c>
      <c r="O59" s="211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213"/>
      <c r="Q59" s="213"/>
      <c r="R59" s="213"/>
    </row>
    <row r="60" spans="1:18" ht="21" customHeight="1" x14ac:dyDescent="0.15">
      <c r="A60" s="36" t="str">
        <f t="shared" si="3"/>
        <v>48701010_48701100</v>
      </c>
      <c r="B60" s="125">
        <v>48701010</v>
      </c>
      <c r="C60" s="125">
        <v>48701100</v>
      </c>
      <c r="D60" s="40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あ、ごめん！_x000D_ぶつかる！</v>
      </c>
      <c r="E60" s="40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0" s="125">
        <v>48701000</v>
      </c>
      <c r="G60" s="107">
        <v>1</v>
      </c>
      <c r="H60" s="107">
        <v>100</v>
      </c>
      <c r="I60" s="10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0" s="10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10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07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107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10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10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0" s="41"/>
      <c r="Q60" s="41"/>
      <c r="R60" s="41"/>
    </row>
    <row r="61" spans="1:18" ht="21" customHeight="1" x14ac:dyDescent="0.15">
      <c r="A61" s="36" t="str">
        <f t="shared" si="3"/>
        <v>48701010_48701101</v>
      </c>
      <c r="B61" s="125">
        <v>48701010</v>
      </c>
      <c r="C61" s="125">
        <v>48701101</v>
      </c>
      <c r="D61" s="40" t="str">
        <f ca="1">VLOOKUP($C61,OFFSET(enemy_skills!$A$1,0,0,COUNTA(enemy_skills!$A:$A),MATCH(D$1,enemy_skills!$1:$1,0)-MATCH("enemy_skill_id",enemy_skills!$1:$1,0)+1),MATCH(D$1,enemy_skills!$1:$1,0)-MATCH("enemy_skill_id",enemy_skills!$1:$1,0)+1,FALSE)</f>
        <v>♪〜♪♪〜</v>
      </c>
      <c r="E61" s="40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エレナはダンスを踊っている！</v>
      </c>
      <c r="F61" s="125">
        <v>48701001</v>
      </c>
      <c r="G61" s="130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130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1" s="10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10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10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107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107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10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10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1"/>
      <c r="Q61" s="41"/>
      <c r="R61" s="41"/>
    </row>
    <row r="62" spans="1:18" ht="21" customHeight="1" x14ac:dyDescent="0.15">
      <c r="A62" s="36" t="str">
        <f>B62&amp;"_"&amp;C62</f>
        <v>48701011_48701102</v>
      </c>
      <c r="B62" s="125">
        <v>48701011</v>
      </c>
      <c r="C62" s="131">
        <v>48701102</v>
      </c>
      <c r="D62" s="132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私たちM.Dragonファンクラブ！</v>
      </c>
      <c r="E62" s="132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ファンクラブに勧誘された！</v>
      </c>
      <c r="F62" s="131">
        <v>48701002</v>
      </c>
      <c r="G62" s="130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130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2" s="133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33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33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33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107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133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133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1"/>
      <c r="Q62" s="41"/>
      <c r="R62" s="41"/>
    </row>
    <row r="63" spans="1:18" ht="21" customHeight="1" x14ac:dyDescent="0.15">
      <c r="A63" s="36" t="str">
        <f>B63&amp;"_"&amp;C63</f>
        <v>48701011_48701103</v>
      </c>
      <c r="B63" s="125">
        <v>48701011</v>
      </c>
      <c r="C63" s="131">
        <v>48701103</v>
      </c>
      <c r="D63" s="13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あ! あんたどこかで見覚えあるよ！</v>
      </c>
      <c r="E63" s="132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全ユニットのスキルゲージを3ターン減少</v>
      </c>
      <c r="F63" s="131">
        <v>48701900</v>
      </c>
      <c r="G63" s="130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130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63" s="133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133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33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33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107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133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63" s="133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1"/>
      <c r="Q63" s="41"/>
      <c r="R63" s="41"/>
    </row>
    <row r="64" spans="1:18" ht="21" customHeight="1" x14ac:dyDescent="0.15">
      <c r="A64" s="36" t="str">
        <f t="shared" ref="A64:A65" si="4">B64&amp;"_"&amp;C64</f>
        <v>48701011_48701104</v>
      </c>
      <c r="B64" s="125">
        <v>48701011</v>
      </c>
      <c r="C64" s="125">
        <v>48701104</v>
      </c>
      <c r="D64" s="40" t="str">
        <f ca="1">VLOOKUP($C64,OFFSET(enemy_skills!$A$1,0,0,COUNTA(enemy_skills!$A:$A),MATCH(D$1,enemy_skills!$1:$1,0)-MATCH("enemy_skill_id",enemy_skills!$1:$1,0)+1),MATCH(D$1,enemy_skills!$1:$1,0)-MATCH("enemy_skill_id",enemy_skills!$1:$1,0)+1,FALSE)</f>
        <v>M.Dragonをどうするつもりなの！？</v>
      </c>
      <c r="E64" s="40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4" s="125">
        <v>48701003</v>
      </c>
      <c r="G64" s="130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130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4" s="10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4" s="10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10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107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107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10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10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4" s="41"/>
      <c r="Q64" s="41"/>
      <c r="R64" s="41"/>
    </row>
    <row r="65" spans="1:18" ht="21" customHeight="1" x14ac:dyDescent="0.15">
      <c r="A65" s="36" t="str">
        <f t="shared" si="4"/>
        <v>48701012_48701105</v>
      </c>
      <c r="B65" s="125">
        <v>48701012</v>
      </c>
      <c r="C65" s="125">
        <v>48701105</v>
      </c>
      <c r="D65" s="40" t="str">
        <f ca="1">VLOOKUP($C65,OFFSET(enemy_skills!$A$1,0,0,COUNTA(enemy_skills!$A:$A),MATCH(D$1,enemy_skills!$1:$1,0)-MATCH("enemy_skill_id",enemy_skills!$1:$1,0)+1),MATCH(D$1,enemy_skills!$1:$1,0)-MATCH("enemy_skill_id",enemy_skills!$1:$1,0)+1,FALSE)</f>
        <v>M.Dragon逃げて〜！</v>
      </c>
      <c r="E65" s="40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単体攻撃_x000D_(命中したユニットに2ターン攻撃力50％DOWN）</v>
      </c>
      <c r="F65" s="125">
        <v>48701004</v>
      </c>
      <c r="G65" s="130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30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5" s="10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10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0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07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107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5" s="107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10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1"/>
      <c r="Q65" s="41"/>
      <c r="R65" s="41"/>
    </row>
    <row r="66" spans="1:18" ht="21" customHeight="1" x14ac:dyDescent="0.15">
      <c r="A66" s="36" t="str">
        <f>B66&amp;"_"&amp;C66</f>
        <v>48701013_48701106</v>
      </c>
      <c r="B66" s="125">
        <v>48701013</v>
      </c>
      <c r="C66" s="131">
        <v>48701106</v>
      </c>
      <c r="D66" s="132" t="str">
        <f ca="1">VLOOKUP($C66,OFFSET(enemy_skills!$A$1,0,0,COUNTA(enemy_skills!$A:$A),MATCH(D$1,enemy_skills!$1:$1,0)-MATCH("enemy_skill_id",enemy_skills!$1:$1,0)+1),MATCH(D$1,enemy_skills!$1:$1,0)-MATCH("enemy_skill_id",enemy_skills!$1:$1,0)+1,FALSE)</f>
        <v>私と彼の間を邪魔するなら許さないわよ…</v>
      </c>
      <c r="E66" s="132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6" s="131">
        <v>48701005</v>
      </c>
      <c r="G66" s="130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130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6" s="133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33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133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33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107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133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133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1"/>
      <c r="Q66" s="41"/>
      <c r="R66" s="41"/>
    </row>
    <row r="67" spans="1:18" ht="21" customHeight="1" x14ac:dyDescent="0.15">
      <c r="A67" s="36" t="str">
        <f>B67&amp;"_"&amp;C67</f>
        <v>48701013_48701107</v>
      </c>
      <c r="B67" s="125">
        <v>48701013</v>
      </c>
      <c r="C67" s="131">
        <v>48701107</v>
      </c>
      <c r="D67" s="132" t="str">
        <f ca="1">VLOOKUP($C67,OFFSET(enemy_skills!$A$1,0,0,COUNTA(enemy_skills!$A:$A),MATCH(D$1,enemy_skills!$1:$1,0)-MATCH("enemy_skill_id",enemy_skills!$1:$1,0)+1),MATCH(D$1,enemy_skills!$1:$1,0)-MATCH("enemy_skill_id",enemy_skills!$1:$1,0)+1,FALSE)</f>
        <v>春香さん！？_x000D_M.Dragonは渡さないわ！</v>
      </c>
      <c r="E67" s="132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7" s="131">
        <v>48701900</v>
      </c>
      <c r="G67" s="130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130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67" s="133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33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33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33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10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133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67" s="133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1"/>
      <c r="Q67" s="41"/>
      <c r="R67" s="41"/>
    </row>
    <row r="68" spans="1:18" ht="21" customHeight="1" x14ac:dyDescent="0.15">
      <c r="A68" s="36" t="str">
        <f t="shared" ref="A68:A71" si="5">B68&amp;"_"&amp;C68</f>
        <v>48701013_48701108</v>
      </c>
      <c r="B68" s="125">
        <v>48701013</v>
      </c>
      <c r="C68" s="125">
        <v>48701108</v>
      </c>
      <c r="D68" s="40" t="str">
        <f ca="1">VLOOKUP($C68,OFFSET(enemy_skills!$A$1,0,0,COUNTA(enemy_skills!$A:$A),MATCH(D$1,enemy_skills!$1:$1,0)-MATCH("enemy_skill_id",enemy_skills!$1:$1,0)+1),MATCH(D$1,enemy_skills!$1:$1,0)-MATCH("enemy_skill_id",enemy_skills!$1:$1,0)+1,FALSE)</f>
        <v>私がM.Dragonファンクラブのリーダーよ！</v>
      </c>
      <c r="E68" s="40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全体攻撃+_x000D_1ターン全ユニットの攻撃力50％DOWN</v>
      </c>
      <c r="F68" s="125">
        <v>48701006</v>
      </c>
      <c r="G68" s="130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130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8" s="10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10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0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0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107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10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10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1"/>
      <c r="Q68" s="41"/>
      <c r="R68" s="41"/>
    </row>
    <row r="69" spans="1:18" ht="21" customHeight="1" x14ac:dyDescent="0.15">
      <c r="A69" s="36" t="str">
        <f t="shared" si="5"/>
        <v>48701013_48701109</v>
      </c>
      <c r="B69" s="125">
        <v>48701013</v>
      </c>
      <c r="C69" s="125">
        <v>48701109</v>
      </c>
      <c r="D69" s="40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帰って！！</v>
      </c>
      <c r="E69" s="40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9" s="125">
        <v>48701007</v>
      </c>
      <c r="G69" s="130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130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69" s="10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10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10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107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107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9" s="10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10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1"/>
      <c r="Q69" s="41"/>
      <c r="R69" s="41"/>
    </row>
    <row r="70" spans="1:18" ht="21" customHeight="1" x14ac:dyDescent="0.15">
      <c r="A70" s="36" t="str">
        <f t="shared" si="5"/>
        <v>48701013_48701110</v>
      </c>
      <c r="B70" s="125">
        <v>48701013</v>
      </c>
      <c r="C70" s="125">
        <v>48701110</v>
      </c>
      <c r="D70" s="40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しつこいわね！！</v>
      </c>
      <c r="E70" s="40" t="str">
        <f ca="1">VLOOKUP($C70,OFFSET(enemy_skills!$A$1,0,0,COUNTA(enemy_skills!$A:$A),MATCH(E$1,enemy_skills!$1:$1,0)-MATCH("enemy_skill_id",enemy_skills!$1:$1,0)+1),MATCH(E$1,enemy_skills!$1:$1,0)-MATCH("enemy_skill_id",enemy_skills!$1:$1,0)+1,FALSE)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70" s="125">
        <v>48701008</v>
      </c>
      <c r="G70" s="130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130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70" s="10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10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10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107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107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107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10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1"/>
      <c r="Q70" s="41"/>
      <c r="R70" s="41"/>
    </row>
    <row r="71" spans="1:18" ht="21" customHeight="1" x14ac:dyDescent="0.15">
      <c r="A71" s="36" t="str">
        <f t="shared" si="5"/>
        <v>48701014_48701111</v>
      </c>
      <c r="B71" s="125">
        <v>48701014</v>
      </c>
      <c r="C71" s="131">
        <v>48701111</v>
      </c>
      <c r="D71" s="132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ほら！ショーが始まるから大人しくしてて！</v>
      </c>
      <c r="E71" s="132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状態異常耐性+3ターン暗闇</v>
      </c>
      <c r="F71" s="131">
        <v>48701009</v>
      </c>
      <c r="G71" s="130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130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1" s="133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33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33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33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107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133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133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1"/>
      <c r="Q71" s="41"/>
      <c r="R71" s="41"/>
    </row>
    <row r="72" spans="1:18" ht="21" customHeight="1" x14ac:dyDescent="0.15">
      <c r="A72" s="36" t="str">
        <f>B72&amp;"_"&amp;C72</f>
        <v>48701014_48701112</v>
      </c>
      <c r="B72" s="125">
        <v>48701014</v>
      </c>
      <c r="C72" s="131">
        <v>48701112</v>
      </c>
      <c r="D72" s="132" t="str">
        <f ca="1">VLOOKUP($C72,OFFSET(enemy_skills!$A$1,0,0,COUNTA(enemy_skills!$A:$A),MATCH(D$1,enemy_skills!$1:$1,0)-MATCH("enemy_skill_id",enemy_skills!$1:$1,0)+1),MATCH(D$1,enemy_skills!$1:$1,0)-MATCH("enemy_skill_id",enemy_skills!$1:$1,0)+1,FALSE)</f>
        <v>M.Dragonは私たちのアイドルなの…！</v>
      </c>
      <c r="E72" s="132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状態異常耐性+3ターン暗闇</v>
      </c>
      <c r="F72" s="131">
        <v>48701900</v>
      </c>
      <c r="G72" s="130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130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72" s="133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133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133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133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107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133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72" s="133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1"/>
      <c r="Q72" s="41"/>
      <c r="R72" s="41"/>
    </row>
    <row r="73" spans="1:18" ht="21" customHeight="1" x14ac:dyDescent="0.15">
      <c r="A73" s="36" t="str">
        <f t="shared" ref="A73:A76" si="6">B73&amp;"_"&amp;C73</f>
        <v>48701014_48701113</v>
      </c>
      <c r="B73" s="125">
        <v>48701014</v>
      </c>
      <c r="C73" s="125">
        <v>48701113</v>
      </c>
      <c r="D73" s="40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私の方がM.Dragonを愛してるわ！</v>
      </c>
      <c r="E73" s="40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全体攻撃+_x000D_1ターン全ユニットの攻撃力80％DOWN+_x000D_緑パネルを先頭ユニットのCパネルに変換</v>
      </c>
      <c r="F73" s="125">
        <v>48701010</v>
      </c>
      <c r="G73" s="130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130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3" s="10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3" s="10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10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107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107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10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10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3" s="41"/>
      <c r="Q73" s="41"/>
      <c r="R73" s="41"/>
    </row>
    <row r="74" spans="1:18" ht="21" customHeight="1" x14ac:dyDescent="0.15">
      <c r="A74" s="36" t="str">
        <f t="shared" si="6"/>
        <v>48701014_48701114</v>
      </c>
      <c r="B74" s="125">
        <v>48701014</v>
      </c>
      <c r="C74" s="125">
        <v>48701114</v>
      </c>
      <c r="D74" s="40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ブルーペンライト！</v>
      </c>
      <c r="E74" s="40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青パネルを青の時限式ダメージパネルに5個変換+_x000D_クリティカル！</v>
      </c>
      <c r="F74" s="125">
        <v>48701011</v>
      </c>
      <c r="G74" s="130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130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74" s="10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4" s="10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10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107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107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107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10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4" s="41"/>
      <c r="Q74" s="41"/>
      <c r="R74" s="41"/>
    </row>
    <row r="75" spans="1:18" ht="21" customHeight="1" x14ac:dyDescent="0.15">
      <c r="A75" s="36" t="str">
        <f t="shared" si="6"/>
        <v>48701014_48701115</v>
      </c>
      <c r="B75" s="125">
        <v>48701014</v>
      </c>
      <c r="C75" s="125">
        <v>48701115</v>
      </c>
      <c r="D75" s="40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グリーンペンライト！</v>
      </c>
      <c r="E75" s="40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緑パネルを緑の時限式ダメージパネルに5個変換+_x000D_クリティカル！</v>
      </c>
      <c r="F75" s="125">
        <v>48701012</v>
      </c>
      <c r="G75" s="130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130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75" s="10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10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10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107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10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10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10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1"/>
      <c r="Q75" s="41"/>
      <c r="R75" s="41"/>
    </row>
    <row r="76" spans="1:18" ht="21" customHeight="1" x14ac:dyDescent="0.15">
      <c r="A76" s="36" t="str">
        <f t="shared" si="6"/>
        <v>48701064_48701116</v>
      </c>
      <c r="B76" s="125">
        <v>48701064</v>
      </c>
      <c r="C76" s="128">
        <v>48701116</v>
      </c>
      <c r="D76" s="129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お願い…彼に私の愛を伝えて…</v>
      </c>
      <c r="E76" s="129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属性パネルをハートパネルに10個変換</v>
      </c>
      <c r="F76" s="128">
        <v>48701009</v>
      </c>
      <c r="G76" s="130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130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6" s="130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130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30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30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10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130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130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1"/>
      <c r="Q76" s="41"/>
      <c r="R76" s="41"/>
    </row>
    <row r="77" spans="1:18" ht="21" customHeight="1" x14ac:dyDescent="0.15">
      <c r="A77" s="36" t="str">
        <f>B77&amp;"_"&amp;C77</f>
        <v>48701064_48701117</v>
      </c>
      <c r="B77" s="125">
        <v>48701064</v>
      </c>
      <c r="C77" s="128">
        <v>48701117</v>
      </c>
      <c r="D77" s="129" t="str">
        <f ca="1">VLOOKUP($C77,OFFSET(enemy_skills!$A$1,0,0,COUNTA(enemy_skills!$A:$A),MATCH(D$1,enemy_skills!$1:$1,0)-MATCH("enemy_skill_id",enemy_skills!$1:$1,0)+1),MATCH(D$1,enemy_skills!$1:$1,0)-MATCH("enemy_skill_id",enemy_skills!$1:$1,0)+1,FALSE)</f>
        <v>春香さんならM.Dragonを幸せにできるかな…</v>
      </c>
      <c r="E77" s="129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属性パネルを赤ボムパネルに10個変換</v>
      </c>
      <c r="F77" s="128">
        <v>48701900</v>
      </c>
      <c r="G77" s="130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130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77" s="130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130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130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130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107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130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77" s="130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1"/>
      <c r="Q77" s="41"/>
      <c r="R77" s="41"/>
    </row>
    <row r="78" spans="1:18" ht="21" customHeight="1" x14ac:dyDescent="0.15">
      <c r="A78" s="36" t="str">
        <f t="shared" ref="A78" si="7">B78&amp;"_"&amp;C78</f>
        <v>48701015_48701118</v>
      </c>
      <c r="B78" s="125">
        <v>48701015</v>
      </c>
      <c r="C78" s="131">
        <v>48701118</v>
      </c>
      <c r="D78" s="132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それ、僕にくれるのかい？</v>
      </c>
      <c r="E78" s="132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状態異常耐性+1ターン攻撃頻度UP+_x000D_1ターンハートパネルを吸収して攻撃力UP</v>
      </c>
      <c r="F78" s="131">
        <v>48701014</v>
      </c>
      <c r="G78" s="130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130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8" s="133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133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133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133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107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133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133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1"/>
      <c r="Q78" s="41"/>
      <c r="R78" s="41"/>
    </row>
    <row r="79" spans="1:18" ht="21" customHeight="1" x14ac:dyDescent="0.15">
      <c r="A79" s="36" t="str">
        <f>B79&amp;"_"&amp;C79</f>
        <v>48701015_48701119</v>
      </c>
      <c r="B79" s="125">
        <v>48701015</v>
      </c>
      <c r="C79" s="131">
        <v>48701119</v>
      </c>
      <c r="D79" s="132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春香…？ごめんね。_x000D_売れてないアイドルは知らないんだ…</v>
      </c>
      <c r="E79" s="132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状態異常耐性+1ターン攻撃頻度UP+_x000D_1ターンハートパネルを吸収して攻撃力UP</v>
      </c>
      <c r="F79" s="131">
        <v>48701900</v>
      </c>
      <c r="G79" s="130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130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79" s="133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133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133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133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107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133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79" s="133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1"/>
      <c r="Q79" s="41"/>
      <c r="R79" s="41"/>
    </row>
    <row r="80" spans="1:18" ht="21" customHeight="1" x14ac:dyDescent="0.15">
      <c r="A80" s="36" t="str">
        <f t="shared" ref="A80:A84" si="8">B80&amp;"_"&amp;C80</f>
        <v>48701015_48701620</v>
      </c>
      <c r="B80" s="125">
        <v>48701015</v>
      </c>
      <c r="C80" s="125">
        <v>48701620</v>
      </c>
      <c r="D80" s="40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やあ、僕の演奏を聴きに来たのかい？</v>
      </c>
      <c r="E80" s="40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全体攻撃+_x000D_属性パネルを緑の時限式ダメージパネルに2個変換</v>
      </c>
      <c r="F80" s="125">
        <v>48701115</v>
      </c>
      <c r="G80" s="130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130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80" s="10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10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10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10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107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10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10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1"/>
      <c r="Q80" s="41"/>
      <c r="R80" s="41"/>
    </row>
    <row r="81" spans="1:18" ht="21" customHeight="1" x14ac:dyDescent="0.15">
      <c r="A81" s="36" t="str">
        <f t="shared" si="8"/>
        <v>48701015_48701120</v>
      </c>
      <c r="B81" s="125">
        <v>48701015</v>
      </c>
      <c r="C81" s="125">
        <v>48701120</v>
      </c>
      <c r="D81" s="40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ブルーホイッスル</v>
      </c>
      <c r="E81" s="40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赤パネルを青の時限式ダメージパネルに2個変換+_x000D_青パネルを吸収して攻撃</v>
      </c>
      <c r="F81" s="125">
        <v>48701015</v>
      </c>
      <c r="G81" s="130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130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1" s="10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1" s="10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10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107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107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10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10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1" s="41"/>
      <c r="Q81" s="41"/>
      <c r="R81" s="41"/>
    </row>
    <row r="82" spans="1:18" ht="21" customHeight="1" x14ac:dyDescent="0.15">
      <c r="A82" s="36" t="str">
        <f t="shared" si="8"/>
        <v>48701015_48701121</v>
      </c>
      <c r="B82" s="125">
        <v>48701015</v>
      </c>
      <c r="C82" s="125">
        <v>48701121</v>
      </c>
      <c r="D82" s="40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グリーンホイッスル</v>
      </c>
      <c r="E82" s="40" t="str">
        <f ca="1">VLOOKUP($C82,OFFSET(enemy_skills!$A$1,0,0,COUNTA(enemy_skills!$A:$A),MATCH(E$1,enemy_skills!$1:$1,0)-MATCH("enemy_skill_id",enemy_skills!$1:$1,0)+1),MATCH(E$1,enemy_skills!$1:$1,0)-MATCH("enemy_skill_id",enemy_skills!$1:$1,0)+1,FALSE)</f>
        <v>黄パネルを緑の時限式ダメージパネルに2個変換+_x000D_緑パネルを吸収して攻撃</v>
      </c>
      <c r="F82" s="125">
        <v>48701016</v>
      </c>
      <c r="G82" s="130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130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2" s="10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2" s="10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10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107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107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10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10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2" s="41"/>
      <c r="Q82" s="41"/>
      <c r="R82" s="41"/>
    </row>
    <row r="83" spans="1:18" ht="21" customHeight="1" x14ac:dyDescent="0.15">
      <c r="A83" s="36" t="str">
        <f t="shared" si="8"/>
        <v>48701015_48701122</v>
      </c>
      <c r="B83" s="125">
        <v>48701015</v>
      </c>
      <c r="C83" s="125">
        <v>48701122</v>
      </c>
      <c r="D83" s="40" t="str">
        <f ca="1">VLOOKUP($C83,OFFSET(enemy_skills!$A$1,0,0,COUNTA(enemy_skills!$A:$A),MATCH(D$1,enemy_skills!$1:$1,0)-MATCH("enemy_skill_id",enemy_skills!$1:$1,0)+1),MATCH(D$1,enemy_skills!$1:$1,0)-MATCH("enemy_skill_id",enemy_skills!$1:$1,0)+1,FALSE)</f>
        <v>僕の演奏を楽しんでよ！</v>
      </c>
      <c r="E83" s="40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属性パネルプロテクト(最大7個)+_x000D_クリティカル！</v>
      </c>
      <c r="F83" s="125">
        <v>48701017</v>
      </c>
      <c r="G83" s="130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130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83" s="10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34</v>
      </c>
      <c r="J83" s="10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10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107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107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10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10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34</v>
      </c>
      <c r="P83" s="41"/>
      <c r="Q83" s="41"/>
      <c r="R83" s="41"/>
    </row>
    <row r="84" spans="1:18" ht="21" customHeight="1" x14ac:dyDescent="0.15">
      <c r="A84" s="36" t="str">
        <f t="shared" si="8"/>
        <v>48701016_48701123</v>
      </c>
      <c r="B84" s="125">
        <v>48701016</v>
      </c>
      <c r="C84" s="131">
        <v>48701123</v>
      </c>
      <c r="D84" s="132" t="str">
        <f ca="1">VLOOKUP($C84,OFFSET(enemy_skills!$A$1,0,0,COUNTA(enemy_skills!$A:$A),MATCH(D$1,enemy_skills!$1:$1,0)-MATCH("enemy_skill_id",enemy_skills!$1:$1,0)+1),MATCH(D$1,enemy_skills!$1:$1,0)-MATCH("enemy_skill_id",enemy_skills!$1:$1,0)+1,FALSE)</f>
        <v>M.Dragonより僕の方がかっこいいよ！</v>
      </c>
      <c r="E84" s="132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状態異常耐性+_x000D_赤パネルドロップ率DOWN</v>
      </c>
      <c r="F84" s="131">
        <v>48701018</v>
      </c>
      <c r="G84" s="130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130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84" s="133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133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133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10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107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133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133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1"/>
      <c r="Q84" s="41"/>
      <c r="R84" s="41"/>
    </row>
    <row r="85" spans="1:18" ht="20" customHeight="1" x14ac:dyDescent="0.15">
      <c r="A85" s="36" t="str">
        <f>B85&amp;"_"&amp;C85</f>
        <v>48701016_48701124</v>
      </c>
      <c r="B85" s="125">
        <v>48701016</v>
      </c>
      <c r="C85" s="131">
        <v>48701124</v>
      </c>
      <c r="D85" s="132" t="str">
        <f ca="1">VLOOKUP($C85,OFFSET(enemy_skills!$A$1,0,0,COUNTA(enemy_skills!$A:$A),MATCH(D$1,enemy_skills!$1:$1,0)-MATCH("enemy_skill_id",enemy_skills!$1:$1,0)+1),MATCH(D$1,enemy_skills!$1:$1,0)-MATCH("enemy_skill_id",enemy_skills!$1:$1,0)+1,FALSE)</f>
        <v>M.Dragonなんかより僕と遊ぼうよ！</v>
      </c>
      <c r="E85" s="132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状態異常耐性+_x000D_赤パネルドロップ率DOWN</v>
      </c>
      <c r="F85" s="131">
        <v>48701900</v>
      </c>
      <c r="G85" s="130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130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85" s="133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133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133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107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107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133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85" s="133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1"/>
      <c r="Q85" s="41"/>
      <c r="R85" s="41"/>
    </row>
    <row r="86" spans="1:18" ht="21" customHeight="1" x14ac:dyDescent="0.15">
      <c r="A86" s="36" t="str">
        <f t="shared" ref="A86:A91" si="9">B86&amp;"_"&amp;C86</f>
        <v>48701016_48701125</v>
      </c>
      <c r="B86" s="125">
        <v>48701016</v>
      </c>
      <c r="C86" s="125">
        <v>48701125</v>
      </c>
      <c r="D86" s="40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僕たちは良きライバルなんだ…</v>
      </c>
      <c r="E86" s="40" t="str">
        <f ca="1">VLOOKUP($C86,OFFSET(enemy_skills!$A$1,0,0,COUNTA(enemy_skills!$A:$A),MATCH(E$1,enemy_skills!$1:$1,0)-MATCH("enemy_skill_id",enemy_skills!$1:$1,0)+1),MATCH(E$1,enemy_skills!$1:$1,0)-MATCH("enemy_skill_id",enemy_skills!$1:$1,0)+1,FALSE)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86" s="125">
        <v>48701019</v>
      </c>
      <c r="G86" s="130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130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6" s="10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10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10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107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107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10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10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1"/>
      <c r="Q86" s="41"/>
      <c r="R86" s="41"/>
    </row>
    <row r="87" spans="1:18" ht="21" customHeight="1" x14ac:dyDescent="0.15">
      <c r="A87" s="36" t="str">
        <f t="shared" si="9"/>
        <v>48701016_48701126</v>
      </c>
      <c r="B87" s="125">
        <v>48701016</v>
      </c>
      <c r="C87" s="125">
        <v>48701126</v>
      </c>
      <c r="D87" s="40" t="str">
        <f ca="1">VLOOKUP($C87,OFFSET(enemy_skills!$A$1,0,0,COUNTA(enemy_skills!$A:$A),MATCH(D$1,enemy_skills!$1:$1,0)-MATCH("enemy_skill_id",enemy_skills!$1:$1,0)+1),MATCH(D$1,enemy_skills!$1:$1,0)-MATCH("enemy_skill_id",enemy_skills!$1:$1,0)+1,FALSE)</f>
        <v>彼を連れて行かないでくれっ！</v>
      </c>
      <c r="E87" s="40" t="str">
        <f ca="1">VLOOKUP($C87,OFFSET(enemy_skills!$A$1,0,0,COUNTA(enemy_skills!$A:$A),MATCH(E$1,enemy_skills!$1:$1,0)-MATCH("enemy_skill_id",enemy_skills!$1:$1,0)+1),MATCH(E$1,enemy_skills!$1:$1,0)-MATCH("enemy_skill_id",enemy_skills!$1:$1,0)+1,FALSE)</f>
        <v>青パネル&amp;緑パネルプロテクト(最大5個ずつ)</v>
      </c>
      <c r="F87" s="125">
        <v>48701020</v>
      </c>
      <c r="G87" s="130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130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7" s="10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10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10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107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107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107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10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1"/>
      <c r="Q87" s="41"/>
      <c r="R87" s="41"/>
    </row>
    <row r="88" spans="1:18" ht="21" customHeight="1" x14ac:dyDescent="0.15">
      <c r="A88" s="36" t="str">
        <f t="shared" si="9"/>
        <v>48701016_48701127</v>
      </c>
      <c r="B88" s="125">
        <v>48701016</v>
      </c>
      <c r="C88" s="125">
        <v>48701127</v>
      </c>
      <c r="D88" s="40" t="str">
        <f ca="1">VLOOKUP($C88,OFFSET(enemy_skills!$A$1,0,0,COUNTA(enemy_skills!$A:$A),MATCH(D$1,enemy_skills!$1:$1,0)-MATCH("enemy_skill_id",enemy_skills!$1:$1,0)+1),MATCH(D$1,enemy_skills!$1:$1,0)-MATCH("enemy_skill_id",enemy_skills!$1:$1,0)+1,FALSE)</f>
        <v>行かせないよっ！</v>
      </c>
      <c r="E88" s="40" t="str">
        <f ca="1">VLOOKUP($C88,OFFSET(enemy_skills!$A$1,0,0,COUNTA(enemy_skills!$A:$A),MATCH(E$1,enemy_skills!$1:$1,0)-MATCH("enemy_skill_id",enemy_skills!$1:$1,0)+1),MATCH(E$1,enemy_skills!$1:$1,0)-MATCH("enemy_skill_id",enemy_skills!$1:$1,0)+1,FALSE)</f>
        <v>3回連続攻撃_x000D_(命中したユニットに3ターン回復力50％DOWN）</v>
      </c>
      <c r="F88" s="125">
        <v>48701021</v>
      </c>
      <c r="G88" s="130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130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88" s="10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8" s="10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10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107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107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10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10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8" s="41"/>
      <c r="Q88" s="41"/>
      <c r="R88" s="41"/>
    </row>
    <row r="89" spans="1:18" ht="21" customHeight="1" x14ac:dyDescent="0.15">
      <c r="A89" s="36" t="str">
        <f t="shared" si="9"/>
        <v>48701016_48701128</v>
      </c>
      <c r="B89" s="125">
        <v>48701016</v>
      </c>
      <c r="C89" s="125">
        <v>48701128</v>
      </c>
      <c r="D89" s="40" t="str">
        <f ca="1">VLOOKUP($C89,OFFSET(enemy_skills!$A$1,0,0,COUNTA(enemy_skills!$A:$A),MATCH(D$1,enemy_skills!$1:$1,0)-MATCH("enemy_skill_id",enemy_skills!$1:$1,0)+1),MATCH(D$1,enemy_skills!$1:$1,0)-MATCH("enemy_skill_id",enemy_skills!$1:$1,0)+1,FALSE)</f>
        <v>triad harmony</v>
      </c>
      <c r="E89" s="40" t="str">
        <f ca="1">VLOOKUP($C89,OFFSET(enemy_skills!$A$1,0,0,COUNTA(enemy_skills!$A:$A),MATCH(E$1,enemy_skills!$1:$1,0)-MATCH("enemy_skill_id",enemy_skills!$1:$1,0)+1),MATCH(E$1,enemy_skills!$1:$1,0)-MATCH("enemy_skill_id",enemy_skills!$1:$1,0)+1,FALSE)</f>
        <v>黄パネルを黄の時限式ダメージパネルに3個変換+_x000D_クリティカル！</v>
      </c>
      <c r="F89" s="125">
        <v>48701022</v>
      </c>
      <c r="G89" s="130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130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89" s="10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9" s="10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10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107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107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107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10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9" s="41"/>
      <c r="Q89" s="41"/>
      <c r="R89" s="41"/>
    </row>
    <row r="90" spans="1:18" ht="21" customHeight="1" x14ac:dyDescent="0.15">
      <c r="A90" s="36" t="str">
        <f t="shared" si="9"/>
        <v>48701016_48701129</v>
      </c>
      <c r="B90" s="125">
        <v>48701016</v>
      </c>
      <c r="C90" s="125">
        <v>48701129</v>
      </c>
      <c r="D90" s="40" t="str">
        <f ca="1">VLOOKUP($C90,OFFSET(enemy_skills!$A$1,0,0,COUNTA(enemy_skills!$A:$A),MATCH(D$1,enemy_skills!$1:$1,0)-MATCH("enemy_skill_id",enemy_skills!$1:$1,0)+1),MATCH(D$1,enemy_skills!$1:$1,0)-MATCH("enemy_skill_id",enemy_skills!$1:$1,0)+1,FALSE)</f>
        <v>tremolo noise</v>
      </c>
      <c r="E90" s="40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0" s="125">
        <v>48701023</v>
      </c>
      <c r="G90" s="130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130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90" s="10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10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10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107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107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107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10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1"/>
      <c r="Q90" s="41"/>
      <c r="R90" s="41"/>
    </row>
    <row r="91" spans="1:18" ht="21" customHeight="1" x14ac:dyDescent="0.15">
      <c r="A91" s="36" t="str">
        <f t="shared" si="9"/>
        <v>48701017_48701130</v>
      </c>
      <c r="B91" s="125">
        <v>48701017</v>
      </c>
      <c r="C91" s="131">
        <v>48701130</v>
      </c>
      <c r="D91" s="132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ボクを連れ戻しに来たって？</v>
      </c>
      <c r="E91" s="132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状態異常耐性+2ターン攻撃頻度UP+_x000D_1ターン青パネルドロップ率UP</v>
      </c>
      <c r="F91" s="131">
        <v>48701024</v>
      </c>
      <c r="G91" s="130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130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91" s="133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133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133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10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107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133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133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1"/>
      <c r="Q91" s="41"/>
      <c r="R91" s="41"/>
    </row>
    <row r="92" spans="1:18" ht="21" customHeight="1" x14ac:dyDescent="0.15">
      <c r="A92" s="36" t="str">
        <f>B92&amp;"_"&amp;C92</f>
        <v>48701017_48701131</v>
      </c>
      <c r="B92" s="125">
        <v>48701017</v>
      </c>
      <c r="C92" s="131">
        <v>48701131</v>
      </c>
      <c r="D92" s="132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わ！なんで春香がここに！</v>
      </c>
      <c r="E92" s="132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状態異常耐性+2ターン攻撃頻度UP+_x000D_1ターン青パネルドロップ率UP</v>
      </c>
      <c r="F92" s="131">
        <v>48701900</v>
      </c>
      <c r="G92" s="130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130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92" s="133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133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133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10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107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133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92" s="133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1"/>
      <c r="Q92" s="41"/>
      <c r="R92" s="41"/>
    </row>
    <row r="93" spans="1:18" ht="21" customHeight="1" x14ac:dyDescent="0.15">
      <c r="A93" s="36" t="str">
        <f t="shared" ref="A93:A97" si="10">B93&amp;"_"&amp;C93</f>
        <v>48701017_48701132</v>
      </c>
      <c r="B93" s="125">
        <v>48701017</v>
      </c>
      <c r="C93" s="125">
        <v>48701132</v>
      </c>
      <c r="D93" s="40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ついにボクは夢を叶えたんだ！</v>
      </c>
      <c r="E93" s="40" t="str">
        <f ca="1">VLOOKUP($C93,OFFSET(enemy_skills!$A$1,0,0,COUNTA(enemy_skills!$A:$A),MATCH(E$1,enemy_skills!$1:$1,0)-MATCH("enemy_skill_id",enemy_skills!$1:$1,0)+1),MATCH(E$1,enemy_skills!$1:$1,0)-MATCH("enemy_skill_id",enemy_skills!$1:$1,0)+1,FALSE)</f>
        <v>3ターン暗闇+_x000D_青パネルを青の時限式ダメージパネルに変換</v>
      </c>
      <c r="F93" s="125">
        <v>48701025</v>
      </c>
      <c r="G93" s="130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130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3" s="10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10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10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10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107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10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10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1"/>
      <c r="Q93" s="41"/>
      <c r="R93" s="41"/>
    </row>
    <row r="94" spans="1:18" ht="21" customHeight="1" x14ac:dyDescent="0.15">
      <c r="A94" s="36" t="str">
        <f t="shared" si="10"/>
        <v>48701017_48701133</v>
      </c>
      <c r="B94" s="125">
        <v>48701017</v>
      </c>
      <c r="C94" s="125">
        <v>48701133</v>
      </c>
      <c r="D94" s="40" t="str">
        <f ca="1">VLOOKUP($C94,OFFSET(enemy_skills!$A$1,0,0,COUNTA(enemy_skills!$A:$A),MATCH(D$1,enemy_skills!$1:$1,0)-MATCH("enemy_skill_id",enemy_skills!$1:$1,0)+1),MATCH(D$1,enemy_skills!$1:$1,0)-MATCH("enemy_skill_id",enemy_skills!$1:$1,0)+1,FALSE)</f>
        <v>絶対帰らないよ！</v>
      </c>
      <c r="E94" s="40" t="str">
        <f ca="1">VLOOKUP($C94,OFFSET(enemy_skills!$A$1,0,0,COUNTA(enemy_skills!$A:$A),MATCH(E$1,enemy_skills!$1:$1,0)-MATCH("enemy_skill_id",enemy_skills!$1:$1,0)+1),MATCH(E$1,enemy_skills!$1:$1,0)-MATCH("enemy_skill_id",enemy_skills!$1:$1,0)+1,FALSE)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94" s="125">
        <v>48701026</v>
      </c>
      <c r="G94" s="130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130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94" s="10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107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10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107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107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107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10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1"/>
      <c r="Q94" s="41"/>
      <c r="R94" s="41"/>
    </row>
    <row r="95" spans="1:18" ht="21" customHeight="1" x14ac:dyDescent="0.15">
      <c r="A95" s="36" t="str">
        <f t="shared" si="10"/>
        <v>48701017_48701134</v>
      </c>
      <c r="B95" s="125">
        <v>48701017</v>
      </c>
      <c r="C95" s="125">
        <v>48701134</v>
      </c>
      <c r="D95" s="40" t="str">
        <f ca="1">VLOOKUP($C95,OFFSET(enemy_skills!$A$1,0,0,COUNTA(enemy_skills!$A:$A),MATCH(D$1,enemy_skills!$1:$1,0)-MATCH("enemy_skill_id",enemy_skills!$1:$1,0)+1),MATCH(D$1,enemy_skills!$1:$1,0)-MATCH("enemy_skill_id",enemy_skills!$1:$1,0)+1,FALSE)</f>
        <v>TWO OF A KIND</v>
      </c>
      <c r="E95" s="40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全体攻撃+_x000D_2ターン全ユニットの攻撃力20％DOWN</v>
      </c>
      <c r="F95" s="125">
        <v>48701027</v>
      </c>
      <c r="G95" s="130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130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95" s="10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5" s="10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10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107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107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107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10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5" s="41"/>
      <c r="Q95" s="41"/>
      <c r="R95" s="41"/>
    </row>
    <row r="96" spans="1:18" ht="21" customHeight="1" x14ac:dyDescent="0.15">
      <c r="A96" s="36" t="str">
        <f t="shared" si="10"/>
        <v>48701017_48701135</v>
      </c>
      <c r="B96" s="125">
        <v>48701017</v>
      </c>
      <c r="C96" s="125">
        <v>48701135</v>
      </c>
      <c r="D96" s="40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さあボクのショーを楽しんで！</v>
      </c>
      <c r="E96" s="40" t="str">
        <f ca="1">VLOOKUP($C96,OFFSET(enemy_skills!$A$1,0,0,COUNTA(enemy_skills!$A:$A),MATCH(E$1,enemy_skills!$1:$1,0)-MATCH("enemy_skill_id",enemy_skills!$1:$1,0)+1),MATCH(E$1,enemy_skills!$1:$1,0)-MATCH("enemy_skill_id",enemy_skills!$1:$1,0)+1,FALSE)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96" s="125">
        <v>48701028</v>
      </c>
      <c r="G96" s="130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130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96" s="10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6" s="10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10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107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107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107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10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6" s="41"/>
      <c r="Q96" s="41"/>
      <c r="R96" s="41"/>
    </row>
    <row r="97" spans="1:18" ht="21" customHeight="1" x14ac:dyDescent="0.15">
      <c r="A97" s="36" t="str">
        <f t="shared" si="10"/>
        <v>48701018_48701136</v>
      </c>
      <c r="B97" s="125">
        <v>48701018</v>
      </c>
      <c r="C97" s="131">
        <v>48701136</v>
      </c>
      <c r="D97" s="132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ボクはアイドルになったんだ！</v>
      </c>
      <c r="E97" s="132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状態異常耐性+_x000D_4ターン全ユニットのタップ回数を1DOWN</v>
      </c>
      <c r="F97" s="131">
        <v>48701029</v>
      </c>
      <c r="G97" s="130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130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97" s="133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133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133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10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107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133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133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1"/>
      <c r="Q97" s="41"/>
      <c r="R97" s="41"/>
    </row>
    <row r="98" spans="1:18" ht="21" customHeight="1" x14ac:dyDescent="0.15">
      <c r="A98" s="36" t="str">
        <f>B98&amp;"_"&amp;C98</f>
        <v>48701018_48701137</v>
      </c>
      <c r="B98" s="125">
        <v>48701018</v>
      </c>
      <c r="C98" s="131">
        <v>48701137</v>
      </c>
      <c r="D98" s="132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ボクはアイドルになったんだ！</v>
      </c>
      <c r="E98" s="132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状態異常耐性+_x000D_4ターン全ユニットのタップ回数を1DOWN</v>
      </c>
      <c r="F98" s="131">
        <v>48701900</v>
      </c>
      <c r="G98" s="130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130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98" s="133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133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133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10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107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8" s="133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98" s="133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1"/>
      <c r="Q98" s="41"/>
      <c r="R98" s="41"/>
    </row>
    <row r="99" spans="1:18" ht="21" customHeight="1" x14ac:dyDescent="0.15">
      <c r="A99" s="36" t="str">
        <f t="shared" ref="A99:A102" si="11">B99&amp;"_"&amp;C99</f>
        <v>48701018_48701138</v>
      </c>
      <c r="B99" s="125">
        <v>48701018</v>
      </c>
      <c r="C99" s="125">
        <v>48701138</v>
      </c>
      <c r="D99" s="40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もう帰ってくれ！</v>
      </c>
      <c r="E99" s="40" t="str">
        <f ca="1">VLOOKUP($C99,OFFSET(enemy_skills!$A$1,0,0,COUNTA(enemy_skills!$A:$A),MATCH(E$1,enemy_skills!$1:$1,0)-MATCH("enemy_skill_id",enemy_skills!$1:$1,0)+1),MATCH(E$1,enemy_skills!$1:$1,0)-MATCH("enemy_skill_id",enemy_skills!$1:$1,0)+1,FALSE)</f>
        <v>黄パネルプロテクト+_x000D_青パネルを青の時限式ダメージパネルに変換</v>
      </c>
      <c r="F99" s="125">
        <v>48701030</v>
      </c>
      <c r="G99" s="130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130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9" s="10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10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10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107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107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9" s="107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10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1"/>
      <c r="Q99" s="41"/>
      <c r="R99" s="41"/>
    </row>
    <row r="100" spans="1:18" ht="21" customHeight="1" x14ac:dyDescent="0.15">
      <c r="A100" s="36" t="str">
        <f t="shared" si="11"/>
        <v>48701018_48701139</v>
      </c>
      <c r="B100" s="125">
        <v>48701018</v>
      </c>
      <c r="C100" s="125">
        <v>48701139</v>
      </c>
      <c r="D100" s="40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帰らないって言ってるだろ！</v>
      </c>
      <c r="E100" s="40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1ターン暗闇+クリティカル！</v>
      </c>
      <c r="F100" s="125">
        <v>48701031</v>
      </c>
      <c r="G100" s="130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130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00" s="10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10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10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107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107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0" s="107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10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1"/>
      <c r="Q100" s="41"/>
      <c r="R100" s="41"/>
    </row>
    <row r="101" spans="1:18" ht="21" customHeight="1" x14ac:dyDescent="0.15">
      <c r="A101" s="36" t="str">
        <f t="shared" si="11"/>
        <v>48701018_48701140</v>
      </c>
      <c r="B101" s="125">
        <v>48701018</v>
      </c>
      <c r="C101" s="125">
        <v>48701140</v>
      </c>
      <c r="D101" s="40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しつこいぞ！</v>
      </c>
      <c r="E101" s="40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01" s="125">
        <v>48701032</v>
      </c>
      <c r="G101" s="130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130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01" s="10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10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10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107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107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107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10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1"/>
      <c r="Q101" s="41"/>
      <c r="R101" s="41"/>
    </row>
    <row r="102" spans="1:18" ht="21" customHeight="1" x14ac:dyDescent="0.15">
      <c r="A102" s="36" t="str">
        <f t="shared" si="11"/>
        <v>48701019_48701141</v>
      </c>
      <c r="B102" s="125">
        <v>48701019</v>
      </c>
      <c r="C102" s="131">
        <v>48701141</v>
      </c>
      <c r="D102" s="132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ボクを連れ戻したいならショーを見てからだ！</v>
      </c>
      <c r="E102" s="132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状態異常耐性+4ターン攻撃頻度UP+_x000D_2ターン全ユニットの回復力50％DOWN</v>
      </c>
      <c r="F102" s="131">
        <v>48701033</v>
      </c>
      <c r="G102" s="130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130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02" s="133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133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2" s="133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10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107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133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133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1"/>
      <c r="Q102" s="41"/>
      <c r="R102" s="41"/>
    </row>
    <row r="103" spans="1:18" ht="21" customHeight="1" x14ac:dyDescent="0.15">
      <c r="A103" s="36" t="str">
        <f>B103&amp;"_"&amp;C103</f>
        <v>48701019_48701142</v>
      </c>
      <c r="B103" s="125">
        <v>48701019</v>
      </c>
      <c r="C103" s="131">
        <v>48701142</v>
      </c>
      <c r="D103" s="132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春香のことは忘れてないよ_x000D_でもボクはスーパーアイドルなんだ！</v>
      </c>
      <c r="E103" s="132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状態異常耐性+4ターン攻撃頻度UP+_x000D_緑パネルを先頭ユニットのCパネルに変換</v>
      </c>
      <c r="F103" s="131">
        <v>48701900</v>
      </c>
      <c r="G103" s="130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130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103" s="133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133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133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10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107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133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103" s="133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1"/>
      <c r="Q103" s="41"/>
      <c r="R103" s="41"/>
    </row>
    <row r="104" spans="1:18" ht="21" customHeight="1" x14ac:dyDescent="0.15">
      <c r="A104" s="36" t="str">
        <f t="shared" ref="A104:A117" si="12">B104&amp;"_"&amp;C104</f>
        <v>48701019_48701143</v>
      </c>
      <c r="B104" s="125">
        <v>48701019</v>
      </c>
      <c r="C104" s="125">
        <v>48701143</v>
      </c>
      <c r="D104" s="40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さあショーの始まりだ！！</v>
      </c>
      <c r="E104" s="40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全体攻撃+_x000D_属性パネルを緑の時限式ダメージパネルに8個変換</v>
      </c>
      <c r="F104" s="125">
        <v>48701034</v>
      </c>
      <c r="G104" s="130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130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04" s="10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107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4" s="10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107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107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107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10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1"/>
      <c r="Q104" s="41"/>
      <c r="R104" s="41"/>
    </row>
    <row r="105" spans="1:18" ht="21" customHeight="1" x14ac:dyDescent="0.15">
      <c r="A105" s="36" t="str">
        <f t="shared" si="12"/>
        <v>48701019_48701144</v>
      </c>
      <c r="B105" s="125">
        <v>48701019</v>
      </c>
      <c r="C105" s="125">
        <v>48701144</v>
      </c>
      <c r="D105" s="40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ステージ暗転！</v>
      </c>
      <c r="E105" s="40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2ターン暗闇+_x000D_2ターンタップ回数を1DOWN</v>
      </c>
      <c r="F105" s="125">
        <v>48701035</v>
      </c>
      <c r="G105" s="130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130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105" s="10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107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5" s="10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107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107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5" s="107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10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1"/>
      <c r="Q105" s="41"/>
      <c r="R105" s="41"/>
    </row>
    <row r="106" spans="1:18" ht="21" customHeight="1" x14ac:dyDescent="0.15">
      <c r="A106" s="36" t="str">
        <f t="shared" si="12"/>
        <v>48701019_48701145</v>
      </c>
      <c r="B106" s="125">
        <v>48701019</v>
      </c>
      <c r="C106" s="125">
        <v>48701145</v>
      </c>
      <c r="D106" s="40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魅惑の美声</v>
      </c>
      <c r="E106" s="40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黄パネルプロテクト（最大4個）+クリティカル！</v>
      </c>
      <c r="F106" s="125">
        <v>48701036</v>
      </c>
      <c r="G106" s="130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130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106" s="10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107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6" s="10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107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107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107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10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1"/>
      <c r="Q106" s="41"/>
      <c r="R106" s="41"/>
    </row>
    <row r="107" spans="1:18" ht="21" customHeight="1" x14ac:dyDescent="0.15">
      <c r="A107" s="36" t="str">
        <f t="shared" si="12"/>
        <v>48701019_48701146</v>
      </c>
      <c r="B107" s="125">
        <v>48701019</v>
      </c>
      <c r="C107" s="125">
        <v>48701146</v>
      </c>
      <c r="D107" s="40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パーフェクトダンス</v>
      </c>
      <c r="E107" s="40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青パネルプロテクト（最大4個）+クリティカル！</v>
      </c>
      <c r="F107" s="125">
        <v>48701037</v>
      </c>
      <c r="G107" s="130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130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370</v>
      </c>
      <c r="I107" s="10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107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7" s="10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107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107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7" s="107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10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1"/>
      <c r="Q107" s="41"/>
      <c r="R107" s="41"/>
    </row>
    <row r="108" spans="1:18" ht="21" customHeight="1" x14ac:dyDescent="0.15">
      <c r="A108" s="36" t="str">
        <f t="shared" si="12"/>
        <v>48701019_48701147</v>
      </c>
      <c r="B108" s="125">
        <v>48701019</v>
      </c>
      <c r="C108" s="125">
        <v>48701147</v>
      </c>
      <c r="D108" s="40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ボクはスーパーアイドルになれたんだ…</v>
      </c>
      <c r="E108" s="40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8" s="125">
        <v>48701038</v>
      </c>
      <c r="G108" s="130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130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108" s="10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8" s="107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8" s="10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107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107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8" s="107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10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8" s="41"/>
      <c r="Q108" s="41"/>
      <c r="R108" s="41"/>
    </row>
    <row r="109" spans="1:18" ht="21" customHeight="1" x14ac:dyDescent="0.15">
      <c r="A109" s="36" t="str">
        <f t="shared" si="12"/>
        <v>48701019_48701148</v>
      </c>
      <c r="B109" s="125">
        <v>48701019</v>
      </c>
      <c r="C109" s="125">
        <v>48701148</v>
      </c>
      <c r="D109" s="40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HeartCrusher！</v>
      </c>
      <c r="E109" s="40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109" s="125">
        <v>48701039</v>
      </c>
      <c r="G109" s="130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130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109" s="107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9" s="107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9" s="107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107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107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107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107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9" s="41"/>
      <c r="Q109" s="41"/>
      <c r="R109" s="41"/>
    </row>
    <row r="110" spans="1:18" ht="21" customHeight="1" x14ac:dyDescent="0.15">
      <c r="A110" s="36" t="str">
        <f t="shared" si="12"/>
        <v>48701019_48701149</v>
      </c>
      <c r="B110" s="125">
        <v>48701019</v>
      </c>
      <c r="C110" s="125">
        <v>48701149</v>
      </c>
      <c r="D110" s="40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ボクはQoHのアイドルなんだ…</v>
      </c>
      <c r="E110" s="40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超高確率で緑の時限式ダメージパネルがドロップ</v>
      </c>
      <c r="F110" s="125">
        <v>48701040</v>
      </c>
      <c r="G110" s="130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130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0" s="107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107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110" s="107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107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107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0" s="107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107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1"/>
      <c r="Q110" s="41"/>
      <c r="R110" s="41"/>
    </row>
    <row r="111" spans="1:18" ht="21" customHeight="1" x14ac:dyDescent="0.15">
      <c r="A111" s="36" t="str">
        <f t="shared" si="12"/>
        <v>48701019_48701150</v>
      </c>
      <c r="B111" s="125">
        <v>48701019</v>
      </c>
      <c r="C111" s="125">
        <v>48701150</v>
      </c>
      <c r="D111" s="40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今さら引き返せないよ…！</v>
      </c>
      <c r="E111" s="40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111" s="125">
        <v>48701041</v>
      </c>
      <c r="G111" s="130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130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11" s="107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107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111" s="107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107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107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1" s="107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107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1"/>
      <c r="Q111" s="41"/>
      <c r="R111" s="41"/>
    </row>
    <row r="112" spans="1:18" ht="21" customHeight="1" x14ac:dyDescent="0.15">
      <c r="A112" s="36" t="str">
        <f t="shared" si="12"/>
        <v>48701019_48701151</v>
      </c>
      <c r="B112" s="125">
        <v>48701019</v>
      </c>
      <c r="C112" s="125">
        <v>48701151</v>
      </c>
      <c r="D112" s="40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ドラゴンダンス</v>
      </c>
      <c r="E112" s="40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3回連続攻撃_x000D_（命中したユニットの3ターン回復力50％DOWN）</v>
      </c>
      <c r="F112" s="125">
        <v>48701042</v>
      </c>
      <c r="G112" s="130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130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12" s="107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2" s="107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112" s="107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107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107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107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107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2" s="41"/>
      <c r="Q112" s="41"/>
      <c r="R112" s="41"/>
    </row>
    <row r="113" spans="1:18" ht="21" customHeight="1" x14ac:dyDescent="0.15">
      <c r="A113" s="36" t="str">
        <f t="shared" si="12"/>
        <v>48701019_48701152</v>
      </c>
      <c r="B113" s="125">
        <v>48701019</v>
      </c>
      <c r="C113" s="125">
        <v>48701152</v>
      </c>
      <c r="D113" s="40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イエロースマッシュ</v>
      </c>
      <c r="E113" s="40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黄パネルを吸収して攻撃(最大7個)</v>
      </c>
      <c r="F113" s="125">
        <v>48701043</v>
      </c>
      <c r="G113" s="130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130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13" s="107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3" s="107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113" s="107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107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107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3" s="107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107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3" s="41"/>
      <c r="Q113" s="41"/>
      <c r="R113" s="41"/>
    </row>
    <row r="114" spans="1:18" ht="21" customHeight="1" x14ac:dyDescent="0.15">
      <c r="A114" s="36" t="str">
        <f t="shared" si="12"/>
        <v>48701019_48701153</v>
      </c>
      <c r="B114" s="125">
        <v>48701019</v>
      </c>
      <c r="C114" s="125">
        <v>48701153</v>
      </c>
      <c r="D114" s="40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グリーンスマッシュ</v>
      </c>
      <c r="E114" s="40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緑パネルを吸収して攻撃(最大7個)</v>
      </c>
      <c r="F114" s="125">
        <v>48701044</v>
      </c>
      <c r="G114" s="130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130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14" s="107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107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114" s="107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107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107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4" s="107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107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1"/>
      <c r="Q114" s="41"/>
      <c r="R114" s="41"/>
    </row>
    <row r="115" spans="1:18" ht="21" customHeight="1" x14ac:dyDescent="0.15">
      <c r="A115" s="36" t="str">
        <f t="shared" si="12"/>
        <v>48701019_48701154</v>
      </c>
      <c r="B115" s="125">
        <v>48701019</v>
      </c>
      <c r="C115" s="128">
        <v>48701154</v>
      </c>
      <c r="D115" s="129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アイドルになれて楽しかったな……</v>
      </c>
      <c r="E115" s="129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夢龍は名残惜しそうに_x000D_春香の元へ帰っていった…</v>
      </c>
      <c r="F115" s="128">
        <v>48701045</v>
      </c>
      <c r="G115" s="130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130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15" s="130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130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130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107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107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5" s="130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15" s="130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1"/>
      <c r="Q115" s="41"/>
      <c r="R115" s="41"/>
    </row>
    <row r="116" spans="1:18" ht="21" customHeight="1" x14ac:dyDescent="0.15">
      <c r="A116" s="36" t="str">
        <f t="shared" si="12"/>
        <v>48701019_48701155</v>
      </c>
      <c r="B116" s="125">
        <v>48701019</v>
      </c>
      <c r="C116" s="128">
        <v>48701155</v>
      </c>
      <c r="D116" s="129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ごめん春香…帰るよ……</v>
      </c>
      <c r="E116" s="129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夢龍は名残惜しそうに_x000D_春香の元へ帰っていった…</v>
      </c>
      <c r="F116" s="128">
        <v>48701901</v>
      </c>
      <c r="G116" s="130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130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116" s="130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130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130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107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107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6" s="130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9001</v>
      </c>
      <c r="O116" s="130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1"/>
      <c r="Q116" s="41"/>
      <c r="R116" s="41"/>
    </row>
    <row r="117" spans="1:18" ht="21" customHeight="1" thickBot="1" x14ac:dyDescent="0.2">
      <c r="A117" s="207" t="str">
        <f t="shared" si="12"/>
        <v>48701019_48701155</v>
      </c>
      <c r="B117" s="208">
        <v>48701019</v>
      </c>
      <c r="C117" s="209">
        <v>48701155</v>
      </c>
      <c r="D117" s="210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ごめん春香…帰るよ……</v>
      </c>
      <c r="E117" s="210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夢龍は名残惜しそうに_x000D_春香の元へ帰っていった…</v>
      </c>
      <c r="F117" s="209">
        <v>48701902</v>
      </c>
      <c r="G117" s="211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211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117" s="211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211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211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212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212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211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9002</v>
      </c>
      <c r="O117" s="211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213"/>
      <c r="Q117" s="213"/>
      <c r="R117" s="213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121"/>
  <sheetViews>
    <sheetView showGridLines="0" tabSelected="1" workbookViewId="0">
      <pane ySplit="1" topLeftCell="A76" activePane="bottomLeft" state="frozenSplit"/>
      <selection pane="bottomLeft" activeCell="A83" sqref="A83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29.83203125" style="43" customWidth="1"/>
    <col min="3" max="4" width="4.33203125" style="43" customWidth="1"/>
    <col min="5" max="5" width="32.83203125" style="43" customWidth="1"/>
    <col min="6" max="6" width="44.1640625" style="43" bestFit="1" customWidth="1"/>
    <col min="7" max="7" width="52" style="43" hidden="1" customWidth="1" outlineLevel="1"/>
    <col min="8" max="8" width="18.33203125" style="43" hidden="1" customWidth="1" outlineLevel="1"/>
    <col min="9" max="11" width="18.6640625" style="43" hidden="1" customWidth="1" outlineLevel="1"/>
    <col min="12" max="12" width="12.83203125" style="43" customWidth="1" collapsed="1"/>
    <col min="13" max="18" width="23.6640625" style="43" hidden="1" customWidth="1" outlineLevel="1"/>
    <col min="19" max="19" width="12.6640625" style="43" customWidth="1" collapsed="1"/>
    <col min="20" max="24" width="23.6640625" style="43" hidden="1" customWidth="1" outlineLevel="1"/>
    <col min="25" max="25" width="11.5" style="43" customWidth="1" collapsed="1"/>
    <col min="26" max="27" width="12.83203125" style="43" hidden="1" customWidth="1"/>
    <col min="28" max="28" width="29.83203125" style="43" hidden="1" customWidth="1"/>
    <col min="29" max="29" width="78.33203125" style="108" customWidth="1"/>
    <col min="30" max="30" width="52.1640625" style="43" customWidth="1"/>
    <col min="31" max="16384" width="12.83203125" style="43"/>
  </cols>
  <sheetData>
    <row r="1" spans="1:29" ht="43" customHeight="1" x14ac:dyDescent="0.15">
      <c r="A1" s="37" t="s">
        <v>79</v>
      </c>
      <c r="B1" s="37" t="s">
        <v>80</v>
      </c>
      <c r="C1" s="37" t="s">
        <v>81</v>
      </c>
      <c r="D1" s="37" t="s">
        <v>125</v>
      </c>
      <c r="E1" s="37" t="s">
        <v>82</v>
      </c>
      <c r="F1" s="37" t="s">
        <v>83</v>
      </c>
      <c r="G1" s="38" t="s">
        <v>130</v>
      </c>
      <c r="H1" s="38" t="s">
        <v>136</v>
      </c>
      <c r="I1" s="38" t="s">
        <v>138</v>
      </c>
      <c r="J1" s="38" t="s">
        <v>137</v>
      </c>
      <c r="K1" s="38" t="s">
        <v>139</v>
      </c>
      <c r="L1" s="38" t="s">
        <v>131</v>
      </c>
      <c r="M1" s="38" t="s">
        <v>129</v>
      </c>
      <c r="N1" s="38" t="s">
        <v>132</v>
      </c>
      <c r="O1" s="38" t="s">
        <v>140</v>
      </c>
      <c r="P1" s="38" t="s">
        <v>141</v>
      </c>
      <c r="Q1" s="38" t="s">
        <v>142</v>
      </c>
      <c r="R1" s="38" t="s">
        <v>143</v>
      </c>
      <c r="S1" s="38" t="s">
        <v>133</v>
      </c>
      <c r="T1" s="38" t="s">
        <v>134</v>
      </c>
      <c r="U1" s="38" t="s">
        <v>144</v>
      </c>
      <c r="V1" s="38" t="s">
        <v>145</v>
      </c>
      <c r="W1" s="38" t="s">
        <v>146</v>
      </c>
      <c r="X1" s="38" t="s">
        <v>147</v>
      </c>
      <c r="Y1" s="38" t="s">
        <v>135</v>
      </c>
      <c r="Z1" s="38" t="s">
        <v>76</v>
      </c>
      <c r="AA1" s="38" t="s">
        <v>77</v>
      </c>
      <c r="AB1" s="38" t="s">
        <v>78</v>
      </c>
      <c r="AC1" s="135" t="s">
        <v>250</v>
      </c>
    </row>
    <row r="2" spans="1:29" ht="43" customHeight="1" x14ac:dyDescent="0.15">
      <c r="A2" s="214">
        <v>48701000</v>
      </c>
      <c r="B2" s="42" t="str">
        <f t="shared" ref="B2:B3" si="0"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>[effect:enemy_message, val1:1.2, val2:1.2],[effect:rush, count:2, val:0.8]</v>
      </c>
      <c r="C2" s="44">
        <v>1</v>
      </c>
      <c r="D2" s="44" t="s">
        <v>249</v>
      </c>
      <c r="E2" s="45" t="s">
        <v>465</v>
      </c>
      <c r="F2" s="45" t="s">
        <v>349</v>
      </c>
      <c r="G2" s="55" t="str">
        <f t="shared" ref="G2:G34" si="1">IFERROR(LEFT(B2,FIND("],",B2)),B2)</f>
        <v>[effect:enemy_message, val1:1.2, val2:1.2]</v>
      </c>
      <c r="H2" s="55">
        <f t="shared" ref="H2:H34" si="2">FIND("effect:",G2)+7</f>
        <v>9</v>
      </c>
      <c r="I2" s="55">
        <f t="shared" ref="I2:I34" si="3">IFERROR(FIND(",",G2),LEN(G2))</f>
        <v>22</v>
      </c>
      <c r="J2" s="55" t="e">
        <f t="shared" ref="J2:J34" si="4">FIND("target:",G2)+7</f>
        <v>#VALUE!</v>
      </c>
      <c r="K2" s="55">
        <f t="shared" ref="K2:K34" si="5">FIND(",",G2,I2+1)</f>
        <v>32</v>
      </c>
      <c r="L2" s="55" t="str">
        <f>IFERROR(VLOOKUP(MID(G2,J2,K2-J2),[5]skilldef!$C:$D,2,FALSE),"-") &amp; " / " &amp; IFERROR(VLOOKUP(MID(G2,H2,I2-H2),[5]skilldef!$A:$B,2,FALSE),"-")</f>
        <v>- / -</v>
      </c>
      <c r="M2" s="55" t="str">
        <f t="shared" ref="M2:M34" si="6">IFERROR(RIGHT(B2,LEN(B2)-FIND("],",B2)-1),"none")</f>
        <v>[effect:rush, count:2, val:0.8]</v>
      </c>
      <c r="N2" s="42" t="str">
        <f>IFERROR(LEFT(M2,FIND("],",M2)+#REF!),M2)</f>
        <v>[effect:rush, count:2, val:0.8]</v>
      </c>
      <c r="O2" s="55">
        <f t="shared" ref="O2:O34" si="7">FIND("effect:",N2)+7</f>
        <v>9</v>
      </c>
      <c r="P2" s="55">
        <f t="shared" ref="P2:P34" si="8">IFERROR(FIND(",",N2),LEN(N2))</f>
        <v>13</v>
      </c>
      <c r="Q2" s="55" t="e">
        <f t="shared" ref="Q2:Q34" si="9">FIND("target:",N2)+7</f>
        <v>#VALUE!</v>
      </c>
      <c r="R2" s="55">
        <f t="shared" ref="R2:R34" si="10">FIND(",",N2,P2+1)</f>
        <v>22</v>
      </c>
      <c r="S2" s="55" t="str">
        <f>IFERROR(VLOOKUP(MID(N2,Q2,R2-Q2),[5]skilldef!$C:$D,2,FALSE),"-") &amp; " / " &amp; IFERROR(VLOOKUP(MID(N2,O2,P2-O2),[5]skilldef!$A:$B,2,FALSE),"-")</f>
        <v>- / 連続攻撃</v>
      </c>
      <c r="T2" s="42" t="str">
        <f t="shared" ref="T2:T34" si="11">IFERROR(RIGHT(M2,LEN(M2)-FIND("],",M2)-1),"none")</f>
        <v>none</v>
      </c>
      <c r="U2" s="55" t="e">
        <f t="shared" ref="U2:U34" si="12">FIND("effect:",T2)+7</f>
        <v>#VALUE!</v>
      </c>
      <c r="V2" s="55">
        <f t="shared" ref="V2:V34" si="13">IFERROR(FIND(",",T2),LEN(T2))</f>
        <v>4</v>
      </c>
      <c r="W2" s="55" t="e">
        <f t="shared" ref="W2:W34" si="14">FIND("target:",T2)+7</f>
        <v>#VALUE!</v>
      </c>
      <c r="X2" s="55" t="e">
        <f t="shared" ref="X2:X34" si="15">FIND(",",T2,V2+1)</f>
        <v>#VALUE!</v>
      </c>
      <c r="Y2" s="55" t="str">
        <f>IFERROR(VLOOKUP(MID(T2,W2,X2-W2),[5]skilldef!$C:$D,2,FALSE),"-") &amp; " / " &amp; IFERROR(VLOOKUP(MID(T2,U2,V2-U2),[5]skilldef!$A:$B,2,FALSE),"-")</f>
        <v>- / -</v>
      </c>
      <c r="Z2" s="44"/>
      <c r="AA2" s="46"/>
      <c r="AB2" s="44"/>
      <c r="AC2" s="136" t="s">
        <v>363</v>
      </c>
    </row>
    <row r="3" spans="1:29" ht="43" customHeight="1" x14ac:dyDescent="0.15">
      <c r="A3" s="214">
        <v>48701001</v>
      </c>
      <c r="B3" s="42" t="str">
        <f t="shared" si="0"/>
        <v>[effect:enemy_message, val1:1.2, val2:1.4]</v>
      </c>
      <c r="C3" s="44">
        <v>1</v>
      </c>
      <c r="D3" s="44" t="s">
        <v>194</v>
      </c>
      <c r="E3" s="45" t="s">
        <v>385</v>
      </c>
      <c r="F3" s="45" t="s">
        <v>387</v>
      </c>
      <c r="G3" s="55" t="str">
        <f t="shared" si="1"/>
        <v>[effect:enemy_message, val1:1.2, val2:1.4]</v>
      </c>
      <c r="H3" s="55">
        <f t="shared" si="2"/>
        <v>9</v>
      </c>
      <c r="I3" s="55">
        <f t="shared" si="3"/>
        <v>22</v>
      </c>
      <c r="J3" s="55" t="e">
        <f t="shared" si="4"/>
        <v>#VALUE!</v>
      </c>
      <c r="K3" s="55">
        <f t="shared" si="5"/>
        <v>32</v>
      </c>
      <c r="L3" s="55" t="str">
        <f>IFERROR(VLOOKUP(MID(G3,J3,K3-J3),[5]skilldef!$C:$D,2,FALSE),"-") &amp; " / " &amp; IFERROR(VLOOKUP(MID(G3,H3,I3-H3),[5]skilldef!$A:$B,2,FALSE),"-")</f>
        <v>- / -</v>
      </c>
      <c r="M3" s="55" t="str">
        <f t="shared" si="6"/>
        <v>none</v>
      </c>
      <c r="N3" s="42" t="str">
        <f>IFERROR(LEFT(M3,FIND("],",M3)+#REF!),M3)</f>
        <v>none</v>
      </c>
      <c r="O3" s="55" t="e">
        <f t="shared" si="7"/>
        <v>#VALUE!</v>
      </c>
      <c r="P3" s="55">
        <f t="shared" si="8"/>
        <v>4</v>
      </c>
      <c r="Q3" s="55" t="e">
        <f t="shared" si="9"/>
        <v>#VALUE!</v>
      </c>
      <c r="R3" s="55" t="e">
        <f t="shared" si="10"/>
        <v>#VALUE!</v>
      </c>
      <c r="S3" s="55" t="str">
        <f>IFERROR(VLOOKUP(MID(N3,Q3,R3-Q3),[5]skilldef!$C:$D,2,FALSE),"-") &amp; " / " &amp; IFERROR(VLOOKUP(MID(N3,O3,P3-O3),[5]skilldef!$A:$B,2,FALSE),"-")</f>
        <v>- / -</v>
      </c>
      <c r="T3" s="42" t="str">
        <f t="shared" si="11"/>
        <v>none</v>
      </c>
      <c r="U3" s="55" t="e">
        <f t="shared" si="12"/>
        <v>#VALUE!</v>
      </c>
      <c r="V3" s="55">
        <f t="shared" si="13"/>
        <v>4</v>
      </c>
      <c r="W3" s="55" t="e">
        <f t="shared" si="14"/>
        <v>#VALUE!</v>
      </c>
      <c r="X3" s="55" t="e">
        <f t="shared" si="15"/>
        <v>#VALUE!</v>
      </c>
      <c r="Y3" s="55" t="str">
        <f>IFERROR(VLOOKUP(MID(T3,W3,X3-W3),[5]skilldef!$C:$D,2,FALSE),"-") &amp; " / " &amp; IFERROR(VLOOKUP(MID(T3,U3,V3-U3),[5]skilldef!$A:$B,2,FALSE),"-")</f>
        <v>- / -</v>
      </c>
      <c r="Z3" s="44"/>
      <c r="AA3" s="46"/>
      <c r="AB3" s="44"/>
      <c r="AC3" s="136"/>
    </row>
    <row r="4" spans="1:29" ht="43" customHeight="1" x14ac:dyDescent="0.15">
      <c r="A4" s="214">
        <v>48701002</v>
      </c>
      <c r="B4" s="42" t="str">
        <f t="shared" ref="B4:B32" si="16">"[effect:enemy_message, val1:"&amp;TEXT(IF(TEXT(E4,0)="[表示しない]", "0", IF(LEN(SUBSTITUTE(E4,CHAR(13),""))*0.1&lt;1.2, 1.2, LEN(SUBSTITUTE(E4,CHAR(13),""))*0.1)), "0.0")&amp;", val2:"&amp;TEXT(IF(TEXT(F4,0)="[表示しない]", "0", IF(LEN(SUBSTITUTE(F4,CHAR(13),""))*0.1&lt;1.2, 1.2, LEN(SUBSTITUTE(F4,CHAR(13),""))*0.1)),"0.0")&amp;"]"&amp;IF(LEN(AC4)&gt;0, ","&amp;AC4,AC4)</f>
        <v>[effect:enemy_message, val1:1.8, val2:1.3]</v>
      </c>
      <c r="C4" s="44">
        <v>1</v>
      </c>
      <c r="D4" s="44" t="s">
        <v>194</v>
      </c>
      <c r="E4" s="45" t="s">
        <v>384</v>
      </c>
      <c r="F4" s="45" t="s">
        <v>388</v>
      </c>
      <c r="G4" s="55" t="str">
        <f t="shared" si="1"/>
        <v>[effect:enemy_message, val1:1.8, val2:1.3]</v>
      </c>
      <c r="H4" s="55">
        <f t="shared" si="2"/>
        <v>9</v>
      </c>
      <c r="I4" s="55">
        <f t="shared" si="3"/>
        <v>22</v>
      </c>
      <c r="J4" s="55" t="e">
        <f t="shared" si="4"/>
        <v>#VALUE!</v>
      </c>
      <c r="K4" s="55">
        <f t="shared" si="5"/>
        <v>32</v>
      </c>
      <c r="L4" s="55" t="str">
        <f>IFERROR(VLOOKUP(MID(G4,J4,K4-J4),[5]skilldef!$C:$D,2,FALSE),"-") &amp; " / " &amp; IFERROR(VLOOKUP(MID(G4,H4,I4-H4),[5]skilldef!$A:$B,2,FALSE),"-")</f>
        <v>- / -</v>
      </c>
      <c r="M4" s="55" t="str">
        <f t="shared" si="6"/>
        <v>none</v>
      </c>
      <c r="N4" s="42" t="str">
        <f>IFERROR(LEFT(M4,FIND("],",M4)+#REF!),M4)</f>
        <v>none</v>
      </c>
      <c r="O4" s="55" t="e">
        <f t="shared" si="7"/>
        <v>#VALUE!</v>
      </c>
      <c r="P4" s="55">
        <f t="shared" si="8"/>
        <v>4</v>
      </c>
      <c r="Q4" s="55" t="e">
        <f t="shared" si="9"/>
        <v>#VALUE!</v>
      </c>
      <c r="R4" s="55" t="e">
        <f t="shared" si="10"/>
        <v>#VALUE!</v>
      </c>
      <c r="S4" s="55" t="str">
        <f>IFERROR(VLOOKUP(MID(N4,Q4,R4-Q4),[5]skilldef!$C:$D,2,FALSE),"-") &amp; " / " &amp; IFERROR(VLOOKUP(MID(N4,O4,P4-O4),[5]skilldef!$A:$B,2,FALSE),"-")</f>
        <v>- / -</v>
      </c>
      <c r="T4" s="42" t="str">
        <f t="shared" si="11"/>
        <v>none</v>
      </c>
      <c r="U4" s="55" t="e">
        <f t="shared" si="12"/>
        <v>#VALUE!</v>
      </c>
      <c r="V4" s="55">
        <f t="shared" si="13"/>
        <v>4</v>
      </c>
      <c r="W4" s="55" t="e">
        <f t="shared" si="14"/>
        <v>#VALUE!</v>
      </c>
      <c r="X4" s="55" t="e">
        <f t="shared" si="15"/>
        <v>#VALUE!</v>
      </c>
      <c r="Y4" s="55" t="str">
        <f>IFERROR(VLOOKUP(MID(T4,W4,X4-W4),[5]skilldef!$C:$D,2,FALSE),"-") &amp; " / " &amp; IFERROR(VLOOKUP(MID(T4,U4,V4-U4),[5]skilldef!$A:$B,2,FALSE),"-")</f>
        <v>- / -</v>
      </c>
      <c r="Z4" s="44"/>
      <c r="AA4" s="46"/>
      <c r="AB4" s="44"/>
      <c r="AC4" s="136"/>
    </row>
    <row r="5" spans="1:29" ht="43" customHeight="1" x14ac:dyDescent="0.15">
      <c r="A5" s="214">
        <v>48701003</v>
      </c>
      <c r="B5" s="42" t="str">
        <f t="shared" si="16"/>
        <v>[effect:enemy_message, val1:1.7, val2:1.9],[effect:sp_boost, target:unit_all, val:3, animation:sp_boost_one03]</v>
      </c>
      <c r="C5" s="44">
        <v>1</v>
      </c>
      <c r="D5" s="44" t="s">
        <v>194</v>
      </c>
      <c r="E5" s="144" t="s">
        <v>449</v>
      </c>
      <c r="F5" s="144" t="s">
        <v>372</v>
      </c>
      <c r="G5" s="55" t="str">
        <f t="shared" si="1"/>
        <v>[effect:enemy_message, val1:1.7, val2:1.9]</v>
      </c>
      <c r="H5" s="55">
        <f t="shared" si="2"/>
        <v>9</v>
      </c>
      <c r="I5" s="55">
        <f t="shared" si="3"/>
        <v>22</v>
      </c>
      <c r="J5" s="55" t="e">
        <f t="shared" si="4"/>
        <v>#VALUE!</v>
      </c>
      <c r="K5" s="55">
        <f t="shared" si="5"/>
        <v>32</v>
      </c>
      <c r="L5" s="55" t="str">
        <f>IFERROR(VLOOKUP(MID(G5,J5,K5-J5),[5]skilldef!$C:$D,2,FALSE),"-") &amp; " / " &amp; IFERROR(VLOOKUP(MID(G5,H5,I5-H5),[5]skilldef!$A:$B,2,FALSE),"-")</f>
        <v>- / -</v>
      </c>
      <c r="M5" s="55" t="str">
        <f t="shared" si="6"/>
        <v>[effect:sp_boost, target:unit_all, val:3, animation:sp_boost_one03]</v>
      </c>
      <c r="N5" s="42" t="str">
        <f>IFERROR(LEFT(M5,FIND("],",M5)+#REF!),M5)</f>
        <v>[effect:sp_boost, target:unit_all, val:3, animation:sp_boost_one03]</v>
      </c>
      <c r="O5" s="55">
        <f t="shared" si="7"/>
        <v>9</v>
      </c>
      <c r="P5" s="55">
        <f t="shared" si="8"/>
        <v>17</v>
      </c>
      <c r="Q5" s="55">
        <f t="shared" si="9"/>
        <v>26</v>
      </c>
      <c r="R5" s="55">
        <f t="shared" si="10"/>
        <v>34</v>
      </c>
      <c r="S5" s="55" t="str">
        <f>IFERROR(VLOOKUP(MID(N5,Q5,R5-Q5),[5]skilldef!$C:$D,2,FALSE),"-") &amp; " / " &amp; IFERROR(VLOOKUP(MID(N5,O5,P5-O5),[5]skilldef!$A:$B,2,FALSE),"-")</f>
        <v>味方全体に / -</v>
      </c>
      <c r="T5" s="42" t="str">
        <f t="shared" si="11"/>
        <v>none</v>
      </c>
      <c r="U5" s="55" t="e">
        <f t="shared" si="12"/>
        <v>#VALUE!</v>
      </c>
      <c r="V5" s="55">
        <f t="shared" si="13"/>
        <v>4</v>
      </c>
      <c r="W5" s="55" t="e">
        <f t="shared" si="14"/>
        <v>#VALUE!</v>
      </c>
      <c r="X5" s="55" t="e">
        <f t="shared" si="15"/>
        <v>#VALUE!</v>
      </c>
      <c r="Y5" s="55" t="str">
        <f>IFERROR(VLOOKUP(MID(T5,W5,X5-W5),[5]skilldef!$C:$D,2,FALSE),"-") &amp; " / " &amp; IFERROR(VLOOKUP(MID(T5,U5,V5-U5),[5]skilldef!$A:$B,2,FALSE),"-")</f>
        <v>- / -</v>
      </c>
      <c r="Z5" s="44"/>
      <c r="AA5" s="46"/>
      <c r="AB5" s="44"/>
      <c r="AC5" s="136" t="s">
        <v>344</v>
      </c>
    </row>
    <row r="6" spans="1:29" ht="43" customHeight="1" x14ac:dyDescent="0.15">
      <c r="A6" s="214">
        <v>48701004</v>
      </c>
      <c r="B6" s="42" t="str">
        <f t="shared" si="16"/>
        <v>[effect:enemy_message, val1:2.0, val2:1.2],[effect:critical, val:1.2, animation:enemy_critical]</v>
      </c>
      <c r="C6" s="44">
        <v>1</v>
      </c>
      <c r="D6" s="44" t="s">
        <v>194</v>
      </c>
      <c r="E6" s="45" t="s">
        <v>404</v>
      </c>
      <c r="F6" s="45" t="s">
        <v>253</v>
      </c>
      <c r="G6" s="55" t="str">
        <f t="shared" si="1"/>
        <v>[effect:enemy_message, val1:2.0, val2:1.2]</v>
      </c>
      <c r="H6" s="55">
        <f t="shared" si="2"/>
        <v>9</v>
      </c>
      <c r="I6" s="55">
        <f t="shared" si="3"/>
        <v>22</v>
      </c>
      <c r="J6" s="55" t="e">
        <f t="shared" si="4"/>
        <v>#VALUE!</v>
      </c>
      <c r="K6" s="55">
        <f t="shared" si="5"/>
        <v>32</v>
      </c>
      <c r="L6" s="55" t="str">
        <f>IFERROR(VLOOKUP(MID(G6,J6,K6-J6),[5]skilldef!$C:$D,2,FALSE),"-") &amp; " / " &amp; IFERROR(VLOOKUP(MID(G6,H6,I6-H6),[5]skilldef!$A:$B,2,FALSE),"-")</f>
        <v>- / -</v>
      </c>
      <c r="M6" s="55" t="str">
        <f t="shared" si="6"/>
        <v>[effect:critical, val:1.2, animation:enemy_critical]</v>
      </c>
      <c r="N6" s="42" t="str">
        <f>IFERROR(LEFT(M6,FIND("],",M6)+#REF!),M6)</f>
        <v>[effect:critical, val:1.2, animation:enemy_critical]</v>
      </c>
      <c r="O6" s="55">
        <f t="shared" si="7"/>
        <v>9</v>
      </c>
      <c r="P6" s="55">
        <f t="shared" si="8"/>
        <v>17</v>
      </c>
      <c r="Q6" s="55" t="e">
        <f t="shared" si="9"/>
        <v>#VALUE!</v>
      </c>
      <c r="R6" s="55">
        <f t="shared" si="10"/>
        <v>26</v>
      </c>
      <c r="S6" s="55" t="str">
        <f>IFERROR(VLOOKUP(MID(N6,Q6,R6-Q6),[5]skilldef!$C:$D,2,FALSE),"-") &amp; " / " &amp; IFERROR(VLOOKUP(MID(N6,O6,P6-O6),[5]skilldef!$A:$B,2,FALSE),"-")</f>
        <v>- / 大攻撃</v>
      </c>
      <c r="T6" s="42" t="str">
        <f t="shared" si="11"/>
        <v>none</v>
      </c>
      <c r="U6" s="55" t="e">
        <f t="shared" si="12"/>
        <v>#VALUE!</v>
      </c>
      <c r="V6" s="55">
        <f t="shared" si="13"/>
        <v>4</v>
      </c>
      <c r="W6" s="55" t="e">
        <f t="shared" si="14"/>
        <v>#VALUE!</v>
      </c>
      <c r="X6" s="55" t="e">
        <f t="shared" si="15"/>
        <v>#VALUE!</v>
      </c>
      <c r="Y6" s="55" t="str">
        <f>IFERROR(VLOOKUP(MID(T6,W6,X6-W6),[5]skilldef!$C:$D,2,FALSE),"-") &amp; " / " &amp; IFERROR(VLOOKUP(MID(T6,U6,V6-U6),[5]skilldef!$A:$B,2,FALSE),"-")</f>
        <v>- / -</v>
      </c>
      <c r="Z6" s="44"/>
      <c r="AA6" s="46"/>
      <c r="AB6" s="44"/>
      <c r="AC6" s="136" t="s">
        <v>450</v>
      </c>
    </row>
    <row r="7" spans="1:29" ht="43" customHeight="1" x14ac:dyDescent="0.15">
      <c r="A7" s="214">
        <v>48701005</v>
      </c>
      <c r="B7" s="42" t="str">
        <f t="shared" si="16"/>
        <v>[effect:enemy_message, val1:1.3, val2:2.9],[effect:damage_abnormal, target:unit_one, val:1.0, status:attack, turn:2, val_abnormal:0.3, calc:mul, animation:attack_break01]</v>
      </c>
      <c r="C7" s="44">
        <v>1</v>
      </c>
      <c r="D7" s="44" t="s">
        <v>194</v>
      </c>
      <c r="E7" s="45" t="s">
        <v>405</v>
      </c>
      <c r="F7" s="45" t="s">
        <v>446</v>
      </c>
      <c r="G7" s="55" t="str">
        <f t="shared" si="1"/>
        <v>[effect:enemy_message, val1:1.3, val2:2.9]</v>
      </c>
      <c r="H7" s="55">
        <f t="shared" si="2"/>
        <v>9</v>
      </c>
      <c r="I7" s="55">
        <f t="shared" si="3"/>
        <v>22</v>
      </c>
      <c r="J7" s="55" t="e">
        <f t="shared" si="4"/>
        <v>#VALUE!</v>
      </c>
      <c r="K7" s="55">
        <f t="shared" si="5"/>
        <v>32</v>
      </c>
      <c r="L7" s="55" t="str">
        <f>IFERROR(VLOOKUP(MID(G7,J7,K7-J7),[5]skilldef!$C:$D,2,FALSE),"-") &amp; " / " &amp; IFERROR(VLOOKUP(MID(G7,H7,I7-H7),[5]skilldef!$A:$B,2,FALSE),"-")</f>
        <v>- / -</v>
      </c>
      <c r="M7" s="55" t="str">
        <f t="shared" si="6"/>
        <v>[effect:damage_abnormal, target:unit_one, val:1.0, status:attack, turn:2, val_abnormal:0.3, calc:mul, animation:attack_break01]</v>
      </c>
      <c r="N7" s="42" t="str">
        <f>IFERROR(LEFT(M7,FIND("],",M7)+#REF!),M7)</f>
        <v>[effect:damage_abnormal, target:unit_one, val:1.0, status:attack, turn:2, val_abnormal:0.3, calc:mul, animation:attack_break01]</v>
      </c>
      <c r="O7" s="55">
        <f t="shared" si="7"/>
        <v>9</v>
      </c>
      <c r="P7" s="55">
        <f t="shared" si="8"/>
        <v>24</v>
      </c>
      <c r="Q7" s="55">
        <f t="shared" si="9"/>
        <v>33</v>
      </c>
      <c r="R7" s="55">
        <f t="shared" si="10"/>
        <v>41</v>
      </c>
      <c r="S7" s="55" t="str">
        <f>IFERROR(VLOOKUP(MID(N7,Q7,R7-Q7),[5]skilldef!$C:$D,2,FALSE),"-") &amp; " / " &amp; IFERROR(VLOOKUP(MID(N7,O7,P7-O7),[5]skilldef!$A:$B,2,FALSE),"-")</f>
        <v>味方単体に / -</v>
      </c>
      <c r="T7" s="42" t="str">
        <f t="shared" si="11"/>
        <v>none</v>
      </c>
      <c r="U7" s="55" t="e">
        <f t="shared" si="12"/>
        <v>#VALUE!</v>
      </c>
      <c r="V7" s="55">
        <f t="shared" si="13"/>
        <v>4</v>
      </c>
      <c r="W7" s="55" t="e">
        <f t="shared" si="14"/>
        <v>#VALUE!</v>
      </c>
      <c r="X7" s="55" t="e">
        <f t="shared" si="15"/>
        <v>#VALUE!</v>
      </c>
      <c r="Y7" s="55" t="str">
        <f>IFERROR(VLOOKUP(MID(T7,W7,X7-W7),[5]skilldef!$C:$D,2,FALSE),"-") &amp; " / " &amp; IFERROR(VLOOKUP(MID(T7,U7,V7-U7),[5]skilldef!$A:$B,2,FALSE),"-")</f>
        <v>- / -</v>
      </c>
      <c r="Z7" s="44"/>
      <c r="AA7" s="46"/>
      <c r="AB7" s="44"/>
      <c r="AC7" s="136" t="s">
        <v>468</v>
      </c>
    </row>
    <row r="8" spans="1:29" ht="43" customHeight="1" x14ac:dyDescent="0.15">
      <c r="A8" s="214">
        <v>48701006</v>
      </c>
      <c r="B8" s="42" t="str">
        <f t="shared" si="16"/>
        <v>[effect:enemy_message, val1:1.9, val2:1.2],[effect:tolerance, target:myself, turn:-1, count:-1, tolerance_effect:all, animation:enemy_tolerance]</v>
      </c>
      <c r="C8" s="44">
        <v>1</v>
      </c>
      <c r="D8" s="44" t="s">
        <v>194</v>
      </c>
      <c r="E8" s="45" t="s">
        <v>504</v>
      </c>
      <c r="F8" s="45" t="s">
        <v>263</v>
      </c>
      <c r="G8" s="55" t="str">
        <f t="shared" si="1"/>
        <v>[effect:enemy_message, val1:1.9, val2:1.2]</v>
      </c>
      <c r="H8" s="55">
        <f t="shared" si="2"/>
        <v>9</v>
      </c>
      <c r="I8" s="55">
        <f t="shared" si="3"/>
        <v>22</v>
      </c>
      <c r="J8" s="55" t="e">
        <f t="shared" si="4"/>
        <v>#VALUE!</v>
      </c>
      <c r="K8" s="55">
        <f t="shared" si="5"/>
        <v>32</v>
      </c>
      <c r="L8" s="55" t="str">
        <f>IFERROR(VLOOKUP(MID(G8,J8,K8-J8),[5]skilldef!$C:$D,2,FALSE),"-") &amp; " / " &amp; IFERROR(VLOOKUP(MID(G8,H8,I8-H8),[5]skilldef!$A:$B,2,FALSE),"-")</f>
        <v>- / -</v>
      </c>
      <c r="M8" s="55" t="str">
        <f t="shared" si="6"/>
        <v>[effect:tolerance, target:myself, turn:-1, count:-1, tolerance_effect:all, animation:enemy_tolerance]</v>
      </c>
      <c r="N8" s="42" t="str">
        <f>IFERROR(LEFT(M8,FIND("],",M8)+#REF!),M8)</f>
        <v>[effect:tolerance, target:myself, turn:-1, count:-1, tolerance_effect:all, animation:enemy_tolerance]</v>
      </c>
      <c r="O8" s="55">
        <f t="shared" si="7"/>
        <v>9</v>
      </c>
      <c r="P8" s="55">
        <f t="shared" si="8"/>
        <v>18</v>
      </c>
      <c r="Q8" s="55">
        <f t="shared" si="9"/>
        <v>27</v>
      </c>
      <c r="R8" s="55">
        <f t="shared" si="10"/>
        <v>33</v>
      </c>
      <c r="S8" s="55" t="str">
        <f>IFERROR(VLOOKUP(MID(N8,Q8,R8-Q8),[5]skilldef!$C:$D,2,FALSE),"-") &amp; " / " &amp; IFERROR(VLOOKUP(MID(N8,O8,P8-O8),[5]skilldef!$A:$B,2,FALSE),"-")</f>
        <v>自分自身に / 状態異常耐性</v>
      </c>
      <c r="T8" s="42" t="str">
        <f t="shared" si="11"/>
        <v>none</v>
      </c>
      <c r="U8" s="55" t="e">
        <f t="shared" si="12"/>
        <v>#VALUE!</v>
      </c>
      <c r="V8" s="55">
        <f t="shared" si="13"/>
        <v>4</v>
      </c>
      <c r="W8" s="55" t="e">
        <f t="shared" si="14"/>
        <v>#VALUE!</v>
      </c>
      <c r="X8" s="55" t="e">
        <f t="shared" si="15"/>
        <v>#VALUE!</v>
      </c>
      <c r="Y8" s="55" t="str">
        <f>IFERROR(VLOOKUP(MID(T8,W8,X8-W8),[5]skilldef!$C:$D,2,FALSE),"-") &amp; " / " &amp; IFERROR(VLOOKUP(MID(T8,U8,V8-U8),[5]skilldef!$A:$B,2,FALSE),"-")</f>
        <v>- / -</v>
      </c>
      <c r="Z8" s="44"/>
      <c r="AA8" s="46"/>
      <c r="AB8" s="44"/>
      <c r="AC8" s="136" t="s">
        <v>340</v>
      </c>
    </row>
    <row r="9" spans="1:29" ht="43" customHeight="1" x14ac:dyDescent="0.15">
      <c r="A9" s="214">
        <v>48701007</v>
      </c>
      <c r="B9" s="42" t="str">
        <f t="shared" si="16"/>
        <v>[effect:enemy_message, val1:2.1, val2:1.2],[effect:tolerance, target:myself, turn:-1, count:-1, tolerance_effect:all, animation:enemy_tolerance]</v>
      </c>
      <c r="C9" s="44">
        <v>1</v>
      </c>
      <c r="D9" s="44" t="s">
        <v>194</v>
      </c>
      <c r="E9" s="45" t="s">
        <v>391</v>
      </c>
      <c r="F9" s="144" t="s">
        <v>263</v>
      </c>
      <c r="G9" s="55" t="str">
        <f t="shared" si="1"/>
        <v>[effect:enemy_message, val1:2.1, val2:1.2]</v>
      </c>
      <c r="H9" s="55">
        <f t="shared" si="2"/>
        <v>9</v>
      </c>
      <c r="I9" s="55">
        <f t="shared" si="3"/>
        <v>22</v>
      </c>
      <c r="J9" s="55" t="e">
        <f t="shared" si="4"/>
        <v>#VALUE!</v>
      </c>
      <c r="K9" s="55">
        <f t="shared" si="5"/>
        <v>32</v>
      </c>
      <c r="L9" s="55" t="str">
        <f>IFERROR(VLOOKUP(MID(G9,J9,K9-J9),[5]skilldef!$C:$D,2,FALSE),"-") &amp; " / " &amp; IFERROR(VLOOKUP(MID(G9,H9,I9-H9),[5]skilldef!$A:$B,2,FALSE),"-")</f>
        <v>- / -</v>
      </c>
      <c r="M9" s="55" t="str">
        <f t="shared" si="6"/>
        <v>[effect:tolerance, target:myself, turn:-1, count:-1, tolerance_effect:all, animation:enemy_tolerance]</v>
      </c>
      <c r="N9" s="42" t="str">
        <f>IFERROR(LEFT(M9,FIND("],",M9)+#REF!),M9)</f>
        <v>[effect:tolerance, target:myself, turn:-1, count:-1, tolerance_effect:all, animation:enemy_tolerance]</v>
      </c>
      <c r="O9" s="55">
        <f t="shared" si="7"/>
        <v>9</v>
      </c>
      <c r="P9" s="55">
        <f t="shared" si="8"/>
        <v>18</v>
      </c>
      <c r="Q9" s="55">
        <f t="shared" si="9"/>
        <v>27</v>
      </c>
      <c r="R9" s="55">
        <f t="shared" si="10"/>
        <v>33</v>
      </c>
      <c r="S9" s="55" t="str">
        <f>IFERROR(VLOOKUP(MID(N9,Q9,R9-Q9),[5]skilldef!$C:$D,2,FALSE),"-") &amp; " / " &amp; IFERROR(VLOOKUP(MID(N9,O9,P9-O9),[5]skilldef!$A:$B,2,FALSE),"-")</f>
        <v>自分自身に / 状態異常耐性</v>
      </c>
      <c r="T9" s="42" t="str">
        <f t="shared" si="11"/>
        <v>none</v>
      </c>
      <c r="U9" s="55" t="e">
        <f t="shared" si="12"/>
        <v>#VALUE!</v>
      </c>
      <c r="V9" s="55">
        <f t="shared" si="13"/>
        <v>4</v>
      </c>
      <c r="W9" s="55" t="e">
        <f t="shared" si="14"/>
        <v>#VALUE!</v>
      </c>
      <c r="X9" s="55" t="e">
        <f t="shared" si="15"/>
        <v>#VALUE!</v>
      </c>
      <c r="Y9" s="55" t="str">
        <f>IFERROR(VLOOKUP(MID(T9,W9,X9-W9),[5]skilldef!$C:$D,2,FALSE),"-") &amp; " / " &amp; IFERROR(VLOOKUP(MID(T9,U9,V9-U9),[5]skilldef!$A:$B,2,FALSE),"-")</f>
        <v>- / -</v>
      </c>
      <c r="Z9" s="44"/>
      <c r="AA9" s="46"/>
      <c r="AB9" s="44"/>
      <c r="AC9" s="136" t="s">
        <v>340</v>
      </c>
    </row>
    <row r="10" spans="1:29" ht="43" customHeight="1" x14ac:dyDescent="0.15">
      <c r="A10" s="214">
        <v>48701008</v>
      </c>
      <c r="B10" s="42" t="str">
        <f t="shared" si="16"/>
        <v>[effect:enemy_message, val1:2.3, val2:2.5],[effect:spread, val:0.3],[effect:attack_break, target:unit_all, turn:1, val:0.3, calc:mul, animation:attack_break01]</v>
      </c>
      <c r="C10" s="44">
        <v>1</v>
      </c>
      <c r="D10" s="44" t="s">
        <v>194</v>
      </c>
      <c r="E10" s="45" t="s">
        <v>407</v>
      </c>
      <c r="F10" s="230" t="s">
        <v>371</v>
      </c>
      <c r="G10" s="55" t="str">
        <f t="shared" si="1"/>
        <v>[effect:enemy_message, val1:2.3, val2:2.5]</v>
      </c>
      <c r="H10" s="55">
        <f t="shared" si="2"/>
        <v>9</v>
      </c>
      <c r="I10" s="55">
        <f t="shared" si="3"/>
        <v>22</v>
      </c>
      <c r="J10" s="55" t="e">
        <f t="shared" si="4"/>
        <v>#VALUE!</v>
      </c>
      <c r="K10" s="55">
        <f t="shared" si="5"/>
        <v>32</v>
      </c>
      <c r="L10" s="55" t="str">
        <f>IFERROR(VLOOKUP(MID(G10,J10,K10-J10),[5]skilldef!$C:$D,2,FALSE),"-") &amp; " / " &amp; IFERROR(VLOOKUP(MID(G10,H10,I10-H10),[5]skilldef!$A:$B,2,FALSE),"-")</f>
        <v>- / -</v>
      </c>
      <c r="M10" s="55" t="str">
        <f t="shared" si="6"/>
        <v>[effect:spread, val:0.3],[effect:attack_break, target:unit_all, turn:1, val:0.3, calc:mul, animation:attack_break01]</v>
      </c>
      <c r="N10" s="42" t="str">
        <f>IFERROR(LEFT(M10,FIND("],",M10)+#REF!),M10)</f>
        <v>[effect:spread, val:0.3],[effect:attack_break, target:unit_all, turn:1, val:0.3, calc:mul, animation:attack_break01]</v>
      </c>
      <c r="O10" s="55">
        <f t="shared" si="7"/>
        <v>9</v>
      </c>
      <c r="P10" s="55">
        <f t="shared" si="8"/>
        <v>15</v>
      </c>
      <c r="Q10" s="55">
        <f t="shared" si="9"/>
        <v>55</v>
      </c>
      <c r="R10" s="55">
        <f t="shared" si="10"/>
        <v>25</v>
      </c>
      <c r="S10" s="55" t="str">
        <f>IFERROR(VLOOKUP(MID(N10,Q10,R10-Q10),[5]skilldef!$C:$D,2,FALSE),"-") &amp; " / " &amp; IFERROR(VLOOKUP(MID(N10,O10,P10-O10),[5]skilldef!$A:$B,2,FALSE),"-")</f>
        <v>- / 全体攻撃</v>
      </c>
      <c r="T10" s="42" t="str">
        <f t="shared" si="11"/>
        <v>[effect:attack_break, target:unit_all, turn:1, val:0.3, calc:mul, animation:attack_break01]</v>
      </c>
      <c r="U10" s="55">
        <f t="shared" si="12"/>
        <v>9</v>
      </c>
      <c r="V10" s="55">
        <f t="shared" si="13"/>
        <v>21</v>
      </c>
      <c r="W10" s="55">
        <f t="shared" si="14"/>
        <v>30</v>
      </c>
      <c r="X10" s="55">
        <f t="shared" si="15"/>
        <v>38</v>
      </c>
      <c r="Y10" s="55" t="str">
        <f>IFERROR(VLOOKUP(MID(T10,W10,X10-W10),[5]skilldef!$C:$D,2,FALSE),"-") &amp; " / " &amp; IFERROR(VLOOKUP(MID(T10,U10,V10-U10),[5]skilldef!$A:$B,2,FALSE),"-")</f>
        <v>味方全体に / -</v>
      </c>
      <c r="Z10" s="44"/>
      <c r="AA10" s="46"/>
      <c r="AB10" s="44"/>
      <c r="AC10" s="136" t="s">
        <v>469</v>
      </c>
    </row>
    <row r="11" spans="1:29" ht="43" customHeight="1" x14ac:dyDescent="0.15">
      <c r="A11" s="214">
        <v>48701009</v>
      </c>
      <c r="B11" s="42" t="str">
        <f t="shared" si="16"/>
        <v>[effect:enemy_message, val1:1.2, val2:1.2],[effect:spread, val:0.3]</v>
      </c>
      <c r="C11" s="44">
        <v>1</v>
      </c>
      <c r="D11" s="44" t="s">
        <v>194</v>
      </c>
      <c r="E11" s="45" t="s">
        <v>408</v>
      </c>
      <c r="F11" s="45" t="s">
        <v>386</v>
      </c>
      <c r="G11" s="55" t="str">
        <f t="shared" si="1"/>
        <v>[effect:enemy_message, val1:1.2, val2:1.2]</v>
      </c>
      <c r="H11" s="55">
        <f t="shared" si="2"/>
        <v>9</v>
      </c>
      <c r="I11" s="55">
        <f t="shared" si="3"/>
        <v>22</v>
      </c>
      <c r="J11" s="55" t="e">
        <f t="shared" si="4"/>
        <v>#VALUE!</v>
      </c>
      <c r="K11" s="55">
        <f t="shared" si="5"/>
        <v>32</v>
      </c>
      <c r="L11" s="55" t="str">
        <f>IFERROR(VLOOKUP(MID(G11,J11,K11-J11),[5]skilldef!$C:$D,2,FALSE),"-") &amp; " / " &amp; IFERROR(VLOOKUP(MID(G11,H11,I11-H11),[5]skilldef!$A:$B,2,FALSE),"-")</f>
        <v>- / -</v>
      </c>
      <c r="M11" s="55" t="str">
        <f t="shared" si="6"/>
        <v>[effect:spread, val:0.3]</v>
      </c>
      <c r="N11" s="42" t="str">
        <f>IFERROR(LEFT(M11,FIND("],",M11)+#REF!),M11)</f>
        <v>[effect:spread, val:0.3]</v>
      </c>
      <c r="O11" s="55">
        <f t="shared" si="7"/>
        <v>9</v>
      </c>
      <c r="P11" s="55">
        <f t="shared" si="8"/>
        <v>15</v>
      </c>
      <c r="Q11" s="55" t="e">
        <f t="shared" si="9"/>
        <v>#VALUE!</v>
      </c>
      <c r="R11" s="55" t="e">
        <f t="shared" si="10"/>
        <v>#VALUE!</v>
      </c>
      <c r="S11" s="55" t="str">
        <f>IFERROR(VLOOKUP(MID(N11,Q11,R11-Q11),[5]skilldef!$C:$D,2,FALSE),"-") &amp; " / " &amp; IFERROR(VLOOKUP(MID(N11,O11,P11-O11),[5]skilldef!$A:$B,2,FALSE),"-")</f>
        <v>- / 全体攻撃</v>
      </c>
      <c r="T11" s="42" t="str">
        <f t="shared" si="11"/>
        <v>none</v>
      </c>
      <c r="U11" s="55" t="e">
        <f t="shared" si="12"/>
        <v>#VALUE!</v>
      </c>
      <c r="V11" s="55">
        <f t="shared" si="13"/>
        <v>4</v>
      </c>
      <c r="W11" s="55" t="e">
        <f t="shared" si="14"/>
        <v>#VALUE!</v>
      </c>
      <c r="X11" s="55" t="e">
        <f t="shared" si="15"/>
        <v>#VALUE!</v>
      </c>
      <c r="Y11" s="55" t="str">
        <f>IFERROR(VLOOKUP(MID(T11,W11,X11-W11),[5]skilldef!$C:$D,2,FALSE),"-") &amp; " / " &amp; IFERROR(VLOOKUP(MID(T11,U11,V11-U11),[5]skilldef!$A:$B,2,FALSE),"-")</f>
        <v>- / -</v>
      </c>
      <c r="Z11" s="44"/>
      <c r="AA11" s="46"/>
      <c r="AB11" s="44"/>
      <c r="AC11" s="136" t="s">
        <v>341</v>
      </c>
    </row>
    <row r="12" spans="1:29" ht="43" customHeight="1" x14ac:dyDescent="0.15">
      <c r="A12" s="214">
        <v>48701010</v>
      </c>
      <c r="B12" s="42" t="str">
        <f t="shared" si="16"/>
        <v>[effect:enemy_message, val1:1.2, val2:1.2],[effect:rush, count:5, val:0.2]</v>
      </c>
      <c r="C12" s="44">
        <v>1</v>
      </c>
      <c r="D12" s="44" t="s">
        <v>194</v>
      </c>
      <c r="E12" s="45" t="s">
        <v>413</v>
      </c>
      <c r="F12" s="45" t="s">
        <v>350</v>
      </c>
      <c r="G12" s="55" t="str">
        <f t="shared" si="1"/>
        <v>[effect:enemy_message, val1:1.2, val2:1.2]</v>
      </c>
      <c r="H12" s="55">
        <f t="shared" si="2"/>
        <v>9</v>
      </c>
      <c r="I12" s="55">
        <f t="shared" si="3"/>
        <v>22</v>
      </c>
      <c r="J12" s="55" t="e">
        <f t="shared" si="4"/>
        <v>#VALUE!</v>
      </c>
      <c r="K12" s="55">
        <f t="shared" si="5"/>
        <v>32</v>
      </c>
      <c r="L12" s="55" t="str">
        <f>IFERROR(VLOOKUP(MID(G12,J12,K12-J12),[5]skilldef!$C:$D,2,FALSE),"-") &amp; " / " &amp; IFERROR(VLOOKUP(MID(G12,H12,I12-H12),[5]skilldef!$A:$B,2,FALSE),"-")</f>
        <v>- / -</v>
      </c>
      <c r="M12" s="55" t="str">
        <f t="shared" si="6"/>
        <v>[effect:rush, count:5, val:0.2]</v>
      </c>
      <c r="N12" s="42" t="str">
        <f>IFERROR(LEFT(M12,FIND("],",M12)+#REF!),M12)</f>
        <v>[effect:rush, count:5, val:0.2]</v>
      </c>
      <c r="O12" s="55">
        <f t="shared" si="7"/>
        <v>9</v>
      </c>
      <c r="P12" s="55">
        <f t="shared" si="8"/>
        <v>13</v>
      </c>
      <c r="Q12" s="55" t="e">
        <f t="shared" si="9"/>
        <v>#VALUE!</v>
      </c>
      <c r="R12" s="55">
        <f t="shared" si="10"/>
        <v>22</v>
      </c>
      <c r="S12" s="55" t="str">
        <f>IFERROR(VLOOKUP(MID(N12,Q12,R12-Q12),[5]skilldef!$C:$D,2,FALSE),"-") &amp; " / " &amp; IFERROR(VLOOKUP(MID(N12,O12,P12-O12),[5]skilldef!$A:$B,2,FALSE),"-")</f>
        <v>- / 連続攻撃</v>
      </c>
      <c r="T12" s="42" t="str">
        <f t="shared" si="11"/>
        <v>none</v>
      </c>
      <c r="U12" s="55" t="e">
        <f t="shared" si="12"/>
        <v>#VALUE!</v>
      </c>
      <c r="V12" s="55">
        <f t="shared" si="13"/>
        <v>4</v>
      </c>
      <c r="W12" s="55" t="e">
        <f t="shared" si="14"/>
        <v>#VALUE!</v>
      </c>
      <c r="X12" s="55" t="e">
        <f t="shared" si="15"/>
        <v>#VALUE!</v>
      </c>
      <c r="Y12" s="55" t="str">
        <f>IFERROR(VLOOKUP(MID(T12,W12,X12-W12),[5]skilldef!$C:$D,2,FALSE),"-") &amp; " / " &amp; IFERROR(VLOOKUP(MID(T12,U12,V12-U12),[5]skilldef!$A:$B,2,FALSE),"-")</f>
        <v>- / -</v>
      </c>
      <c r="Z12" s="44"/>
      <c r="AA12" s="46"/>
      <c r="AB12" s="44"/>
      <c r="AC12" s="136" t="s">
        <v>447</v>
      </c>
    </row>
    <row r="13" spans="1:29" ht="43" customHeight="1" x14ac:dyDescent="0.15">
      <c r="A13" s="214">
        <v>48701011</v>
      </c>
      <c r="B13" s="42" t="str">
        <f t="shared" si="16"/>
        <v>[effect:enemy_message, val1:2.0, val2:1.3],[effect:tolerance, target:myself, turn:-1, count:-1, tolerance_effect:all, animation:enemy_tolerance],[effect:dark, target:unit_all, turn:3, animation:enemy_dark]</v>
      </c>
      <c r="C13" s="44">
        <v>1</v>
      </c>
      <c r="D13" s="44" t="s">
        <v>194</v>
      </c>
      <c r="E13" s="45" t="s">
        <v>392</v>
      </c>
      <c r="F13" s="45" t="s">
        <v>351</v>
      </c>
      <c r="G13" s="55" t="str">
        <f t="shared" si="1"/>
        <v>[effect:enemy_message, val1:2.0, val2:1.3]</v>
      </c>
      <c r="H13" s="55">
        <f t="shared" si="2"/>
        <v>9</v>
      </c>
      <c r="I13" s="55">
        <f t="shared" si="3"/>
        <v>22</v>
      </c>
      <c r="J13" s="55" t="e">
        <f t="shared" si="4"/>
        <v>#VALUE!</v>
      </c>
      <c r="K13" s="55">
        <f t="shared" si="5"/>
        <v>32</v>
      </c>
      <c r="L13" s="55" t="str">
        <f>IFERROR(VLOOKUP(MID(G13,J13,K13-J13),[5]skilldef!$C:$D,2,FALSE),"-") &amp; " / " &amp; IFERROR(VLOOKUP(MID(G13,H13,I13-H13),[5]skilldef!$A:$B,2,FALSE),"-")</f>
        <v>- / -</v>
      </c>
      <c r="M13" s="55" t="str">
        <f t="shared" si="6"/>
        <v>[effect:tolerance, target:myself, turn:-1, count:-1, tolerance_effect:all, animation:enemy_tolerance],[effect:dark, target:unit_all, turn:3, animation:enemy_dark]</v>
      </c>
      <c r="N13" s="42" t="str">
        <f>IFERROR(LEFT(M13,FIND("],",M13)+#REF!),M13)</f>
        <v>[effect:tolerance, target:myself, turn:-1, count:-1, tolerance_effect:all, animation:enemy_tolerance],[effect:dark, target:unit_all, turn:3, animation:enemy_dark]</v>
      </c>
      <c r="O13" s="55">
        <f t="shared" si="7"/>
        <v>9</v>
      </c>
      <c r="P13" s="55">
        <f t="shared" si="8"/>
        <v>18</v>
      </c>
      <c r="Q13" s="55">
        <f t="shared" si="9"/>
        <v>27</v>
      </c>
      <c r="R13" s="55">
        <f t="shared" si="10"/>
        <v>33</v>
      </c>
      <c r="S13" s="55" t="str">
        <f>IFERROR(VLOOKUP(MID(N13,Q13,R13-Q13),[5]skilldef!$C:$D,2,FALSE),"-") &amp; " / " &amp; IFERROR(VLOOKUP(MID(N13,O13,P13-O13),[5]skilldef!$A:$B,2,FALSE),"-")</f>
        <v>自分自身に / 状態異常耐性</v>
      </c>
      <c r="T13" s="42" t="str">
        <f t="shared" si="11"/>
        <v>[effect:dark, target:unit_all, turn:3, animation:enemy_dark]</v>
      </c>
      <c r="U13" s="55">
        <f t="shared" si="12"/>
        <v>9</v>
      </c>
      <c r="V13" s="55">
        <f t="shared" si="13"/>
        <v>13</v>
      </c>
      <c r="W13" s="55">
        <f t="shared" si="14"/>
        <v>22</v>
      </c>
      <c r="X13" s="55">
        <f t="shared" si="15"/>
        <v>30</v>
      </c>
      <c r="Y13" s="55" t="str">
        <f>IFERROR(VLOOKUP(MID(T13,W13,X13-W13),[5]skilldef!$C:$D,2,FALSE),"-") &amp; " / " &amp; IFERROR(VLOOKUP(MID(T13,U13,V13-U13),[5]skilldef!$A:$B,2,FALSE),"-")</f>
        <v>味方全体に / 暗黒</v>
      </c>
      <c r="Z13" s="44"/>
      <c r="AA13" s="46"/>
      <c r="AB13" s="44"/>
      <c r="AC13" s="136" t="s">
        <v>470</v>
      </c>
    </row>
    <row r="14" spans="1:29" ht="43" customHeight="1" x14ac:dyDescent="0.15">
      <c r="A14" s="214">
        <v>48701012</v>
      </c>
      <c r="B14" s="42" t="str">
        <f t="shared" si="16"/>
        <v>[effect:enemy_message, val1:2.1, val2:1.3],[effect:tolerance, target:myself, turn:-1, count:-1, tolerance_effect:all, animation:enemy_tolerance],[effect:dark, target:unit_all, turn:3, animation:enemy_dark]</v>
      </c>
      <c r="C14" s="44">
        <v>1</v>
      </c>
      <c r="D14" s="44" t="s">
        <v>194</v>
      </c>
      <c r="E14" s="144" t="s">
        <v>390</v>
      </c>
      <c r="F14" s="144" t="s">
        <v>351</v>
      </c>
      <c r="G14" s="55" t="str">
        <f t="shared" si="1"/>
        <v>[effect:enemy_message, val1:2.1, val2:1.3]</v>
      </c>
      <c r="H14" s="55">
        <f t="shared" si="2"/>
        <v>9</v>
      </c>
      <c r="I14" s="55">
        <f t="shared" si="3"/>
        <v>22</v>
      </c>
      <c r="J14" s="55" t="e">
        <f t="shared" si="4"/>
        <v>#VALUE!</v>
      </c>
      <c r="K14" s="55">
        <f t="shared" si="5"/>
        <v>32</v>
      </c>
      <c r="L14" s="55" t="str">
        <f>IFERROR(VLOOKUP(MID(G14,J14,K14-J14),[5]skilldef!$C:$D,2,FALSE),"-") &amp; " / " &amp; IFERROR(VLOOKUP(MID(G14,H14,I14-H14),[5]skilldef!$A:$B,2,FALSE),"-")</f>
        <v>- / -</v>
      </c>
      <c r="M14" s="55" t="str">
        <f t="shared" si="6"/>
        <v>[effect:tolerance, target:myself, turn:-1, count:-1, tolerance_effect:all, animation:enemy_tolerance],[effect:dark, target:unit_all, turn:3, animation:enemy_dark]</v>
      </c>
      <c r="N14" s="42" t="str">
        <f>IFERROR(LEFT(M14,FIND("],",M14)+#REF!),M14)</f>
        <v>[effect:tolerance, target:myself, turn:-1, count:-1, tolerance_effect:all, animation:enemy_tolerance],[effect:dark, target:unit_all, turn:3, animation:enemy_dark]</v>
      </c>
      <c r="O14" s="55">
        <f t="shared" si="7"/>
        <v>9</v>
      </c>
      <c r="P14" s="55">
        <f t="shared" si="8"/>
        <v>18</v>
      </c>
      <c r="Q14" s="55">
        <f t="shared" si="9"/>
        <v>27</v>
      </c>
      <c r="R14" s="55">
        <f t="shared" si="10"/>
        <v>33</v>
      </c>
      <c r="S14" s="55" t="str">
        <f>IFERROR(VLOOKUP(MID(N14,Q14,R14-Q14),[5]skilldef!$C:$D,2,FALSE),"-") &amp; " / " &amp; IFERROR(VLOOKUP(MID(N14,O14,P14-O14),[5]skilldef!$A:$B,2,FALSE),"-")</f>
        <v>自分自身に / 状態異常耐性</v>
      </c>
      <c r="T14" s="42" t="str">
        <f t="shared" si="11"/>
        <v>[effect:dark, target:unit_all, turn:3, animation:enemy_dark]</v>
      </c>
      <c r="U14" s="55">
        <f t="shared" si="12"/>
        <v>9</v>
      </c>
      <c r="V14" s="55">
        <f t="shared" si="13"/>
        <v>13</v>
      </c>
      <c r="W14" s="55">
        <f t="shared" si="14"/>
        <v>22</v>
      </c>
      <c r="X14" s="55">
        <f t="shared" si="15"/>
        <v>30</v>
      </c>
      <c r="Y14" s="55" t="str">
        <f>IFERROR(VLOOKUP(MID(T14,W14,X14-W14),[5]skilldef!$C:$D,2,FALSE),"-") &amp; " / " &amp; IFERROR(VLOOKUP(MID(T14,U14,V14-U14),[5]skilldef!$A:$B,2,FALSE),"-")</f>
        <v>味方全体に / 暗黒</v>
      </c>
      <c r="Z14" s="44"/>
      <c r="AA14" s="46"/>
      <c r="AB14" s="44"/>
      <c r="AC14" s="136" t="s">
        <v>470</v>
      </c>
    </row>
    <row r="15" spans="1:29" ht="43" customHeight="1" x14ac:dyDescent="0.15">
      <c r="A15" s="214">
        <v>48701013</v>
      </c>
      <c r="B15" s="42" t="str">
        <f t="shared" si="16"/>
        <v>[effect:enemy_message, val1:1.9, val2:4.5],[effect:spread, val:0.3],[effect:attack_break, target:unit_all, turn:1, val:0.5, calc:mul, animation:attack_break01],[effect:force_change_block, new_block:crash, target:block_green, count:0, val:6, animation:change_block]</v>
      </c>
      <c r="C15" s="44">
        <v>1</v>
      </c>
      <c r="D15" s="44" t="s">
        <v>194</v>
      </c>
      <c r="E15" s="45" t="s">
        <v>410</v>
      </c>
      <c r="F15" s="230" t="s">
        <v>528</v>
      </c>
      <c r="G15" s="55" t="str">
        <f t="shared" si="1"/>
        <v>[effect:enemy_message, val1:1.9, val2:4.5]</v>
      </c>
      <c r="H15" s="55">
        <f t="shared" si="2"/>
        <v>9</v>
      </c>
      <c r="I15" s="55">
        <f t="shared" si="3"/>
        <v>22</v>
      </c>
      <c r="J15" s="55" t="e">
        <f t="shared" si="4"/>
        <v>#VALUE!</v>
      </c>
      <c r="K15" s="55">
        <f t="shared" si="5"/>
        <v>32</v>
      </c>
      <c r="L15" s="55" t="str">
        <f>IFERROR(VLOOKUP(MID(G15,J15,K15-J15),[5]skilldef!$C:$D,2,FALSE),"-") &amp; " / " &amp; IFERROR(VLOOKUP(MID(G15,H15,I15-H15),[5]skilldef!$A:$B,2,FALSE),"-")</f>
        <v>- / -</v>
      </c>
      <c r="M15" s="55" t="str">
        <f t="shared" si="6"/>
        <v>[effect:spread, val:0.3],[effect:attack_break, target:unit_all, turn:1, val:0.5, calc:mul, animation:attack_break01],[effect:force_change_block, new_block:crash, target:block_green, count:0, val:6, animation:change_block]</v>
      </c>
      <c r="N15" s="42" t="str">
        <f>IFERROR(LEFT(M15,FIND("],",M15)+#REF!),M15)</f>
        <v>[effect:spread, val:0.3],[effect:attack_break, target:unit_all, turn:1, val:0.5, calc:mul, animation:attack_break01],[effect:force_change_block, new_block:crash, target:block_green, count:0, val:6, animation:change_block]</v>
      </c>
      <c r="O15" s="55">
        <f t="shared" si="7"/>
        <v>9</v>
      </c>
      <c r="P15" s="55">
        <f t="shared" si="8"/>
        <v>15</v>
      </c>
      <c r="Q15" s="55">
        <f t="shared" si="9"/>
        <v>55</v>
      </c>
      <c r="R15" s="55">
        <f t="shared" si="10"/>
        <v>25</v>
      </c>
      <c r="S15" s="55" t="str">
        <f>IFERROR(VLOOKUP(MID(N15,Q15,R15-Q15),[5]skilldef!$C:$D,2,FALSE),"-") &amp; " / " &amp; IFERROR(VLOOKUP(MID(N15,O15,P15-O15),[5]skilldef!$A:$B,2,FALSE),"-")</f>
        <v>- / 全体攻撃</v>
      </c>
      <c r="T15" s="42" t="str">
        <f t="shared" si="11"/>
        <v>[effect:attack_break, target:unit_all, turn:1, val:0.5, calc:mul, animation:attack_break01],[effect:force_change_block, new_block:crash, target:block_green, count:0, val:6, animation:change_block]</v>
      </c>
      <c r="U15" s="55">
        <f t="shared" si="12"/>
        <v>9</v>
      </c>
      <c r="V15" s="55">
        <f t="shared" si="13"/>
        <v>21</v>
      </c>
      <c r="W15" s="55">
        <f t="shared" si="14"/>
        <v>30</v>
      </c>
      <c r="X15" s="55">
        <f t="shared" si="15"/>
        <v>38</v>
      </c>
      <c r="Y15" s="55" t="str">
        <f>IFERROR(VLOOKUP(MID(T15,W15,X15-W15),[5]skilldef!$C:$D,2,FALSE),"-") &amp; " / " &amp; IFERROR(VLOOKUP(MID(T15,U15,V15-U15),[5]skilldef!$A:$B,2,FALSE),"-")</f>
        <v>味方全体に / -</v>
      </c>
      <c r="Z15" s="44"/>
      <c r="AA15" s="46"/>
      <c r="AB15" s="44"/>
      <c r="AC15" s="136" t="s">
        <v>529</v>
      </c>
    </row>
    <row r="16" spans="1:29" ht="43" customHeight="1" x14ac:dyDescent="0.15">
      <c r="A16" s="214">
        <v>48701014</v>
      </c>
      <c r="B16" s="42" t="str">
        <f t="shared" si="16"/>
        <v>[effect:enemy_message, val1:1.2, val2:3.0],[effect:critical, val:1.1, animation:enemy_critical],[effect:force_change_block, new_block:time_bomb, target:block_blue, color:blue, count:5, val:0.12, min_time_count:2, max_time_count:3, animation:change_block]</v>
      </c>
      <c r="C16" s="44">
        <v>1</v>
      </c>
      <c r="D16" s="44" t="s">
        <v>194</v>
      </c>
      <c r="E16" s="45" t="s">
        <v>411</v>
      </c>
      <c r="F16" s="45" t="s">
        <v>497</v>
      </c>
      <c r="G16" s="55" t="str">
        <f t="shared" si="1"/>
        <v>[effect:enemy_message, val1:1.2, val2:3.0]</v>
      </c>
      <c r="H16" s="55">
        <f t="shared" si="2"/>
        <v>9</v>
      </c>
      <c r="I16" s="55">
        <f t="shared" si="3"/>
        <v>22</v>
      </c>
      <c r="J16" s="55" t="e">
        <f t="shared" si="4"/>
        <v>#VALUE!</v>
      </c>
      <c r="K16" s="55">
        <f t="shared" si="5"/>
        <v>32</v>
      </c>
      <c r="L16" s="55" t="str">
        <f>IFERROR(VLOOKUP(MID(G16,J16,K16-J16),[5]skilldef!$C:$D,2,FALSE),"-") &amp; " / " &amp; IFERROR(VLOOKUP(MID(G16,H16,I16-H16),[5]skilldef!$A:$B,2,FALSE),"-")</f>
        <v>- / -</v>
      </c>
      <c r="M16" s="55" t="str">
        <f t="shared" si="6"/>
        <v>[effect:critical, val:1.1, animation:enemy_critical],[effect:force_change_block, new_block:time_bomb, target:block_blue, color:blue, count:5, val:0.12, min_time_count:2, max_time_count:3, animation:change_block]</v>
      </c>
      <c r="N16" s="42" t="str">
        <f>IFERROR(LEFT(M16,FIND("],",M16)+#REF!),M16)</f>
        <v>[effect:critical, val:1.1, animation:enemy_critical],[effect:force_change_block, new_block:time_bomb, target:block_blue, color:blue, count:5, val:0.12, min_time_count:2, max_time_count:3, animation:change_block]</v>
      </c>
      <c r="O16" s="55">
        <f t="shared" si="7"/>
        <v>9</v>
      </c>
      <c r="P16" s="55">
        <f t="shared" si="8"/>
        <v>17</v>
      </c>
      <c r="Q16" s="55">
        <f t="shared" si="9"/>
        <v>110</v>
      </c>
      <c r="R16" s="55">
        <f t="shared" si="10"/>
        <v>26</v>
      </c>
      <c r="S16" s="55" t="str">
        <f>IFERROR(VLOOKUP(MID(N16,Q16,R16-Q16),[5]skilldef!$C:$D,2,FALSE),"-") &amp; " / " &amp; IFERROR(VLOOKUP(MID(N16,O16,P16-O16),[5]skilldef!$A:$B,2,FALSE),"-")</f>
        <v>- / 大攻撃</v>
      </c>
      <c r="T16" s="42" t="str">
        <f t="shared" si="11"/>
        <v>[effect:force_change_block, new_block:time_bomb, target:block_blue, color:blue, count:5, val:0.12, min_time_count:2, max_time_count:3, animation:change_block]</v>
      </c>
      <c r="U16" s="55">
        <f t="shared" si="12"/>
        <v>9</v>
      </c>
      <c r="V16" s="55">
        <f t="shared" si="13"/>
        <v>27</v>
      </c>
      <c r="W16" s="55">
        <f t="shared" si="14"/>
        <v>57</v>
      </c>
      <c r="X16" s="55">
        <f t="shared" si="15"/>
        <v>48</v>
      </c>
      <c r="Y16" s="55" t="str">
        <f>IFERROR(VLOOKUP(MID(T16,W16,X16-W16),[5]skilldef!$C:$D,2,FALSE),"-") &amp; " / " &amp; IFERROR(VLOOKUP(MID(T16,U16,V16-U16),[5]skilldef!$A:$B,2,FALSE),"-")</f>
        <v>- / -</v>
      </c>
      <c r="Z16" s="44"/>
      <c r="AA16" s="46"/>
      <c r="AB16" s="44"/>
      <c r="AC16" s="136" t="s">
        <v>471</v>
      </c>
    </row>
    <row r="17" spans="1:29" ht="43" customHeight="1" x14ac:dyDescent="0.15">
      <c r="A17" s="214">
        <v>48701015</v>
      </c>
      <c r="B17" s="42" t="str">
        <f t="shared" si="16"/>
        <v>[effect:enemy_message, val1:1.2, val2:3.0],[effect:critical, val:1.1, animation:enemy_critical],[effect:force_change_block, new_block:time_bomb, target:block_green, color:green, count:5, val:0.12, min_time_count:2, max_time_count:3, animation:change_block]</v>
      </c>
      <c r="C17" s="44">
        <v>1</v>
      </c>
      <c r="D17" s="44" t="s">
        <v>194</v>
      </c>
      <c r="E17" s="45" t="s">
        <v>412</v>
      </c>
      <c r="F17" s="45" t="s">
        <v>498</v>
      </c>
      <c r="G17" s="55" t="str">
        <f t="shared" si="1"/>
        <v>[effect:enemy_message, val1:1.2, val2:3.0]</v>
      </c>
      <c r="H17" s="55">
        <f t="shared" si="2"/>
        <v>9</v>
      </c>
      <c r="I17" s="55">
        <f t="shared" si="3"/>
        <v>22</v>
      </c>
      <c r="J17" s="55" t="e">
        <f t="shared" si="4"/>
        <v>#VALUE!</v>
      </c>
      <c r="K17" s="55">
        <f t="shared" si="5"/>
        <v>32</v>
      </c>
      <c r="L17" s="55" t="str">
        <f>IFERROR(VLOOKUP(MID(G17,J17,K17-J17),[5]skilldef!$C:$D,2,FALSE),"-") &amp; " / " &amp; IFERROR(VLOOKUP(MID(G17,H17,I17-H17),[5]skilldef!$A:$B,2,FALSE),"-")</f>
        <v>- / -</v>
      </c>
      <c r="M17" s="55" t="str">
        <f t="shared" si="6"/>
        <v>[effect:critical, val:1.1, animation:enemy_critical],[effect:force_change_block, new_block:time_bomb, target:block_green, color:green, count:5, val:0.12, min_time_count:2, max_time_count:3, animation:change_block]</v>
      </c>
      <c r="N17" s="42" t="str">
        <f>IFERROR(LEFT(M17,FIND("],",M17)+#REF!),M17)</f>
        <v>[effect:critical, val:1.1, animation:enemy_critical],[effect:force_change_block, new_block:time_bomb, target:block_green, color:green, count:5, val:0.12, min_time_count:2, max_time_count:3, animation:change_block]</v>
      </c>
      <c r="O17" s="55">
        <f t="shared" si="7"/>
        <v>9</v>
      </c>
      <c r="P17" s="55">
        <f t="shared" si="8"/>
        <v>17</v>
      </c>
      <c r="Q17" s="55">
        <f t="shared" si="9"/>
        <v>110</v>
      </c>
      <c r="R17" s="55">
        <f t="shared" si="10"/>
        <v>26</v>
      </c>
      <c r="S17" s="55" t="str">
        <f>IFERROR(VLOOKUP(MID(N17,Q17,R17-Q17),[5]skilldef!$C:$D,2,FALSE),"-") &amp; " / " &amp; IFERROR(VLOOKUP(MID(N17,O17,P17-O17),[5]skilldef!$A:$B,2,FALSE),"-")</f>
        <v>- / 大攻撃</v>
      </c>
      <c r="T17" s="42" t="str">
        <f t="shared" si="11"/>
        <v>[effect:force_change_block, new_block:time_bomb, target:block_green, color:green, count:5, val:0.12, min_time_count:2, max_time_count:3, animation:change_block]</v>
      </c>
      <c r="U17" s="55">
        <f t="shared" si="12"/>
        <v>9</v>
      </c>
      <c r="V17" s="55">
        <f t="shared" si="13"/>
        <v>27</v>
      </c>
      <c r="W17" s="55">
        <f t="shared" si="14"/>
        <v>57</v>
      </c>
      <c r="X17" s="55">
        <f t="shared" si="15"/>
        <v>48</v>
      </c>
      <c r="Y17" s="55" t="str">
        <f>IFERROR(VLOOKUP(MID(T17,W17,X17-W17),[5]skilldef!$C:$D,2,FALSE),"-") &amp; " / " &amp; IFERROR(VLOOKUP(MID(T17,U17,V17-U17),[5]skilldef!$A:$B,2,FALSE),"-")</f>
        <v>- / -</v>
      </c>
      <c r="Z17" s="44"/>
      <c r="AA17" s="46"/>
      <c r="AB17" s="44"/>
      <c r="AC17" s="136" t="s">
        <v>472</v>
      </c>
    </row>
    <row r="18" spans="1:29" ht="43" customHeight="1" x14ac:dyDescent="0.15">
      <c r="A18" s="214">
        <v>48701016</v>
      </c>
      <c r="B18" s="42" t="str">
        <f t="shared" si="16"/>
        <v>[effect:enemy_message, val1:1.4, val2:1.8],[effect:force_change_block, new_block:block_heart, target:block_normal, count:10, val:0, animation:change_range_block],[effect:suicide, target:myself, val:1, dead_type:suicide]</v>
      </c>
      <c r="C18" s="44">
        <v>1</v>
      </c>
      <c r="D18" s="44" t="s">
        <v>194</v>
      </c>
      <c r="E18" s="45" t="s">
        <v>406</v>
      </c>
      <c r="F18" s="45" t="s">
        <v>501</v>
      </c>
      <c r="G18" s="55" t="str">
        <f t="shared" si="1"/>
        <v>[effect:enemy_message, val1:1.4, val2:1.8]</v>
      </c>
      <c r="H18" s="55">
        <f t="shared" si="2"/>
        <v>9</v>
      </c>
      <c r="I18" s="55">
        <f t="shared" si="3"/>
        <v>22</v>
      </c>
      <c r="J18" s="55" t="e">
        <f t="shared" si="4"/>
        <v>#VALUE!</v>
      </c>
      <c r="K18" s="55">
        <f t="shared" si="5"/>
        <v>32</v>
      </c>
      <c r="L18" s="55" t="str">
        <f>IFERROR(VLOOKUP(MID(G18,J18,K18-J18),[5]skilldef!$C:$D,2,FALSE),"-") &amp; " / " &amp; IFERROR(VLOOKUP(MID(G18,H18,I18-H18),[5]skilldef!$A:$B,2,FALSE),"-")</f>
        <v>- / -</v>
      </c>
      <c r="M18" s="55" t="str">
        <f t="shared" si="6"/>
        <v>[effect:force_change_block, new_block:block_heart, target:block_normal, count:10, val:0, animation:change_range_block],[effect:suicide, target:myself, val:1, dead_type:suicide]</v>
      </c>
      <c r="N18" s="42" t="str">
        <f>IFERROR(LEFT(M18,FIND("],",M18)+#REF!),M18)</f>
        <v>[effect:force_change_block, new_block:block_heart, target:block_normal, count:10, val:0, animation:change_range_block],[effect:suicide, target:myself, val:1, dead_type:suicide]</v>
      </c>
      <c r="O18" s="55">
        <f t="shared" si="7"/>
        <v>9</v>
      </c>
      <c r="P18" s="55">
        <f t="shared" si="8"/>
        <v>27</v>
      </c>
      <c r="Q18" s="55">
        <f t="shared" si="9"/>
        <v>59</v>
      </c>
      <c r="R18" s="55">
        <f t="shared" si="10"/>
        <v>50</v>
      </c>
      <c r="S18" s="55" t="str">
        <f>IFERROR(VLOOKUP(MID(N18,Q18,R18-Q18),[5]skilldef!$C:$D,2,FALSE),"-") &amp; " / " &amp; IFERROR(VLOOKUP(MID(N18,O18,P18-O18),[5]skilldef!$A:$B,2,FALSE),"-")</f>
        <v>- / -</v>
      </c>
      <c r="T18" s="42" t="str">
        <f t="shared" si="11"/>
        <v>[effect:suicide, target:myself, val:1, dead_type:suicide]</v>
      </c>
      <c r="U18" s="55">
        <f t="shared" si="12"/>
        <v>9</v>
      </c>
      <c r="V18" s="55">
        <f t="shared" si="13"/>
        <v>16</v>
      </c>
      <c r="W18" s="55">
        <f t="shared" si="14"/>
        <v>25</v>
      </c>
      <c r="X18" s="55">
        <f t="shared" si="15"/>
        <v>31</v>
      </c>
      <c r="Y18" s="55" t="str">
        <f>IFERROR(VLOOKUP(MID(T18,W18,X18-W18),[5]skilldef!$C:$D,2,FALSE),"-") &amp; " / " &amp; IFERROR(VLOOKUP(MID(T18,U18,V18-U18),[5]skilldef!$A:$B,2,FALSE),"-")</f>
        <v>自分自身に / -</v>
      </c>
      <c r="Z18" s="44"/>
      <c r="AA18" s="46"/>
      <c r="AB18" s="44"/>
      <c r="AC18" s="136" t="s">
        <v>443</v>
      </c>
    </row>
    <row r="19" spans="1:29" ht="43" customHeight="1" x14ac:dyDescent="0.15">
      <c r="A19" s="214">
        <v>48701017</v>
      </c>
      <c r="B19" s="42" t="str">
        <f t="shared" si="16"/>
        <v>[effect:enemy_message, val1:2.4, val2:1.8],[effect:force_change_block, new_block:crack_bomb, target:block_normal, color:block_red, count:10, val:0, animation:change_range_block],[effect:suicide, target:myself, val:1, dead_type:suicide]</v>
      </c>
      <c r="C19" s="44">
        <v>1</v>
      </c>
      <c r="D19" s="44" t="s">
        <v>194</v>
      </c>
      <c r="E19" s="45" t="s">
        <v>393</v>
      </c>
      <c r="F19" s="144" t="s">
        <v>502</v>
      </c>
      <c r="G19" s="55" t="str">
        <f t="shared" si="1"/>
        <v>[effect:enemy_message, val1:2.4, val2:1.8]</v>
      </c>
      <c r="H19" s="55">
        <f t="shared" si="2"/>
        <v>9</v>
      </c>
      <c r="I19" s="55">
        <f t="shared" si="3"/>
        <v>22</v>
      </c>
      <c r="J19" s="55" t="e">
        <f t="shared" si="4"/>
        <v>#VALUE!</v>
      </c>
      <c r="K19" s="55">
        <f t="shared" si="5"/>
        <v>32</v>
      </c>
      <c r="L19" s="55" t="str">
        <f>IFERROR(VLOOKUP(MID(G19,J19,K19-J19),[5]skilldef!$C:$D,2,FALSE),"-") &amp; " / " &amp; IFERROR(VLOOKUP(MID(G19,H19,I19-H19),[5]skilldef!$A:$B,2,FALSE),"-")</f>
        <v>- / -</v>
      </c>
      <c r="M19" s="55" t="str">
        <f t="shared" si="6"/>
        <v>[effect:force_change_block, new_block:crack_bomb, target:block_normal, color:block_red, count:10, val:0, animation:change_range_block],[effect:suicide, target:myself, val:1, dead_type:suicide]</v>
      </c>
      <c r="N19" s="42" t="str">
        <f>IFERROR(LEFT(M19,FIND("],",M19)+#REF!),M19)</f>
        <v>[effect:force_change_block, new_block:crack_bomb, target:block_normal, color:block_red, count:10, val:0, animation:change_range_block],[effect:suicide, target:myself, val:1, dead_type:suicide]</v>
      </c>
      <c r="O19" s="55">
        <f t="shared" si="7"/>
        <v>9</v>
      </c>
      <c r="P19" s="55">
        <f t="shared" si="8"/>
        <v>27</v>
      </c>
      <c r="Q19" s="55">
        <f t="shared" si="9"/>
        <v>58</v>
      </c>
      <c r="R19" s="55">
        <f t="shared" si="10"/>
        <v>49</v>
      </c>
      <c r="S19" s="55" t="str">
        <f>IFERROR(VLOOKUP(MID(N19,Q19,R19-Q19),[5]skilldef!$C:$D,2,FALSE),"-") &amp; " / " &amp; IFERROR(VLOOKUP(MID(N19,O19,P19-O19),[5]skilldef!$A:$B,2,FALSE),"-")</f>
        <v>- / -</v>
      </c>
      <c r="T19" s="42" t="str">
        <f t="shared" si="11"/>
        <v>[effect:suicide, target:myself, val:1, dead_type:suicide]</v>
      </c>
      <c r="U19" s="55">
        <f t="shared" si="12"/>
        <v>9</v>
      </c>
      <c r="V19" s="55">
        <f t="shared" si="13"/>
        <v>16</v>
      </c>
      <c r="W19" s="55">
        <f t="shared" si="14"/>
        <v>25</v>
      </c>
      <c r="X19" s="55">
        <f t="shared" si="15"/>
        <v>31</v>
      </c>
      <c r="Y19" s="55" t="str">
        <f>IFERROR(VLOOKUP(MID(T19,W19,X19-W19),[5]skilldef!$C:$D,2,FALSE),"-") &amp; " / " &amp; IFERROR(VLOOKUP(MID(T19,U19,V19-U19),[5]skilldef!$A:$B,2,FALSE),"-")</f>
        <v>自分自身に / -</v>
      </c>
      <c r="Z19" s="44"/>
      <c r="AA19" s="46"/>
      <c r="AB19" s="44"/>
      <c r="AC19" s="136" t="s">
        <v>444</v>
      </c>
    </row>
    <row r="20" spans="1:29" ht="43" customHeight="1" x14ac:dyDescent="0.15">
      <c r="A20" s="214">
        <v>48701018</v>
      </c>
      <c r="B20" s="42" t="str">
        <f t="shared" si="16"/>
        <v>[effect:enemy_message, val1:1.2, val2:3.8],[effect:tolerance,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C20" s="44">
        <v>1</v>
      </c>
      <c r="D20" s="44" t="s">
        <v>194</v>
      </c>
      <c r="E20" s="45" t="s">
        <v>394</v>
      </c>
      <c r="F20" s="45" t="s">
        <v>370</v>
      </c>
      <c r="G20" s="55" t="str">
        <f t="shared" si="1"/>
        <v>[effect:enemy_message, val1:1.2, val2:3.8]</v>
      </c>
      <c r="H20" s="55">
        <f t="shared" si="2"/>
        <v>9</v>
      </c>
      <c r="I20" s="55">
        <f t="shared" si="3"/>
        <v>22</v>
      </c>
      <c r="J20" s="55" t="e">
        <f t="shared" si="4"/>
        <v>#VALUE!</v>
      </c>
      <c r="K20" s="55">
        <f t="shared" si="5"/>
        <v>32</v>
      </c>
      <c r="L20" s="55" t="str">
        <f>IFERROR(VLOOKUP(MID(G20,J20,K20-J20),[5]skilldef!$C:$D,2,FALSE),"-") &amp; " / " &amp; IFERROR(VLOOKUP(MID(G20,H20,I20-H20),[5]skilldef!$A:$B,2,FALSE),"-")</f>
        <v>- / -</v>
      </c>
      <c r="M20" s="55" t="str">
        <f t="shared" si="6"/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N20" s="42" t="str">
        <f>IFERROR(LEFT(M20,FIND("],",M20)+#REF!),M20)</f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O20" s="55">
        <f t="shared" si="7"/>
        <v>9</v>
      </c>
      <c r="P20" s="55">
        <f t="shared" si="8"/>
        <v>18</v>
      </c>
      <c r="Q20" s="55">
        <f t="shared" si="9"/>
        <v>27</v>
      </c>
      <c r="R20" s="55">
        <f t="shared" si="10"/>
        <v>33</v>
      </c>
      <c r="S20" s="55" t="str">
        <f>IFERROR(VLOOKUP(MID(N20,Q20,R20-Q20),[5]skilldef!$C:$D,2,FALSE),"-") &amp; " / " &amp; IFERROR(VLOOKUP(MID(N20,O20,P20-O20),[5]skilldef!$A:$B,2,FALSE),"-")</f>
        <v>自分自身に / 状態異常耐性</v>
      </c>
      <c r="T20" s="42" t="str">
        <f t="shared" si="11"/>
        <v>[effect:freq_turn, target:myself, turn:1, val:1, animation:enemy_freq_turn],[effect:break_enchance_enemy, target:myself, val:200, lowest_val:0, count:-1, status:attack, turn:1, block01:block_heart, calc:add, animation:enemy_enhance_attack]</v>
      </c>
      <c r="U20" s="55">
        <f t="shared" si="12"/>
        <v>9</v>
      </c>
      <c r="V20" s="55">
        <f t="shared" si="13"/>
        <v>18</v>
      </c>
      <c r="W20" s="55">
        <f t="shared" si="14"/>
        <v>27</v>
      </c>
      <c r="X20" s="55">
        <f t="shared" si="15"/>
        <v>33</v>
      </c>
      <c r="Y20" s="55" t="str">
        <f>IFERROR(VLOOKUP(MID(T20,W20,X20-W20),[5]skilldef!$C:$D,2,FALSE),"-") &amp; " / " &amp; IFERROR(VLOOKUP(MID(T20,U20,V20-U20),[5]skilldef!$A:$B,2,FALSE),"-")</f>
        <v>自分自身に / 攻撃頻度がUP</v>
      </c>
      <c r="Z20" s="44"/>
      <c r="AA20" s="46"/>
      <c r="AB20" s="44"/>
      <c r="AC20" s="136" t="s">
        <v>494</v>
      </c>
    </row>
    <row r="21" spans="1:29" ht="43" customHeight="1" x14ac:dyDescent="0.15">
      <c r="A21" s="214">
        <v>48701019</v>
      </c>
      <c r="B21" s="42" t="str">
        <f t="shared" si="16"/>
        <v>[effect:enemy_message, val1:2.6, val2:3.8],[effect:tolerance,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C21" s="44">
        <v>1</v>
      </c>
      <c r="D21" s="44" t="s">
        <v>194</v>
      </c>
      <c r="E21" s="45" t="s">
        <v>442</v>
      </c>
      <c r="F21" s="144" t="s">
        <v>370</v>
      </c>
      <c r="G21" s="55" t="str">
        <f t="shared" si="1"/>
        <v>[effect:enemy_message, val1:2.6, val2:3.8]</v>
      </c>
      <c r="H21" s="55">
        <f t="shared" si="2"/>
        <v>9</v>
      </c>
      <c r="I21" s="55">
        <f t="shared" si="3"/>
        <v>22</v>
      </c>
      <c r="J21" s="55" t="e">
        <f t="shared" si="4"/>
        <v>#VALUE!</v>
      </c>
      <c r="K21" s="55">
        <f t="shared" si="5"/>
        <v>32</v>
      </c>
      <c r="L21" s="55" t="str">
        <f>IFERROR(VLOOKUP(MID(G21,J21,K21-J21),[5]skilldef!$C:$D,2,FALSE),"-") &amp; " / " &amp; IFERROR(VLOOKUP(MID(G21,H21,I21-H21),[5]skilldef!$A:$B,2,FALSE),"-")</f>
        <v>- / -</v>
      </c>
      <c r="M21" s="55" t="str">
        <f t="shared" si="6"/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N21" s="42" t="str">
        <f>IFERROR(LEFT(M21,FIND("],",M21)+#REF!),M21)</f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O21" s="55">
        <f t="shared" si="7"/>
        <v>9</v>
      </c>
      <c r="P21" s="55">
        <f t="shared" si="8"/>
        <v>18</v>
      </c>
      <c r="Q21" s="55">
        <f t="shared" si="9"/>
        <v>27</v>
      </c>
      <c r="R21" s="55">
        <f t="shared" si="10"/>
        <v>33</v>
      </c>
      <c r="S21" s="55" t="str">
        <f>IFERROR(VLOOKUP(MID(N21,Q21,R21-Q21),[5]skilldef!$C:$D,2,FALSE),"-") &amp; " / " &amp; IFERROR(VLOOKUP(MID(N21,O21,P21-O21),[5]skilldef!$A:$B,2,FALSE),"-")</f>
        <v>自分自身に / 状態異常耐性</v>
      </c>
      <c r="T21" s="42" t="str">
        <f t="shared" si="11"/>
        <v>[effect:freq_turn, target:myself, turn:1, val:1, animation:enemy_freq_turn],[effect:break_enchance_enemy, target:myself, val:200, lowest_val:0, count:-1, status:attack, turn:1, block01:block_heart, calc:add, animation:enemy_enhance_attack]</v>
      </c>
      <c r="U21" s="55">
        <f t="shared" si="12"/>
        <v>9</v>
      </c>
      <c r="V21" s="55">
        <f t="shared" si="13"/>
        <v>18</v>
      </c>
      <c r="W21" s="55">
        <f t="shared" si="14"/>
        <v>27</v>
      </c>
      <c r="X21" s="55">
        <f t="shared" si="15"/>
        <v>33</v>
      </c>
      <c r="Y21" s="55" t="str">
        <f>IFERROR(VLOOKUP(MID(T21,W21,X21-W21),[5]skilldef!$C:$D,2,FALSE),"-") &amp; " / " &amp; IFERROR(VLOOKUP(MID(T21,U21,V21-U21),[5]skilldef!$A:$B,2,FALSE),"-")</f>
        <v>自分自身に / 攻撃頻度がUP</v>
      </c>
      <c r="Z21" s="44"/>
      <c r="AA21" s="46"/>
      <c r="AB21" s="44"/>
      <c r="AC21" s="136" t="s">
        <v>473</v>
      </c>
    </row>
    <row r="22" spans="1:29" ht="43" customHeight="1" x14ac:dyDescent="0.15">
      <c r="A22" s="214">
        <v>48701520</v>
      </c>
      <c r="B22" s="42" t="str">
        <f t="shared" si="16"/>
        <v>[effect:enemy_message, val1:1.7, val2:2.8],[effect:spread, val:0.3],[effect:force_change_block, new_block:time_bomb, target:normal, color:block_green, count:2, val:0.08, animation:change_block]</v>
      </c>
      <c r="C22" s="44">
        <v>1</v>
      </c>
      <c r="D22" s="44" t="s">
        <v>194</v>
      </c>
      <c r="E22" s="43" t="s">
        <v>419</v>
      </c>
      <c r="F22" s="228" t="s">
        <v>519</v>
      </c>
      <c r="G22" s="55" t="str">
        <f t="shared" ref="G22" si="17">IFERROR(LEFT(B22,FIND("],",B22)),B22)</f>
        <v>[effect:enemy_message, val1:1.7, val2:2.8]</v>
      </c>
      <c r="H22" s="55">
        <f t="shared" ref="H22" si="18">FIND("effect:",G22)+7</f>
        <v>9</v>
      </c>
      <c r="I22" s="55">
        <f t="shared" ref="I22" si="19">IFERROR(FIND(",",G22),LEN(G22))</f>
        <v>22</v>
      </c>
      <c r="J22" s="55" t="e">
        <f t="shared" ref="J22" si="20">FIND("target:",G22)+7</f>
        <v>#VALUE!</v>
      </c>
      <c r="K22" s="55">
        <f t="shared" ref="K22" si="21">FIND(",",G22,I22+1)</f>
        <v>32</v>
      </c>
      <c r="L22" s="55" t="str">
        <f>IFERROR(VLOOKUP(MID(G22,J22,K22-J22),[5]skilldef!$C:$D,2,FALSE),"-") &amp; " / " &amp; IFERROR(VLOOKUP(MID(G22,H22,I22-H22),[5]skilldef!$A:$B,2,FALSE),"-")</f>
        <v>- / -</v>
      </c>
      <c r="M22" s="55" t="str">
        <f t="shared" ref="M22" si="22">IFERROR(RIGHT(B22,LEN(B22)-FIND("],",B22)-1),"none")</f>
        <v>[effect:spread, val:0.3],[effect:force_change_block, new_block:time_bomb, target:normal, color:block_green, count:2, val:0.08, animation:change_block]</v>
      </c>
      <c r="N22" s="42" t="str">
        <f>IFERROR(LEFT(M22,FIND("],",M22)+#REF!),M22)</f>
        <v>[effect:spread, val:0.3],[effect:force_change_block, new_block:time_bomb, target:normal, color:block_green, count:2, val:0.08, animation:change_block]</v>
      </c>
      <c r="O22" s="55">
        <f t="shared" ref="O22" si="23">FIND("effect:",N22)+7</f>
        <v>9</v>
      </c>
      <c r="P22" s="55">
        <f t="shared" ref="P22" si="24">IFERROR(FIND(",",N22),LEN(N22))</f>
        <v>15</v>
      </c>
      <c r="Q22" s="55">
        <f t="shared" ref="Q22" si="25">FIND("target:",N22)+7</f>
        <v>82</v>
      </c>
      <c r="R22" s="55">
        <f t="shared" ref="R22" si="26">FIND(",",N22,P22+1)</f>
        <v>25</v>
      </c>
      <c r="S22" s="55" t="str">
        <f>IFERROR(VLOOKUP(MID(N22,Q22,R22-Q22),[5]skilldef!$C:$D,2,FALSE),"-") &amp; " / " &amp; IFERROR(VLOOKUP(MID(N22,O22,P22-O22),[5]skilldef!$A:$B,2,FALSE),"-")</f>
        <v>- / 全体攻撃</v>
      </c>
      <c r="T22" s="42" t="str">
        <f t="shared" ref="T22" si="27">IFERROR(RIGHT(M22,LEN(M22)-FIND("],",M22)-1),"none")</f>
        <v>[effect:force_change_block, new_block:time_bomb, target:normal, color:block_green, count:2, val:0.08, animation:change_block]</v>
      </c>
      <c r="U22" s="55">
        <f t="shared" ref="U22" si="28">FIND("effect:",T22)+7</f>
        <v>9</v>
      </c>
      <c r="V22" s="55">
        <f t="shared" ref="V22" si="29">IFERROR(FIND(",",T22),LEN(T22))</f>
        <v>27</v>
      </c>
      <c r="W22" s="55">
        <f t="shared" ref="W22" si="30">FIND("target:",T22)+7</f>
        <v>57</v>
      </c>
      <c r="X22" s="55">
        <f t="shared" ref="X22" si="31">FIND(",",T22,V22+1)</f>
        <v>48</v>
      </c>
      <c r="Y22" s="55" t="str">
        <f>IFERROR(VLOOKUP(MID(T22,W22,X22-W22),[5]skilldef!$C:$D,2,FALSE),"-") &amp; " / " &amp; IFERROR(VLOOKUP(MID(T22,U22,V22-U22),[5]skilldef!$A:$B,2,FALSE),"-")</f>
        <v>- / -</v>
      </c>
      <c r="Z22" s="44"/>
      <c r="AA22" s="46"/>
      <c r="AB22" s="44"/>
      <c r="AC22" s="229" t="s">
        <v>518</v>
      </c>
    </row>
    <row r="23" spans="1:29" ht="43" customHeight="1" x14ac:dyDescent="0.15">
      <c r="A23" s="214">
        <v>48701020</v>
      </c>
      <c r="B23" s="42" t="str">
        <f t="shared" si="16"/>
        <v>[effect:enemy_message, val1:1.2, val2:3.4],[effect:force_change_block, new_block:time_bomb, target:block_red, color:block_blue, count:2, val:0.08, animation:change_block],[effect:break_attack_fix, target:unit_one, val:300, lowest_val:1500, count:-1, color:green, block01:block_blue]</v>
      </c>
      <c r="C23" s="44">
        <v>1</v>
      </c>
      <c r="D23" s="44" t="s">
        <v>194</v>
      </c>
      <c r="E23" s="45" t="s">
        <v>415</v>
      </c>
      <c r="F23" s="228" t="s">
        <v>520</v>
      </c>
      <c r="G23" s="55" t="str">
        <f t="shared" si="1"/>
        <v>[effect:enemy_message, val1:1.2, val2:3.4]</v>
      </c>
      <c r="H23" s="55">
        <f t="shared" si="2"/>
        <v>9</v>
      </c>
      <c r="I23" s="55">
        <f t="shared" si="3"/>
        <v>22</v>
      </c>
      <c r="J23" s="55" t="e">
        <f t="shared" si="4"/>
        <v>#VALUE!</v>
      </c>
      <c r="K23" s="55">
        <f t="shared" si="5"/>
        <v>32</v>
      </c>
      <c r="L23" s="55" t="str">
        <f>IFERROR(VLOOKUP(MID(G23,J23,K23-J23),[5]skilldef!$C:$D,2,FALSE),"-") &amp; " / " &amp; IFERROR(VLOOKUP(MID(G23,H23,I23-H23),[5]skilldef!$A:$B,2,FALSE),"-")</f>
        <v>- / -</v>
      </c>
      <c r="M23" s="55" t="str">
        <f t="shared" si="6"/>
        <v>[effect:force_change_block, new_block:time_bomb, target:block_red, color:block_blue, count:2, val:0.08, animation:change_block],[effect:break_attack_fix, target:unit_one, val:300, lowest_val:1500, count:-1, color:green, block01:block_blue]</v>
      </c>
      <c r="N23" s="42" t="str">
        <f>IFERROR(LEFT(M23,FIND("],",M23)+#REF!),M23)</f>
        <v>[effect:force_change_block, new_block:time_bomb, target:block_red, color:block_blue, count:2, val:0.08, animation:change_block],[effect:break_attack_fix, target:unit_one, val:300, lowest_val:1500, count:-1, color:green, block01:block_blue]</v>
      </c>
      <c r="O23" s="55">
        <f t="shared" si="7"/>
        <v>9</v>
      </c>
      <c r="P23" s="55">
        <f t="shared" si="8"/>
        <v>27</v>
      </c>
      <c r="Q23" s="55">
        <f t="shared" si="9"/>
        <v>57</v>
      </c>
      <c r="R23" s="55">
        <f t="shared" si="10"/>
        <v>48</v>
      </c>
      <c r="S23" s="55" t="str">
        <f>IFERROR(VLOOKUP(MID(N23,Q23,R23-Q23),[5]skilldef!$C:$D,2,FALSE),"-") &amp; " / " &amp; IFERROR(VLOOKUP(MID(N23,O23,P23-O23),[5]skilldef!$A:$B,2,FALSE),"-")</f>
        <v>- / -</v>
      </c>
      <c r="T23" s="42" t="str">
        <f t="shared" si="11"/>
        <v>[effect:break_attack_fix, target:unit_one, val:300, lowest_val:1500, count:-1, color:green, block01:block_blue]</v>
      </c>
      <c r="U23" s="55">
        <f t="shared" si="12"/>
        <v>9</v>
      </c>
      <c r="V23" s="55">
        <f t="shared" si="13"/>
        <v>25</v>
      </c>
      <c r="W23" s="55">
        <f t="shared" si="14"/>
        <v>34</v>
      </c>
      <c r="X23" s="55">
        <f t="shared" si="15"/>
        <v>42</v>
      </c>
      <c r="Y23" s="55" t="str">
        <f>IFERROR(VLOOKUP(MID(T23,W23,X23-W23),[5]skilldef!$C:$D,2,FALSE),"-") &amp; " / " &amp; IFERROR(VLOOKUP(MID(T23,U23,V23-U23),[5]skilldef!$A:$B,2,FALSE),"-")</f>
        <v>味方単体に / -</v>
      </c>
      <c r="Z23" s="44"/>
      <c r="AA23" s="46"/>
      <c r="AB23" s="44"/>
      <c r="AC23" s="229" t="s">
        <v>526</v>
      </c>
    </row>
    <row r="24" spans="1:29" ht="43" customHeight="1" x14ac:dyDescent="0.15">
      <c r="A24" s="214">
        <v>48701021</v>
      </c>
      <c r="B24" s="42" t="str">
        <f t="shared" si="16"/>
        <v>[effect:enemy_message, val1:1.2, val2:3.4],[effect:force_change_block, new_block:time_bomb, target:block_yellow, color:block_green, count:2, val:0.08, animation:change_block],[effect:break_attack_fix, target:unit_one, val:300, lowest_val:1500, count:-1, color:green, block01:block_green]</v>
      </c>
      <c r="C24" s="44">
        <v>1</v>
      </c>
      <c r="D24" s="44" t="s">
        <v>194</v>
      </c>
      <c r="E24" s="45" t="s">
        <v>416</v>
      </c>
      <c r="F24" s="228" t="s">
        <v>521</v>
      </c>
      <c r="G24" s="55" t="str">
        <f t="shared" si="1"/>
        <v>[effect:enemy_message, val1:1.2, val2:3.4]</v>
      </c>
      <c r="H24" s="55">
        <f t="shared" si="2"/>
        <v>9</v>
      </c>
      <c r="I24" s="55">
        <f t="shared" si="3"/>
        <v>22</v>
      </c>
      <c r="J24" s="55" t="e">
        <f t="shared" si="4"/>
        <v>#VALUE!</v>
      </c>
      <c r="K24" s="55">
        <f t="shared" si="5"/>
        <v>32</v>
      </c>
      <c r="L24" s="55" t="str">
        <f>IFERROR(VLOOKUP(MID(G24,J24,K24-J24),[5]skilldef!$C:$D,2,FALSE),"-") &amp; " / " &amp; IFERROR(VLOOKUP(MID(G24,H24,I24-H24),[5]skilldef!$A:$B,2,FALSE),"-")</f>
        <v>- / -</v>
      </c>
      <c r="M24" s="55" t="str">
        <f t="shared" si="6"/>
        <v>[effect:force_change_block, new_block:time_bomb, target:block_yellow, color:block_green, count:2, val:0.08, animation:change_block],[effect:break_attack_fix, target:unit_one, val:300, lowest_val:1500, count:-1, color:green, block01:block_green]</v>
      </c>
      <c r="N24" s="42" t="str">
        <f>IFERROR(LEFT(M24,FIND("],",M24)+#REF!),M24)</f>
        <v>[effect:force_change_block, new_block:time_bomb, target:block_yellow, color:block_green, count:2, val:0.08, animation:change_block],[effect:break_attack_fix, target:unit_one, val:300, lowest_val:1500, count:-1, color:green, block01:block_green]</v>
      </c>
      <c r="O24" s="55">
        <f t="shared" si="7"/>
        <v>9</v>
      </c>
      <c r="P24" s="55">
        <f t="shared" si="8"/>
        <v>27</v>
      </c>
      <c r="Q24" s="55">
        <f t="shared" si="9"/>
        <v>57</v>
      </c>
      <c r="R24" s="55">
        <f t="shared" si="10"/>
        <v>48</v>
      </c>
      <c r="S24" s="55" t="str">
        <f>IFERROR(VLOOKUP(MID(N24,Q24,R24-Q24),[5]skilldef!$C:$D,2,FALSE),"-") &amp; " / " &amp; IFERROR(VLOOKUP(MID(N24,O24,P24-O24),[5]skilldef!$A:$B,2,FALSE),"-")</f>
        <v>- / -</v>
      </c>
      <c r="T24" s="42" t="str">
        <f t="shared" si="11"/>
        <v>[effect:break_attack_fix, target:unit_one, val:300, lowest_val:1500, count:-1, color:green, block01:block_green]</v>
      </c>
      <c r="U24" s="55">
        <f t="shared" si="12"/>
        <v>9</v>
      </c>
      <c r="V24" s="55">
        <f t="shared" si="13"/>
        <v>25</v>
      </c>
      <c r="W24" s="55">
        <f t="shared" si="14"/>
        <v>34</v>
      </c>
      <c r="X24" s="55">
        <f t="shared" si="15"/>
        <v>42</v>
      </c>
      <c r="Y24" s="55" t="str">
        <f>IFERROR(VLOOKUP(MID(T24,W24,X24-W24),[5]skilldef!$C:$D,2,FALSE),"-") &amp; " / " &amp; IFERROR(VLOOKUP(MID(T24,U24,V24-U24),[5]skilldef!$A:$B,2,FALSE),"-")</f>
        <v>味方単体に / -</v>
      </c>
      <c r="Z24" s="44"/>
      <c r="AA24" s="46"/>
      <c r="AB24" s="44"/>
      <c r="AC24" s="229" t="s">
        <v>527</v>
      </c>
    </row>
    <row r="25" spans="1:29" ht="43" customHeight="1" x14ac:dyDescent="0.15">
      <c r="A25" s="214">
        <v>48701022</v>
      </c>
      <c r="B25" s="42" t="str">
        <f t="shared" si="16"/>
        <v>[effect:enemy_message, val1:1.2, val2:2.4],[effect:panel_freeze, target:normal, count:7],[effect:critical, val:1.2, animation:enemy_critical]</v>
      </c>
      <c r="C25" s="44">
        <v>1</v>
      </c>
      <c r="D25" s="44" t="s">
        <v>194</v>
      </c>
      <c r="E25" s="45" t="s">
        <v>414</v>
      </c>
      <c r="F25" s="45" t="s">
        <v>495</v>
      </c>
      <c r="G25" s="55" t="str">
        <f t="shared" si="1"/>
        <v>[effect:enemy_message, val1:1.2, val2:2.4]</v>
      </c>
      <c r="H25" s="55">
        <f t="shared" si="2"/>
        <v>9</v>
      </c>
      <c r="I25" s="55">
        <f t="shared" si="3"/>
        <v>22</v>
      </c>
      <c r="J25" s="55" t="e">
        <f t="shared" si="4"/>
        <v>#VALUE!</v>
      </c>
      <c r="K25" s="55">
        <f t="shared" si="5"/>
        <v>32</v>
      </c>
      <c r="L25" s="55" t="str">
        <f>IFERROR(VLOOKUP(MID(G25,J25,K25-J25),[5]skilldef!$C:$D,2,FALSE),"-") &amp; " / " &amp; IFERROR(VLOOKUP(MID(G25,H25,I25-H25),[5]skilldef!$A:$B,2,FALSE),"-")</f>
        <v>- / -</v>
      </c>
      <c r="M25" s="55" t="str">
        <f t="shared" si="6"/>
        <v>[effect:panel_freeze, target:normal, count:7],[effect:critical, val:1.2, animation:enemy_critical]</v>
      </c>
      <c r="N25" s="42" t="str">
        <f>IFERROR(LEFT(M25,FIND("],",M25)+#REF!),M25)</f>
        <v>[effect:panel_freeze, target:normal, count:7],[effect:critical, val:1.2, animation:enemy_critical]</v>
      </c>
      <c r="O25" s="55">
        <f t="shared" si="7"/>
        <v>9</v>
      </c>
      <c r="P25" s="55">
        <f t="shared" si="8"/>
        <v>21</v>
      </c>
      <c r="Q25" s="55">
        <f t="shared" si="9"/>
        <v>30</v>
      </c>
      <c r="R25" s="55">
        <f t="shared" si="10"/>
        <v>36</v>
      </c>
      <c r="S25" s="55" t="str">
        <f>IFERROR(VLOOKUP(MID(N25,Q25,R25-Q25),[5]skilldef!$C:$D,2,FALSE),"-") &amp; " / " &amp; IFERROR(VLOOKUP(MID(N25,O25,P25-O25),[5]skilldef!$A:$B,2,FALSE),"-")</f>
        <v>- / -</v>
      </c>
      <c r="T25" s="42" t="str">
        <f t="shared" si="11"/>
        <v>[effect:critical, val:1.2, animation:enemy_critical]</v>
      </c>
      <c r="U25" s="55">
        <f t="shared" si="12"/>
        <v>9</v>
      </c>
      <c r="V25" s="55">
        <f t="shared" si="13"/>
        <v>17</v>
      </c>
      <c r="W25" s="55" t="e">
        <f t="shared" si="14"/>
        <v>#VALUE!</v>
      </c>
      <c r="X25" s="55">
        <f t="shared" si="15"/>
        <v>26</v>
      </c>
      <c r="Y25" s="55" t="str">
        <f>IFERROR(VLOOKUP(MID(T25,W25,X25-W25),[5]skilldef!$C:$D,2,FALSE),"-") &amp; " / " &amp; IFERROR(VLOOKUP(MID(T25,U25,V25-U25),[5]skilldef!$A:$B,2,FALSE),"-")</f>
        <v>- / 大攻撃</v>
      </c>
      <c r="Z25" s="44"/>
      <c r="AA25" s="46"/>
      <c r="AB25" s="44"/>
      <c r="AC25" s="136" t="s">
        <v>474</v>
      </c>
    </row>
    <row r="26" spans="1:29" ht="43" customHeight="1" x14ac:dyDescent="0.15">
      <c r="A26" s="214">
        <v>48701023</v>
      </c>
      <c r="B26" s="42" t="str">
        <f t="shared" si="16"/>
        <v>[effect:enemy_message, val1:2.1, val2:2.0],[effect:tolerance, target:myself, turn:-1, count:-1, tolerance_effect:all, animation:enemy_tolerance],[effect:change_panel_ratio, turn:-1, block_type:red, val:0.1, animation:block_incidence04],[effect:fix_speed, target:myself, turn:1]</v>
      </c>
      <c r="C26" s="44">
        <v>1</v>
      </c>
      <c r="D26" s="44" t="s">
        <v>194</v>
      </c>
      <c r="E26" s="45" t="s">
        <v>396</v>
      </c>
      <c r="F26" s="45" t="s">
        <v>530</v>
      </c>
      <c r="G26" s="55" t="str">
        <f t="shared" si="1"/>
        <v>[effect:enemy_message, val1:2.1, val2:2.0]</v>
      </c>
      <c r="H26" s="55">
        <f t="shared" si="2"/>
        <v>9</v>
      </c>
      <c r="I26" s="55">
        <f t="shared" si="3"/>
        <v>22</v>
      </c>
      <c r="J26" s="55" t="e">
        <f t="shared" si="4"/>
        <v>#VALUE!</v>
      </c>
      <c r="K26" s="55">
        <f t="shared" si="5"/>
        <v>32</v>
      </c>
      <c r="L26" s="55" t="str">
        <f>IFERROR(VLOOKUP(MID(G26,J26,K26-J26),[5]skilldef!$C:$D,2,FALSE),"-") &amp; " / " &amp; IFERROR(VLOOKUP(MID(G26,H26,I26-H26),[5]skilldef!$A:$B,2,FALSE),"-")</f>
        <v>- / -</v>
      </c>
      <c r="M26" s="55" t="str">
        <f t="shared" si="6"/>
        <v>[effect:tolerance, target:myself, turn:-1, count:-1, tolerance_effect:all, animation:enemy_tolerance],[effect:change_panel_ratio, turn:-1, block_type:red, val:0.1, animation:block_incidence04],[effect:fix_speed, target:myself, turn:1]</v>
      </c>
      <c r="N26" s="42" t="str">
        <f>IFERROR(LEFT(M26,FIND("],",M26)+#REF!),M26)</f>
        <v>[effect:tolerance, target:myself, turn:-1, count:-1, tolerance_effect:all, animation:enemy_tolerance],[effect:change_panel_ratio, turn:-1, block_type:red, val:0.1, animation:block_incidence04],[effect:fix_speed, target:myself, turn:1]</v>
      </c>
      <c r="O26" s="55">
        <f t="shared" si="7"/>
        <v>9</v>
      </c>
      <c r="P26" s="55">
        <f t="shared" si="8"/>
        <v>18</v>
      </c>
      <c r="Q26" s="55">
        <f t="shared" si="9"/>
        <v>27</v>
      </c>
      <c r="R26" s="55">
        <f t="shared" si="10"/>
        <v>33</v>
      </c>
      <c r="S26" s="55" t="str">
        <f>IFERROR(VLOOKUP(MID(N26,Q26,R26-Q26),[5]skilldef!$C:$D,2,FALSE),"-") &amp; " / " &amp; IFERROR(VLOOKUP(MID(N26,O26,P26-O26),[5]skilldef!$A:$B,2,FALSE),"-")</f>
        <v>自分自身に / 状態異常耐性</v>
      </c>
      <c r="T26" s="42" t="str">
        <f t="shared" si="11"/>
        <v>[effect:change_panel_ratio, turn:-1, block_type:red, val:0.1, animation:block_incidence04],[effect:fix_speed, target:myself, turn:1]</v>
      </c>
      <c r="U26" s="55">
        <f t="shared" si="12"/>
        <v>9</v>
      </c>
      <c r="V26" s="55">
        <f t="shared" si="13"/>
        <v>27</v>
      </c>
      <c r="W26" s="55">
        <f t="shared" si="14"/>
        <v>118</v>
      </c>
      <c r="X26" s="55">
        <f t="shared" si="15"/>
        <v>36</v>
      </c>
      <c r="Y26" s="55" t="str">
        <f>IFERROR(VLOOKUP(MID(T26,W26,X26-W26),[5]skilldef!$C:$D,2,FALSE),"-") &amp; " / " &amp; IFERROR(VLOOKUP(MID(T26,U26,V26-U26),[5]skilldef!$A:$B,2,FALSE),"-")</f>
        <v>- / -</v>
      </c>
      <c r="Z26" s="44"/>
      <c r="AA26" s="46"/>
      <c r="AB26" s="44"/>
      <c r="AC26" s="231" t="s">
        <v>531</v>
      </c>
    </row>
    <row r="27" spans="1:29" ht="43" customHeight="1" x14ac:dyDescent="0.15">
      <c r="A27" s="214">
        <v>48701024</v>
      </c>
      <c r="B27" s="42" t="str">
        <f t="shared" si="16"/>
        <v>[effect:enemy_message, val1:2.0, val2:2.0],[effect:tolerance, target:myself, turn:-1, count:-1, tolerance_effect:all, animation:enemy_tolerance],[effect:change_panel_ratio, turn:-1, block_type:red, val:0.1, animation:block_incidence04],[effect:fix_speed, target:myself, turn:1]</v>
      </c>
      <c r="C27" s="44">
        <v>1</v>
      </c>
      <c r="D27" s="44" t="s">
        <v>194</v>
      </c>
      <c r="E27" s="144" t="s">
        <v>395</v>
      </c>
      <c r="F27" s="45" t="s">
        <v>530</v>
      </c>
      <c r="G27" s="55" t="str">
        <f t="shared" si="1"/>
        <v>[effect:enemy_message, val1:2.0, val2:2.0]</v>
      </c>
      <c r="H27" s="55">
        <f t="shared" si="2"/>
        <v>9</v>
      </c>
      <c r="I27" s="55">
        <f t="shared" si="3"/>
        <v>22</v>
      </c>
      <c r="J27" s="55" t="e">
        <f t="shared" si="4"/>
        <v>#VALUE!</v>
      </c>
      <c r="K27" s="55">
        <f t="shared" si="5"/>
        <v>32</v>
      </c>
      <c r="L27" s="55" t="str">
        <f>IFERROR(VLOOKUP(MID(G27,J27,K27-J27),[5]skilldef!$C:$D,2,FALSE),"-") &amp; " / " &amp; IFERROR(VLOOKUP(MID(G27,H27,I27-H27),[5]skilldef!$A:$B,2,FALSE),"-")</f>
        <v>- / -</v>
      </c>
      <c r="M27" s="55" t="str">
        <f t="shared" si="6"/>
        <v>[effect:tolerance, target:myself, turn:-1, count:-1, tolerance_effect:all, animation:enemy_tolerance],[effect:change_panel_ratio, turn:-1, block_type:red, val:0.1, animation:block_incidence04],[effect:fix_speed, target:myself, turn:1]</v>
      </c>
      <c r="N27" s="42" t="str">
        <f>IFERROR(LEFT(M27,FIND("],",M27)+#REF!),M27)</f>
        <v>[effect:tolerance, target:myself, turn:-1, count:-1, tolerance_effect:all, animation:enemy_tolerance],[effect:change_panel_ratio, turn:-1, block_type:red, val:0.1, animation:block_incidence04],[effect:fix_speed, target:myself, turn:1]</v>
      </c>
      <c r="O27" s="55">
        <f t="shared" si="7"/>
        <v>9</v>
      </c>
      <c r="P27" s="55">
        <f t="shared" si="8"/>
        <v>18</v>
      </c>
      <c r="Q27" s="55">
        <f t="shared" si="9"/>
        <v>27</v>
      </c>
      <c r="R27" s="55">
        <f t="shared" si="10"/>
        <v>33</v>
      </c>
      <c r="S27" s="55" t="str">
        <f>IFERROR(VLOOKUP(MID(N27,Q27,R27-Q27),[5]skilldef!$C:$D,2,FALSE),"-") &amp; " / " &amp; IFERROR(VLOOKUP(MID(N27,O27,P27-O27),[5]skilldef!$A:$B,2,FALSE),"-")</f>
        <v>自分自身に / 状態異常耐性</v>
      </c>
      <c r="T27" s="42" t="str">
        <f t="shared" si="11"/>
        <v>[effect:change_panel_ratio, turn:-1, block_type:red, val:0.1, animation:block_incidence04],[effect:fix_speed, target:myself, turn:1]</v>
      </c>
      <c r="U27" s="55">
        <f t="shared" si="12"/>
        <v>9</v>
      </c>
      <c r="V27" s="55">
        <f t="shared" si="13"/>
        <v>27</v>
      </c>
      <c r="W27" s="55">
        <f t="shared" si="14"/>
        <v>118</v>
      </c>
      <c r="X27" s="55">
        <f t="shared" si="15"/>
        <v>36</v>
      </c>
      <c r="Y27" s="55" t="str">
        <f>IFERROR(VLOOKUP(MID(T27,W27,X27-W27),[5]skilldef!$C:$D,2,FALSE),"-") &amp; " / " &amp; IFERROR(VLOOKUP(MID(T27,U27,V27-U27),[5]skilldef!$A:$B,2,FALSE),"-")</f>
        <v>- / -</v>
      </c>
      <c r="Z27" s="44"/>
      <c r="AA27" s="46"/>
      <c r="AB27" s="44"/>
      <c r="AC27" s="231" t="s">
        <v>531</v>
      </c>
    </row>
    <row r="28" spans="1:29" ht="43" customHeight="1" x14ac:dyDescent="0.15">
      <c r="A28" s="214">
        <v>48701025</v>
      </c>
      <c r="B28" s="42" t="str">
        <f t="shared" si="16"/>
        <v>[effect:enemy_message, val1:1.4, val2:1.3],[effect:break_attack_fix, target:unit_all, val:150, lowest_val:500, count:-1, color:green, block01:block_red]</v>
      </c>
      <c r="C28" s="44">
        <v>1</v>
      </c>
      <c r="D28" s="44" t="s">
        <v>194</v>
      </c>
      <c r="E28" s="45" t="s">
        <v>418</v>
      </c>
      <c r="F28" s="45" t="s">
        <v>352</v>
      </c>
      <c r="G28" s="55" t="str">
        <f t="shared" si="1"/>
        <v>[effect:enemy_message, val1:1.4, val2:1.3]</v>
      </c>
      <c r="H28" s="55">
        <f t="shared" si="2"/>
        <v>9</v>
      </c>
      <c r="I28" s="55">
        <f t="shared" si="3"/>
        <v>22</v>
      </c>
      <c r="J28" s="55" t="e">
        <f t="shared" si="4"/>
        <v>#VALUE!</v>
      </c>
      <c r="K28" s="55">
        <f t="shared" si="5"/>
        <v>32</v>
      </c>
      <c r="L28" s="55" t="str">
        <f>IFERROR(VLOOKUP(MID(G28,J28,K28-J28),[5]skilldef!$C:$D,2,FALSE),"-") &amp; " / " &amp; IFERROR(VLOOKUP(MID(G28,H28,I28-H28),[5]skilldef!$A:$B,2,FALSE),"-")</f>
        <v>- / -</v>
      </c>
      <c r="M28" s="55" t="str">
        <f t="shared" si="6"/>
        <v>[effect:break_attack_fix, target:unit_all, val:150, lowest_val:500, count:-1, color:green, block01:block_red]</v>
      </c>
      <c r="N28" s="42" t="str">
        <f>IFERROR(LEFT(M28,FIND("],",M28)+#REF!),M28)</f>
        <v>[effect:break_attack_fix, target:unit_all, val:150, lowest_val:500, count:-1, color:green, block01:block_red]</v>
      </c>
      <c r="O28" s="55">
        <f t="shared" si="7"/>
        <v>9</v>
      </c>
      <c r="P28" s="55">
        <f t="shared" si="8"/>
        <v>25</v>
      </c>
      <c r="Q28" s="55">
        <f t="shared" si="9"/>
        <v>34</v>
      </c>
      <c r="R28" s="55">
        <f t="shared" si="10"/>
        <v>42</v>
      </c>
      <c r="S28" s="55" t="str">
        <f>IFERROR(VLOOKUP(MID(N28,Q28,R28-Q28),[5]skilldef!$C:$D,2,FALSE),"-") &amp; " / " &amp; IFERROR(VLOOKUP(MID(N28,O28,P28-O28),[5]skilldef!$A:$B,2,FALSE),"-")</f>
        <v>味方全体に / -</v>
      </c>
      <c r="T28" s="42" t="str">
        <f t="shared" si="11"/>
        <v>none</v>
      </c>
      <c r="U28" s="55" t="e">
        <f t="shared" si="12"/>
        <v>#VALUE!</v>
      </c>
      <c r="V28" s="55">
        <f t="shared" si="13"/>
        <v>4</v>
      </c>
      <c r="W28" s="55" t="e">
        <f t="shared" si="14"/>
        <v>#VALUE!</v>
      </c>
      <c r="X28" s="55" t="e">
        <f t="shared" si="15"/>
        <v>#VALUE!</v>
      </c>
      <c r="Y28" s="55" t="str">
        <f>IFERROR(VLOOKUP(MID(T28,W28,X28-W28),[5]skilldef!$C:$D,2,FALSE),"-") &amp; " / " &amp; IFERROR(VLOOKUP(MID(T28,U28,V28-U28),[5]skilldef!$A:$B,2,FALSE),"-")</f>
        <v>- / -</v>
      </c>
      <c r="Z28" s="44"/>
      <c r="AA28" s="46"/>
      <c r="AB28" s="44"/>
      <c r="AC28" s="136" t="s">
        <v>455</v>
      </c>
    </row>
    <row r="29" spans="1:29" ht="43" customHeight="1" x14ac:dyDescent="0.15">
      <c r="A29" s="214">
        <v>48701026</v>
      </c>
      <c r="B29" s="42" t="str">
        <f t="shared" si="16"/>
        <v>[effect:enemy_message, val1:1.4, val2:2.2],[effect:panel_freeze, target:normal, color:block_blue, count:5],[effect:panel_freeze, target:normal, color:block_green, count:5]</v>
      </c>
      <c r="C29" s="44">
        <v>1</v>
      </c>
      <c r="D29" s="44" t="s">
        <v>194</v>
      </c>
      <c r="E29" s="45" t="s">
        <v>417</v>
      </c>
      <c r="F29" s="45" t="s">
        <v>490</v>
      </c>
      <c r="G29" s="55" t="str">
        <f t="shared" si="1"/>
        <v>[effect:enemy_message, val1:1.4, val2:2.2]</v>
      </c>
      <c r="H29" s="55">
        <f t="shared" si="2"/>
        <v>9</v>
      </c>
      <c r="I29" s="55">
        <f t="shared" si="3"/>
        <v>22</v>
      </c>
      <c r="J29" s="55" t="e">
        <f t="shared" si="4"/>
        <v>#VALUE!</v>
      </c>
      <c r="K29" s="55">
        <f t="shared" si="5"/>
        <v>32</v>
      </c>
      <c r="L29" s="55" t="str">
        <f>IFERROR(VLOOKUP(MID(G29,J29,K29-J29),[5]skilldef!$C:$D,2,FALSE),"-") &amp; " / " &amp; IFERROR(VLOOKUP(MID(G29,H29,I29-H29),[5]skilldef!$A:$B,2,FALSE),"-")</f>
        <v>- / -</v>
      </c>
      <c r="M29" s="55" t="str">
        <f t="shared" si="6"/>
        <v>[effect:panel_freeze, target:normal, color:block_blue, count:5],[effect:panel_freeze, target:normal, color:block_green, count:5]</v>
      </c>
      <c r="N29" s="42" t="str">
        <f>IFERROR(LEFT(M29,FIND("],",M29)+#REF!),M29)</f>
        <v>[effect:panel_freeze, target:normal, color:block_blue, count:5],[effect:panel_freeze, target:normal, color:block_green, count:5]</v>
      </c>
      <c r="O29" s="55">
        <f t="shared" si="7"/>
        <v>9</v>
      </c>
      <c r="P29" s="55">
        <f t="shared" si="8"/>
        <v>21</v>
      </c>
      <c r="Q29" s="55">
        <f t="shared" si="9"/>
        <v>30</v>
      </c>
      <c r="R29" s="55">
        <f t="shared" si="10"/>
        <v>36</v>
      </c>
      <c r="S29" s="55" t="str">
        <f>IFERROR(VLOOKUP(MID(N29,Q29,R29-Q29),[5]skilldef!$C:$D,2,FALSE),"-") &amp; " / " &amp; IFERROR(VLOOKUP(MID(N29,O29,P29-O29),[5]skilldef!$A:$B,2,FALSE),"-")</f>
        <v>- / -</v>
      </c>
      <c r="T29" s="42" t="str">
        <f t="shared" si="11"/>
        <v>[effect:panel_freeze, target:normal, color:block_green, count:5]</v>
      </c>
      <c r="U29" s="55">
        <f t="shared" si="12"/>
        <v>9</v>
      </c>
      <c r="V29" s="55">
        <f t="shared" si="13"/>
        <v>21</v>
      </c>
      <c r="W29" s="55">
        <f t="shared" si="14"/>
        <v>30</v>
      </c>
      <c r="X29" s="55">
        <f t="shared" si="15"/>
        <v>36</v>
      </c>
      <c r="Y29" s="55" t="str">
        <f>IFERROR(VLOOKUP(MID(T29,W29,X29-W29),[5]skilldef!$C:$D,2,FALSE),"-") &amp; " / " &amp; IFERROR(VLOOKUP(MID(T29,U29,V29-U29),[5]skilldef!$A:$B,2,FALSE),"-")</f>
        <v>- / -</v>
      </c>
      <c r="Z29" s="44"/>
      <c r="AA29" s="46"/>
      <c r="AB29" s="44"/>
      <c r="AC29" s="136" t="s">
        <v>475</v>
      </c>
    </row>
    <row r="30" spans="1:29" ht="43" customHeight="1" x14ac:dyDescent="0.15">
      <c r="A30" s="214">
        <v>48701027</v>
      </c>
      <c r="B30" s="42" t="str">
        <f t="shared" si="16"/>
        <v>[effect:enemy_message, val1:1.2, val2:3.1],[effect:damage_abnormal, target:unit_one, val:0.5, status:heal, turn:3, val_abnormal:0.5, calc:mul],[effect:damage_abnormal, target:unit_one, val:0.5, status:heal, turn:3, val_abnormal:0.5, calc:mul],[effect:damage_abnormal, target:unit_one, val:0.5, status:heal, turn:3, val_abnormal:0.5, calc:mul]</v>
      </c>
      <c r="C30" s="44">
        <v>1</v>
      </c>
      <c r="D30" s="44" t="s">
        <v>194</v>
      </c>
      <c r="E30" s="45" t="s">
        <v>421</v>
      </c>
      <c r="F30" s="45" t="s">
        <v>374</v>
      </c>
      <c r="G30" s="55" t="str">
        <f t="shared" si="1"/>
        <v>[effect:enemy_message, val1:1.2, val2:3.1]</v>
      </c>
      <c r="H30" s="55">
        <f t="shared" si="2"/>
        <v>9</v>
      </c>
      <c r="I30" s="55">
        <f t="shared" si="3"/>
        <v>22</v>
      </c>
      <c r="J30" s="55" t="e">
        <f t="shared" si="4"/>
        <v>#VALUE!</v>
      </c>
      <c r="K30" s="55">
        <f t="shared" si="5"/>
        <v>32</v>
      </c>
      <c r="L30" s="55" t="str">
        <f>IFERROR(VLOOKUP(MID(G30,J30,K30-J30),[5]skilldef!$C:$D,2,FALSE),"-") &amp; " / " &amp; IFERROR(VLOOKUP(MID(G30,H30,I30-H30),[5]skilldef!$A:$B,2,FALSE),"-")</f>
        <v>- / -</v>
      </c>
      <c r="M30" s="55" t="str">
        <f t="shared" si="6"/>
        <v>[effect:damage_abnormal, target:unit_one, val:0.5, status:heal, turn:3, val_abnormal:0.5, calc:mul],[effect:damage_abnormal, target:unit_one, val:0.5, status:heal, turn:3, val_abnormal:0.5, calc:mul],[effect:damage_abnormal, target:unit_one, val:0.5, status:heal, turn:3, val_abnormal:0.5, calc:mul]</v>
      </c>
      <c r="N30" s="42" t="str">
        <f>IFERROR(LEFT(M30,FIND("],",M30)+#REF!),M30)</f>
        <v>[effect:damage_abnormal, target:unit_one, val:0.5, status:heal, turn:3, val_abnormal:0.5, calc:mul],[effect:damage_abnormal, target:unit_one, val:0.5, status:heal, turn:3, val_abnormal:0.5, calc:mul],[effect:damage_abnormal, target:unit_one, val:0.5, status:heal, turn:3, val_abnormal:0.5, calc:mul]</v>
      </c>
      <c r="O30" s="55">
        <f t="shared" si="7"/>
        <v>9</v>
      </c>
      <c r="P30" s="55">
        <f t="shared" si="8"/>
        <v>24</v>
      </c>
      <c r="Q30" s="55">
        <f t="shared" si="9"/>
        <v>33</v>
      </c>
      <c r="R30" s="55">
        <f t="shared" si="10"/>
        <v>41</v>
      </c>
      <c r="S30" s="55" t="str">
        <f>IFERROR(VLOOKUP(MID(N30,Q30,R30-Q30),[5]skilldef!$C:$D,2,FALSE),"-") &amp; " / " &amp; IFERROR(VLOOKUP(MID(N30,O30,P30-O30),[5]skilldef!$A:$B,2,FALSE),"-")</f>
        <v>味方単体に / -</v>
      </c>
      <c r="T30" s="42" t="str">
        <f t="shared" si="11"/>
        <v>[effect:damage_abnormal, target:unit_one, val:0.5, status:heal, turn:3, val_abnormal:0.5, calc:mul],[effect:damage_abnormal, target:unit_one, val:0.5, status:heal, turn:3, val_abnormal:0.5, calc:mul]</v>
      </c>
      <c r="U30" s="55">
        <f t="shared" si="12"/>
        <v>9</v>
      </c>
      <c r="V30" s="55">
        <f t="shared" si="13"/>
        <v>24</v>
      </c>
      <c r="W30" s="55">
        <f t="shared" si="14"/>
        <v>33</v>
      </c>
      <c r="X30" s="55">
        <f t="shared" si="15"/>
        <v>41</v>
      </c>
      <c r="Y30" s="55" t="str">
        <f>IFERROR(VLOOKUP(MID(T30,W30,X30-W30),[5]skilldef!$C:$D,2,FALSE),"-") &amp; " / " &amp; IFERROR(VLOOKUP(MID(T30,U30,V30-U30),[5]skilldef!$A:$B,2,FALSE),"-")</f>
        <v>味方単体に / -</v>
      </c>
      <c r="Z30" s="44"/>
      <c r="AA30" s="46"/>
      <c r="AB30" s="44"/>
      <c r="AC30" s="136" t="s">
        <v>476</v>
      </c>
    </row>
    <row r="31" spans="1:29" ht="43" customHeight="1" x14ac:dyDescent="0.15">
      <c r="A31" s="214">
        <v>48701028</v>
      </c>
      <c r="B31" s="42" t="str">
        <f t="shared" si="16"/>
        <v>[effect:enemy_message, val1:1.3, val2:3.0],[effect:force_change_block, new_block:time_bomb, target:block_yellow, color:yellow, count:3, val:0.2, min_time_count:2, max_time_count:3, animation:change_block],[effect:critical, val:1.5, animation:enemy_critical]</v>
      </c>
      <c r="C31" s="44">
        <v>1</v>
      </c>
      <c r="D31" s="44" t="s">
        <v>194</v>
      </c>
      <c r="E31" s="45" t="s">
        <v>420</v>
      </c>
      <c r="F31" s="45" t="s">
        <v>507</v>
      </c>
      <c r="G31" s="55" t="str">
        <f t="shared" si="1"/>
        <v>[effect:enemy_message, val1:1.3, val2:3.0]</v>
      </c>
      <c r="H31" s="55">
        <f t="shared" si="2"/>
        <v>9</v>
      </c>
      <c r="I31" s="55">
        <f t="shared" si="3"/>
        <v>22</v>
      </c>
      <c r="J31" s="55" t="e">
        <f t="shared" si="4"/>
        <v>#VALUE!</v>
      </c>
      <c r="K31" s="55">
        <f t="shared" si="5"/>
        <v>32</v>
      </c>
      <c r="L31" s="55" t="str">
        <f>IFERROR(VLOOKUP(MID(G31,J31,K31-J31),[5]skilldef!$C:$D,2,FALSE),"-") &amp; " / " &amp; IFERROR(VLOOKUP(MID(G31,H31,I31-H31),[5]skilldef!$A:$B,2,FALSE),"-")</f>
        <v>- / -</v>
      </c>
      <c r="M31" s="55" t="str">
        <f t="shared" si="6"/>
        <v>[effect:force_change_block, new_block:time_bomb, target:block_yellow, color:yellow, count:3, val:0.2, min_time_count:2, max_time_count:3, animation:change_block],[effect:critical, val:1.5, animation:enemy_critical]</v>
      </c>
      <c r="N31" s="42" t="str">
        <f>IFERROR(LEFT(M31,FIND("],",M31)+#REF!),M31)</f>
        <v>[effect:force_change_block, new_block:time_bomb, target:block_yellow, color:yellow, count:3, val:0.2, min_time_count:2, max_time_count:3, animation:change_block],[effect:critical, val:1.5, animation:enemy_critical]</v>
      </c>
      <c r="O31" s="55">
        <f t="shared" si="7"/>
        <v>9</v>
      </c>
      <c r="P31" s="55">
        <f t="shared" si="8"/>
        <v>27</v>
      </c>
      <c r="Q31" s="55">
        <f t="shared" si="9"/>
        <v>57</v>
      </c>
      <c r="R31" s="55">
        <f t="shared" si="10"/>
        <v>48</v>
      </c>
      <c r="S31" s="55" t="str">
        <f>IFERROR(VLOOKUP(MID(N31,Q31,R31-Q31),[5]skilldef!$C:$D,2,FALSE),"-") &amp; " / " &amp; IFERROR(VLOOKUP(MID(N31,O31,P31-O31),[5]skilldef!$A:$B,2,FALSE),"-")</f>
        <v>- / -</v>
      </c>
      <c r="T31" s="42" t="str">
        <f t="shared" si="11"/>
        <v>[effect:critical, val:1.5, animation:enemy_critical]</v>
      </c>
      <c r="U31" s="55">
        <f t="shared" si="12"/>
        <v>9</v>
      </c>
      <c r="V31" s="55">
        <f t="shared" si="13"/>
        <v>17</v>
      </c>
      <c r="W31" s="55" t="e">
        <f t="shared" si="14"/>
        <v>#VALUE!</v>
      </c>
      <c r="X31" s="55">
        <f t="shared" si="15"/>
        <v>26</v>
      </c>
      <c r="Y31" s="55" t="str">
        <f>IFERROR(VLOOKUP(MID(T31,W31,X31-W31),[5]skilldef!$C:$D,2,FALSE),"-") &amp; " / " &amp; IFERROR(VLOOKUP(MID(T31,U31,V31-U31),[5]skilldef!$A:$B,2,FALSE),"-")</f>
        <v>- / 大攻撃</v>
      </c>
      <c r="Z31" s="44"/>
      <c r="AA31" s="46"/>
      <c r="AB31" s="44"/>
      <c r="AC31" s="136" t="s">
        <v>453</v>
      </c>
    </row>
    <row r="32" spans="1:29" ht="43" customHeight="1" x14ac:dyDescent="0.15">
      <c r="A32" s="214">
        <v>48701029</v>
      </c>
      <c r="B32" s="42" t="str">
        <f t="shared" si="16"/>
        <v>[effect:enemy_message, val1:1.3, val2:1.2],[effect:critical, val:1.6, animation:enemy_critical]</v>
      </c>
      <c r="C32" s="44">
        <v>1</v>
      </c>
      <c r="D32" s="44" t="s">
        <v>194</v>
      </c>
      <c r="E32" s="45" t="s">
        <v>422</v>
      </c>
      <c r="F32" s="45" t="s">
        <v>353</v>
      </c>
      <c r="G32" s="55" t="str">
        <f t="shared" si="1"/>
        <v>[effect:enemy_message, val1:1.3, val2:1.2]</v>
      </c>
      <c r="H32" s="55">
        <f t="shared" si="2"/>
        <v>9</v>
      </c>
      <c r="I32" s="55">
        <f t="shared" si="3"/>
        <v>22</v>
      </c>
      <c r="J32" s="55" t="e">
        <f t="shared" si="4"/>
        <v>#VALUE!</v>
      </c>
      <c r="K32" s="55">
        <f t="shared" si="5"/>
        <v>32</v>
      </c>
      <c r="L32" s="55" t="str">
        <f>IFERROR(VLOOKUP(MID(G32,J32,K32-J32),[5]skilldef!$C:$D,2,FALSE),"-") &amp; " / " &amp; IFERROR(VLOOKUP(MID(G32,H32,I32-H32),[5]skilldef!$A:$B,2,FALSE),"-")</f>
        <v>- / -</v>
      </c>
      <c r="M32" s="55" t="str">
        <f t="shared" si="6"/>
        <v>[effect:critical, val:1.6, animation:enemy_critical]</v>
      </c>
      <c r="N32" s="42" t="str">
        <f>IFERROR(LEFT(M32,FIND("],",M32)+#REF!),M32)</f>
        <v>[effect:critical, val:1.6, animation:enemy_critical]</v>
      </c>
      <c r="O32" s="55">
        <f t="shared" si="7"/>
        <v>9</v>
      </c>
      <c r="P32" s="55">
        <f t="shared" si="8"/>
        <v>17</v>
      </c>
      <c r="Q32" s="55" t="e">
        <f t="shared" si="9"/>
        <v>#VALUE!</v>
      </c>
      <c r="R32" s="55">
        <f t="shared" si="10"/>
        <v>26</v>
      </c>
      <c r="S32" s="55" t="str">
        <f>IFERROR(VLOOKUP(MID(N32,Q32,R32-Q32),[5]skilldef!$C:$D,2,FALSE),"-") &amp; " / " &amp; IFERROR(VLOOKUP(MID(N32,O32,P32-O32),[5]skilldef!$A:$B,2,FALSE),"-")</f>
        <v>- / 大攻撃</v>
      </c>
      <c r="T32" s="42" t="str">
        <f t="shared" si="11"/>
        <v>none</v>
      </c>
      <c r="U32" s="55" t="e">
        <f t="shared" si="12"/>
        <v>#VALUE!</v>
      </c>
      <c r="V32" s="55">
        <f t="shared" si="13"/>
        <v>4</v>
      </c>
      <c r="W32" s="55" t="e">
        <f t="shared" si="14"/>
        <v>#VALUE!</v>
      </c>
      <c r="X32" s="55" t="e">
        <f t="shared" si="15"/>
        <v>#VALUE!</v>
      </c>
      <c r="Y32" s="55" t="str">
        <f>IFERROR(VLOOKUP(MID(T32,W32,X32-W32),[5]skilldef!$C:$D,2,FALSE),"-") &amp; " / " &amp; IFERROR(VLOOKUP(MID(T32,U32,V32-U32),[5]skilldef!$A:$B,2,FALSE),"-")</f>
        <v>- / -</v>
      </c>
      <c r="Z32" s="44"/>
      <c r="AA32" s="46"/>
      <c r="AB32" s="44"/>
      <c r="AC32" s="136" t="s">
        <v>451</v>
      </c>
    </row>
    <row r="33" spans="1:29" ht="43" customHeight="1" x14ac:dyDescent="0.15">
      <c r="A33" s="214">
        <v>48701030</v>
      </c>
      <c r="B33" s="42" t="str">
        <f>"[effect:enemy_message, val1:"&amp;TEXT(IF(TEXT(E33,0)="[表示しない]", "0", IF(LEN(SUBSTITUTE(E33,CHAR(13),""))*0.1&lt;1.2, 1.2, LEN(SUBSTITUTE(E33,CHAR(13),""))*0.1)), "0.0")&amp;", val2:"&amp;TEXT(IF(TEXT(F33,0)="[表示しない]", "0", IF(LEN(SUBSTITUTE(F33,CHAR(13),""))*0.1&lt;1.2, 1.2, LEN(SUBSTITUTE(F33,CHAR(13),""))*0.1)),"0.0")&amp;"]"&amp;IF(LEN(AC33)&gt;0, ","&amp;AC33,AC33)</f>
        <v>[effect:enemy_message, val1:1.3, val2:3.3],[effect:tolerance,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C33" s="44">
        <v>1</v>
      </c>
      <c r="D33" s="44" t="s">
        <v>194</v>
      </c>
      <c r="E33" s="45" t="s">
        <v>402</v>
      </c>
      <c r="F33" s="45" t="s">
        <v>375</v>
      </c>
      <c r="G33" s="55" t="str">
        <f t="shared" si="1"/>
        <v>[effect:enemy_message, val1:1.3, val2:3.3]</v>
      </c>
      <c r="H33" s="55">
        <f t="shared" si="2"/>
        <v>9</v>
      </c>
      <c r="I33" s="55">
        <f t="shared" si="3"/>
        <v>22</v>
      </c>
      <c r="J33" s="55" t="e">
        <f t="shared" si="4"/>
        <v>#VALUE!</v>
      </c>
      <c r="K33" s="55">
        <f t="shared" si="5"/>
        <v>32</v>
      </c>
      <c r="L33" s="55" t="str">
        <f>IFERROR(VLOOKUP(MID(G33,J33,K33-J33),[5]skilldef!$C:$D,2,FALSE),"-") &amp; " / " &amp; IFERROR(VLOOKUP(MID(G33,H33,I33-H33),[5]skilldef!$A:$B,2,FALSE),"-")</f>
        <v>- / -</v>
      </c>
      <c r="M33" s="55" t="str">
        <f t="shared" si="6"/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N33" s="42" t="str">
        <f>IFERROR(LEFT(M33,FIND("],",M33)+#REF!),M33)</f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O33" s="55">
        <f t="shared" si="7"/>
        <v>9</v>
      </c>
      <c r="P33" s="55">
        <f t="shared" si="8"/>
        <v>18</v>
      </c>
      <c r="Q33" s="55">
        <f t="shared" si="9"/>
        <v>27</v>
      </c>
      <c r="R33" s="55">
        <f t="shared" si="10"/>
        <v>33</v>
      </c>
      <c r="S33" s="55" t="str">
        <f>IFERROR(VLOOKUP(MID(N33,Q33,R33-Q33),[5]skilldef!$C:$D,2,FALSE),"-") &amp; " / " &amp; IFERROR(VLOOKUP(MID(N33,O33,P33-O33),[5]skilldef!$A:$B,2,FALSE),"-")</f>
        <v>自分自身に / 状態異常耐性</v>
      </c>
      <c r="T33" s="42" t="str">
        <f t="shared" si="11"/>
        <v>[effect:freq_turn, target:myself, turn:2, val:1, animation:enemy_freq_turn],[effect:change_panel_ratio, turn:1, block_type:blue, val:0.8, animation:block_incidence04]</v>
      </c>
      <c r="U33" s="55">
        <f t="shared" si="12"/>
        <v>9</v>
      </c>
      <c r="V33" s="55">
        <f t="shared" si="13"/>
        <v>18</v>
      </c>
      <c r="W33" s="55">
        <f t="shared" si="14"/>
        <v>27</v>
      </c>
      <c r="X33" s="55">
        <f t="shared" si="15"/>
        <v>33</v>
      </c>
      <c r="Y33" s="55" t="str">
        <f>IFERROR(VLOOKUP(MID(T33,W33,X33-W33),[5]skilldef!$C:$D,2,FALSE),"-") &amp; " / " &amp; IFERROR(VLOOKUP(MID(T33,U33,V33-U33),[5]skilldef!$A:$B,2,FALSE),"-")</f>
        <v>自分自身に / 攻撃頻度がUP</v>
      </c>
      <c r="Z33" s="44"/>
      <c r="AA33" s="46"/>
      <c r="AB33" s="44"/>
      <c r="AC33" s="136" t="s">
        <v>477</v>
      </c>
    </row>
    <row r="34" spans="1:29" ht="43" customHeight="1" x14ac:dyDescent="0.15">
      <c r="A34" s="214">
        <v>48701031</v>
      </c>
      <c r="B34" s="42" t="str">
        <f t="shared" ref="B34:B56" si="32">"[effect:enemy_message, val1:"&amp;TEXT(IF(TEXT(E34,0)="[表示しない]", "0", IF(LEN(SUBSTITUTE(E34,CHAR(13),""))*0.1&lt;1.2, 1.2, LEN(SUBSTITUTE(E34,CHAR(13),""))*0.1)), "0.0")&amp;", val2:"&amp;TEXT(IF(TEXT(F34,0)="[表示しない]", "0", IF(LEN(SUBSTITUTE(F34,CHAR(13),""))*0.1&lt;1.2, 1.2, LEN(SUBSTITUTE(F34,CHAR(13),""))*0.1)),"0.0")&amp;"]"&amp;IF(LEN(AC34)&gt;0, ","&amp;AC34,AC34)</f>
        <v>[effect:enemy_message, val1:1.2, val2:3.3],[effect:tolerance,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C34" s="44">
        <v>1</v>
      </c>
      <c r="D34" s="44" t="s">
        <v>194</v>
      </c>
      <c r="E34" s="45" t="s">
        <v>397</v>
      </c>
      <c r="F34" s="144" t="s">
        <v>375</v>
      </c>
      <c r="G34" s="55" t="str">
        <f t="shared" si="1"/>
        <v>[effect:enemy_message, val1:1.2, val2:3.3]</v>
      </c>
      <c r="H34" s="55">
        <f t="shared" si="2"/>
        <v>9</v>
      </c>
      <c r="I34" s="55">
        <f t="shared" si="3"/>
        <v>22</v>
      </c>
      <c r="J34" s="55" t="e">
        <f t="shared" si="4"/>
        <v>#VALUE!</v>
      </c>
      <c r="K34" s="55">
        <f t="shared" si="5"/>
        <v>32</v>
      </c>
      <c r="L34" s="55" t="str">
        <f>IFERROR(VLOOKUP(MID(G34,J34,K34-J34),[5]skilldef!$C:$D,2,FALSE),"-") &amp; " / " &amp; IFERROR(VLOOKUP(MID(G34,H34,I34-H34),[5]skilldef!$A:$B,2,FALSE),"-")</f>
        <v>- / -</v>
      </c>
      <c r="M34" s="55" t="str">
        <f t="shared" si="6"/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N34" s="42" t="str">
        <f>IFERROR(LEFT(M34,FIND("],",M34)+#REF!),M34)</f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O34" s="55">
        <f t="shared" si="7"/>
        <v>9</v>
      </c>
      <c r="P34" s="55">
        <f t="shared" si="8"/>
        <v>18</v>
      </c>
      <c r="Q34" s="55">
        <f t="shared" si="9"/>
        <v>27</v>
      </c>
      <c r="R34" s="55">
        <f t="shared" si="10"/>
        <v>33</v>
      </c>
      <c r="S34" s="55" t="str">
        <f>IFERROR(VLOOKUP(MID(N34,Q34,R34-Q34),[5]skilldef!$C:$D,2,FALSE),"-") &amp; " / " &amp; IFERROR(VLOOKUP(MID(N34,O34,P34-O34),[5]skilldef!$A:$B,2,FALSE),"-")</f>
        <v>自分自身に / 状態異常耐性</v>
      </c>
      <c r="T34" s="42" t="str">
        <f t="shared" si="11"/>
        <v>[effect:freq_turn, target:myself, turn:2, val:1, animation:enemy_freq_turn],[effect:change_panel_ratio, turn:1, block_type:blue, val:0.8, animation:block_incidence04]</v>
      </c>
      <c r="U34" s="55">
        <f t="shared" si="12"/>
        <v>9</v>
      </c>
      <c r="V34" s="55">
        <f t="shared" si="13"/>
        <v>18</v>
      </c>
      <c r="W34" s="55">
        <f t="shared" si="14"/>
        <v>27</v>
      </c>
      <c r="X34" s="55">
        <f t="shared" si="15"/>
        <v>33</v>
      </c>
      <c r="Y34" s="55" t="str">
        <f>IFERROR(VLOOKUP(MID(T34,W34,X34-W34),[5]skilldef!$C:$D,2,FALSE),"-") &amp; " / " &amp; IFERROR(VLOOKUP(MID(T34,U34,V34-U34),[5]skilldef!$A:$B,2,FALSE),"-")</f>
        <v>自分自身に / 攻撃頻度がUP</v>
      </c>
      <c r="Z34" s="44"/>
      <c r="AA34" s="46"/>
      <c r="AB34" s="44"/>
      <c r="AC34" s="136" t="s">
        <v>477</v>
      </c>
    </row>
    <row r="35" spans="1:29" ht="43" customHeight="1" x14ac:dyDescent="0.15">
      <c r="A35" s="214">
        <v>48701032</v>
      </c>
      <c r="B35" s="42" t="str">
        <f t="shared" si="32"/>
        <v>[effect:enemy_message, val1:1.4, val2:2.7],[effect:dark, target:unit_all, turn:3, animation:enemy_dark],[effect:force_change_block, new_block:time_bomb, target:block_blue, color:blue, count:-1, val:0.1, min_time_count:2, max_time_count:3, animation:change_block]</v>
      </c>
      <c r="C35" s="44">
        <v>1</v>
      </c>
      <c r="D35" s="44" t="s">
        <v>194</v>
      </c>
      <c r="E35" s="45" t="s">
        <v>423</v>
      </c>
      <c r="F35" s="45" t="s">
        <v>354</v>
      </c>
      <c r="G35" s="55" t="str">
        <f t="shared" ref="G35:G91" si="33">IFERROR(LEFT(B35,FIND("],",B35)),B35)</f>
        <v>[effect:enemy_message, val1:1.4, val2:2.7]</v>
      </c>
      <c r="H35" s="55">
        <f t="shared" ref="H35:H91" si="34">FIND("effect:",G35)+7</f>
        <v>9</v>
      </c>
      <c r="I35" s="55">
        <f t="shared" ref="I35:I91" si="35">IFERROR(FIND(",",G35),LEN(G35))</f>
        <v>22</v>
      </c>
      <c r="J35" s="55" t="e">
        <f t="shared" ref="J35:J91" si="36">FIND("target:",G35)+7</f>
        <v>#VALUE!</v>
      </c>
      <c r="K35" s="55">
        <f t="shared" ref="K35:K91" si="37">FIND(",",G35,I35+1)</f>
        <v>32</v>
      </c>
      <c r="L35" s="55" t="str">
        <f>IFERROR(VLOOKUP(MID(G35,J35,K35-J35),[5]skilldef!$C:$D,2,FALSE),"-") &amp; " / " &amp; IFERROR(VLOOKUP(MID(G35,H35,I35-H35),[5]skilldef!$A:$B,2,FALSE),"-")</f>
        <v>- / -</v>
      </c>
      <c r="M35" s="55" t="str">
        <f t="shared" ref="M35:M91" si="38">IFERROR(RIGHT(B35,LEN(B35)-FIND("],",B35)-1),"none")</f>
        <v>[effect:dark, target:unit_all, turn:3, animation:enemy_dark],[effect:force_change_block, new_block:time_bomb, target:block_blue, color:blue, count:-1, val:0.1, min_time_count:2, max_time_count:3, animation:change_block]</v>
      </c>
      <c r="N35" s="42" t="str">
        <f>IFERROR(LEFT(M35,FIND("],",M35)+#REF!),M35)</f>
        <v>[effect:dark, target:unit_all, turn:3, animation:enemy_dark],[effect:force_change_block, new_block:time_bomb, target:block_blue, color:blue, count:-1, val:0.1, min_time_count:2, max_time_count:3, animation:change_block]</v>
      </c>
      <c r="O35" s="55">
        <f t="shared" ref="O35:O91" si="39">FIND("effect:",N35)+7</f>
        <v>9</v>
      </c>
      <c r="P35" s="55">
        <f t="shared" ref="P35:P91" si="40">IFERROR(FIND(",",N35),LEN(N35))</f>
        <v>13</v>
      </c>
      <c r="Q35" s="55">
        <f t="shared" ref="Q35:Q91" si="41">FIND("target:",N35)+7</f>
        <v>22</v>
      </c>
      <c r="R35" s="55">
        <f t="shared" ref="R35:R91" si="42">FIND(",",N35,P35+1)</f>
        <v>30</v>
      </c>
      <c r="S35" s="55" t="str">
        <f>IFERROR(VLOOKUP(MID(N35,Q35,R35-Q35),[5]skilldef!$C:$D,2,FALSE),"-") &amp; " / " &amp; IFERROR(VLOOKUP(MID(N35,O35,P35-O35),[5]skilldef!$A:$B,2,FALSE),"-")</f>
        <v>味方全体に / 暗黒</v>
      </c>
      <c r="T35" s="42" t="str">
        <f t="shared" ref="T35:T91" si="43">IFERROR(RIGHT(M35,LEN(M35)-FIND("],",M35)-1),"none")</f>
        <v>[effect:force_change_block, new_block:time_bomb, target:block_blue, color:blue, count:-1, val:0.1, min_time_count:2, max_time_count:3, animation:change_block]</v>
      </c>
      <c r="U35" s="55">
        <f t="shared" ref="U35:U91" si="44">FIND("effect:",T35)+7</f>
        <v>9</v>
      </c>
      <c r="V35" s="55">
        <f t="shared" ref="V35:V91" si="45">IFERROR(FIND(",",T35),LEN(T35))</f>
        <v>27</v>
      </c>
      <c r="W35" s="55">
        <f t="shared" ref="W35:W91" si="46">FIND("target:",T35)+7</f>
        <v>57</v>
      </c>
      <c r="X35" s="55">
        <f t="shared" ref="X35:X91" si="47">FIND(",",T35,V35+1)</f>
        <v>48</v>
      </c>
      <c r="Y35" s="55" t="str">
        <f>IFERROR(VLOOKUP(MID(T35,W35,X35-W35),[5]skilldef!$C:$D,2,FALSE),"-") &amp; " / " &amp; IFERROR(VLOOKUP(MID(T35,U35,V35-U35),[5]skilldef!$A:$B,2,FALSE),"-")</f>
        <v>- / -</v>
      </c>
      <c r="Z35" s="44"/>
      <c r="AA35" s="46"/>
      <c r="AB35" s="44"/>
      <c r="AC35" s="136" t="s">
        <v>478</v>
      </c>
    </row>
    <row r="36" spans="1:29" ht="43" customHeight="1" x14ac:dyDescent="0.15">
      <c r="A36" s="214">
        <v>48701033</v>
      </c>
      <c r="B36" s="42" t="str">
        <f t="shared" si="32"/>
        <v>[effect:enemy_message, val1:1.2, val2:1.3],[effect:break_attack_fix, target:unit_all, val:150, lowest_val:500, count:-1, color:green, block01:block_red]</v>
      </c>
      <c r="C36" s="44">
        <v>1</v>
      </c>
      <c r="D36" s="44" t="s">
        <v>194</v>
      </c>
      <c r="E36" s="45" t="s">
        <v>424</v>
      </c>
      <c r="F36" s="45" t="s">
        <v>496</v>
      </c>
      <c r="G36" s="55" t="str">
        <f t="shared" si="33"/>
        <v>[effect:enemy_message, val1:1.2, val2:1.3]</v>
      </c>
      <c r="H36" s="55">
        <f t="shared" si="34"/>
        <v>9</v>
      </c>
      <c r="I36" s="55">
        <f t="shared" si="35"/>
        <v>22</v>
      </c>
      <c r="J36" s="55" t="e">
        <f t="shared" si="36"/>
        <v>#VALUE!</v>
      </c>
      <c r="K36" s="55">
        <f t="shared" si="37"/>
        <v>32</v>
      </c>
      <c r="L36" s="55" t="str">
        <f>IFERROR(VLOOKUP(MID(G36,J36,K36-J36),[5]skilldef!$C:$D,2,FALSE),"-") &amp; " / " &amp; IFERROR(VLOOKUP(MID(G36,H36,I36-H36),[5]skilldef!$A:$B,2,FALSE),"-")</f>
        <v>- / -</v>
      </c>
      <c r="M36" s="55" t="str">
        <f t="shared" si="38"/>
        <v>[effect:break_attack_fix, target:unit_all, val:150, lowest_val:500, count:-1, color:green, block01:block_red]</v>
      </c>
      <c r="N36" s="42" t="str">
        <f>IFERROR(LEFT(M36,FIND("],",M36)+#REF!),M36)</f>
        <v>[effect:break_attack_fix, target:unit_all, val:150, lowest_val:500, count:-1, color:green, block01:block_red]</v>
      </c>
      <c r="O36" s="55">
        <f t="shared" si="39"/>
        <v>9</v>
      </c>
      <c r="P36" s="55">
        <f t="shared" si="40"/>
        <v>25</v>
      </c>
      <c r="Q36" s="55">
        <f t="shared" si="41"/>
        <v>34</v>
      </c>
      <c r="R36" s="55">
        <f t="shared" si="42"/>
        <v>42</v>
      </c>
      <c r="S36" s="55" t="str">
        <f>IFERROR(VLOOKUP(MID(N36,Q36,R36-Q36),[5]skilldef!$C:$D,2,FALSE),"-") &amp; " / " &amp; IFERROR(VLOOKUP(MID(N36,O36,P36-O36),[5]skilldef!$A:$B,2,FALSE),"-")</f>
        <v>味方全体に / -</v>
      </c>
      <c r="T36" s="42" t="str">
        <f t="shared" si="43"/>
        <v>none</v>
      </c>
      <c r="U36" s="55" t="e">
        <f t="shared" si="44"/>
        <v>#VALUE!</v>
      </c>
      <c r="V36" s="55">
        <f t="shared" si="45"/>
        <v>4</v>
      </c>
      <c r="W36" s="55" t="e">
        <f t="shared" si="46"/>
        <v>#VALUE!</v>
      </c>
      <c r="X36" s="55" t="e">
        <f t="shared" si="47"/>
        <v>#VALUE!</v>
      </c>
      <c r="Y36" s="55" t="str">
        <f>IFERROR(VLOOKUP(MID(T36,W36,X36-W36),[5]skilldef!$C:$D,2,FALSE),"-") &amp; " / " &amp; IFERROR(VLOOKUP(MID(T36,U36,V36-U36),[5]skilldef!$A:$B,2,FALSE),"-")</f>
        <v>- / -</v>
      </c>
      <c r="Z36" s="44"/>
      <c r="AA36" s="46"/>
      <c r="AB36" s="44"/>
      <c r="AC36" s="136" t="s">
        <v>455</v>
      </c>
    </row>
    <row r="37" spans="1:29" ht="43" customHeight="1" x14ac:dyDescent="0.15">
      <c r="A37" s="214">
        <v>48701034</v>
      </c>
      <c r="B37" s="42" t="str">
        <f t="shared" si="32"/>
        <v>[effect:enemy_message, val1:1.3, val2:2.5],[effect:spread, val:0.6],[effect:attack_break, target:unit_all, turn:2, val:0.2, calc:mul, animation:attack_break01]</v>
      </c>
      <c r="C37" s="44">
        <v>1</v>
      </c>
      <c r="D37" s="44" t="s">
        <v>194</v>
      </c>
      <c r="E37" s="45" t="s">
        <v>425</v>
      </c>
      <c r="F37" s="45" t="s">
        <v>466</v>
      </c>
      <c r="G37" s="55" t="str">
        <f t="shared" si="33"/>
        <v>[effect:enemy_message, val1:1.3, val2:2.5]</v>
      </c>
      <c r="H37" s="55">
        <f t="shared" si="34"/>
        <v>9</v>
      </c>
      <c r="I37" s="55">
        <f t="shared" si="35"/>
        <v>22</v>
      </c>
      <c r="J37" s="55" t="e">
        <f t="shared" si="36"/>
        <v>#VALUE!</v>
      </c>
      <c r="K37" s="55">
        <f t="shared" si="37"/>
        <v>32</v>
      </c>
      <c r="L37" s="55" t="str">
        <f>IFERROR(VLOOKUP(MID(G37,J37,K37-J37),[5]skilldef!$C:$D,2,FALSE),"-") &amp; " / " &amp; IFERROR(VLOOKUP(MID(G37,H37,I37-H37),[5]skilldef!$A:$B,2,FALSE),"-")</f>
        <v>- / -</v>
      </c>
      <c r="M37" s="55" t="str">
        <f t="shared" si="38"/>
        <v>[effect:spread, val:0.6],[effect:attack_break, target:unit_all, turn:2, val:0.2, calc:mul, animation:attack_break01]</v>
      </c>
      <c r="N37" s="42" t="str">
        <f>IFERROR(LEFT(M37,FIND("],",M37)+#REF!),M37)</f>
        <v>[effect:spread, val:0.6],[effect:attack_break, target:unit_all, turn:2, val:0.2, calc:mul, animation:attack_break01]</v>
      </c>
      <c r="O37" s="55">
        <f t="shared" si="39"/>
        <v>9</v>
      </c>
      <c r="P37" s="55">
        <f t="shared" si="40"/>
        <v>15</v>
      </c>
      <c r="Q37" s="55">
        <f t="shared" si="41"/>
        <v>55</v>
      </c>
      <c r="R37" s="55">
        <f t="shared" si="42"/>
        <v>25</v>
      </c>
      <c r="S37" s="55" t="str">
        <f>IFERROR(VLOOKUP(MID(N37,Q37,R37-Q37),[5]skilldef!$C:$D,2,FALSE),"-") &amp; " / " &amp; IFERROR(VLOOKUP(MID(N37,O37,P37-O37),[5]skilldef!$A:$B,2,FALSE),"-")</f>
        <v>- / 全体攻撃</v>
      </c>
      <c r="T37" s="42" t="str">
        <f t="shared" si="43"/>
        <v>[effect:attack_break, target:unit_all, turn:2, val:0.2, calc:mul, animation:attack_break01]</v>
      </c>
      <c r="U37" s="55">
        <f t="shared" si="44"/>
        <v>9</v>
      </c>
      <c r="V37" s="55">
        <f t="shared" si="45"/>
        <v>21</v>
      </c>
      <c r="W37" s="55">
        <f t="shared" si="46"/>
        <v>30</v>
      </c>
      <c r="X37" s="55">
        <f t="shared" si="47"/>
        <v>38</v>
      </c>
      <c r="Y37" s="55" t="str">
        <f>IFERROR(VLOOKUP(MID(T37,W37,X37-W37),[5]skilldef!$C:$D,2,FALSE),"-") &amp; " / " &amp; IFERROR(VLOOKUP(MID(T37,U37,V37-U37),[5]skilldef!$A:$B,2,FALSE),"-")</f>
        <v>味方全体に / -</v>
      </c>
      <c r="Z37" s="44"/>
      <c r="AA37" s="46"/>
      <c r="AB37" s="44"/>
      <c r="AC37" s="229" t="s">
        <v>524</v>
      </c>
    </row>
    <row r="38" spans="1:29" ht="43" customHeight="1" x14ac:dyDescent="0.15">
      <c r="A38" s="214">
        <v>48701035</v>
      </c>
      <c r="B38" s="42" t="str">
        <f t="shared" si="32"/>
        <v>[effect:enemy_message, val1:1.4, val2:1.2],[effect:rush, count:4, val:0.3]</v>
      </c>
      <c r="C38" s="44">
        <v>1</v>
      </c>
      <c r="D38" s="44" t="s">
        <v>194</v>
      </c>
      <c r="E38" s="45" t="s">
        <v>426</v>
      </c>
      <c r="F38" s="45" t="s">
        <v>355</v>
      </c>
      <c r="G38" s="55" t="str">
        <f t="shared" si="33"/>
        <v>[effect:enemy_message, val1:1.4, val2:1.2]</v>
      </c>
      <c r="H38" s="55">
        <f t="shared" si="34"/>
        <v>9</v>
      </c>
      <c r="I38" s="55">
        <f t="shared" si="35"/>
        <v>22</v>
      </c>
      <c r="J38" s="55" t="e">
        <f t="shared" si="36"/>
        <v>#VALUE!</v>
      </c>
      <c r="K38" s="55">
        <f t="shared" si="37"/>
        <v>32</v>
      </c>
      <c r="L38" s="55" t="str">
        <f>IFERROR(VLOOKUP(MID(G38,J38,K38-J38),[5]skilldef!$C:$D,2,FALSE),"-") &amp; " / " &amp; IFERROR(VLOOKUP(MID(G38,H38,I38-H38),[5]skilldef!$A:$B,2,FALSE),"-")</f>
        <v>- / -</v>
      </c>
      <c r="M38" s="55" t="str">
        <f t="shared" si="38"/>
        <v>[effect:rush, count:4, val:0.3]</v>
      </c>
      <c r="N38" s="42" t="str">
        <f>IFERROR(LEFT(M38,FIND("],",M38)+#REF!),M38)</f>
        <v>[effect:rush, count:4, val:0.3]</v>
      </c>
      <c r="O38" s="55">
        <f t="shared" si="39"/>
        <v>9</v>
      </c>
      <c r="P38" s="55">
        <f t="shared" si="40"/>
        <v>13</v>
      </c>
      <c r="Q38" s="55" t="e">
        <f t="shared" si="41"/>
        <v>#VALUE!</v>
      </c>
      <c r="R38" s="55">
        <f t="shared" si="42"/>
        <v>22</v>
      </c>
      <c r="S38" s="55" t="str">
        <f>IFERROR(VLOOKUP(MID(N38,Q38,R38-Q38),[5]skilldef!$C:$D,2,FALSE),"-") &amp; " / " &amp; IFERROR(VLOOKUP(MID(N38,O38,P38-O38),[5]skilldef!$A:$B,2,FALSE),"-")</f>
        <v>- / 連続攻撃</v>
      </c>
      <c r="T38" s="42" t="str">
        <f t="shared" si="43"/>
        <v>none</v>
      </c>
      <c r="U38" s="55" t="e">
        <f t="shared" si="44"/>
        <v>#VALUE!</v>
      </c>
      <c r="V38" s="55">
        <f t="shared" si="45"/>
        <v>4</v>
      </c>
      <c r="W38" s="55" t="e">
        <f t="shared" si="46"/>
        <v>#VALUE!</v>
      </c>
      <c r="X38" s="55" t="e">
        <f t="shared" si="47"/>
        <v>#VALUE!</v>
      </c>
      <c r="Y38" s="55" t="str">
        <f>IFERROR(VLOOKUP(MID(T38,W38,X38-W38),[5]skilldef!$C:$D,2,FALSE),"-") &amp; " / " &amp; IFERROR(VLOOKUP(MID(T38,U38,V38-U38),[5]skilldef!$A:$B,2,FALSE),"-")</f>
        <v>- / -</v>
      </c>
      <c r="Z38" s="44"/>
      <c r="AA38" s="46"/>
      <c r="AB38" s="44"/>
      <c r="AC38" s="136" t="s">
        <v>347</v>
      </c>
    </row>
    <row r="39" spans="1:29" ht="43" customHeight="1" x14ac:dyDescent="0.15">
      <c r="A39" s="214">
        <v>48701036</v>
      </c>
      <c r="B39" s="42" t="str">
        <f t="shared" si="32"/>
        <v>[effect:enemy_message, val1:1.4, val2:2.8],[effect:tolerance, target:myself, turn:-1, count:-1, tolerance_effect:all, animation:enemy_tolerance],[effect:degrade_unit, target:unit_all, turn:4, status:action, val:1, animation:enemy_tap_down]</v>
      </c>
      <c r="C39" s="44">
        <v>1</v>
      </c>
      <c r="D39" s="44" t="s">
        <v>194</v>
      </c>
      <c r="E39" s="145" t="s">
        <v>398</v>
      </c>
      <c r="F39" s="45" t="s">
        <v>356</v>
      </c>
      <c r="G39" s="55" t="str">
        <f t="shared" si="33"/>
        <v>[effect:enemy_message, val1:1.4, val2:2.8]</v>
      </c>
      <c r="H39" s="55">
        <f t="shared" si="34"/>
        <v>9</v>
      </c>
      <c r="I39" s="55">
        <f t="shared" si="35"/>
        <v>22</v>
      </c>
      <c r="J39" s="55" t="e">
        <f t="shared" si="36"/>
        <v>#VALUE!</v>
      </c>
      <c r="K39" s="55">
        <f t="shared" si="37"/>
        <v>32</v>
      </c>
      <c r="L39" s="55" t="str">
        <f>IFERROR(VLOOKUP(MID(G39,J39,K39-J39),[5]skilldef!$C:$D,2,FALSE),"-") &amp; " / " &amp; IFERROR(VLOOKUP(MID(G39,H39,I39-H39),[5]skilldef!$A:$B,2,FALSE),"-")</f>
        <v>- / -</v>
      </c>
      <c r="M39" s="55" t="str">
        <f t="shared" si="38"/>
        <v>[effect:tolerance, target:myself, turn:-1, count:-1, tolerance_effect:all, animation:enemy_tolerance],[effect:degrade_unit, target:unit_all, turn:4, status:action, val:1, animation:enemy_tap_down]</v>
      </c>
      <c r="N39" s="42" t="str">
        <f>IFERROR(LEFT(M39,FIND("],",M39)+#REF!),M39)</f>
        <v>[effect:tolerance, target:myself, turn:-1, count:-1, tolerance_effect:all, animation:enemy_tolerance],[effect:degrade_unit, target:unit_all, turn:4, status:action, val:1, animation:enemy_tap_down]</v>
      </c>
      <c r="O39" s="55">
        <f t="shared" si="39"/>
        <v>9</v>
      </c>
      <c r="P39" s="55">
        <f t="shared" si="40"/>
        <v>18</v>
      </c>
      <c r="Q39" s="55">
        <f t="shared" si="41"/>
        <v>27</v>
      </c>
      <c r="R39" s="55">
        <f t="shared" si="42"/>
        <v>33</v>
      </c>
      <c r="S39" s="55" t="str">
        <f>IFERROR(VLOOKUP(MID(N39,Q39,R39-Q39),[5]skilldef!$C:$D,2,FALSE),"-") &amp; " / " &amp; IFERROR(VLOOKUP(MID(N39,O39,P39-O39),[5]skilldef!$A:$B,2,FALSE),"-")</f>
        <v>自分自身に / 状態異常耐性</v>
      </c>
      <c r="T39" s="42" t="str">
        <f t="shared" si="43"/>
        <v>[effect:degrade_unit, target:unit_all, turn:4, status:action, val:1, animation:enemy_tap_down]</v>
      </c>
      <c r="U39" s="55">
        <f t="shared" si="44"/>
        <v>9</v>
      </c>
      <c r="V39" s="55">
        <f t="shared" si="45"/>
        <v>21</v>
      </c>
      <c r="W39" s="55">
        <f t="shared" si="46"/>
        <v>30</v>
      </c>
      <c r="X39" s="55">
        <f t="shared" si="47"/>
        <v>38</v>
      </c>
      <c r="Y39" s="55" t="str">
        <f>IFERROR(VLOOKUP(MID(T39,W39,X39-W39),[5]skilldef!$C:$D,2,FALSE),"-") &amp; " / " &amp; IFERROR(VLOOKUP(MID(T39,U39,V39-U39),[5]skilldef!$A:$B,2,FALSE),"-")</f>
        <v>味方全体に / ステータスDOWN</v>
      </c>
      <c r="Z39" s="44"/>
      <c r="AA39" s="46"/>
      <c r="AB39" s="44"/>
      <c r="AC39" s="136" t="s">
        <v>479</v>
      </c>
    </row>
    <row r="40" spans="1:29" ht="43" customHeight="1" x14ac:dyDescent="0.15">
      <c r="A40" s="214">
        <v>48701037</v>
      </c>
      <c r="B40" s="42" t="str">
        <f t="shared" si="32"/>
        <v>[effect:enemy_message, val1:1.4, val2:2.8],[effect:tolerance, target:myself, turn:-1, count:-1, tolerance_effect:all, animation:enemy_tolerance],[effect:degrade_unit, target:unit_all, turn:4, status:action, val:1, animation:enemy_tap_down]</v>
      </c>
      <c r="C40" s="44">
        <v>1</v>
      </c>
      <c r="D40" s="44" t="s">
        <v>194</v>
      </c>
      <c r="E40" s="145" t="s">
        <v>398</v>
      </c>
      <c r="F40" s="45" t="s">
        <v>389</v>
      </c>
      <c r="G40" s="55" t="str">
        <f t="shared" si="33"/>
        <v>[effect:enemy_message, val1:1.4, val2:2.8]</v>
      </c>
      <c r="H40" s="55">
        <f t="shared" si="34"/>
        <v>9</v>
      </c>
      <c r="I40" s="55">
        <f t="shared" si="35"/>
        <v>22</v>
      </c>
      <c r="J40" s="55" t="e">
        <f t="shared" si="36"/>
        <v>#VALUE!</v>
      </c>
      <c r="K40" s="55">
        <f t="shared" si="37"/>
        <v>32</v>
      </c>
      <c r="L40" s="55" t="str">
        <f>IFERROR(VLOOKUP(MID(G40,J40,K40-J40),[5]skilldef!$C:$D,2,FALSE),"-") &amp; " / " &amp; IFERROR(VLOOKUP(MID(G40,H40,I40-H40),[5]skilldef!$A:$B,2,FALSE),"-")</f>
        <v>- / -</v>
      </c>
      <c r="M40" s="55" t="str">
        <f t="shared" si="38"/>
        <v>[effect:tolerance, target:myself, turn:-1, count:-1, tolerance_effect:all, animation:enemy_tolerance],[effect:degrade_unit, target:unit_all, turn:4, status:action, val:1, animation:enemy_tap_down]</v>
      </c>
      <c r="N40" s="42" t="str">
        <f>IFERROR(LEFT(M40,FIND("],",M40)+#REF!),M40)</f>
        <v>[effect:tolerance, target:myself, turn:-1, count:-1, tolerance_effect:all, animation:enemy_tolerance],[effect:degrade_unit, target:unit_all, turn:4, status:action, val:1, animation:enemy_tap_down]</v>
      </c>
      <c r="O40" s="55">
        <f t="shared" si="39"/>
        <v>9</v>
      </c>
      <c r="P40" s="55">
        <f t="shared" si="40"/>
        <v>18</v>
      </c>
      <c r="Q40" s="55">
        <f t="shared" si="41"/>
        <v>27</v>
      </c>
      <c r="R40" s="55">
        <f t="shared" si="42"/>
        <v>33</v>
      </c>
      <c r="S40" s="55" t="str">
        <f>IFERROR(VLOOKUP(MID(N40,Q40,R40-Q40),[5]skilldef!$C:$D,2,FALSE),"-") &amp; " / " &amp; IFERROR(VLOOKUP(MID(N40,O40,P40-O40),[5]skilldef!$A:$B,2,FALSE),"-")</f>
        <v>自分自身に / 状態異常耐性</v>
      </c>
      <c r="T40" s="42" t="str">
        <f t="shared" si="43"/>
        <v>[effect:degrade_unit, target:unit_all, turn:4, status:action, val:1, animation:enemy_tap_down]</v>
      </c>
      <c r="U40" s="55">
        <f t="shared" si="44"/>
        <v>9</v>
      </c>
      <c r="V40" s="55">
        <f t="shared" si="45"/>
        <v>21</v>
      </c>
      <c r="W40" s="55">
        <f t="shared" si="46"/>
        <v>30</v>
      </c>
      <c r="X40" s="55">
        <f t="shared" si="47"/>
        <v>38</v>
      </c>
      <c r="Y40" s="55" t="str">
        <f>IFERROR(VLOOKUP(MID(T40,W40,X40-W40),[5]skilldef!$C:$D,2,FALSE),"-") &amp; " / " &amp; IFERROR(VLOOKUP(MID(T40,U40,V40-U40),[5]skilldef!$A:$B,2,FALSE),"-")</f>
        <v>味方全体に / ステータスDOWN</v>
      </c>
      <c r="Z40" s="44"/>
      <c r="AA40" s="46"/>
      <c r="AB40" s="44"/>
      <c r="AC40" s="136" t="s">
        <v>479</v>
      </c>
    </row>
    <row r="41" spans="1:29" ht="43" customHeight="1" x14ac:dyDescent="0.15">
      <c r="A41" s="214">
        <v>48701038</v>
      </c>
      <c r="B41" s="42" t="str">
        <f t="shared" si="32"/>
        <v>[effect:enemy_message, val1:1.2, val2:3.0],[effect:panel_freeze, target:normal, color:yellow, count:-1],[effect:force_change_block, new_block:time_bomb, target:block_blue, color:blue, count:-1, val:0.2, min_time_count:2, max_time_count:3, animation:change_block]</v>
      </c>
      <c r="C41" s="44">
        <v>1</v>
      </c>
      <c r="D41" s="44" t="s">
        <v>194</v>
      </c>
      <c r="E41" s="45" t="s">
        <v>430</v>
      </c>
      <c r="F41" s="45" t="s">
        <v>491</v>
      </c>
      <c r="G41" s="55" t="str">
        <f t="shared" si="33"/>
        <v>[effect:enemy_message, val1:1.2, val2:3.0]</v>
      </c>
      <c r="H41" s="55">
        <f t="shared" si="34"/>
        <v>9</v>
      </c>
      <c r="I41" s="55">
        <f t="shared" si="35"/>
        <v>22</v>
      </c>
      <c r="J41" s="55" t="e">
        <f t="shared" si="36"/>
        <v>#VALUE!</v>
      </c>
      <c r="K41" s="55">
        <f t="shared" si="37"/>
        <v>32</v>
      </c>
      <c r="L41" s="55" t="str">
        <f>IFERROR(VLOOKUP(MID(G41,J41,K41-J41),[5]skilldef!$C:$D,2,FALSE),"-") &amp; " / " &amp; IFERROR(VLOOKUP(MID(G41,H41,I41-H41),[5]skilldef!$A:$B,2,FALSE),"-")</f>
        <v>- / -</v>
      </c>
      <c r="M41" s="55" t="str">
        <f t="shared" si="38"/>
        <v>[effect:panel_freeze, target:normal, color:yellow, count:-1],[effect:force_change_block, new_block:time_bomb, target:block_blue, color:blue, count:-1, val:0.2, min_time_count:2, max_time_count:3, animation:change_block]</v>
      </c>
      <c r="N41" s="42" t="str">
        <f>IFERROR(LEFT(M41,FIND("],",M41)+#REF!),M41)</f>
        <v>[effect:panel_freeze, target:normal, color:yellow, count:-1],[effect:force_change_block, new_block:time_bomb, target:block_blue, color:blue, count:-1, val:0.2, min_time_count:2, max_time_count:3, animation:change_block]</v>
      </c>
      <c r="O41" s="55">
        <f t="shared" si="39"/>
        <v>9</v>
      </c>
      <c r="P41" s="55">
        <f t="shared" si="40"/>
        <v>21</v>
      </c>
      <c r="Q41" s="55">
        <f t="shared" si="41"/>
        <v>30</v>
      </c>
      <c r="R41" s="55">
        <f t="shared" si="42"/>
        <v>36</v>
      </c>
      <c r="S41" s="55" t="str">
        <f>IFERROR(VLOOKUP(MID(N41,Q41,R41-Q41),[5]skilldef!$C:$D,2,FALSE),"-") &amp; " / " &amp; IFERROR(VLOOKUP(MID(N41,O41,P41-O41),[5]skilldef!$A:$B,2,FALSE),"-")</f>
        <v>- / -</v>
      </c>
      <c r="T41" s="42" t="str">
        <f t="shared" si="43"/>
        <v>[effect:force_change_block, new_block:time_bomb, target:block_blue, color:blue, count:-1, val:0.2, min_time_count:2, max_time_count:3, animation:change_block]</v>
      </c>
      <c r="U41" s="55">
        <f t="shared" si="44"/>
        <v>9</v>
      </c>
      <c r="V41" s="55">
        <f t="shared" si="45"/>
        <v>27</v>
      </c>
      <c r="W41" s="55">
        <f t="shared" si="46"/>
        <v>57</v>
      </c>
      <c r="X41" s="55">
        <f t="shared" si="47"/>
        <v>48</v>
      </c>
      <c r="Y41" s="55" t="str">
        <f>IFERROR(VLOOKUP(MID(T41,W41,X41-W41),[5]skilldef!$C:$D,2,FALSE),"-") &amp; " / " &amp; IFERROR(VLOOKUP(MID(T41,U41,V41-U41),[5]skilldef!$A:$B,2,FALSE),"-")</f>
        <v>- / -</v>
      </c>
      <c r="Z41" s="44"/>
      <c r="AA41" s="46"/>
      <c r="AB41" s="44"/>
      <c r="AC41" s="136" t="s">
        <v>480</v>
      </c>
    </row>
    <row r="42" spans="1:29" ht="43" customHeight="1" x14ac:dyDescent="0.15">
      <c r="A42" s="214">
        <v>48701039</v>
      </c>
      <c r="B42" s="42" t="str">
        <f t="shared" si="32"/>
        <v>[effect:enemy_message, val1:1.3, val2:1.4],[effect:dark, target:unit_all, turn:1, animation:enemy_dark],[effect:critical, val:1.3, animation:enemy_critical]</v>
      </c>
      <c r="C42" s="44">
        <v>1</v>
      </c>
      <c r="D42" s="44" t="s">
        <v>194</v>
      </c>
      <c r="E42" s="45" t="s">
        <v>429</v>
      </c>
      <c r="F42" s="45" t="s">
        <v>357</v>
      </c>
      <c r="G42" s="55" t="str">
        <f t="shared" si="33"/>
        <v>[effect:enemy_message, val1:1.3, val2:1.4]</v>
      </c>
      <c r="H42" s="55">
        <f t="shared" si="34"/>
        <v>9</v>
      </c>
      <c r="I42" s="55">
        <f t="shared" si="35"/>
        <v>22</v>
      </c>
      <c r="J42" s="55" t="e">
        <f t="shared" si="36"/>
        <v>#VALUE!</v>
      </c>
      <c r="K42" s="55">
        <f t="shared" si="37"/>
        <v>32</v>
      </c>
      <c r="L42" s="55" t="str">
        <f>IFERROR(VLOOKUP(MID(G42,J42,K42-J42),[5]skilldef!$C:$D,2,FALSE),"-") &amp; " / " &amp; IFERROR(VLOOKUP(MID(G42,H42,I42-H42),[5]skilldef!$A:$B,2,FALSE),"-")</f>
        <v>- / -</v>
      </c>
      <c r="M42" s="55" t="str">
        <f t="shared" si="38"/>
        <v>[effect:dark, target:unit_all, turn:1, animation:enemy_dark],[effect:critical, val:1.3, animation:enemy_critical]</v>
      </c>
      <c r="N42" s="42" t="str">
        <f>IFERROR(LEFT(M42,FIND("],",M42)+#REF!),M42)</f>
        <v>[effect:dark, target:unit_all, turn:1, animation:enemy_dark],[effect:critical, val:1.3, animation:enemy_critical]</v>
      </c>
      <c r="O42" s="55">
        <f t="shared" si="39"/>
        <v>9</v>
      </c>
      <c r="P42" s="55">
        <f t="shared" si="40"/>
        <v>13</v>
      </c>
      <c r="Q42" s="55">
        <f t="shared" si="41"/>
        <v>22</v>
      </c>
      <c r="R42" s="55">
        <f t="shared" si="42"/>
        <v>30</v>
      </c>
      <c r="S42" s="55" t="str">
        <f>IFERROR(VLOOKUP(MID(N42,Q42,R42-Q42),[5]skilldef!$C:$D,2,FALSE),"-") &amp; " / " &amp; IFERROR(VLOOKUP(MID(N42,O42,P42-O42),[5]skilldef!$A:$B,2,FALSE),"-")</f>
        <v>味方全体に / 暗黒</v>
      </c>
      <c r="T42" s="42" t="str">
        <f t="shared" si="43"/>
        <v>[effect:critical, val:1.3, animation:enemy_critical]</v>
      </c>
      <c r="U42" s="55">
        <f t="shared" si="44"/>
        <v>9</v>
      </c>
      <c r="V42" s="55">
        <f t="shared" si="45"/>
        <v>17</v>
      </c>
      <c r="W42" s="55" t="e">
        <f t="shared" si="46"/>
        <v>#VALUE!</v>
      </c>
      <c r="X42" s="55">
        <f t="shared" si="47"/>
        <v>26</v>
      </c>
      <c r="Y42" s="55" t="str">
        <f>IFERROR(VLOOKUP(MID(T42,W42,X42-W42),[5]skilldef!$C:$D,2,FALSE),"-") &amp; " / " &amp; IFERROR(VLOOKUP(MID(T42,U42,V42-U42),[5]skilldef!$A:$B,2,FALSE),"-")</f>
        <v>- / 大攻撃</v>
      </c>
      <c r="Z42" s="44"/>
      <c r="AA42" s="46"/>
      <c r="AB42" s="44"/>
      <c r="AC42" s="136" t="s">
        <v>481</v>
      </c>
    </row>
    <row r="43" spans="1:29" ht="43" customHeight="1" x14ac:dyDescent="0.15">
      <c r="A43" s="214">
        <v>48701040</v>
      </c>
      <c r="B43" s="42" t="str">
        <f t="shared" si="32"/>
        <v>[effect:enemy_message, val1:1.2, val2:1.2],[effect:rush, count:2, val:0.8]</v>
      </c>
      <c r="C43" s="44">
        <v>1</v>
      </c>
      <c r="D43" s="44" t="s">
        <v>194</v>
      </c>
      <c r="E43" s="45" t="s">
        <v>428</v>
      </c>
      <c r="F43" s="45" t="s">
        <v>349</v>
      </c>
      <c r="G43" s="55" t="str">
        <f t="shared" si="33"/>
        <v>[effect:enemy_message, val1:1.2, val2:1.2]</v>
      </c>
      <c r="H43" s="55">
        <f t="shared" si="34"/>
        <v>9</v>
      </c>
      <c r="I43" s="55">
        <f t="shared" si="35"/>
        <v>22</v>
      </c>
      <c r="J43" s="55" t="e">
        <f t="shared" si="36"/>
        <v>#VALUE!</v>
      </c>
      <c r="K43" s="55">
        <f t="shared" si="37"/>
        <v>32</v>
      </c>
      <c r="L43" s="55" t="str">
        <f>IFERROR(VLOOKUP(MID(G43,J43,K43-J43),[5]skilldef!$C:$D,2,FALSE),"-") &amp; " / " &amp; IFERROR(VLOOKUP(MID(G43,H43,I43-H43),[5]skilldef!$A:$B,2,FALSE),"-")</f>
        <v>- / -</v>
      </c>
      <c r="M43" s="55" t="str">
        <f t="shared" si="38"/>
        <v>[effect:rush, count:2, val:0.8]</v>
      </c>
      <c r="N43" s="42" t="str">
        <f>IFERROR(LEFT(M43,FIND("],",M43)+#REF!),M43)</f>
        <v>[effect:rush, count:2, val:0.8]</v>
      </c>
      <c r="O43" s="55">
        <f t="shared" si="39"/>
        <v>9</v>
      </c>
      <c r="P43" s="55">
        <f t="shared" si="40"/>
        <v>13</v>
      </c>
      <c r="Q43" s="55" t="e">
        <f t="shared" si="41"/>
        <v>#VALUE!</v>
      </c>
      <c r="R43" s="55">
        <f t="shared" si="42"/>
        <v>22</v>
      </c>
      <c r="S43" s="55" t="str">
        <f>IFERROR(VLOOKUP(MID(N43,Q43,R43-Q43),[5]skilldef!$C:$D,2,FALSE),"-") &amp; " / " &amp; IFERROR(VLOOKUP(MID(N43,O43,P43-O43),[5]skilldef!$A:$B,2,FALSE),"-")</f>
        <v>- / 連続攻撃</v>
      </c>
      <c r="T43" s="42" t="str">
        <f t="shared" si="43"/>
        <v>none</v>
      </c>
      <c r="U43" s="55" t="e">
        <f t="shared" si="44"/>
        <v>#VALUE!</v>
      </c>
      <c r="V43" s="55">
        <f t="shared" si="45"/>
        <v>4</v>
      </c>
      <c r="W43" s="55" t="e">
        <f t="shared" si="46"/>
        <v>#VALUE!</v>
      </c>
      <c r="X43" s="55" t="e">
        <f t="shared" si="47"/>
        <v>#VALUE!</v>
      </c>
      <c r="Y43" s="55" t="str">
        <f>IFERROR(VLOOKUP(MID(T43,W43,X43-W43),[5]skilldef!$C:$D,2,FALSE),"-") &amp; " / " &amp; IFERROR(VLOOKUP(MID(T43,U43,V43-U43),[5]skilldef!$A:$B,2,FALSE),"-")</f>
        <v>- / -</v>
      </c>
      <c r="Z43" s="44"/>
      <c r="AA43" s="46"/>
      <c r="AB43" s="44"/>
      <c r="AC43" s="136" t="s">
        <v>345</v>
      </c>
    </row>
    <row r="44" spans="1:29" ht="43" customHeight="1" x14ac:dyDescent="0.15">
      <c r="A44" s="214">
        <v>48701041</v>
      </c>
      <c r="B44" s="42" t="str">
        <f t="shared" si="32"/>
        <v>[effect:enemy_message, val1:2.1, val2:3.8],[effect:tolerance, target:myself, turn:-1, count:-1, tolerance_effect:all, animation:enemy_tolerance],[effect:freq_turn, target:myself, turn:4, val:1, animation:enemy_freq_turn],[effect:degrade_unit, target:unit_all, turn:2, status:heal, val:0.5, animation:degrade_unit_all_heal]</v>
      </c>
      <c r="C44" s="44">
        <v>1</v>
      </c>
      <c r="D44" s="44" t="s">
        <v>194</v>
      </c>
      <c r="E44" s="45" t="s">
        <v>431</v>
      </c>
      <c r="F44" s="45" t="s">
        <v>369</v>
      </c>
      <c r="G44" s="55" t="str">
        <f t="shared" si="33"/>
        <v>[effect:enemy_message, val1:2.1, val2:3.8]</v>
      </c>
      <c r="H44" s="55">
        <f t="shared" si="34"/>
        <v>9</v>
      </c>
      <c r="I44" s="55">
        <f t="shared" si="35"/>
        <v>22</v>
      </c>
      <c r="J44" s="55" t="e">
        <f t="shared" si="36"/>
        <v>#VALUE!</v>
      </c>
      <c r="K44" s="55">
        <f t="shared" si="37"/>
        <v>32</v>
      </c>
      <c r="L44" s="55" t="str">
        <f>IFERROR(VLOOKUP(MID(G44,J44,K44-J44),[5]skilldef!$C:$D,2,FALSE),"-") &amp; " / " &amp; IFERROR(VLOOKUP(MID(G44,H44,I44-H44),[5]skilldef!$A:$B,2,FALSE),"-")</f>
        <v>- / -</v>
      </c>
      <c r="M44" s="55" t="str">
        <f t="shared" si="38"/>
        <v>[effect:tolerance, target:myself, turn:-1, count:-1, tolerance_effect:all, animation:enemy_tolerance],[effect:freq_turn, target:myself, turn:4, val:1, animation:enemy_freq_turn],[effect:degrade_unit, target:unit_all, turn:2, status:heal, val:0.5, animation:degrade_unit_all_heal]</v>
      </c>
      <c r="N44" s="42" t="str">
        <f>IFERROR(LEFT(M44,FIND("],",M44)+#REF!),M44)</f>
        <v>[effect:tolerance, target:myself, turn:-1, count:-1, tolerance_effect:all, animation:enemy_tolerance],[effect:freq_turn, target:myself, turn:4, val:1, animation:enemy_freq_turn],[effect:degrade_unit, target:unit_all, turn:2, status:heal, val:0.5, animation:degrade_unit_all_heal]</v>
      </c>
      <c r="O44" s="55">
        <f t="shared" si="39"/>
        <v>9</v>
      </c>
      <c r="P44" s="55">
        <f t="shared" si="40"/>
        <v>18</v>
      </c>
      <c r="Q44" s="55">
        <f t="shared" si="41"/>
        <v>27</v>
      </c>
      <c r="R44" s="55">
        <f t="shared" si="42"/>
        <v>33</v>
      </c>
      <c r="S44" s="55" t="str">
        <f>IFERROR(VLOOKUP(MID(N44,Q44,R44-Q44),[5]skilldef!$C:$D,2,FALSE),"-") &amp; " / " &amp; IFERROR(VLOOKUP(MID(N44,O44,P44-O44),[5]skilldef!$A:$B,2,FALSE),"-")</f>
        <v>自分自身に / 状態異常耐性</v>
      </c>
      <c r="T44" s="42" t="str">
        <f t="shared" si="43"/>
        <v>[effect:freq_turn, target:myself, turn:4, val:1, animation:enemy_freq_turn],[effect:degrade_unit, target:unit_all, turn:2, status:heal, val:0.5, animation:degrade_unit_all_heal]</v>
      </c>
      <c r="U44" s="55">
        <f t="shared" si="44"/>
        <v>9</v>
      </c>
      <c r="V44" s="55">
        <f t="shared" si="45"/>
        <v>18</v>
      </c>
      <c r="W44" s="55">
        <f t="shared" si="46"/>
        <v>27</v>
      </c>
      <c r="X44" s="55">
        <f t="shared" si="47"/>
        <v>33</v>
      </c>
      <c r="Y44" s="55" t="str">
        <f>IFERROR(VLOOKUP(MID(T44,W44,X44-W44),[5]skilldef!$C:$D,2,FALSE),"-") &amp; " / " &amp; IFERROR(VLOOKUP(MID(T44,U44,V44-U44),[5]skilldef!$A:$B,2,FALSE),"-")</f>
        <v>自分自身に / 攻撃頻度がUP</v>
      </c>
      <c r="Z44" s="44"/>
      <c r="AA44" s="46"/>
      <c r="AB44" s="44"/>
      <c r="AC44" s="136" t="s">
        <v>482</v>
      </c>
    </row>
    <row r="45" spans="1:29" ht="43" customHeight="1" x14ac:dyDescent="0.15">
      <c r="A45" s="214">
        <v>48701042</v>
      </c>
      <c r="B45" s="42" t="str">
        <f t="shared" si="32"/>
        <v>[effect:enemy_message, val1:2.9, val2:3.7],[effect:tolerance, target:myself, turn:-1, count:-1, tolerance_effect:all, animation:enemy_tolerance],[effect:freq_turn, target:myself, turn:4, val:1, animation:enemy_freq_turn],[effect:force_change_block, new_block:crash, target:block_green, count:0, val:6, animation:change_block]</v>
      </c>
      <c r="C45" s="44">
        <v>1</v>
      </c>
      <c r="D45" s="44" t="s">
        <v>194</v>
      </c>
      <c r="E45" s="45" t="s">
        <v>403</v>
      </c>
      <c r="F45" s="228" t="s">
        <v>516</v>
      </c>
      <c r="G45" s="55" t="str">
        <f t="shared" si="33"/>
        <v>[effect:enemy_message, val1:2.9, val2:3.7]</v>
      </c>
      <c r="H45" s="55">
        <f t="shared" si="34"/>
        <v>9</v>
      </c>
      <c r="I45" s="55">
        <f t="shared" si="35"/>
        <v>22</v>
      </c>
      <c r="J45" s="55" t="e">
        <f t="shared" si="36"/>
        <v>#VALUE!</v>
      </c>
      <c r="K45" s="55">
        <f t="shared" si="37"/>
        <v>32</v>
      </c>
      <c r="L45" s="55" t="str">
        <f>IFERROR(VLOOKUP(MID(G45,J45,K45-J45),[5]skilldef!$C:$D,2,FALSE),"-") &amp; " / " &amp; IFERROR(VLOOKUP(MID(G45,H45,I45-H45),[5]skilldef!$A:$B,2,FALSE),"-")</f>
        <v>- / -</v>
      </c>
      <c r="M45" s="55" t="str">
        <f t="shared" si="38"/>
        <v>[effect:tolerance, target:myself, turn:-1, count:-1, tolerance_effect:all, animation:enemy_tolerance],[effect:freq_turn, target:myself, turn:4, val:1, animation:enemy_freq_turn],[effect:force_change_block, new_block:crash, target:block_green, count:0, val:6, animation:change_block]</v>
      </c>
      <c r="N45" s="42" t="str">
        <f>IFERROR(LEFT(M45,FIND("],",M45)+#REF!),M45)</f>
        <v>[effect:tolerance, target:myself, turn:-1, count:-1, tolerance_effect:all, animation:enemy_tolerance],[effect:freq_turn, target:myself, turn:4, val:1, animation:enemy_freq_turn],[effect:force_change_block, new_block:crash, target:block_green, count:0, val:6, animation:change_block]</v>
      </c>
      <c r="O45" s="55">
        <f t="shared" si="39"/>
        <v>9</v>
      </c>
      <c r="P45" s="55">
        <f t="shared" si="40"/>
        <v>18</v>
      </c>
      <c r="Q45" s="55">
        <f t="shared" si="41"/>
        <v>27</v>
      </c>
      <c r="R45" s="55">
        <f t="shared" si="42"/>
        <v>33</v>
      </c>
      <c r="S45" s="55" t="str">
        <f>IFERROR(VLOOKUP(MID(N45,Q45,R45-Q45),[5]skilldef!$C:$D,2,FALSE),"-") &amp; " / " &amp; IFERROR(VLOOKUP(MID(N45,O45,P45-O45),[5]skilldef!$A:$B,2,FALSE),"-")</f>
        <v>自分自身に / 状態異常耐性</v>
      </c>
      <c r="T45" s="42" t="str">
        <f t="shared" si="43"/>
        <v>[effect:freq_turn, target:myself, turn:4, val:1, animation:enemy_freq_turn],[effect:force_change_block, new_block:crash, target:block_green, count:0, val:6, animation:change_block]</v>
      </c>
      <c r="U45" s="55">
        <f t="shared" si="44"/>
        <v>9</v>
      </c>
      <c r="V45" s="55">
        <f t="shared" si="45"/>
        <v>18</v>
      </c>
      <c r="W45" s="55">
        <f t="shared" si="46"/>
        <v>27</v>
      </c>
      <c r="X45" s="55">
        <f t="shared" si="47"/>
        <v>33</v>
      </c>
      <c r="Y45" s="55" t="str">
        <f>IFERROR(VLOOKUP(MID(T45,W45,X45-W45),[5]skilldef!$C:$D,2,FALSE),"-") &amp; " / " &amp; IFERROR(VLOOKUP(MID(T45,U45,V45-U45),[5]skilldef!$A:$B,2,FALSE),"-")</f>
        <v>自分自身に / 攻撃頻度がUP</v>
      </c>
      <c r="Z45" s="44"/>
      <c r="AA45" s="46"/>
      <c r="AB45" s="44"/>
      <c r="AC45" s="229" t="s">
        <v>525</v>
      </c>
    </row>
    <row r="46" spans="1:29" ht="43" customHeight="1" x14ac:dyDescent="0.15">
      <c r="A46" s="214">
        <v>48701043</v>
      </c>
      <c r="B46" s="42" t="str">
        <f t="shared" si="32"/>
        <v>[effect:enemy_message, val1:1.2, val2:2.8],[effect:spread, val:0.3],[effect:force_change_block, new_block:time_bomb, target:normal, count:8, val:0.2, min_time_count:1, max_time_count:3, animation:change_block]</v>
      </c>
      <c r="C46" s="44">
        <v>1</v>
      </c>
      <c r="D46" s="44" t="s">
        <v>194</v>
      </c>
      <c r="E46" s="45" t="s">
        <v>427</v>
      </c>
      <c r="F46" s="45" t="s">
        <v>499</v>
      </c>
      <c r="G46" s="55" t="str">
        <f t="shared" si="33"/>
        <v>[effect:enemy_message, val1:1.2, val2:2.8]</v>
      </c>
      <c r="H46" s="55">
        <f t="shared" si="34"/>
        <v>9</v>
      </c>
      <c r="I46" s="55">
        <f t="shared" si="35"/>
        <v>22</v>
      </c>
      <c r="J46" s="55" t="e">
        <f t="shared" si="36"/>
        <v>#VALUE!</v>
      </c>
      <c r="K46" s="55">
        <f t="shared" si="37"/>
        <v>32</v>
      </c>
      <c r="L46" s="55" t="str">
        <f>IFERROR(VLOOKUP(MID(G46,J46,K46-J46),[5]skilldef!$C:$D,2,FALSE),"-") &amp; " / " &amp; IFERROR(VLOOKUP(MID(G46,H46,I46-H46),[5]skilldef!$A:$B,2,FALSE),"-")</f>
        <v>- / -</v>
      </c>
      <c r="M46" s="55" t="str">
        <f t="shared" si="38"/>
        <v>[effect:spread, val:0.3],[effect:force_change_block, new_block:time_bomb, target:normal, count:8, val:0.2, min_time_count:1, max_time_count:3, animation:change_block]</v>
      </c>
      <c r="N46" s="42" t="str">
        <f>IFERROR(LEFT(M46,FIND("],",M46)+#REF!),M46)</f>
        <v>[effect:spread, val:0.3],[effect:force_change_block, new_block:time_bomb, target:normal, count:8, val:0.2, min_time_count:1, max_time_count:3, animation:change_block]</v>
      </c>
      <c r="O46" s="55">
        <f t="shared" si="39"/>
        <v>9</v>
      </c>
      <c r="P46" s="55">
        <f t="shared" si="40"/>
        <v>15</v>
      </c>
      <c r="Q46" s="55">
        <f t="shared" si="41"/>
        <v>82</v>
      </c>
      <c r="R46" s="55">
        <f t="shared" si="42"/>
        <v>25</v>
      </c>
      <c r="S46" s="55" t="str">
        <f>IFERROR(VLOOKUP(MID(N46,Q46,R46-Q46),[5]skilldef!$C:$D,2,FALSE),"-") &amp; " / " &amp; IFERROR(VLOOKUP(MID(N46,O46,P46-O46),[5]skilldef!$A:$B,2,FALSE),"-")</f>
        <v>- / 全体攻撃</v>
      </c>
      <c r="T46" s="42" t="str">
        <f t="shared" si="43"/>
        <v>[effect:force_change_block, new_block:time_bomb, target:normal, count:8, val:0.2, min_time_count:1, max_time_count:3, animation:change_block]</v>
      </c>
      <c r="U46" s="55">
        <f t="shared" si="44"/>
        <v>9</v>
      </c>
      <c r="V46" s="55">
        <f t="shared" si="45"/>
        <v>27</v>
      </c>
      <c r="W46" s="55">
        <f t="shared" si="46"/>
        <v>57</v>
      </c>
      <c r="X46" s="55">
        <f t="shared" si="47"/>
        <v>48</v>
      </c>
      <c r="Y46" s="55" t="str">
        <f>IFERROR(VLOOKUP(MID(T46,W46,X46-W46),[5]skilldef!$C:$D,2,FALSE),"-") &amp; " / " &amp; IFERROR(VLOOKUP(MID(T46,U46,V46-U46),[5]skilldef!$A:$B,2,FALSE),"-")</f>
        <v>- / -</v>
      </c>
      <c r="Z46" s="44"/>
      <c r="AA46" s="46"/>
      <c r="AB46" s="44"/>
      <c r="AC46" s="136" t="s">
        <v>483</v>
      </c>
    </row>
    <row r="47" spans="1:29" ht="43" customHeight="1" x14ac:dyDescent="0.15">
      <c r="A47" s="214">
        <v>48701044</v>
      </c>
      <c r="B47" s="42" t="str">
        <f t="shared" si="32"/>
        <v>[effect:enemy_message, val1:1.2, val2:2.2],[effect:dark, target:unit_all, turn:2, animation:enemy_dark],[effect:degrade_unit, target:unit_all, turn:2, status:action, val:1, animation:enemy_tap_down]</v>
      </c>
      <c r="C47" s="44">
        <v>1</v>
      </c>
      <c r="D47" s="44" t="s">
        <v>194</v>
      </c>
      <c r="E47" s="45" t="s">
        <v>432</v>
      </c>
      <c r="F47" s="45" t="s">
        <v>358</v>
      </c>
      <c r="G47" s="55" t="str">
        <f t="shared" si="33"/>
        <v>[effect:enemy_message, val1:1.2, val2:2.2]</v>
      </c>
      <c r="H47" s="55">
        <f t="shared" si="34"/>
        <v>9</v>
      </c>
      <c r="I47" s="55">
        <f t="shared" si="35"/>
        <v>22</v>
      </c>
      <c r="J47" s="55" t="e">
        <f t="shared" si="36"/>
        <v>#VALUE!</v>
      </c>
      <c r="K47" s="55">
        <f t="shared" si="37"/>
        <v>32</v>
      </c>
      <c r="L47" s="55" t="str">
        <f>IFERROR(VLOOKUP(MID(G47,J47,K47-J47),[5]skilldef!$C:$D,2,FALSE),"-") &amp; " / " &amp; IFERROR(VLOOKUP(MID(G47,H47,I47-H47),[5]skilldef!$A:$B,2,FALSE),"-")</f>
        <v>- / -</v>
      </c>
      <c r="M47" s="55" t="str">
        <f t="shared" si="38"/>
        <v>[effect:dark, target:unit_all, turn:2, animation:enemy_dark],[effect:degrade_unit, target:unit_all, turn:2, status:action, val:1, animation:enemy_tap_down]</v>
      </c>
      <c r="N47" s="42" t="str">
        <f>IFERROR(LEFT(M47,FIND("],",M47)+#REF!),M47)</f>
        <v>[effect:dark, target:unit_all, turn:2, animation:enemy_dark],[effect:degrade_unit, target:unit_all, turn:2, status:action, val:1, animation:enemy_tap_down]</v>
      </c>
      <c r="O47" s="55">
        <f t="shared" si="39"/>
        <v>9</v>
      </c>
      <c r="P47" s="55">
        <f t="shared" si="40"/>
        <v>13</v>
      </c>
      <c r="Q47" s="55">
        <f t="shared" si="41"/>
        <v>22</v>
      </c>
      <c r="R47" s="55">
        <f t="shared" si="42"/>
        <v>30</v>
      </c>
      <c r="S47" s="55" t="str">
        <f>IFERROR(VLOOKUP(MID(N47,Q47,R47-Q47),[5]skilldef!$C:$D,2,FALSE),"-") &amp; " / " &amp; IFERROR(VLOOKUP(MID(N47,O47,P47-O47),[5]skilldef!$A:$B,2,FALSE),"-")</f>
        <v>味方全体に / 暗黒</v>
      </c>
      <c r="T47" s="42" t="str">
        <f t="shared" si="43"/>
        <v>[effect:degrade_unit, target:unit_all, turn:2, status:action, val:1, animation:enemy_tap_down]</v>
      </c>
      <c r="U47" s="55">
        <f t="shared" si="44"/>
        <v>9</v>
      </c>
      <c r="V47" s="55">
        <f t="shared" si="45"/>
        <v>21</v>
      </c>
      <c r="W47" s="55">
        <f t="shared" si="46"/>
        <v>30</v>
      </c>
      <c r="X47" s="55">
        <f t="shared" si="47"/>
        <v>38</v>
      </c>
      <c r="Y47" s="55" t="str">
        <f>IFERROR(VLOOKUP(MID(T47,W47,X47-W47),[5]skilldef!$C:$D,2,FALSE),"-") &amp; " / " &amp; IFERROR(VLOOKUP(MID(T47,U47,V47-U47),[5]skilldef!$A:$B,2,FALSE),"-")</f>
        <v>味方全体に / ステータスDOWN</v>
      </c>
      <c r="Z47" s="44"/>
      <c r="AA47" s="46"/>
      <c r="AB47" s="44"/>
      <c r="AC47" s="136" t="s">
        <v>484</v>
      </c>
    </row>
    <row r="48" spans="1:29" ht="43" customHeight="1" x14ac:dyDescent="0.15">
      <c r="A48" s="214">
        <v>48701045</v>
      </c>
      <c r="B48" s="42" t="str">
        <f t="shared" si="32"/>
        <v>[effect:enemy_message, val1:1.2, val2:2.3],[effect:panel_freeze, target:normal, color:yellow, count:4],[effect:critical, val:1.2, animation:enemy_critical]</v>
      </c>
      <c r="C48" s="44">
        <v>1</v>
      </c>
      <c r="D48" s="44" t="s">
        <v>194</v>
      </c>
      <c r="E48" s="45" t="s">
        <v>438</v>
      </c>
      <c r="F48" s="45" t="s">
        <v>492</v>
      </c>
      <c r="G48" s="55" t="str">
        <f t="shared" si="33"/>
        <v>[effect:enemy_message, val1:1.2, val2:2.3]</v>
      </c>
      <c r="H48" s="55">
        <f t="shared" si="34"/>
        <v>9</v>
      </c>
      <c r="I48" s="55">
        <f t="shared" si="35"/>
        <v>22</v>
      </c>
      <c r="J48" s="55" t="e">
        <f t="shared" si="36"/>
        <v>#VALUE!</v>
      </c>
      <c r="K48" s="55">
        <f t="shared" si="37"/>
        <v>32</v>
      </c>
      <c r="L48" s="55" t="str">
        <f>IFERROR(VLOOKUP(MID(G48,J48,K48-J48),[5]skilldef!$C:$D,2,FALSE),"-") &amp; " / " &amp; IFERROR(VLOOKUP(MID(G48,H48,I48-H48),[5]skilldef!$A:$B,2,FALSE),"-")</f>
        <v>- / -</v>
      </c>
      <c r="M48" s="55" t="str">
        <f t="shared" si="38"/>
        <v>[effect:panel_freeze, target:normal, color:yellow, count:4],[effect:critical, val:1.2, animation:enemy_critical]</v>
      </c>
      <c r="N48" s="42" t="str">
        <f>IFERROR(LEFT(M48,FIND("],",M48)+#REF!),M48)</f>
        <v>[effect:panel_freeze, target:normal, color:yellow, count:4],[effect:critical, val:1.2, animation:enemy_critical]</v>
      </c>
      <c r="O48" s="55">
        <f t="shared" si="39"/>
        <v>9</v>
      </c>
      <c r="P48" s="55">
        <f t="shared" si="40"/>
        <v>21</v>
      </c>
      <c r="Q48" s="55">
        <f t="shared" si="41"/>
        <v>30</v>
      </c>
      <c r="R48" s="55">
        <f t="shared" si="42"/>
        <v>36</v>
      </c>
      <c r="S48" s="55" t="str">
        <f>IFERROR(VLOOKUP(MID(N48,Q48,R48-Q48),[5]skilldef!$C:$D,2,FALSE),"-") &amp; " / " &amp; IFERROR(VLOOKUP(MID(N48,O48,P48-O48),[5]skilldef!$A:$B,2,FALSE),"-")</f>
        <v>- / -</v>
      </c>
      <c r="T48" s="42" t="str">
        <f t="shared" si="43"/>
        <v>[effect:critical, val:1.2, animation:enemy_critical]</v>
      </c>
      <c r="U48" s="55">
        <f t="shared" si="44"/>
        <v>9</v>
      </c>
      <c r="V48" s="55">
        <f t="shared" si="45"/>
        <v>17</v>
      </c>
      <c r="W48" s="55" t="e">
        <f t="shared" si="46"/>
        <v>#VALUE!</v>
      </c>
      <c r="X48" s="55">
        <f t="shared" si="47"/>
        <v>26</v>
      </c>
      <c r="Y48" s="55" t="str">
        <f>IFERROR(VLOOKUP(MID(T48,W48,X48-W48),[5]skilldef!$C:$D,2,FALSE),"-") &amp; " / " &amp; IFERROR(VLOOKUP(MID(T48,U48,V48-U48),[5]skilldef!$A:$B,2,FALSE),"-")</f>
        <v>- / 大攻撃</v>
      </c>
      <c r="Z48" s="44"/>
      <c r="AA48" s="46"/>
      <c r="AB48" s="44"/>
      <c r="AC48" s="136" t="s">
        <v>485</v>
      </c>
    </row>
    <row r="49" spans="1:29" ht="43" customHeight="1" x14ac:dyDescent="0.15">
      <c r="A49" s="214">
        <v>48701046</v>
      </c>
      <c r="B49" s="42" t="str">
        <f t="shared" si="32"/>
        <v>[effect:enemy_message, val1:1.2, val2:2.3],[effect:panel_freeze, target:normal, color:blue, count:4],[effect:critical, val:1.2, animation:enemy_critical]</v>
      </c>
      <c r="C49" s="44">
        <v>1</v>
      </c>
      <c r="D49" s="44" t="s">
        <v>194</v>
      </c>
      <c r="E49" s="45" t="s">
        <v>440</v>
      </c>
      <c r="F49" s="45" t="s">
        <v>493</v>
      </c>
      <c r="G49" s="55" t="str">
        <f t="shared" si="33"/>
        <v>[effect:enemy_message, val1:1.2, val2:2.3]</v>
      </c>
      <c r="H49" s="55">
        <f t="shared" si="34"/>
        <v>9</v>
      </c>
      <c r="I49" s="55">
        <f t="shared" si="35"/>
        <v>22</v>
      </c>
      <c r="J49" s="55" t="e">
        <f t="shared" si="36"/>
        <v>#VALUE!</v>
      </c>
      <c r="K49" s="55">
        <f t="shared" si="37"/>
        <v>32</v>
      </c>
      <c r="L49" s="55" t="str">
        <f>IFERROR(VLOOKUP(MID(G49,J49,K49-J49),[5]skilldef!$C:$D,2,FALSE),"-") &amp; " / " &amp; IFERROR(VLOOKUP(MID(G49,H49,I49-H49),[5]skilldef!$A:$B,2,FALSE),"-")</f>
        <v>- / -</v>
      </c>
      <c r="M49" s="55" t="str">
        <f t="shared" si="38"/>
        <v>[effect:panel_freeze, target:normal, color:blue, count:4],[effect:critical, val:1.2, animation:enemy_critical]</v>
      </c>
      <c r="N49" s="42" t="str">
        <f>IFERROR(LEFT(M49,FIND("],",M49)+#REF!),M49)</f>
        <v>[effect:panel_freeze, target:normal, color:blue, count:4],[effect:critical, val:1.2, animation:enemy_critical]</v>
      </c>
      <c r="O49" s="55">
        <f t="shared" si="39"/>
        <v>9</v>
      </c>
      <c r="P49" s="55">
        <f t="shared" si="40"/>
        <v>21</v>
      </c>
      <c r="Q49" s="55">
        <f t="shared" si="41"/>
        <v>30</v>
      </c>
      <c r="R49" s="55">
        <f t="shared" si="42"/>
        <v>36</v>
      </c>
      <c r="S49" s="55" t="str">
        <f>IFERROR(VLOOKUP(MID(N49,Q49,R49-Q49),[5]skilldef!$C:$D,2,FALSE),"-") &amp; " / " &amp; IFERROR(VLOOKUP(MID(N49,O49,P49-O49),[5]skilldef!$A:$B,2,FALSE),"-")</f>
        <v>- / -</v>
      </c>
      <c r="T49" s="42" t="str">
        <f t="shared" si="43"/>
        <v>[effect:critical, val:1.2, animation:enemy_critical]</v>
      </c>
      <c r="U49" s="55">
        <f t="shared" si="44"/>
        <v>9</v>
      </c>
      <c r="V49" s="55">
        <f t="shared" si="45"/>
        <v>17</v>
      </c>
      <c r="W49" s="55" t="e">
        <f t="shared" si="46"/>
        <v>#VALUE!</v>
      </c>
      <c r="X49" s="55">
        <f t="shared" si="47"/>
        <v>26</v>
      </c>
      <c r="Y49" s="55" t="str">
        <f>IFERROR(VLOOKUP(MID(T49,W49,X49-W49),[5]skilldef!$C:$D,2,FALSE),"-") &amp; " / " &amp; IFERROR(VLOOKUP(MID(T49,U49,V49-U49),[5]skilldef!$A:$B,2,FALSE),"-")</f>
        <v>- / 大攻撃</v>
      </c>
      <c r="Z49" s="44"/>
      <c r="AA49" s="46"/>
      <c r="AB49" s="44"/>
      <c r="AC49" s="136" t="s">
        <v>486</v>
      </c>
    </row>
    <row r="50" spans="1:29" ht="43" customHeight="1" x14ac:dyDescent="0.15">
      <c r="A50" s="214">
        <v>48701047</v>
      </c>
      <c r="B50" s="42" t="str">
        <f t="shared" si="32"/>
        <v>[effect:enemy_message, val1:1.8, val2:1.2],[effect:critical, val:1.4, animation:enemy_critical]</v>
      </c>
      <c r="C50" s="44">
        <v>1</v>
      </c>
      <c r="D50" s="44" t="s">
        <v>194</v>
      </c>
      <c r="E50" s="45" t="s">
        <v>433</v>
      </c>
      <c r="F50" s="45" t="s">
        <v>353</v>
      </c>
      <c r="G50" s="55" t="str">
        <f t="shared" si="33"/>
        <v>[effect:enemy_message, val1:1.8, val2:1.2]</v>
      </c>
      <c r="H50" s="55">
        <f t="shared" si="34"/>
        <v>9</v>
      </c>
      <c r="I50" s="55">
        <f t="shared" si="35"/>
        <v>22</v>
      </c>
      <c r="J50" s="55" t="e">
        <f t="shared" si="36"/>
        <v>#VALUE!</v>
      </c>
      <c r="K50" s="55">
        <f t="shared" si="37"/>
        <v>32</v>
      </c>
      <c r="L50" s="55" t="str">
        <f>IFERROR(VLOOKUP(MID(G50,J50,K50-J50),[5]skilldef!$C:$D,2,FALSE),"-") &amp; " / " &amp; IFERROR(VLOOKUP(MID(G50,H50,I50-H50),[5]skilldef!$A:$B,2,FALSE),"-")</f>
        <v>- / -</v>
      </c>
      <c r="M50" s="55" t="str">
        <f t="shared" si="38"/>
        <v>[effect:critical, val:1.4, animation:enemy_critical]</v>
      </c>
      <c r="N50" s="42" t="str">
        <f>IFERROR(LEFT(M50,FIND("],",M50)+#REF!),M50)</f>
        <v>[effect:critical, val:1.4, animation:enemy_critical]</v>
      </c>
      <c r="O50" s="55">
        <f t="shared" si="39"/>
        <v>9</v>
      </c>
      <c r="P50" s="55">
        <f t="shared" si="40"/>
        <v>17</v>
      </c>
      <c r="Q50" s="55" t="e">
        <f t="shared" si="41"/>
        <v>#VALUE!</v>
      </c>
      <c r="R50" s="55">
        <f t="shared" si="42"/>
        <v>26</v>
      </c>
      <c r="S50" s="55" t="str">
        <f>IFERROR(VLOOKUP(MID(N50,Q50,R50-Q50),[5]skilldef!$C:$D,2,FALSE),"-") &amp; " / " &amp; IFERROR(VLOOKUP(MID(N50,O50,P50-O50),[5]skilldef!$A:$B,2,FALSE),"-")</f>
        <v>- / 大攻撃</v>
      </c>
      <c r="T50" s="42" t="str">
        <f t="shared" si="43"/>
        <v>none</v>
      </c>
      <c r="U50" s="55" t="e">
        <f t="shared" si="44"/>
        <v>#VALUE!</v>
      </c>
      <c r="V50" s="55">
        <f t="shared" si="45"/>
        <v>4</v>
      </c>
      <c r="W50" s="55" t="e">
        <f t="shared" si="46"/>
        <v>#VALUE!</v>
      </c>
      <c r="X50" s="55" t="e">
        <f t="shared" si="47"/>
        <v>#VALUE!</v>
      </c>
      <c r="Y50" s="55" t="str">
        <f>IFERROR(VLOOKUP(MID(T50,W50,X50-W50),[5]skilldef!$C:$D,2,FALSE),"-") &amp; " / " &amp; IFERROR(VLOOKUP(MID(T50,U50,V50-U50),[5]skilldef!$A:$B,2,FALSE),"-")</f>
        <v>- / -</v>
      </c>
      <c r="Z50" s="44"/>
      <c r="AA50" s="46"/>
      <c r="AB50" s="44"/>
      <c r="AC50" s="136" t="s">
        <v>452</v>
      </c>
    </row>
    <row r="51" spans="1:29" ht="43" customHeight="1" x14ac:dyDescent="0.15">
      <c r="A51" s="214">
        <v>48701048</v>
      </c>
      <c r="B51" s="42" t="str">
        <f t="shared" si="32"/>
        <v>[effect:enemy_message, val1:1.3, val2:1.5],[effect:break_attack_fix, target:unit_all, val:180, lowest_val:750, count:-1, color:green, block01:block_heart]</v>
      </c>
      <c r="C51" s="44">
        <v>1</v>
      </c>
      <c r="D51" s="44" t="s">
        <v>194</v>
      </c>
      <c r="E51" s="45" t="s">
        <v>448</v>
      </c>
      <c r="F51" s="45" t="s">
        <v>359</v>
      </c>
      <c r="G51" s="55" t="str">
        <f t="shared" si="33"/>
        <v>[effect:enemy_message, val1:1.3, val2:1.5]</v>
      </c>
      <c r="H51" s="55">
        <f t="shared" si="34"/>
        <v>9</v>
      </c>
      <c r="I51" s="55">
        <f t="shared" si="35"/>
        <v>22</v>
      </c>
      <c r="J51" s="55" t="e">
        <f t="shared" si="36"/>
        <v>#VALUE!</v>
      </c>
      <c r="K51" s="55">
        <f t="shared" si="37"/>
        <v>32</v>
      </c>
      <c r="L51" s="55" t="str">
        <f>IFERROR(VLOOKUP(MID(G51,J51,K51-J51),[5]skilldef!$C:$D,2,FALSE),"-") &amp; " / " &amp; IFERROR(VLOOKUP(MID(G51,H51,I51-H51),[5]skilldef!$A:$B,2,FALSE),"-")</f>
        <v>- / -</v>
      </c>
      <c r="M51" s="55" t="str">
        <f t="shared" si="38"/>
        <v>[effect:break_attack_fix, target:unit_all, val:180, lowest_val:750, count:-1, color:green, block01:block_heart]</v>
      </c>
      <c r="N51" s="42" t="str">
        <f>IFERROR(LEFT(M51,FIND("],",M51)+#REF!),M51)</f>
        <v>[effect:break_attack_fix, target:unit_all, val:180, lowest_val:750, count:-1, color:green, block01:block_heart]</v>
      </c>
      <c r="O51" s="55">
        <f t="shared" si="39"/>
        <v>9</v>
      </c>
      <c r="P51" s="55">
        <f t="shared" si="40"/>
        <v>25</v>
      </c>
      <c r="Q51" s="55">
        <f t="shared" si="41"/>
        <v>34</v>
      </c>
      <c r="R51" s="55">
        <f t="shared" si="42"/>
        <v>42</v>
      </c>
      <c r="S51" s="55" t="str">
        <f>IFERROR(VLOOKUP(MID(N51,Q51,R51-Q51),[5]skilldef!$C:$D,2,FALSE),"-") &amp; " / " &amp; IFERROR(VLOOKUP(MID(N51,O51,P51-O51),[5]skilldef!$A:$B,2,FALSE),"-")</f>
        <v>味方全体に / -</v>
      </c>
      <c r="T51" s="42" t="str">
        <f t="shared" si="43"/>
        <v>none</v>
      </c>
      <c r="U51" s="55" t="e">
        <f t="shared" si="44"/>
        <v>#VALUE!</v>
      </c>
      <c r="V51" s="55">
        <f t="shared" si="45"/>
        <v>4</v>
      </c>
      <c r="W51" s="55" t="e">
        <f t="shared" si="46"/>
        <v>#VALUE!</v>
      </c>
      <c r="X51" s="55" t="e">
        <f t="shared" si="47"/>
        <v>#VALUE!</v>
      </c>
      <c r="Y51" s="55" t="str">
        <f>IFERROR(VLOOKUP(MID(T51,W51,X51-W51),[5]skilldef!$C:$D,2,FALSE),"-") &amp; " / " &amp; IFERROR(VLOOKUP(MID(T51,U51,V51-U51),[5]skilldef!$A:$B,2,FALSE),"-")</f>
        <v>- / -</v>
      </c>
      <c r="Z51" s="44"/>
      <c r="AA51" s="46"/>
      <c r="AB51" s="44"/>
      <c r="AC51" s="136" t="s">
        <v>456</v>
      </c>
    </row>
    <row r="52" spans="1:29" ht="43" customHeight="1" x14ac:dyDescent="0.15">
      <c r="A52" s="214">
        <v>48701049</v>
      </c>
      <c r="B52" s="42" t="str">
        <f t="shared" si="32"/>
        <v>[effect:enemy_message, val1:1.5, val2:2.2],[effect:drop_block, block_type:time_bomb, color:block_all, val:0.1, rate:0.5, turn:-1, min_time_count:2, max_time_count:3, animation:time_bomb_influence04]</v>
      </c>
      <c r="C52" s="44">
        <v>1</v>
      </c>
      <c r="D52" s="44" t="s">
        <v>194</v>
      </c>
      <c r="E52" s="45" t="s">
        <v>434</v>
      </c>
      <c r="F52" s="45" t="s">
        <v>500</v>
      </c>
      <c r="G52" s="55" t="str">
        <f t="shared" si="33"/>
        <v>[effect:enemy_message, val1:1.5, val2:2.2]</v>
      </c>
      <c r="H52" s="55">
        <f t="shared" si="34"/>
        <v>9</v>
      </c>
      <c r="I52" s="55">
        <f t="shared" si="35"/>
        <v>22</v>
      </c>
      <c r="J52" s="55" t="e">
        <f t="shared" si="36"/>
        <v>#VALUE!</v>
      </c>
      <c r="K52" s="55">
        <f t="shared" si="37"/>
        <v>32</v>
      </c>
      <c r="L52" s="55" t="str">
        <f>IFERROR(VLOOKUP(MID(G52,J52,K52-J52),[5]skilldef!$C:$D,2,FALSE),"-") &amp; " / " &amp; IFERROR(VLOOKUP(MID(G52,H52,I52-H52),[5]skilldef!$A:$B,2,FALSE),"-")</f>
        <v>- / -</v>
      </c>
      <c r="M52" s="55" t="str">
        <f t="shared" si="38"/>
        <v>[effect:drop_block, block_type:time_bomb, color:block_all, val:0.1, rate:0.5, turn:-1, min_time_count:2, max_time_count:3, animation:time_bomb_influence04]</v>
      </c>
      <c r="N52" s="42" t="str">
        <f>IFERROR(LEFT(M52,FIND("],",M52)+#REF!),M52)</f>
        <v>[effect:drop_block, block_type:time_bomb, color:block_all, val:0.1, rate:0.5, turn:-1, min_time_count:2, max_time_count:3, animation:time_bomb_influence04]</v>
      </c>
      <c r="O52" s="55">
        <f t="shared" si="39"/>
        <v>9</v>
      </c>
      <c r="P52" s="55">
        <f t="shared" si="40"/>
        <v>19</v>
      </c>
      <c r="Q52" s="55" t="e">
        <f t="shared" si="41"/>
        <v>#VALUE!</v>
      </c>
      <c r="R52" s="55">
        <f t="shared" si="42"/>
        <v>41</v>
      </c>
      <c r="S52" s="55" t="str">
        <f>IFERROR(VLOOKUP(MID(N52,Q52,R52-Q52),[5]skilldef!$C:$D,2,FALSE),"-") &amp; " / " &amp; IFERROR(VLOOKUP(MID(N52,O52,P52-O52),[5]skilldef!$A:$B,2,FALSE),"-")</f>
        <v>- / 特定ブロックの割合ドロップ</v>
      </c>
      <c r="T52" s="42" t="str">
        <f t="shared" si="43"/>
        <v>none</v>
      </c>
      <c r="U52" s="55" t="e">
        <f t="shared" si="44"/>
        <v>#VALUE!</v>
      </c>
      <c r="V52" s="55">
        <f t="shared" si="45"/>
        <v>4</v>
      </c>
      <c r="W52" s="55" t="e">
        <f t="shared" si="46"/>
        <v>#VALUE!</v>
      </c>
      <c r="X52" s="55" t="e">
        <f t="shared" si="47"/>
        <v>#VALUE!</v>
      </c>
      <c r="Y52" s="55" t="str">
        <f>IFERROR(VLOOKUP(MID(T52,W52,X52-W52),[5]skilldef!$C:$D,2,FALSE),"-") &amp; " / " &amp; IFERROR(VLOOKUP(MID(T52,U52,V52-U52),[5]skilldef!$A:$B,2,FALSE),"-")</f>
        <v>- / -</v>
      </c>
      <c r="Z52" s="44"/>
      <c r="AA52" s="46"/>
      <c r="AB52" s="44"/>
      <c r="AC52" s="136" t="s">
        <v>342</v>
      </c>
    </row>
    <row r="53" spans="1:29" ht="43" customHeight="1" x14ac:dyDescent="0.15">
      <c r="A53" s="214">
        <v>48701050</v>
      </c>
      <c r="B53" s="42" t="str">
        <f t="shared" si="32"/>
        <v>[effect:enemy_message, val1:1.2, val2:1.2],[effect:rush, count:8, val:0.3]</v>
      </c>
      <c r="C53" s="44">
        <v>1</v>
      </c>
      <c r="D53" s="44" t="s">
        <v>194</v>
      </c>
      <c r="E53" s="45" t="s">
        <v>435</v>
      </c>
      <c r="F53" s="45" t="s">
        <v>360</v>
      </c>
      <c r="G53" s="55" t="str">
        <f t="shared" si="33"/>
        <v>[effect:enemy_message, val1:1.2, val2:1.2]</v>
      </c>
      <c r="H53" s="55">
        <f t="shared" si="34"/>
        <v>9</v>
      </c>
      <c r="I53" s="55">
        <f t="shared" si="35"/>
        <v>22</v>
      </c>
      <c r="J53" s="55" t="e">
        <f t="shared" si="36"/>
        <v>#VALUE!</v>
      </c>
      <c r="K53" s="55">
        <f t="shared" si="37"/>
        <v>32</v>
      </c>
      <c r="L53" s="55" t="str">
        <f>IFERROR(VLOOKUP(MID(G53,J53,K53-J53),[5]skilldef!$C:$D,2,FALSE),"-") &amp; " / " &amp; IFERROR(VLOOKUP(MID(G53,H53,I53-H53),[5]skilldef!$A:$B,2,FALSE),"-")</f>
        <v>- / -</v>
      </c>
      <c r="M53" s="55" t="str">
        <f t="shared" si="38"/>
        <v>[effect:rush, count:8, val:0.3]</v>
      </c>
      <c r="N53" s="42" t="str">
        <f>IFERROR(LEFT(M53,FIND("],",M53)+#REF!),M53)</f>
        <v>[effect:rush, count:8, val:0.3]</v>
      </c>
      <c r="O53" s="55">
        <f t="shared" si="39"/>
        <v>9</v>
      </c>
      <c r="P53" s="55">
        <f t="shared" si="40"/>
        <v>13</v>
      </c>
      <c r="Q53" s="55" t="e">
        <f t="shared" si="41"/>
        <v>#VALUE!</v>
      </c>
      <c r="R53" s="55">
        <f t="shared" si="42"/>
        <v>22</v>
      </c>
      <c r="S53" s="55" t="str">
        <f>IFERROR(VLOOKUP(MID(N53,Q53,R53-Q53),[5]skilldef!$C:$D,2,FALSE),"-") &amp; " / " &amp; IFERROR(VLOOKUP(MID(N53,O53,P53-O53),[5]skilldef!$A:$B,2,FALSE),"-")</f>
        <v>- / 連続攻撃</v>
      </c>
      <c r="T53" s="42" t="str">
        <f t="shared" si="43"/>
        <v>none</v>
      </c>
      <c r="U53" s="55" t="e">
        <f t="shared" si="44"/>
        <v>#VALUE!</v>
      </c>
      <c r="V53" s="55">
        <f t="shared" si="45"/>
        <v>4</v>
      </c>
      <c r="W53" s="55" t="e">
        <f t="shared" si="46"/>
        <v>#VALUE!</v>
      </c>
      <c r="X53" s="55" t="e">
        <f t="shared" si="47"/>
        <v>#VALUE!</v>
      </c>
      <c r="Y53" s="55" t="str">
        <f>IFERROR(VLOOKUP(MID(T53,W53,X53-W53),[5]skilldef!$C:$D,2,FALSE),"-") &amp; " / " &amp; IFERROR(VLOOKUP(MID(T53,U53,V53-U53),[5]skilldef!$A:$B,2,FALSE),"-")</f>
        <v>- / -</v>
      </c>
      <c r="Z53" s="44"/>
      <c r="AA53" s="46"/>
      <c r="AB53" s="44"/>
      <c r="AC53" s="136" t="s">
        <v>362</v>
      </c>
    </row>
    <row r="54" spans="1:29" ht="43" customHeight="1" x14ac:dyDescent="0.15">
      <c r="A54" s="214">
        <v>48701051</v>
      </c>
      <c r="B54" s="42" t="str">
        <f t="shared" si="32"/>
        <v>[effect:enemy_message, val1:1.2, val2:3.1],[effect:damage_abnormal, target:unit_one, val:0.4, status:heal, turn:3, val_abnormal:0.5, calc:mul],[effect:damage_abnormal, target:unit_one, val:0.4, status:heal, turn:3, val_abnormal:0.5, calc:mul],[effect:damage_abnormal, target:unit_one, val:0.4, status:heal, turn:3, val_abnormal:0.5, calc:mul]</v>
      </c>
      <c r="C54" s="44">
        <v>1</v>
      </c>
      <c r="D54" s="44" t="s">
        <v>194</v>
      </c>
      <c r="E54" s="45" t="s">
        <v>437</v>
      </c>
      <c r="F54" s="45" t="s">
        <v>376</v>
      </c>
      <c r="G54" s="55" t="str">
        <f t="shared" si="33"/>
        <v>[effect:enemy_message, val1:1.2, val2:3.1]</v>
      </c>
      <c r="H54" s="55">
        <f t="shared" si="34"/>
        <v>9</v>
      </c>
      <c r="I54" s="55">
        <f t="shared" si="35"/>
        <v>22</v>
      </c>
      <c r="J54" s="55" t="e">
        <f t="shared" si="36"/>
        <v>#VALUE!</v>
      </c>
      <c r="K54" s="55">
        <f t="shared" si="37"/>
        <v>32</v>
      </c>
      <c r="L54" s="55" t="str">
        <f>IFERROR(VLOOKUP(MID(G54,J54,K54-J54),[5]skilldef!$C:$D,2,FALSE),"-") &amp; " / " &amp; IFERROR(VLOOKUP(MID(G54,H54,I54-H54),[5]skilldef!$A:$B,2,FALSE),"-")</f>
        <v>- / -</v>
      </c>
      <c r="M54" s="55" t="str">
        <f t="shared" si="38"/>
        <v>[effect:damage_abnormal, target:unit_one, val:0.4, status:heal, turn:3, val_abnormal:0.5, calc:mul],[effect:damage_abnormal, target:unit_one, val:0.4, status:heal, turn:3, val_abnormal:0.5, calc:mul],[effect:damage_abnormal, target:unit_one, val:0.4, status:heal, turn:3, val_abnormal:0.5, calc:mul]</v>
      </c>
      <c r="N54" s="42" t="str">
        <f>IFERROR(LEFT(M54,FIND("],",M54)+#REF!),M54)</f>
        <v>[effect:damage_abnormal, target:unit_one, val:0.4, status:heal, turn:3, val_abnormal:0.5, calc:mul],[effect:damage_abnormal, target:unit_one, val:0.4, status:heal, turn:3, val_abnormal:0.5, calc:mul],[effect:damage_abnormal, target:unit_one, val:0.4, status:heal, turn:3, val_abnormal:0.5, calc:mul]</v>
      </c>
      <c r="O54" s="55">
        <f t="shared" si="39"/>
        <v>9</v>
      </c>
      <c r="P54" s="55">
        <f t="shared" si="40"/>
        <v>24</v>
      </c>
      <c r="Q54" s="55">
        <f t="shared" si="41"/>
        <v>33</v>
      </c>
      <c r="R54" s="55">
        <f t="shared" si="42"/>
        <v>41</v>
      </c>
      <c r="S54" s="55" t="str">
        <f>IFERROR(VLOOKUP(MID(N54,Q54,R54-Q54),[5]skilldef!$C:$D,2,FALSE),"-") &amp; " / " &amp; IFERROR(VLOOKUP(MID(N54,O54,P54-O54),[5]skilldef!$A:$B,2,FALSE),"-")</f>
        <v>味方単体に / -</v>
      </c>
      <c r="T54" s="42" t="str">
        <f t="shared" si="43"/>
        <v>[effect:damage_abnormal, target:unit_one, val:0.4, status:heal, turn:3, val_abnormal:0.5, calc:mul],[effect:damage_abnormal, target:unit_one, val:0.4, status:heal, turn:3, val_abnormal:0.5, calc:mul]</v>
      </c>
      <c r="U54" s="55">
        <f t="shared" si="44"/>
        <v>9</v>
      </c>
      <c r="V54" s="55">
        <f t="shared" si="45"/>
        <v>24</v>
      </c>
      <c r="W54" s="55">
        <f t="shared" si="46"/>
        <v>33</v>
      </c>
      <c r="X54" s="55">
        <f t="shared" si="47"/>
        <v>41</v>
      </c>
      <c r="Y54" s="55" t="str">
        <f>IFERROR(VLOOKUP(MID(T54,W54,X54-W54),[5]skilldef!$C:$D,2,FALSE),"-") &amp; " / " &amp; IFERROR(VLOOKUP(MID(T54,U54,V54-U54),[5]skilldef!$A:$B,2,FALSE),"-")</f>
        <v>味方単体に / -</v>
      </c>
      <c r="Z54" s="44"/>
      <c r="AA54" s="46"/>
      <c r="AB54" s="44"/>
      <c r="AC54" s="136" t="s">
        <v>487</v>
      </c>
    </row>
    <row r="55" spans="1:29" ht="43" customHeight="1" x14ac:dyDescent="0.15">
      <c r="A55" s="214">
        <v>48701052</v>
      </c>
      <c r="B55" s="42" t="str">
        <f t="shared" si="32"/>
        <v>[effect:enemy_message, val1:1.2, val2:1.7],[effect:break_attack_fix, target:unit_one, val:500, lowest_val:3000, count:7, color:green, block01:block_yellow]</v>
      </c>
      <c r="C55" s="44">
        <v>1</v>
      </c>
      <c r="D55" s="44" t="s">
        <v>194</v>
      </c>
      <c r="E55" s="45" t="s">
        <v>439</v>
      </c>
      <c r="F55" s="45" t="s">
        <v>510</v>
      </c>
      <c r="G55" s="55" t="str">
        <f t="shared" si="33"/>
        <v>[effect:enemy_message, val1:1.2, val2:1.7]</v>
      </c>
      <c r="H55" s="55">
        <f t="shared" si="34"/>
        <v>9</v>
      </c>
      <c r="I55" s="55">
        <f t="shared" si="35"/>
        <v>22</v>
      </c>
      <c r="J55" s="55" t="e">
        <f t="shared" si="36"/>
        <v>#VALUE!</v>
      </c>
      <c r="K55" s="55">
        <f t="shared" si="37"/>
        <v>32</v>
      </c>
      <c r="L55" s="55" t="str">
        <f>IFERROR(VLOOKUP(MID(G55,J55,K55-J55),[5]skilldef!$C:$D,2,FALSE),"-") &amp; " / " &amp; IFERROR(VLOOKUP(MID(G55,H55,I55-H55),[5]skilldef!$A:$B,2,FALSE),"-")</f>
        <v>- / -</v>
      </c>
      <c r="M55" s="55" t="str">
        <f t="shared" si="38"/>
        <v>[effect:break_attack_fix, target:unit_one, val:500, lowest_val:3000, count:7, color:green, block01:block_yellow]</v>
      </c>
      <c r="N55" s="42" t="str">
        <f>IFERROR(LEFT(M55,FIND("],",M55)+#REF!),M55)</f>
        <v>[effect:break_attack_fix, target:unit_one, val:500, lowest_val:3000, count:7, color:green, block01:block_yellow]</v>
      </c>
      <c r="O55" s="55">
        <f t="shared" si="39"/>
        <v>9</v>
      </c>
      <c r="P55" s="55">
        <f t="shared" si="40"/>
        <v>25</v>
      </c>
      <c r="Q55" s="55">
        <f t="shared" si="41"/>
        <v>34</v>
      </c>
      <c r="R55" s="55">
        <f t="shared" si="42"/>
        <v>42</v>
      </c>
      <c r="S55" s="55" t="str">
        <f>IFERROR(VLOOKUP(MID(N55,Q55,R55-Q55),[5]skilldef!$C:$D,2,FALSE),"-") &amp; " / " &amp; IFERROR(VLOOKUP(MID(N55,O55,P55-O55),[5]skilldef!$A:$B,2,FALSE),"-")</f>
        <v>味方単体に / -</v>
      </c>
      <c r="T55" s="42" t="str">
        <f t="shared" si="43"/>
        <v>none</v>
      </c>
      <c r="U55" s="55" t="e">
        <f t="shared" si="44"/>
        <v>#VALUE!</v>
      </c>
      <c r="V55" s="55">
        <f t="shared" si="45"/>
        <v>4</v>
      </c>
      <c r="W55" s="55" t="e">
        <f t="shared" si="46"/>
        <v>#VALUE!</v>
      </c>
      <c r="X55" s="55" t="e">
        <f t="shared" si="47"/>
        <v>#VALUE!</v>
      </c>
      <c r="Y55" s="55" t="str">
        <f>IFERROR(VLOOKUP(MID(T55,W55,X55-W55),[5]skilldef!$C:$D,2,FALSE),"-") &amp; " / " &amp; IFERROR(VLOOKUP(MID(T55,U55,V55-U55),[5]skilldef!$A:$B,2,FALSE),"-")</f>
        <v>- / -</v>
      </c>
      <c r="Z55" s="44"/>
      <c r="AA55" s="46"/>
      <c r="AB55" s="44"/>
      <c r="AC55" s="136" t="s">
        <v>361</v>
      </c>
    </row>
    <row r="56" spans="1:29" ht="43" customHeight="1" x14ac:dyDescent="0.15">
      <c r="A56" s="214">
        <v>48701053</v>
      </c>
      <c r="B56" s="42" t="str">
        <f t="shared" si="32"/>
        <v>[effect:enemy_message, val1:1.2, val2:1.7],[effect:break_attack_fix, target:unit_one, val:500, lowest_val:3000, count:7, color:green, block01:block_green]</v>
      </c>
      <c r="C56" s="44">
        <v>1</v>
      </c>
      <c r="D56" s="44" t="s">
        <v>194</v>
      </c>
      <c r="E56" s="45" t="s">
        <v>441</v>
      </c>
      <c r="F56" s="45" t="s">
        <v>512</v>
      </c>
      <c r="G56" s="55" t="str">
        <f t="shared" si="33"/>
        <v>[effect:enemy_message, val1:1.2, val2:1.7]</v>
      </c>
      <c r="H56" s="55">
        <f t="shared" si="34"/>
        <v>9</v>
      </c>
      <c r="I56" s="55">
        <f t="shared" si="35"/>
        <v>22</v>
      </c>
      <c r="J56" s="55" t="e">
        <f t="shared" si="36"/>
        <v>#VALUE!</v>
      </c>
      <c r="K56" s="55">
        <f t="shared" si="37"/>
        <v>32</v>
      </c>
      <c r="L56" s="55" t="str">
        <f>IFERROR(VLOOKUP(MID(G56,J56,K56-J56),[5]skilldef!$C:$D,2,FALSE),"-") &amp; " / " &amp; IFERROR(VLOOKUP(MID(G56,H56,I56-H56),[5]skilldef!$A:$B,2,FALSE),"-")</f>
        <v>- / -</v>
      </c>
      <c r="M56" s="55" t="str">
        <f t="shared" si="38"/>
        <v>[effect:break_attack_fix, target:unit_one, val:500, lowest_val:3000, count:7, color:green, block01:block_green]</v>
      </c>
      <c r="N56" s="42" t="str">
        <f>IFERROR(LEFT(M56,FIND("],",M56)+#REF!),M56)</f>
        <v>[effect:break_attack_fix, target:unit_one, val:500, lowest_val:3000, count:7, color:green, block01:block_green]</v>
      </c>
      <c r="O56" s="55">
        <f t="shared" si="39"/>
        <v>9</v>
      </c>
      <c r="P56" s="55">
        <f t="shared" si="40"/>
        <v>25</v>
      </c>
      <c r="Q56" s="55">
        <f t="shared" si="41"/>
        <v>34</v>
      </c>
      <c r="R56" s="55">
        <f t="shared" si="42"/>
        <v>42</v>
      </c>
      <c r="S56" s="55" t="str">
        <f>IFERROR(VLOOKUP(MID(N56,Q56,R56-Q56),[5]skilldef!$C:$D,2,FALSE),"-") &amp; " / " &amp; IFERROR(VLOOKUP(MID(N56,O56,P56-O56),[5]skilldef!$A:$B,2,FALSE),"-")</f>
        <v>味方単体に / -</v>
      </c>
      <c r="T56" s="42" t="str">
        <f t="shared" si="43"/>
        <v>none</v>
      </c>
      <c r="U56" s="55" t="e">
        <f t="shared" si="44"/>
        <v>#VALUE!</v>
      </c>
      <c r="V56" s="55">
        <f t="shared" si="45"/>
        <v>4</v>
      </c>
      <c r="W56" s="55" t="e">
        <f t="shared" si="46"/>
        <v>#VALUE!</v>
      </c>
      <c r="X56" s="55" t="e">
        <f t="shared" si="47"/>
        <v>#VALUE!</v>
      </c>
      <c r="Y56" s="55" t="str">
        <f>IFERROR(VLOOKUP(MID(T56,W56,X56-W56),[5]skilldef!$C:$D,2,FALSE),"-") &amp; " / " &amp; IFERROR(VLOOKUP(MID(T56,U56,V56-U56),[5]skilldef!$A:$B,2,FALSE),"-")</f>
        <v>- / -</v>
      </c>
      <c r="Z56" s="44"/>
      <c r="AA56" s="46"/>
      <c r="AB56" s="44"/>
      <c r="AC56" s="136" t="s">
        <v>343</v>
      </c>
    </row>
    <row r="57" spans="1:29" ht="43" customHeight="1" x14ac:dyDescent="0.15">
      <c r="A57" s="214">
        <v>48701054</v>
      </c>
      <c r="B57" s="42" t="s">
        <v>463</v>
      </c>
      <c r="C57" s="44">
        <v>1</v>
      </c>
      <c r="D57" s="44" t="s">
        <v>194</v>
      </c>
      <c r="E57" s="45" t="s">
        <v>436</v>
      </c>
      <c r="F57" s="144" t="s">
        <v>401</v>
      </c>
      <c r="G57" s="55" t="str">
        <f t="shared" si="33"/>
        <v>[effect:enemy_message, val1:2.1, val2:2.7]</v>
      </c>
      <c r="H57" s="55">
        <f t="shared" si="34"/>
        <v>9</v>
      </c>
      <c r="I57" s="55">
        <f t="shared" si="35"/>
        <v>22</v>
      </c>
      <c r="J57" s="55" t="e">
        <f t="shared" si="36"/>
        <v>#VALUE!</v>
      </c>
      <c r="K57" s="55">
        <f t="shared" si="37"/>
        <v>32</v>
      </c>
      <c r="L57" s="55" t="str">
        <f>IFERROR(VLOOKUP(MID(G57,J57,K57-J57),[5]skilldef!$C:$D,2,FALSE),"-") &amp; " / " &amp; IFERROR(VLOOKUP(MID(G57,H57,I57-H57),[5]skilldef!$A:$B,2,FALSE),"-")</f>
        <v>- / -</v>
      </c>
      <c r="M57" s="55" t="str">
        <f t="shared" si="38"/>
        <v>none</v>
      </c>
      <c r="N57" s="42" t="str">
        <f>IFERROR(LEFT(M57,FIND("],",M57)+#REF!),M57)</f>
        <v>none</v>
      </c>
      <c r="O57" s="55" t="e">
        <f t="shared" si="39"/>
        <v>#VALUE!</v>
      </c>
      <c r="P57" s="55">
        <f t="shared" si="40"/>
        <v>4</v>
      </c>
      <c r="Q57" s="55" t="e">
        <f t="shared" si="41"/>
        <v>#VALUE!</v>
      </c>
      <c r="R57" s="55" t="e">
        <f t="shared" si="42"/>
        <v>#VALUE!</v>
      </c>
      <c r="S57" s="55" t="str">
        <f>IFERROR(VLOOKUP(MID(N57,Q57,R57-Q57),[5]skilldef!$C:$D,2,FALSE),"-") &amp; " / " &amp; IFERROR(VLOOKUP(MID(N57,O57,P57-O57),[5]skilldef!$A:$B,2,FALSE),"-")</f>
        <v>- / -</v>
      </c>
      <c r="T57" s="42" t="str">
        <f t="shared" si="43"/>
        <v>none</v>
      </c>
      <c r="U57" s="55" t="e">
        <f t="shared" si="44"/>
        <v>#VALUE!</v>
      </c>
      <c r="V57" s="55">
        <f t="shared" si="45"/>
        <v>4</v>
      </c>
      <c r="W57" s="55" t="e">
        <f t="shared" si="46"/>
        <v>#VALUE!</v>
      </c>
      <c r="X57" s="55" t="e">
        <f t="shared" si="47"/>
        <v>#VALUE!</v>
      </c>
      <c r="Y57" s="55" t="str">
        <f>IFERROR(VLOOKUP(MID(T57,W57,X57-W57),[5]skilldef!$C:$D,2,FALSE),"-") &amp; " / " &amp; IFERROR(VLOOKUP(MID(T57,U57,V57-U57),[5]skilldef!$A:$B,2,FALSE),"-")</f>
        <v>- / -</v>
      </c>
      <c r="Z57" s="44"/>
      <c r="AA57" s="46"/>
      <c r="AB57" s="44"/>
      <c r="AC57" s="136"/>
    </row>
    <row r="58" spans="1:29" ht="43" customHeight="1" thickBot="1" x14ac:dyDescent="0.2">
      <c r="A58" s="215">
        <v>48701055</v>
      </c>
      <c r="B58" s="200" t="s">
        <v>464</v>
      </c>
      <c r="C58" s="201">
        <v>1</v>
      </c>
      <c r="D58" s="201" t="s">
        <v>194</v>
      </c>
      <c r="E58" s="202" t="s">
        <v>400</v>
      </c>
      <c r="F58" s="203" t="s">
        <v>401</v>
      </c>
      <c r="G58" s="204" t="str">
        <f t="shared" si="33"/>
        <v>[effect:enemy_message, val1:1.7, val2:2.7]</v>
      </c>
      <c r="H58" s="204">
        <f t="shared" si="34"/>
        <v>9</v>
      </c>
      <c r="I58" s="204">
        <f t="shared" si="35"/>
        <v>22</v>
      </c>
      <c r="J58" s="204" t="e">
        <f t="shared" si="36"/>
        <v>#VALUE!</v>
      </c>
      <c r="K58" s="204">
        <f t="shared" si="37"/>
        <v>32</v>
      </c>
      <c r="L58" s="204" t="str">
        <f>IFERROR(VLOOKUP(MID(G58,J58,K58-J58),[5]skilldef!$C:$D,2,FALSE),"-") &amp; " / " &amp; IFERROR(VLOOKUP(MID(G58,H58,I58-H58),[5]skilldef!$A:$B,2,FALSE),"-")</f>
        <v>- / -</v>
      </c>
      <c r="M58" s="204" t="str">
        <f t="shared" si="38"/>
        <v>none</v>
      </c>
      <c r="N58" s="200" t="str">
        <f>IFERROR(LEFT(M58,FIND("],",M58)+#REF!),M58)</f>
        <v>none</v>
      </c>
      <c r="O58" s="204" t="e">
        <f t="shared" si="39"/>
        <v>#VALUE!</v>
      </c>
      <c r="P58" s="204">
        <f t="shared" si="40"/>
        <v>4</v>
      </c>
      <c r="Q58" s="204" t="e">
        <f t="shared" si="41"/>
        <v>#VALUE!</v>
      </c>
      <c r="R58" s="204" t="e">
        <f t="shared" si="42"/>
        <v>#VALUE!</v>
      </c>
      <c r="S58" s="204" t="str">
        <f>IFERROR(VLOOKUP(MID(N58,Q58,R58-Q58),[5]skilldef!$C:$D,2,FALSE),"-") &amp; " / " &amp; IFERROR(VLOOKUP(MID(N58,O58,P58-O58),[5]skilldef!$A:$B,2,FALSE),"-")</f>
        <v>- / -</v>
      </c>
      <c r="T58" s="200" t="str">
        <f t="shared" si="43"/>
        <v>none</v>
      </c>
      <c r="U58" s="204" t="e">
        <f t="shared" si="44"/>
        <v>#VALUE!</v>
      </c>
      <c r="V58" s="204">
        <f t="shared" si="45"/>
        <v>4</v>
      </c>
      <c r="W58" s="204" t="e">
        <f t="shared" si="46"/>
        <v>#VALUE!</v>
      </c>
      <c r="X58" s="204" t="e">
        <f t="shared" si="47"/>
        <v>#VALUE!</v>
      </c>
      <c r="Y58" s="204" t="str">
        <f>IFERROR(VLOOKUP(MID(T58,W58,X58-W58),[5]skilldef!$C:$D,2,FALSE),"-") &amp; " / " &amp; IFERROR(VLOOKUP(MID(T58,U58,V58-U58),[5]skilldef!$A:$B,2,FALSE),"-")</f>
        <v>- / -</v>
      </c>
      <c r="Z58" s="201"/>
      <c r="AA58" s="205"/>
      <c r="AB58" s="201"/>
      <c r="AC58" s="206"/>
    </row>
    <row r="59" spans="1:29" ht="42" customHeight="1" x14ac:dyDescent="0.15">
      <c r="A59" s="216">
        <v>48701100</v>
      </c>
      <c r="B59" s="42" t="str">
        <f t="shared" ref="B59:B60" si="48">"[effect:enemy_message, val1:"&amp;TEXT(IF(TEXT(E59,0)="[表示しない]", "0", IF(LEN(SUBSTITUTE(E59,CHAR(13),""))*0.1&lt;1.2, 1.2, LEN(SUBSTITUTE(E59,CHAR(13),""))*0.1)), "0.0")&amp;", val2:"&amp;TEXT(IF(TEXT(F59,0)="[表示しない]", "0", IF(LEN(SUBSTITUTE(F59,CHAR(13),""))*0.1&lt;1.2, 1.2, LEN(F59)*0.1)),"0.0")&amp;"]"&amp;IF(LEN(AC59)&gt;0, ","&amp;AC59,AC59)</f>
        <v>[effect:enemy_message, val1:1.2, val2:1.2],[effect:rush, count:2, val:0.8]</v>
      </c>
      <c r="C59" s="44">
        <v>1</v>
      </c>
      <c r="D59" s="44" t="s">
        <v>249</v>
      </c>
      <c r="E59" s="45" t="s">
        <v>465</v>
      </c>
      <c r="F59" s="45" t="s">
        <v>349</v>
      </c>
      <c r="G59" s="55" t="str">
        <f t="shared" si="33"/>
        <v>[effect:enemy_message, val1:1.2, val2:1.2]</v>
      </c>
      <c r="H59" s="55">
        <f t="shared" si="34"/>
        <v>9</v>
      </c>
      <c r="I59" s="55">
        <f t="shared" si="35"/>
        <v>22</v>
      </c>
      <c r="J59" s="55" t="e">
        <f t="shared" si="36"/>
        <v>#VALUE!</v>
      </c>
      <c r="K59" s="55">
        <f t="shared" si="37"/>
        <v>32</v>
      </c>
      <c r="L59" s="55" t="str">
        <f>IFERROR(VLOOKUP(MID(G59,J59,K59-J59),[5]skilldef!$C:$D,2,FALSE),"-") &amp; " / " &amp; IFERROR(VLOOKUP(MID(G59,H59,I59-H59),[5]skilldef!$A:$B,2,FALSE),"-")</f>
        <v>- / -</v>
      </c>
      <c r="M59" s="55" t="str">
        <f t="shared" si="38"/>
        <v>[effect:rush, count:2, val:0.8]</v>
      </c>
      <c r="N59" s="42" t="str">
        <f>IFERROR(LEFT(M59,FIND("],",M59)+#REF!),M59)</f>
        <v>[effect:rush, count:2, val:0.8]</v>
      </c>
      <c r="O59" s="55">
        <f t="shared" si="39"/>
        <v>9</v>
      </c>
      <c r="P59" s="55">
        <f t="shared" si="40"/>
        <v>13</v>
      </c>
      <c r="Q59" s="55" t="e">
        <f t="shared" si="41"/>
        <v>#VALUE!</v>
      </c>
      <c r="R59" s="55">
        <f t="shared" si="42"/>
        <v>22</v>
      </c>
      <c r="S59" s="55" t="str">
        <f>IFERROR(VLOOKUP(MID(N59,Q59,R59-Q59),[5]skilldef!$C:$D,2,FALSE),"-") &amp; " / " &amp; IFERROR(VLOOKUP(MID(N59,O59,P59-O59),[5]skilldef!$A:$B,2,FALSE),"-")</f>
        <v>- / 連続攻撃</v>
      </c>
      <c r="T59" s="42" t="str">
        <f t="shared" si="43"/>
        <v>none</v>
      </c>
      <c r="U59" s="55" t="e">
        <f t="shared" si="44"/>
        <v>#VALUE!</v>
      </c>
      <c r="V59" s="55">
        <f t="shared" si="45"/>
        <v>4</v>
      </c>
      <c r="W59" s="55" t="e">
        <f t="shared" si="46"/>
        <v>#VALUE!</v>
      </c>
      <c r="X59" s="55" t="e">
        <f t="shared" si="47"/>
        <v>#VALUE!</v>
      </c>
      <c r="Y59" s="55" t="str">
        <f>IFERROR(VLOOKUP(MID(T59,W59,X59-W59),[5]skilldef!$C:$D,2,FALSE),"-") &amp; " / " &amp; IFERROR(VLOOKUP(MID(T59,U59,V59-U59),[5]skilldef!$A:$B,2,FALSE),"-")</f>
        <v>- / -</v>
      </c>
      <c r="Z59" s="44"/>
      <c r="AA59" s="46"/>
      <c r="AB59" s="44"/>
      <c r="AC59" s="136" t="s">
        <v>363</v>
      </c>
    </row>
    <row r="60" spans="1:29" ht="42" customHeight="1" x14ac:dyDescent="0.15">
      <c r="A60" s="216">
        <v>48701101</v>
      </c>
      <c r="B60" s="42" t="str">
        <f t="shared" si="48"/>
        <v>[effect:enemy_message, val1:1.2, val2:1.4]</v>
      </c>
      <c r="C60" s="44">
        <v>1</v>
      </c>
      <c r="D60" s="44" t="s">
        <v>194</v>
      </c>
      <c r="E60" s="45" t="s">
        <v>385</v>
      </c>
      <c r="F60" s="45" t="s">
        <v>387</v>
      </c>
      <c r="G60" s="55" t="str">
        <f t="shared" si="33"/>
        <v>[effect:enemy_message, val1:1.2, val2:1.4]</v>
      </c>
      <c r="H60" s="55">
        <f t="shared" si="34"/>
        <v>9</v>
      </c>
      <c r="I60" s="55">
        <f t="shared" si="35"/>
        <v>22</v>
      </c>
      <c r="J60" s="55" t="e">
        <f t="shared" si="36"/>
        <v>#VALUE!</v>
      </c>
      <c r="K60" s="55">
        <f t="shared" si="37"/>
        <v>32</v>
      </c>
      <c r="L60" s="55" t="str">
        <f>IFERROR(VLOOKUP(MID(G60,J60,K60-J60),[5]skilldef!$C:$D,2,FALSE),"-") &amp; " / " &amp; IFERROR(VLOOKUP(MID(G60,H60,I60-H60),[5]skilldef!$A:$B,2,FALSE),"-")</f>
        <v>- / -</v>
      </c>
      <c r="M60" s="55" t="str">
        <f t="shared" si="38"/>
        <v>none</v>
      </c>
      <c r="N60" s="42" t="str">
        <f>IFERROR(LEFT(M60,FIND("],",M60)+#REF!),M60)</f>
        <v>none</v>
      </c>
      <c r="O60" s="55" t="e">
        <f t="shared" si="39"/>
        <v>#VALUE!</v>
      </c>
      <c r="P60" s="55">
        <f t="shared" si="40"/>
        <v>4</v>
      </c>
      <c r="Q60" s="55" t="e">
        <f t="shared" si="41"/>
        <v>#VALUE!</v>
      </c>
      <c r="R60" s="55" t="e">
        <f t="shared" si="42"/>
        <v>#VALUE!</v>
      </c>
      <c r="S60" s="55" t="str">
        <f>IFERROR(VLOOKUP(MID(N60,Q60,R60-Q60),[5]skilldef!$C:$D,2,FALSE),"-") &amp; " / " &amp; IFERROR(VLOOKUP(MID(N60,O60,P60-O60),[5]skilldef!$A:$B,2,FALSE),"-")</f>
        <v>- / -</v>
      </c>
      <c r="T60" s="42" t="str">
        <f t="shared" si="43"/>
        <v>none</v>
      </c>
      <c r="U60" s="55" t="e">
        <f t="shared" si="44"/>
        <v>#VALUE!</v>
      </c>
      <c r="V60" s="55">
        <f t="shared" si="45"/>
        <v>4</v>
      </c>
      <c r="W60" s="55" t="e">
        <f t="shared" si="46"/>
        <v>#VALUE!</v>
      </c>
      <c r="X60" s="55" t="e">
        <f t="shared" si="47"/>
        <v>#VALUE!</v>
      </c>
      <c r="Y60" s="55" t="str">
        <f>IFERROR(VLOOKUP(MID(T60,W60,X60-W60),[5]skilldef!$C:$D,2,FALSE),"-") &amp; " / " &amp; IFERROR(VLOOKUP(MID(T60,U60,V60-U60),[5]skilldef!$A:$B,2,FALSE),"-")</f>
        <v>- / -</v>
      </c>
      <c r="Z60" s="44"/>
      <c r="AA60" s="46"/>
      <c r="AB60" s="44"/>
      <c r="AC60" s="136"/>
    </row>
    <row r="61" spans="1:29" ht="42" customHeight="1" x14ac:dyDescent="0.15">
      <c r="A61" s="216">
        <v>48701102</v>
      </c>
      <c r="B61" s="42" t="str">
        <f t="shared" ref="B61:B79" si="49">"[effect:enemy_message, val1:"&amp;TEXT(IF(TEXT(E61,0)="[表示しない]", "0", IF(LEN(SUBSTITUTE(E61,CHAR(13),""))*0.1&lt;1.2, 1.2, LEN(SUBSTITUTE(E61,CHAR(13),""))*0.1)), "0.0")&amp;", val2:"&amp;TEXT(IF(TEXT(F61,0)="[表示しない]", "0", IF(LEN(SUBSTITUTE(F61,CHAR(13),""))*0.1&lt;1.2, 1.2, LEN(SUBSTITUTE(F61,CHAR(13),""))*0.1)),"0.0")&amp;"]"&amp;IF(LEN(AC61)&gt;0, ","&amp;AC61,AC61)</f>
        <v>[effect:enemy_message, val1:1.8, val2:1.3]</v>
      </c>
      <c r="C61" s="44">
        <v>1</v>
      </c>
      <c r="D61" s="44" t="s">
        <v>194</v>
      </c>
      <c r="E61" s="45" t="s">
        <v>384</v>
      </c>
      <c r="F61" s="45" t="s">
        <v>388</v>
      </c>
      <c r="G61" s="55" t="str">
        <f t="shared" si="33"/>
        <v>[effect:enemy_message, val1:1.8, val2:1.3]</v>
      </c>
      <c r="H61" s="55">
        <f t="shared" si="34"/>
        <v>9</v>
      </c>
      <c r="I61" s="55">
        <f t="shared" si="35"/>
        <v>22</v>
      </c>
      <c r="J61" s="55" t="e">
        <f t="shared" si="36"/>
        <v>#VALUE!</v>
      </c>
      <c r="K61" s="55">
        <f t="shared" si="37"/>
        <v>32</v>
      </c>
      <c r="L61" s="55" t="str">
        <f>IFERROR(VLOOKUP(MID(G61,J61,K61-J61),[5]skilldef!$C:$D,2,FALSE),"-") &amp; " / " &amp; IFERROR(VLOOKUP(MID(G61,H61,I61-H61),[5]skilldef!$A:$B,2,FALSE),"-")</f>
        <v>- / -</v>
      </c>
      <c r="M61" s="55" t="str">
        <f t="shared" si="38"/>
        <v>none</v>
      </c>
      <c r="N61" s="42" t="str">
        <f>IFERROR(LEFT(M61,FIND("],",M61)+#REF!),M61)</f>
        <v>none</v>
      </c>
      <c r="O61" s="55" t="e">
        <f t="shared" si="39"/>
        <v>#VALUE!</v>
      </c>
      <c r="P61" s="55">
        <f t="shared" si="40"/>
        <v>4</v>
      </c>
      <c r="Q61" s="55" t="e">
        <f t="shared" si="41"/>
        <v>#VALUE!</v>
      </c>
      <c r="R61" s="55" t="e">
        <f t="shared" si="42"/>
        <v>#VALUE!</v>
      </c>
      <c r="S61" s="55" t="str">
        <f>IFERROR(VLOOKUP(MID(N61,Q61,R61-Q61),[5]skilldef!$C:$D,2,FALSE),"-") &amp; " / " &amp; IFERROR(VLOOKUP(MID(N61,O61,P61-O61),[5]skilldef!$A:$B,2,FALSE),"-")</f>
        <v>- / -</v>
      </c>
      <c r="T61" s="42" t="str">
        <f t="shared" si="43"/>
        <v>none</v>
      </c>
      <c r="U61" s="55" t="e">
        <f t="shared" si="44"/>
        <v>#VALUE!</v>
      </c>
      <c r="V61" s="55">
        <f t="shared" si="45"/>
        <v>4</v>
      </c>
      <c r="W61" s="55" t="e">
        <f t="shared" si="46"/>
        <v>#VALUE!</v>
      </c>
      <c r="X61" s="55" t="e">
        <f t="shared" si="47"/>
        <v>#VALUE!</v>
      </c>
      <c r="Y61" s="55" t="str">
        <f>IFERROR(VLOOKUP(MID(T61,W61,X61-W61),[5]skilldef!$C:$D,2,FALSE),"-") &amp; " / " &amp; IFERROR(VLOOKUP(MID(T61,U61,V61-U61),[5]skilldef!$A:$B,2,FALSE),"-")</f>
        <v>- / -</v>
      </c>
      <c r="Z61" s="44"/>
      <c r="AA61" s="46"/>
      <c r="AB61" s="44"/>
      <c r="AC61" s="136"/>
    </row>
    <row r="62" spans="1:29" ht="42" customHeight="1" x14ac:dyDescent="0.15">
      <c r="A62" s="216">
        <v>48701103</v>
      </c>
      <c r="B62" s="42" t="str">
        <f t="shared" si="49"/>
        <v>[effect:enemy_message, val1:1.7, val2:1.9],[effect:sp_boost, target:unit_all, val:3, animation:sp_boost_one03]</v>
      </c>
      <c r="C62" s="44">
        <v>1</v>
      </c>
      <c r="D62" s="44" t="s">
        <v>194</v>
      </c>
      <c r="E62" s="144" t="s">
        <v>449</v>
      </c>
      <c r="F62" s="144" t="s">
        <v>372</v>
      </c>
      <c r="G62" s="55" t="str">
        <f t="shared" si="33"/>
        <v>[effect:enemy_message, val1:1.7, val2:1.9]</v>
      </c>
      <c r="H62" s="55">
        <f t="shared" si="34"/>
        <v>9</v>
      </c>
      <c r="I62" s="55">
        <f t="shared" si="35"/>
        <v>22</v>
      </c>
      <c r="J62" s="55" t="e">
        <f t="shared" si="36"/>
        <v>#VALUE!</v>
      </c>
      <c r="K62" s="55">
        <f t="shared" si="37"/>
        <v>32</v>
      </c>
      <c r="L62" s="55" t="str">
        <f>IFERROR(VLOOKUP(MID(G62,J62,K62-J62),[5]skilldef!$C:$D,2,FALSE),"-") &amp; " / " &amp; IFERROR(VLOOKUP(MID(G62,H62,I62-H62),[5]skilldef!$A:$B,2,FALSE),"-")</f>
        <v>- / -</v>
      </c>
      <c r="M62" s="55" t="str">
        <f t="shared" si="38"/>
        <v>[effect:sp_boost, target:unit_all, val:3, animation:sp_boost_one03]</v>
      </c>
      <c r="N62" s="42" t="str">
        <f>IFERROR(LEFT(M62,FIND("],",M62)+#REF!),M62)</f>
        <v>[effect:sp_boost, target:unit_all, val:3, animation:sp_boost_one03]</v>
      </c>
      <c r="O62" s="55">
        <f t="shared" si="39"/>
        <v>9</v>
      </c>
      <c r="P62" s="55">
        <f t="shared" si="40"/>
        <v>17</v>
      </c>
      <c r="Q62" s="55">
        <f t="shared" si="41"/>
        <v>26</v>
      </c>
      <c r="R62" s="55">
        <f t="shared" si="42"/>
        <v>34</v>
      </c>
      <c r="S62" s="55" t="str">
        <f>IFERROR(VLOOKUP(MID(N62,Q62,R62-Q62),[5]skilldef!$C:$D,2,FALSE),"-") &amp; " / " &amp; IFERROR(VLOOKUP(MID(N62,O62,P62-O62),[5]skilldef!$A:$B,2,FALSE),"-")</f>
        <v>味方全体に / -</v>
      </c>
      <c r="T62" s="42" t="str">
        <f t="shared" si="43"/>
        <v>none</v>
      </c>
      <c r="U62" s="55" t="e">
        <f t="shared" si="44"/>
        <v>#VALUE!</v>
      </c>
      <c r="V62" s="55">
        <f t="shared" si="45"/>
        <v>4</v>
      </c>
      <c r="W62" s="55" t="e">
        <f t="shared" si="46"/>
        <v>#VALUE!</v>
      </c>
      <c r="X62" s="55" t="e">
        <f t="shared" si="47"/>
        <v>#VALUE!</v>
      </c>
      <c r="Y62" s="55" t="str">
        <f>IFERROR(VLOOKUP(MID(T62,W62,X62-W62),[5]skilldef!$C:$D,2,FALSE),"-") &amp; " / " &amp; IFERROR(VLOOKUP(MID(T62,U62,V62-U62),[5]skilldef!$A:$B,2,FALSE),"-")</f>
        <v>- / -</v>
      </c>
      <c r="Z62" s="44"/>
      <c r="AA62" s="46"/>
      <c r="AB62" s="44"/>
      <c r="AC62" s="136" t="s">
        <v>344</v>
      </c>
    </row>
    <row r="63" spans="1:29" ht="42" customHeight="1" x14ac:dyDescent="0.15">
      <c r="A63" s="216">
        <v>48701104</v>
      </c>
      <c r="B63" s="42" t="str">
        <f t="shared" si="49"/>
        <v>[effect:enemy_message, val1:2.0, val2:1.2],[effect:critical, val:1.2, animation:enemy_critical]</v>
      </c>
      <c r="C63" s="44">
        <v>1</v>
      </c>
      <c r="D63" s="44" t="s">
        <v>194</v>
      </c>
      <c r="E63" s="45" t="s">
        <v>404</v>
      </c>
      <c r="F63" s="45" t="s">
        <v>253</v>
      </c>
      <c r="G63" s="55" t="str">
        <f t="shared" si="33"/>
        <v>[effect:enemy_message, val1:2.0, val2:1.2]</v>
      </c>
      <c r="H63" s="55">
        <f t="shared" si="34"/>
        <v>9</v>
      </c>
      <c r="I63" s="55">
        <f t="shared" si="35"/>
        <v>22</v>
      </c>
      <c r="J63" s="55" t="e">
        <f t="shared" si="36"/>
        <v>#VALUE!</v>
      </c>
      <c r="K63" s="55">
        <f t="shared" si="37"/>
        <v>32</v>
      </c>
      <c r="L63" s="55" t="str">
        <f>IFERROR(VLOOKUP(MID(G63,J63,K63-J63),[5]skilldef!$C:$D,2,FALSE),"-") &amp; " / " &amp; IFERROR(VLOOKUP(MID(G63,H63,I63-H63),[5]skilldef!$A:$B,2,FALSE),"-")</f>
        <v>- / -</v>
      </c>
      <c r="M63" s="55" t="str">
        <f t="shared" si="38"/>
        <v>[effect:critical, val:1.2, animation:enemy_critical]</v>
      </c>
      <c r="N63" s="42" t="str">
        <f>IFERROR(LEFT(M63,FIND("],",M63)+#REF!),M63)</f>
        <v>[effect:critical, val:1.2, animation:enemy_critical]</v>
      </c>
      <c r="O63" s="55">
        <f t="shared" si="39"/>
        <v>9</v>
      </c>
      <c r="P63" s="55">
        <f t="shared" si="40"/>
        <v>17</v>
      </c>
      <c r="Q63" s="55" t="e">
        <f t="shared" si="41"/>
        <v>#VALUE!</v>
      </c>
      <c r="R63" s="55">
        <f t="shared" si="42"/>
        <v>26</v>
      </c>
      <c r="S63" s="55" t="str">
        <f>IFERROR(VLOOKUP(MID(N63,Q63,R63-Q63),[5]skilldef!$C:$D,2,FALSE),"-") &amp; " / " &amp; IFERROR(VLOOKUP(MID(N63,O63,P63-O63),[5]skilldef!$A:$B,2,FALSE),"-")</f>
        <v>- / 大攻撃</v>
      </c>
      <c r="T63" s="42" t="str">
        <f t="shared" si="43"/>
        <v>none</v>
      </c>
      <c r="U63" s="55" t="e">
        <f t="shared" si="44"/>
        <v>#VALUE!</v>
      </c>
      <c r="V63" s="55">
        <f t="shared" si="45"/>
        <v>4</v>
      </c>
      <c r="W63" s="55" t="e">
        <f t="shared" si="46"/>
        <v>#VALUE!</v>
      </c>
      <c r="X63" s="55" t="e">
        <f t="shared" si="47"/>
        <v>#VALUE!</v>
      </c>
      <c r="Y63" s="55" t="str">
        <f>IFERROR(VLOOKUP(MID(T63,W63,X63-W63),[5]skilldef!$C:$D,2,FALSE),"-") &amp; " / " &amp; IFERROR(VLOOKUP(MID(T63,U63,V63-U63),[5]skilldef!$A:$B,2,FALSE),"-")</f>
        <v>- / -</v>
      </c>
      <c r="Z63" s="44"/>
      <c r="AA63" s="46"/>
      <c r="AB63" s="44"/>
      <c r="AC63" s="136" t="s">
        <v>450</v>
      </c>
    </row>
    <row r="64" spans="1:29" ht="42" customHeight="1" x14ac:dyDescent="0.15">
      <c r="A64" s="216">
        <v>48701105</v>
      </c>
      <c r="B64" s="42" t="str">
        <f t="shared" si="49"/>
        <v>[effect:enemy_message, val1:1.3, val2:2.9],[effect:damage_abnormal, target:unit_one, val:1.0, status:attack, turn:2, val_abnormal:0.5, calc:mul, animation:attack_break01]</v>
      </c>
      <c r="C64" s="44">
        <v>1</v>
      </c>
      <c r="D64" s="44" t="s">
        <v>194</v>
      </c>
      <c r="E64" s="45" t="s">
        <v>405</v>
      </c>
      <c r="F64" s="45" t="s">
        <v>373</v>
      </c>
      <c r="G64" s="55" t="str">
        <f t="shared" si="33"/>
        <v>[effect:enemy_message, val1:1.3, val2:2.9]</v>
      </c>
      <c r="H64" s="55">
        <f t="shared" si="34"/>
        <v>9</v>
      </c>
      <c r="I64" s="55">
        <f t="shared" si="35"/>
        <v>22</v>
      </c>
      <c r="J64" s="55" t="e">
        <f t="shared" si="36"/>
        <v>#VALUE!</v>
      </c>
      <c r="K64" s="55">
        <f t="shared" si="37"/>
        <v>32</v>
      </c>
      <c r="L64" s="55" t="str">
        <f>IFERROR(VLOOKUP(MID(G64,J64,K64-J64),[5]skilldef!$C:$D,2,FALSE),"-") &amp; " / " &amp; IFERROR(VLOOKUP(MID(G64,H64,I64-H64),[5]skilldef!$A:$B,2,FALSE),"-")</f>
        <v>- / -</v>
      </c>
      <c r="M64" s="55" t="str">
        <f t="shared" si="38"/>
        <v>[effect:damage_abnormal, target:unit_one, val:1.0, status:attack, turn:2, val_abnormal:0.5, calc:mul, animation:attack_break01]</v>
      </c>
      <c r="N64" s="42" t="str">
        <f>IFERROR(LEFT(M64,FIND("],",M64)+#REF!),M64)</f>
        <v>[effect:damage_abnormal, target:unit_one, val:1.0, status:attack, turn:2, val_abnormal:0.5, calc:mul, animation:attack_break01]</v>
      </c>
      <c r="O64" s="55">
        <f t="shared" si="39"/>
        <v>9</v>
      </c>
      <c r="P64" s="55">
        <f t="shared" si="40"/>
        <v>24</v>
      </c>
      <c r="Q64" s="55">
        <f t="shared" si="41"/>
        <v>33</v>
      </c>
      <c r="R64" s="55">
        <f t="shared" si="42"/>
        <v>41</v>
      </c>
      <c r="S64" s="55" t="str">
        <f>IFERROR(VLOOKUP(MID(N64,Q64,R64-Q64),[5]skilldef!$C:$D,2,FALSE),"-") &amp; " / " &amp; IFERROR(VLOOKUP(MID(N64,O64,P64-O64),[5]skilldef!$A:$B,2,FALSE),"-")</f>
        <v>味方単体に / -</v>
      </c>
      <c r="T64" s="42" t="str">
        <f t="shared" si="43"/>
        <v>none</v>
      </c>
      <c r="U64" s="55" t="e">
        <f t="shared" si="44"/>
        <v>#VALUE!</v>
      </c>
      <c r="V64" s="55">
        <f t="shared" si="45"/>
        <v>4</v>
      </c>
      <c r="W64" s="55" t="e">
        <f t="shared" si="46"/>
        <v>#VALUE!</v>
      </c>
      <c r="X64" s="55" t="e">
        <f t="shared" si="47"/>
        <v>#VALUE!</v>
      </c>
      <c r="Y64" s="55" t="str">
        <f>IFERROR(VLOOKUP(MID(T64,W64,X64-W64),[5]skilldef!$C:$D,2,FALSE),"-") &amp; " / " &amp; IFERROR(VLOOKUP(MID(T64,U64,V64-U64),[5]skilldef!$A:$B,2,FALSE),"-")</f>
        <v>- / -</v>
      </c>
      <c r="Z64" s="44"/>
      <c r="AA64" s="46"/>
      <c r="AB64" s="44"/>
      <c r="AC64" s="136" t="s">
        <v>467</v>
      </c>
    </row>
    <row r="65" spans="1:29" ht="42" customHeight="1" x14ac:dyDescent="0.15">
      <c r="A65" s="216">
        <v>48701106</v>
      </c>
      <c r="B65" s="42" t="str">
        <f t="shared" si="49"/>
        <v>[effect:enemy_message, val1:1.9, val2:1.2],[effect:tolerance, target:myself, turn:-1, count:-1, tolerance_effect:all, animation:enemy_tolerance]</v>
      </c>
      <c r="C65" s="44">
        <v>1</v>
      </c>
      <c r="D65" s="44" t="s">
        <v>194</v>
      </c>
      <c r="E65" s="45" t="s">
        <v>504</v>
      </c>
      <c r="F65" s="45" t="s">
        <v>263</v>
      </c>
      <c r="G65" s="55" t="str">
        <f t="shared" si="33"/>
        <v>[effect:enemy_message, val1:1.9, val2:1.2]</v>
      </c>
      <c r="H65" s="55">
        <f t="shared" si="34"/>
        <v>9</v>
      </c>
      <c r="I65" s="55">
        <f t="shared" si="35"/>
        <v>22</v>
      </c>
      <c r="J65" s="55" t="e">
        <f t="shared" si="36"/>
        <v>#VALUE!</v>
      </c>
      <c r="K65" s="55">
        <f t="shared" si="37"/>
        <v>32</v>
      </c>
      <c r="L65" s="55" t="str">
        <f>IFERROR(VLOOKUP(MID(G65,J65,K65-J65),[5]skilldef!$C:$D,2,FALSE),"-") &amp; " / " &amp; IFERROR(VLOOKUP(MID(G65,H65,I65-H65),[5]skilldef!$A:$B,2,FALSE),"-")</f>
        <v>- / -</v>
      </c>
      <c r="M65" s="55" t="str">
        <f t="shared" si="38"/>
        <v>[effect:tolerance, target:myself, turn:-1, count:-1, tolerance_effect:all, animation:enemy_tolerance]</v>
      </c>
      <c r="N65" s="42" t="str">
        <f>IFERROR(LEFT(M65,FIND("],",M65)+#REF!),M65)</f>
        <v>[effect:tolerance, target:myself, turn:-1, count:-1, tolerance_effect:all, animation:enemy_tolerance]</v>
      </c>
      <c r="O65" s="55">
        <f t="shared" si="39"/>
        <v>9</v>
      </c>
      <c r="P65" s="55">
        <f t="shared" si="40"/>
        <v>18</v>
      </c>
      <c r="Q65" s="55">
        <f t="shared" si="41"/>
        <v>27</v>
      </c>
      <c r="R65" s="55">
        <f t="shared" si="42"/>
        <v>33</v>
      </c>
      <c r="S65" s="55" t="str">
        <f>IFERROR(VLOOKUP(MID(N65,Q65,R65-Q65),[5]skilldef!$C:$D,2,FALSE),"-") &amp; " / " &amp; IFERROR(VLOOKUP(MID(N65,O65,P65-O65),[5]skilldef!$A:$B,2,FALSE),"-")</f>
        <v>自分自身に / 状態異常耐性</v>
      </c>
      <c r="T65" s="42" t="str">
        <f t="shared" si="43"/>
        <v>none</v>
      </c>
      <c r="U65" s="55" t="e">
        <f t="shared" si="44"/>
        <v>#VALUE!</v>
      </c>
      <c r="V65" s="55">
        <f t="shared" si="45"/>
        <v>4</v>
      </c>
      <c r="W65" s="55" t="e">
        <f t="shared" si="46"/>
        <v>#VALUE!</v>
      </c>
      <c r="X65" s="55" t="e">
        <f t="shared" si="47"/>
        <v>#VALUE!</v>
      </c>
      <c r="Y65" s="55" t="str">
        <f>IFERROR(VLOOKUP(MID(T65,W65,X65-W65),[5]skilldef!$C:$D,2,FALSE),"-") &amp; " / " &amp; IFERROR(VLOOKUP(MID(T65,U65,V65-U65),[5]skilldef!$A:$B,2,FALSE),"-")</f>
        <v>- / -</v>
      </c>
      <c r="Z65" s="44"/>
      <c r="AA65" s="46"/>
      <c r="AB65" s="44"/>
      <c r="AC65" s="136" t="s">
        <v>340</v>
      </c>
    </row>
    <row r="66" spans="1:29" ht="42" customHeight="1" x14ac:dyDescent="0.15">
      <c r="A66" s="216">
        <v>48701107</v>
      </c>
      <c r="B66" s="42" t="str">
        <f t="shared" si="49"/>
        <v>[effect:enemy_message, val1:2.1, val2:1.2],[effect:tolerance, target:myself, turn:-1, count:-1, tolerance_effect:all, animation:enemy_tolerance]</v>
      </c>
      <c r="C66" s="44">
        <v>1</v>
      </c>
      <c r="D66" s="44" t="s">
        <v>194</v>
      </c>
      <c r="E66" s="45" t="s">
        <v>391</v>
      </c>
      <c r="F66" s="144" t="s">
        <v>263</v>
      </c>
      <c r="G66" s="55" t="str">
        <f t="shared" si="33"/>
        <v>[effect:enemy_message, val1:2.1, val2:1.2]</v>
      </c>
      <c r="H66" s="55">
        <f t="shared" si="34"/>
        <v>9</v>
      </c>
      <c r="I66" s="55">
        <f t="shared" si="35"/>
        <v>22</v>
      </c>
      <c r="J66" s="55" t="e">
        <f t="shared" si="36"/>
        <v>#VALUE!</v>
      </c>
      <c r="K66" s="55">
        <f t="shared" si="37"/>
        <v>32</v>
      </c>
      <c r="L66" s="55" t="str">
        <f>IFERROR(VLOOKUP(MID(G66,J66,K66-J66),[5]skilldef!$C:$D,2,FALSE),"-") &amp; " / " &amp; IFERROR(VLOOKUP(MID(G66,H66,I66-H66),[5]skilldef!$A:$B,2,FALSE),"-")</f>
        <v>- / -</v>
      </c>
      <c r="M66" s="55" t="str">
        <f t="shared" si="38"/>
        <v>[effect:tolerance, target:myself, turn:-1, count:-1, tolerance_effect:all, animation:enemy_tolerance]</v>
      </c>
      <c r="N66" s="42" t="str">
        <f>IFERROR(LEFT(M66,FIND("],",M66)+#REF!),M66)</f>
        <v>[effect:tolerance, target:myself, turn:-1, count:-1, tolerance_effect:all, animation:enemy_tolerance]</v>
      </c>
      <c r="O66" s="55">
        <f t="shared" si="39"/>
        <v>9</v>
      </c>
      <c r="P66" s="55">
        <f t="shared" si="40"/>
        <v>18</v>
      </c>
      <c r="Q66" s="55">
        <f t="shared" si="41"/>
        <v>27</v>
      </c>
      <c r="R66" s="55">
        <f t="shared" si="42"/>
        <v>33</v>
      </c>
      <c r="S66" s="55" t="str">
        <f>IFERROR(VLOOKUP(MID(N66,Q66,R66-Q66),[5]skilldef!$C:$D,2,FALSE),"-") &amp; " / " &amp; IFERROR(VLOOKUP(MID(N66,O66,P66-O66),[5]skilldef!$A:$B,2,FALSE),"-")</f>
        <v>自分自身に / 状態異常耐性</v>
      </c>
      <c r="T66" s="42" t="str">
        <f t="shared" si="43"/>
        <v>none</v>
      </c>
      <c r="U66" s="55" t="e">
        <f t="shared" si="44"/>
        <v>#VALUE!</v>
      </c>
      <c r="V66" s="55">
        <f t="shared" si="45"/>
        <v>4</v>
      </c>
      <c r="W66" s="55" t="e">
        <f t="shared" si="46"/>
        <v>#VALUE!</v>
      </c>
      <c r="X66" s="55" t="e">
        <f t="shared" si="47"/>
        <v>#VALUE!</v>
      </c>
      <c r="Y66" s="55" t="str">
        <f>IFERROR(VLOOKUP(MID(T66,W66,X66-W66),[5]skilldef!$C:$D,2,FALSE),"-") &amp; " / " &amp; IFERROR(VLOOKUP(MID(T66,U66,V66-U66),[5]skilldef!$A:$B,2,FALSE),"-")</f>
        <v>- / -</v>
      </c>
      <c r="Z66" s="44"/>
      <c r="AA66" s="46"/>
      <c r="AB66" s="44"/>
      <c r="AC66" s="136" t="s">
        <v>340</v>
      </c>
    </row>
    <row r="67" spans="1:29" ht="42" customHeight="1" x14ac:dyDescent="0.15">
      <c r="A67" s="216">
        <v>48701108</v>
      </c>
      <c r="B67" s="42" t="str">
        <f t="shared" si="49"/>
        <v>[effect:enemy_message, val1:2.3, val2:2.5],[effect:spread, val:0.3],[effect:attack_break, target:unit_all, turn:1, val:0.5, calc:mul, animation:attack_break01]</v>
      </c>
      <c r="C67" s="44">
        <v>1</v>
      </c>
      <c r="D67" s="44" t="s">
        <v>194</v>
      </c>
      <c r="E67" s="45" t="s">
        <v>407</v>
      </c>
      <c r="F67" s="228" t="s">
        <v>409</v>
      </c>
      <c r="G67" s="55" t="str">
        <f t="shared" si="33"/>
        <v>[effect:enemy_message, val1:2.3, val2:2.5]</v>
      </c>
      <c r="H67" s="55">
        <f t="shared" si="34"/>
        <v>9</v>
      </c>
      <c r="I67" s="55">
        <f t="shared" si="35"/>
        <v>22</v>
      </c>
      <c r="J67" s="55" t="e">
        <f t="shared" si="36"/>
        <v>#VALUE!</v>
      </c>
      <c r="K67" s="55">
        <f t="shared" si="37"/>
        <v>32</v>
      </c>
      <c r="L67" s="55" t="str">
        <f>IFERROR(VLOOKUP(MID(G67,J67,K67-J67),[5]skilldef!$C:$D,2,FALSE),"-") &amp; " / " &amp; IFERROR(VLOOKUP(MID(G67,H67,I67-H67),[5]skilldef!$A:$B,2,FALSE),"-")</f>
        <v>- / -</v>
      </c>
      <c r="M67" s="55" t="str">
        <f t="shared" si="38"/>
        <v>[effect:spread, val:0.3],[effect:attack_break, target:unit_all, turn:1, val:0.5, calc:mul, animation:attack_break01]</v>
      </c>
      <c r="N67" s="42" t="str">
        <f>IFERROR(LEFT(M67,FIND("],",M67)+#REF!),M67)</f>
        <v>[effect:spread, val:0.3],[effect:attack_break, target:unit_all, turn:1, val:0.5, calc:mul, animation:attack_break01]</v>
      </c>
      <c r="O67" s="55">
        <f t="shared" si="39"/>
        <v>9</v>
      </c>
      <c r="P67" s="55">
        <f t="shared" si="40"/>
        <v>15</v>
      </c>
      <c r="Q67" s="55">
        <f t="shared" si="41"/>
        <v>55</v>
      </c>
      <c r="R67" s="55">
        <f t="shared" si="42"/>
        <v>25</v>
      </c>
      <c r="S67" s="55" t="str">
        <f>IFERROR(VLOOKUP(MID(N67,Q67,R67-Q67),[5]skilldef!$C:$D,2,FALSE),"-") &amp; " / " &amp; IFERROR(VLOOKUP(MID(N67,O67,P67-O67),[5]skilldef!$A:$B,2,FALSE),"-")</f>
        <v>- / 全体攻撃</v>
      </c>
      <c r="T67" s="42" t="str">
        <f t="shared" si="43"/>
        <v>[effect:attack_break, target:unit_all, turn:1, val:0.5, calc:mul, animation:attack_break01]</v>
      </c>
      <c r="U67" s="55">
        <f t="shared" si="44"/>
        <v>9</v>
      </c>
      <c r="V67" s="55">
        <f t="shared" si="45"/>
        <v>21</v>
      </c>
      <c r="W67" s="55">
        <f t="shared" si="46"/>
        <v>30</v>
      </c>
      <c r="X67" s="55">
        <f t="shared" si="47"/>
        <v>38</v>
      </c>
      <c r="Y67" s="55" t="str">
        <f>IFERROR(VLOOKUP(MID(T67,W67,X67-W67),[5]skilldef!$C:$D,2,FALSE),"-") &amp; " / " &amp; IFERROR(VLOOKUP(MID(T67,U67,V67-U67),[5]skilldef!$A:$B,2,FALSE),"-")</f>
        <v>味方全体に / -</v>
      </c>
      <c r="Z67" s="44"/>
      <c r="AA67" s="46"/>
      <c r="AB67" s="44"/>
      <c r="AC67" s="229" t="s">
        <v>513</v>
      </c>
    </row>
    <row r="68" spans="1:29" ht="42" customHeight="1" x14ac:dyDescent="0.15">
      <c r="A68" s="216">
        <v>48701109</v>
      </c>
      <c r="B68" s="42" t="str">
        <f t="shared" si="49"/>
        <v>[effect:enemy_message, val1:1.2, val2:1.2],[effect:spread, val:0.3]</v>
      </c>
      <c r="C68" s="44">
        <v>1</v>
      </c>
      <c r="D68" s="44" t="s">
        <v>194</v>
      </c>
      <c r="E68" s="45" t="s">
        <v>408</v>
      </c>
      <c r="F68" s="45" t="s">
        <v>386</v>
      </c>
      <c r="G68" s="55" t="str">
        <f t="shared" si="33"/>
        <v>[effect:enemy_message, val1:1.2, val2:1.2]</v>
      </c>
      <c r="H68" s="55">
        <f t="shared" si="34"/>
        <v>9</v>
      </c>
      <c r="I68" s="55">
        <f t="shared" si="35"/>
        <v>22</v>
      </c>
      <c r="J68" s="55" t="e">
        <f t="shared" si="36"/>
        <v>#VALUE!</v>
      </c>
      <c r="K68" s="55">
        <f t="shared" si="37"/>
        <v>32</v>
      </c>
      <c r="L68" s="55" t="str">
        <f>IFERROR(VLOOKUP(MID(G68,J68,K68-J68),[5]skilldef!$C:$D,2,FALSE),"-") &amp; " / " &amp; IFERROR(VLOOKUP(MID(G68,H68,I68-H68),[5]skilldef!$A:$B,2,FALSE),"-")</f>
        <v>- / -</v>
      </c>
      <c r="M68" s="55" t="str">
        <f t="shared" si="38"/>
        <v>[effect:spread, val:0.3]</v>
      </c>
      <c r="N68" s="42" t="str">
        <f>IFERROR(LEFT(M68,FIND("],",M68)+#REF!),M68)</f>
        <v>[effect:spread, val:0.3]</v>
      </c>
      <c r="O68" s="55">
        <f t="shared" si="39"/>
        <v>9</v>
      </c>
      <c r="P68" s="55">
        <f t="shared" si="40"/>
        <v>15</v>
      </c>
      <c r="Q68" s="55" t="e">
        <f t="shared" si="41"/>
        <v>#VALUE!</v>
      </c>
      <c r="R68" s="55" t="e">
        <f t="shared" si="42"/>
        <v>#VALUE!</v>
      </c>
      <c r="S68" s="55" t="str">
        <f>IFERROR(VLOOKUP(MID(N68,Q68,R68-Q68),[5]skilldef!$C:$D,2,FALSE),"-") &amp; " / " &amp; IFERROR(VLOOKUP(MID(N68,O68,P68-O68),[5]skilldef!$A:$B,2,FALSE),"-")</f>
        <v>- / 全体攻撃</v>
      </c>
      <c r="T68" s="42" t="str">
        <f t="shared" si="43"/>
        <v>none</v>
      </c>
      <c r="U68" s="55" t="e">
        <f t="shared" si="44"/>
        <v>#VALUE!</v>
      </c>
      <c r="V68" s="55">
        <f t="shared" si="45"/>
        <v>4</v>
      </c>
      <c r="W68" s="55" t="e">
        <f t="shared" si="46"/>
        <v>#VALUE!</v>
      </c>
      <c r="X68" s="55" t="e">
        <f t="shared" si="47"/>
        <v>#VALUE!</v>
      </c>
      <c r="Y68" s="55" t="str">
        <f>IFERROR(VLOOKUP(MID(T68,W68,X68-W68),[5]skilldef!$C:$D,2,FALSE),"-") &amp; " / " &amp; IFERROR(VLOOKUP(MID(T68,U68,V68-U68),[5]skilldef!$A:$B,2,FALSE),"-")</f>
        <v>- / -</v>
      </c>
      <c r="Z68" s="44"/>
      <c r="AA68" s="46"/>
      <c r="AB68" s="44"/>
      <c r="AC68" s="136" t="s">
        <v>341</v>
      </c>
    </row>
    <row r="69" spans="1:29" ht="42" customHeight="1" x14ac:dyDescent="0.15">
      <c r="A69" s="216">
        <v>48701110</v>
      </c>
      <c r="B69" s="42" t="str">
        <f t="shared" si="49"/>
        <v>[effect:enemy_message, val1:1.2, val2:1.2],[effect:rush, count:5, val:0.3]</v>
      </c>
      <c r="C69" s="44">
        <v>1</v>
      </c>
      <c r="D69" s="44" t="s">
        <v>194</v>
      </c>
      <c r="E69" s="45" t="s">
        <v>413</v>
      </c>
      <c r="F69" s="45" t="s">
        <v>350</v>
      </c>
      <c r="G69" s="55" t="str">
        <f t="shared" si="33"/>
        <v>[effect:enemy_message, val1:1.2, val2:1.2]</v>
      </c>
      <c r="H69" s="55">
        <f t="shared" si="34"/>
        <v>9</v>
      </c>
      <c r="I69" s="55">
        <f t="shared" si="35"/>
        <v>22</v>
      </c>
      <c r="J69" s="55" t="e">
        <f t="shared" si="36"/>
        <v>#VALUE!</v>
      </c>
      <c r="K69" s="55">
        <f t="shared" si="37"/>
        <v>32</v>
      </c>
      <c r="L69" s="55" t="str">
        <f>IFERROR(VLOOKUP(MID(G69,J69,K69-J69),[5]skilldef!$C:$D,2,FALSE),"-") &amp; " / " &amp; IFERROR(VLOOKUP(MID(G69,H69,I69-H69),[5]skilldef!$A:$B,2,FALSE),"-")</f>
        <v>- / -</v>
      </c>
      <c r="M69" s="55" t="str">
        <f t="shared" si="38"/>
        <v>[effect:rush, count:5, val:0.3]</v>
      </c>
      <c r="N69" s="42" t="str">
        <f>IFERROR(LEFT(M69,FIND("],",M69)+#REF!),M69)</f>
        <v>[effect:rush, count:5, val:0.3]</v>
      </c>
      <c r="O69" s="55">
        <f t="shared" si="39"/>
        <v>9</v>
      </c>
      <c r="P69" s="55">
        <f t="shared" si="40"/>
        <v>13</v>
      </c>
      <c r="Q69" s="55" t="e">
        <f t="shared" si="41"/>
        <v>#VALUE!</v>
      </c>
      <c r="R69" s="55">
        <f t="shared" si="42"/>
        <v>22</v>
      </c>
      <c r="S69" s="55" t="str">
        <f>IFERROR(VLOOKUP(MID(N69,Q69,R69-Q69),[5]skilldef!$C:$D,2,FALSE),"-") &amp; " / " &amp; IFERROR(VLOOKUP(MID(N69,O69,P69-O69),[5]skilldef!$A:$B,2,FALSE),"-")</f>
        <v>- / 連続攻撃</v>
      </c>
      <c r="T69" s="42" t="str">
        <f t="shared" si="43"/>
        <v>none</v>
      </c>
      <c r="U69" s="55" t="e">
        <f t="shared" si="44"/>
        <v>#VALUE!</v>
      </c>
      <c r="V69" s="55">
        <f t="shared" si="45"/>
        <v>4</v>
      </c>
      <c r="W69" s="55" t="e">
        <f t="shared" si="46"/>
        <v>#VALUE!</v>
      </c>
      <c r="X69" s="55" t="e">
        <f t="shared" si="47"/>
        <v>#VALUE!</v>
      </c>
      <c r="Y69" s="55" t="str">
        <f>IFERROR(VLOOKUP(MID(T69,W69,X69-W69),[5]skilldef!$C:$D,2,FALSE),"-") &amp; " / " &amp; IFERROR(VLOOKUP(MID(T69,U69,V69-U69),[5]skilldef!$A:$B,2,FALSE),"-")</f>
        <v>- / -</v>
      </c>
      <c r="Z69" s="44"/>
      <c r="AA69" s="46"/>
      <c r="AB69" s="44"/>
      <c r="AC69" s="136" t="s">
        <v>346</v>
      </c>
    </row>
    <row r="70" spans="1:29" ht="42" customHeight="1" x14ac:dyDescent="0.15">
      <c r="A70" s="216">
        <v>48701111</v>
      </c>
      <c r="B70" s="42" t="str">
        <f t="shared" si="49"/>
        <v>[effect:enemy_message, val1:2.0, val2:1.3],[effect:tolerance, target:myself, turn:-1, count:-1, tolerance_effect:all, animation:enemy_tolerance],[effect:dark, target:unit_all, turn:3, animation:enemy_dark]</v>
      </c>
      <c r="C70" s="44">
        <v>1</v>
      </c>
      <c r="D70" s="44" t="s">
        <v>194</v>
      </c>
      <c r="E70" s="45" t="s">
        <v>392</v>
      </c>
      <c r="F70" s="45" t="s">
        <v>351</v>
      </c>
      <c r="G70" s="55" t="str">
        <f t="shared" si="33"/>
        <v>[effect:enemy_message, val1:2.0, val2:1.3]</v>
      </c>
      <c r="H70" s="55">
        <f t="shared" si="34"/>
        <v>9</v>
      </c>
      <c r="I70" s="55">
        <f t="shared" si="35"/>
        <v>22</v>
      </c>
      <c r="J70" s="55" t="e">
        <f t="shared" si="36"/>
        <v>#VALUE!</v>
      </c>
      <c r="K70" s="55">
        <f t="shared" si="37"/>
        <v>32</v>
      </c>
      <c r="L70" s="55" t="str">
        <f>IFERROR(VLOOKUP(MID(G70,J70,K70-J70),[5]skilldef!$C:$D,2,FALSE),"-") &amp; " / " &amp; IFERROR(VLOOKUP(MID(G70,H70,I70-H70),[5]skilldef!$A:$B,2,FALSE),"-")</f>
        <v>- / -</v>
      </c>
      <c r="M70" s="55" t="str">
        <f t="shared" si="38"/>
        <v>[effect:tolerance, target:myself, turn:-1, count:-1, tolerance_effect:all, animation:enemy_tolerance],[effect:dark, target:unit_all, turn:3, animation:enemy_dark]</v>
      </c>
      <c r="N70" s="42" t="str">
        <f>IFERROR(LEFT(M70,FIND("],",M70)+#REF!),M70)</f>
        <v>[effect:tolerance, target:myself, turn:-1, count:-1, tolerance_effect:all, animation:enemy_tolerance],[effect:dark, target:unit_all, turn:3, animation:enemy_dark]</v>
      </c>
      <c r="O70" s="55">
        <f t="shared" si="39"/>
        <v>9</v>
      </c>
      <c r="P70" s="55">
        <f t="shared" si="40"/>
        <v>18</v>
      </c>
      <c r="Q70" s="55">
        <f t="shared" si="41"/>
        <v>27</v>
      </c>
      <c r="R70" s="55">
        <f t="shared" si="42"/>
        <v>33</v>
      </c>
      <c r="S70" s="55" t="str">
        <f>IFERROR(VLOOKUP(MID(N70,Q70,R70-Q70),[5]skilldef!$C:$D,2,FALSE),"-") &amp; " / " &amp; IFERROR(VLOOKUP(MID(N70,O70,P70-O70),[5]skilldef!$A:$B,2,FALSE),"-")</f>
        <v>自分自身に / 状態異常耐性</v>
      </c>
      <c r="T70" s="42" t="str">
        <f t="shared" si="43"/>
        <v>[effect:dark, target:unit_all, turn:3, animation:enemy_dark]</v>
      </c>
      <c r="U70" s="55">
        <f t="shared" si="44"/>
        <v>9</v>
      </c>
      <c r="V70" s="55">
        <f t="shared" si="45"/>
        <v>13</v>
      </c>
      <c r="W70" s="55">
        <f t="shared" si="46"/>
        <v>22</v>
      </c>
      <c r="X70" s="55">
        <f t="shared" si="47"/>
        <v>30</v>
      </c>
      <c r="Y70" s="55" t="str">
        <f>IFERROR(VLOOKUP(MID(T70,W70,X70-W70),[5]skilldef!$C:$D,2,FALSE),"-") &amp; " / " &amp; IFERROR(VLOOKUP(MID(T70,U70,V70-U70),[5]skilldef!$A:$B,2,FALSE),"-")</f>
        <v>味方全体に / 暗黒</v>
      </c>
      <c r="Z70" s="44"/>
      <c r="AA70" s="46"/>
      <c r="AB70" s="44"/>
      <c r="AC70" s="136" t="s">
        <v>470</v>
      </c>
    </row>
    <row r="71" spans="1:29" ht="42" customHeight="1" x14ac:dyDescent="0.15">
      <c r="A71" s="216">
        <v>48701112</v>
      </c>
      <c r="B71" s="42" t="str">
        <f t="shared" si="49"/>
        <v>[effect:enemy_message, val1:2.1, val2:1.3],[effect:tolerance, target:myself, turn:-1, count:-1, tolerance_effect:all, animation:enemy_tolerance],[effect:dark, target:unit_all, turn:3, animation:enemy_dark]</v>
      </c>
      <c r="C71" s="44">
        <v>1</v>
      </c>
      <c r="D71" s="44" t="s">
        <v>194</v>
      </c>
      <c r="E71" s="144" t="s">
        <v>390</v>
      </c>
      <c r="F71" s="144" t="s">
        <v>351</v>
      </c>
      <c r="G71" s="55" t="str">
        <f t="shared" si="33"/>
        <v>[effect:enemy_message, val1:2.1, val2:1.3]</v>
      </c>
      <c r="H71" s="55">
        <f t="shared" si="34"/>
        <v>9</v>
      </c>
      <c r="I71" s="55">
        <f t="shared" si="35"/>
        <v>22</v>
      </c>
      <c r="J71" s="55" t="e">
        <f t="shared" si="36"/>
        <v>#VALUE!</v>
      </c>
      <c r="K71" s="55">
        <f t="shared" si="37"/>
        <v>32</v>
      </c>
      <c r="L71" s="55" t="str">
        <f>IFERROR(VLOOKUP(MID(G71,J71,K71-J71),[5]skilldef!$C:$D,2,FALSE),"-") &amp; " / " &amp; IFERROR(VLOOKUP(MID(G71,H71,I71-H71),[5]skilldef!$A:$B,2,FALSE),"-")</f>
        <v>- / -</v>
      </c>
      <c r="M71" s="55" t="str">
        <f t="shared" si="38"/>
        <v>[effect:tolerance, target:myself, turn:-1, count:-1, tolerance_effect:all, animation:enemy_tolerance],[effect:dark, target:unit_all, turn:3, animation:enemy_dark]</v>
      </c>
      <c r="N71" s="42" t="str">
        <f>IFERROR(LEFT(M71,FIND("],",M71)+#REF!),M71)</f>
        <v>[effect:tolerance, target:myself, turn:-1, count:-1, tolerance_effect:all, animation:enemy_tolerance],[effect:dark, target:unit_all, turn:3, animation:enemy_dark]</v>
      </c>
      <c r="O71" s="55">
        <f t="shared" si="39"/>
        <v>9</v>
      </c>
      <c r="P71" s="55">
        <f t="shared" si="40"/>
        <v>18</v>
      </c>
      <c r="Q71" s="55">
        <f t="shared" si="41"/>
        <v>27</v>
      </c>
      <c r="R71" s="55">
        <f t="shared" si="42"/>
        <v>33</v>
      </c>
      <c r="S71" s="55" t="str">
        <f>IFERROR(VLOOKUP(MID(N71,Q71,R71-Q71),[5]skilldef!$C:$D,2,FALSE),"-") &amp; " / " &amp; IFERROR(VLOOKUP(MID(N71,O71,P71-O71),[5]skilldef!$A:$B,2,FALSE),"-")</f>
        <v>自分自身に / 状態異常耐性</v>
      </c>
      <c r="T71" s="42" t="str">
        <f t="shared" si="43"/>
        <v>[effect:dark, target:unit_all, turn:3, animation:enemy_dark]</v>
      </c>
      <c r="U71" s="55">
        <f t="shared" si="44"/>
        <v>9</v>
      </c>
      <c r="V71" s="55">
        <f t="shared" si="45"/>
        <v>13</v>
      </c>
      <c r="W71" s="55">
        <f t="shared" si="46"/>
        <v>22</v>
      </c>
      <c r="X71" s="55">
        <f t="shared" si="47"/>
        <v>30</v>
      </c>
      <c r="Y71" s="55" t="str">
        <f>IFERROR(VLOOKUP(MID(T71,W71,X71-W71),[5]skilldef!$C:$D,2,FALSE),"-") &amp; " / " &amp; IFERROR(VLOOKUP(MID(T71,U71,V71-U71),[5]skilldef!$A:$B,2,FALSE),"-")</f>
        <v>味方全体に / 暗黒</v>
      </c>
      <c r="Z71" s="44"/>
      <c r="AA71" s="46"/>
      <c r="AB71" s="44"/>
      <c r="AC71" s="136" t="s">
        <v>470</v>
      </c>
    </row>
    <row r="72" spans="1:29" ht="42" customHeight="1" x14ac:dyDescent="0.15">
      <c r="A72" s="216">
        <v>48701113</v>
      </c>
      <c r="B72" s="42" t="str">
        <f t="shared" si="49"/>
        <v>[effect:enemy_message, val1:1.9, val2:4.5],[effect:spread, val:0.3],[effect:attack_break, target:unit_all, turn:1, val:0.8, calc:mul, animation:attack_break01],[effect:force_change_block, new_block:crash, target:block_green, count:0, val:6, animation:change_block]</v>
      </c>
      <c r="C72" s="44">
        <v>1</v>
      </c>
      <c r="D72" s="44" t="s">
        <v>194</v>
      </c>
      <c r="E72" s="45" t="s">
        <v>410</v>
      </c>
      <c r="F72" s="228" t="s">
        <v>515</v>
      </c>
      <c r="G72" s="55" t="str">
        <f t="shared" si="33"/>
        <v>[effect:enemy_message, val1:1.9, val2:4.5]</v>
      </c>
      <c r="H72" s="55">
        <f t="shared" si="34"/>
        <v>9</v>
      </c>
      <c r="I72" s="55">
        <f t="shared" si="35"/>
        <v>22</v>
      </c>
      <c r="J72" s="55" t="e">
        <f t="shared" si="36"/>
        <v>#VALUE!</v>
      </c>
      <c r="K72" s="55">
        <f t="shared" si="37"/>
        <v>32</v>
      </c>
      <c r="L72" s="55" t="str">
        <f>IFERROR(VLOOKUP(MID(G72,J72,K72-J72),[5]skilldef!$C:$D,2,FALSE),"-") &amp; " / " &amp; IFERROR(VLOOKUP(MID(G72,H72,I72-H72),[5]skilldef!$A:$B,2,FALSE),"-")</f>
        <v>- / -</v>
      </c>
      <c r="M72" s="55" t="str">
        <f t="shared" si="38"/>
        <v>[effect:spread, val:0.3],[effect:attack_break, target:unit_all, turn:1, val:0.8, calc:mul, animation:attack_break01],[effect:force_change_block, new_block:crash, target:block_green, count:0, val:6, animation:change_block]</v>
      </c>
      <c r="N72" s="42" t="str">
        <f>IFERROR(LEFT(M72,FIND("],",M72)+#REF!),M72)</f>
        <v>[effect:spread, val:0.3],[effect:attack_break, target:unit_all, turn:1, val:0.8, calc:mul, animation:attack_break01],[effect:force_change_block, new_block:crash, target:block_green, count:0, val:6, animation:change_block]</v>
      </c>
      <c r="O72" s="55">
        <f t="shared" si="39"/>
        <v>9</v>
      </c>
      <c r="P72" s="55">
        <f t="shared" si="40"/>
        <v>15</v>
      </c>
      <c r="Q72" s="55">
        <f t="shared" si="41"/>
        <v>55</v>
      </c>
      <c r="R72" s="55">
        <f t="shared" si="42"/>
        <v>25</v>
      </c>
      <c r="S72" s="55" t="str">
        <f>IFERROR(VLOOKUP(MID(N72,Q72,R72-Q72),[5]skilldef!$C:$D,2,FALSE),"-") &amp; " / " &amp; IFERROR(VLOOKUP(MID(N72,O72,P72-O72),[5]skilldef!$A:$B,2,FALSE),"-")</f>
        <v>- / 全体攻撃</v>
      </c>
      <c r="T72" s="42" t="str">
        <f t="shared" si="43"/>
        <v>[effect:attack_break, target:unit_all, turn:1, val:0.8, calc:mul, animation:attack_break01],[effect:force_change_block, new_block:crash, target:block_green, count:0, val:6, animation:change_block]</v>
      </c>
      <c r="U72" s="55">
        <f t="shared" si="44"/>
        <v>9</v>
      </c>
      <c r="V72" s="55">
        <f t="shared" si="45"/>
        <v>21</v>
      </c>
      <c r="W72" s="55">
        <f t="shared" si="46"/>
        <v>30</v>
      </c>
      <c r="X72" s="55">
        <f t="shared" si="47"/>
        <v>38</v>
      </c>
      <c r="Y72" s="55" t="str">
        <f>IFERROR(VLOOKUP(MID(T72,W72,X72-W72),[5]skilldef!$C:$D,2,FALSE),"-") &amp; " / " &amp; IFERROR(VLOOKUP(MID(T72,U72,V72-U72),[5]skilldef!$A:$B,2,FALSE),"-")</f>
        <v>味方全体に / -</v>
      </c>
      <c r="Z72" s="44"/>
      <c r="AA72" s="46"/>
      <c r="AB72" s="44"/>
      <c r="AC72" s="229" t="s">
        <v>514</v>
      </c>
    </row>
    <row r="73" spans="1:29" ht="42" customHeight="1" x14ac:dyDescent="0.15">
      <c r="A73" s="216">
        <v>48701114</v>
      </c>
      <c r="B73" s="42" t="str">
        <f t="shared" si="49"/>
        <v>[effect:enemy_message, val1:1.2, val2:3.0],[effect:critical, val:1.1, animation:enemy_critical],[effect:force_change_block, new_block:time_bomb, target:block_blue, color:blue, count:5, val:0.2, min_time_count:2, max_time_count:3, animation:change_block]</v>
      </c>
      <c r="C73" s="44">
        <v>1</v>
      </c>
      <c r="D73" s="44" t="s">
        <v>194</v>
      </c>
      <c r="E73" s="45" t="s">
        <v>411</v>
      </c>
      <c r="F73" s="45" t="s">
        <v>497</v>
      </c>
      <c r="G73" s="55" t="str">
        <f t="shared" si="33"/>
        <v>[effect:enemy_message, val1:1.2, val2:3.0]</v>
      </c>
      <c r="H73" s="55">
        <f t="shared" si="34"/>
        <v>9</v>
      </c>
      <c r="I73" s="55">
        <f t="shared" si="35"/>
        <v>22</v>
      </c>
      <c r="J73" s="55" t="e">
        <f t="shared" si="36"/>
        <v>#VALUE!</v>
      </c>
      <c r="K73" s="55">
        <f t="shared" si="37"/>
        <v>32</v>
      </c>
      <c r="L73" s="55" t="str">
        <f>IFERROR(VLOOKUP(MID(G73,J73,K73-J73),[5]skilldef!$C:$D,2,FALSE),"-") &amp; " / " &amp; IFERROR(VLOOKUP(MID(G73,H73,I73-H73),[5]skilldef!$A:$B,2,FALSE),"-")</f>
        <v>- / -</v>
      </c>
      <c r="M73" s="55" t="str">
        <f t="shared" si="38"/>
        <v>[effect:critical, val:1.1, animation:enemy_critical],[effect:force_change_block, new_block:time_bomb, target:block_blue, color:blue, count:5, val:0.2, min_time_count:2, max_time_count:3, animation:change_block]</v>
      </c>
      <c r="N73" s="42" t="str">
        <f>IFERROR(LEFT(M73,FIND("],",M73)+#REF!),M73)</f>
        <v>[effect:critical, val:1.1, animation:enemy_critical],[effect:force_change_block, new_block:time_bomb, target:block_blue, color:blue, count:5, val:0.2, min_time_count:2, max_time_count:3, animation:change_block]</v>
      </c>
      <c r="O73" s="55">
        <f t="shared" si="39"/>
        <v>9</v>
      </c>
      <c r="P73" s="55">
        <f t="shared" si="40"/>
        <v>17</v>
      </c>
      <c r="Q73" s="55">
        <f t="shared" si="41"/>
        <v>110</v>
      </c>
      <c r="R73" s="55">
        <f t="shared" si="42"/>
        <v>26</v>
      </c>
      <c r="S73" s="55" t="str">
        <f>IFERROR(VLOOKUP(MID(N73,Q73,R73-Q73),[5]skilldef!$C:$D,2,FALSE),"-") &amp; " / " &amp; IFERROR(VLOOKUP(MID(N73,O73,P73-O73),[5]skilldef!$A:$B,2,FALSE),"-")</f>
        <v>- / 大攻撃</v>
      </c>
      <c r="T73" s="42" t="str">
        <f t="shared" si="43"/>
        <v>[effect:force_change_block, new_block:time_bomb, target:block_blue, color:blue, count:5, val:0.2, min_time_count:2, max_time_count:3, animation:change_block]</v>
      </c>
      <c r="U73" s="55">
        <f t="shared" si="44"/>
        <v>9</v>
      </c>
      <c r="V73" s="55">
        <f t="shared" si="45"/>
        <v>27</v>
      </c>
      <c r="W73" s="55">
        <f t="shared" si="46"/>
        <v>57</v>
      </c>
      <c r="X73" s="55">
        <f t="shared" si="47"/>
        <v>48</v>
      </c>
      <c r="Y73" s="55" t="str">
        <f>IFERROR(VLOOKUP(MID(T73,W73,X73-W73),[5]skilldef!$C:$D,2,FALSE),"-") &amp; " / " &amp; IFERROR(VLOOKUP(MID(T73,U73,V73-U73),[5]skilldef!$A:$B,2,FALSE),"-")</f>
        <v>- / -</v>
      </c>
      <c r="Z73" s="44"/>
      <c r="AA73" s="46"/>
      <c r="AB73" s="44"/>
      <c r="AC73" s="136" t="s">
        <v>488</v>
      </c>
    </row>
    <row r="74" spans="1:29" ht="42" customHeight="1" x14ac:dyDescent="0.15">
      <c r="A74" s="216">
        <v>48701115</v>
      </c>
      <c r="B74" s="42" t="str">
        <f t="shared" si="49"/>
        <v>[effect:enemy_message, val1:1.2, val2:3.0],[effect:critical, val:1.1, animation:enemy_critical],[effect:force_change_block, new_block:time_bomb, target:block_green, color:green, count:5, val:0.2, min_time_count:2, max_time_count:3, animation:change_block]</v>
      </c>
      <c r="C74" s="44">
        <v>1</v>
      </c>
      <c r="D74" s="44" t="s">
        <v>194</v>
      </c>
      <c r="E74" s="45" t="s">
        <v>412</v>
      </c>
      <c r="F74" s="45" t="s">
        <v>498</v>
      </c>
      <c r="G74" s="55" t="str">
        <f t="shared" si="33"/>
        <v>[effect:enemy_message, val1:1.2, val2:3.0]</v>
      </c>
      <c r="H74" s="55">
        <f t="shared" si="34"/>
        <v>9</v>
      </c>
      <c r="I74" s="55">
        <f t="shared" si="35"/>
        <v>22</v>
      </c>
      <c r="J74" s="55" t="e">
        <f t="shared" si="36"/>
        <v>#VALUE!</v>
      </c>
      <c r="K74" s="55">
        <f t="shared" si="37"/>
        <v>32</v>
      </c>
      <c r="L74" s="55" t="str">
        <f>IFERROR(VLOOKUP(MID(G74,J74,K74-J74),[5]skilldef!$C:$D,2,FALSE),"-") &amp; " / " &amp; IFERROR(VLOOKUP(MID(G74,H74,I74-H74),[5]skilldef!$A:$B,2,FALSE),"-")</f>
        <v>- / -</v>
      </c>
      <c r="M74" s="55" t="str">
        <f t="shared" si="38"/>
        <v>[effect:critical, val:1.1, animation:enemy_critical],[effect:force_change_block, new_block:time_bomb, target:block_green, color:green, count:5, val:0.2, min_time_count:2, max_time_count:3, animation:change_block]</v>
      </c>
      <c r="N74" s="42" t="str">
        <f>IFERROR(LEFT(M74,FIND("],",M74)+#REF!),M74)</f>
        <v>[effect:critical, val:1.1, animation:enemy_critical],[effect:force_change_block, new_block:time_bomb, target:block_green, color:green, count:5, val:0.2, min_time_count:2, max_time_count:3, animation:change_block]</v>
      </c>
      <c r="O74" s="55">
        <f t="shared" si="39"/>
        <v>9</v>
      </c>
      <c r="P74" s="55">
        <f t="shared" si="40"/>
        <v>17</v>
      </c>
      <c r="Q74" s="55">
        <f t="shared" si="41"/>
        <v>110</v>
      </c>
      <c r="R74" s="55">
        <f t="shared" si="42"/>
        <v>26</v>
      </c>
      <c r="S74" s="55" t="str">
        <f>IFERROR(VLOOKUP(MID(N74,Q74,R74-Q74),[5]skilldef!$C:$D,2,FALSE),"-") &amp; " / " &amp; IFERROR(VLOOKUP(MID(N74,O74,P74-O74),[5]skilldef!$A:$B,2,FALSE),"-")</f>
        <v>- / 大攻撃</v>
      </c>
      <c r="T74" s="42" t="str">
        <f t="shared" si="43"/>
        <v>[effect:force_change_block, new_block:time_bomb, target:block_green, color:green, count:5, val:0.2, min_time_count:2, max_time_count:3, animation:change_block]</v>
      </c>
      <c r="U74" s="55">
        <f t="shared" si="44"/>
        <v>9</v>
      </c>
      <c r="V74" s="55">
        <f t="shared" si="45"/>
        <v>27</v>
      </c>
      <c r="W74" s="55">
        <f t="shared" si="46"/>
        <v>57</v>
      </c>
      <c r="X74" s="55">
        <f t="shared" si="47"/>
        <v>48</v>
      </c>
      <c r="Y74" s="55" t="str">
        <f>IFERROR(VLOOKUP(MID(T74,W74,X74-W74),[5]skilldef!$C:$D,2,FALSE),"-") &amp; " / " &amp; IFERROR(VLOOKUP(MID(T74,U74,V74-U74),[5]skilldef!$A:$B,2,FALSE),"-")</f>
        <v>- / -</v>
      </c>
      <c r="Z74" s="44"/>
      <c r="AA74" s="46"/>
      <c r="AB74" s="44"/>
      <c r="AC74" s="136" t="s">
        <v>489</v>
      </c>
    </row>
    <row r="75" spans="1:29" ht="42" customHeight="1" x14ac:dyDescent="0.15">
      <c r="A75" s="216">
        <v>48701116</v>
      </c>
      <c r="B75" s="42" t="str">
        <f t="shared" si="49"/>
        <v>[effect:enemy_message, val1:1.4, val2:1.8],[effect:force_change_block, new_block:block_heart, target:block_normal, count:10, val:0, animation:change_range_block],[effect:suicide, target:myself, val:1, dead_type:suicide]</v>
      </c>
      <c r="C75" s="44">
        <v>1</v>
      </c>
      <c r="D75" s="44" t="s">
        <v>194</v>
      </c>
      <c r="E75" s="45" t="s">
        <v>406</v>
      </c>
      <c r="F75" s="45" t="s">
        <v>503</v>
      </c>
      <c r="G75" s="55" t="str">
        <f t="shared" si="33"/>
        <v>[effect:enemy_message, val1:1.4, val2:1.8]</v>
      </c>
      <c r="H75" s="55">
        <f t="shared" si="34"/>
        <v>9</v>
      </c>
      <c r="I75" s="55">
        <f t="shared" si="35"/>
        <v>22</v>
      </c>
      <c r="J75" s="55" t="e">
        <f t="shared" si="36"/>
        <v>#VALUE!</v>
      </c>
      <c r="K75" s="55">
        <f t="shared" si="37"/>
        <v>32</v>
      </c>
      <c r="L75" s="55" t="str">
        <f>IFERROR(VLOOKUP(MID(G75,J75,K75-J75),[5]skilldef!$C:$D,2,FALSE),"-") &amp; " / " &amp; IFERROR(VLOOKUP(MID(G75,H75,I75-H75),[5]skilldef!$A:$B,2,FALSE),"-")</f>
        <v>- / -</v>
      </c>
      <c r="M75" s="55" t="str">
        <f t="shared" si="38"/>
        <v>[effect:force_change_block, new_block:block_heart, target:block_normal, count:10, val:0, animation:change_range_block],[effect:suicide, target:myself, val:1, dead_type:suicide]</v>
      </c>
      <c r="N75" s="42" t="str">
        <f>IFERROR(LEFT(M75,FIND("],",M75)+#REF!),M75)</f>
        <v>[effect:force_change_block, new_block:block_heart, target:block_normal, count:10, val:0, animation:change_range_block],[effect:suicide, target:myself, val:1, dead_type:suicide]</v>
      </c>
      <c r="O75" s="55">
        <f t="shared" si="39"/>
        <v>9</v>
      </c>
      <c r="P75" s="55">
        <f t="shared" si="40"/>
        <v>27</v>
      </c>
      <c r="Q75" s="55">
        <f t="shared" si="41"/>
        <v>59</v>
      </c>
      <c r="R75" s="55">
        <f t="shared" si="42"/>
        <v>50</v>
      </c>
      <c r="S75" s="55" t="str">
        <f>IFERROR(VLOOKUP(MID(N75,Q75,R75-Q75),[5]skilldef!$C:$D,2,FALSE),"-") &amp; " / " &amp; IFERROR(VLOOKUP(MID(N75,O75,P75-O75),[5]skilldef!$A:$B,2,FALSE),"-")</f>
        <v>- / -</v>
      </c>
      <c r="T75" s="42" t="str">
        <f t="shared" si="43"/>
        <v>[effect:suicide, target:myself, val:1, dead_type:suicide]</v>
      </c>
      <c r="U75" s="55">
        <f t="shared" si="44"/>
        <v>9</v>
      </c>
      <c r="V75" s="55">
        <f t="shared" si="45"/>
        <v>16</v>
      </c>
      <c r="W75" s="55">
        <f t="shared" si="46"/>
        <v>25</v>
      </c>
      <c r="X75" s="55">
        <f t="shared" si="47"/>
        <v>31</v>
      </c>
      <c r="Y75" s="55" t="str">
        <f>IFERROR(VLOOKUP(MID(T75,W75,X75-W75),[5]skilldef!$C:$D,2,FALSE),"-") &amp; " / " &amp; IFERROR(VLOOKUP(MID(T75,U75,V75-U75),[5]skilldef!$A:$B,2,FALSE),"-")</f>
        <v>自分自身に / -</v>
      </c>
      <c r="Z75" s="44"/>
      <c r="AA75" s="46"/>
      <c r="AB75" s="44"/>
      <c r="AC75" s="136" t="s">
        <v>443</v>
      </c>
    </row>
    <row r="76" spans="1:29" ht="42" customHeight="1" x14ac:dyDescent="0.15">
      <c r="A76" s="216">
        <v>48701117</v>
      </c>
      <c r="B76" s="42" t="str">
        <f t="shared" si="49"/>
        <v>[effect:enemy_message, val1:2.4, val2:1.8],[effect:force_change_block, new_block:crack_bomb, target:block_normal, color:block_red, count:10, val:0, animation:change_range_block],[effect:suicide, target:myself, val:1, dead_type:suicide]</v>
      </c>
      <c r="C76" s="44">
        <v>1</v>
      </c>
      <c r="D76" s="44" t="s">
        <v>194</v>
      </c>
      <c r="E76" s="45" t="s">
        <v>393</v>
      </c>
      <c r="F76" s="144" t="s">
        <v>502</v>
      </c>
      <c r="G76" s="55" t="str">
        <f t="shared" si="33"/>
        <v>[effect:enemy_message, val1:2.4, val2:1.8]</v>
      </c>
      <c r="H76" s="55">
        <f t="shared" si="34"/>
        <v>9</v>
      </c>
      <c r="I76" s="55">
        <f t="shared" si="35"/>
        <v>22</v>
      </c>
      <c r="J76" s="55" t="e">
        <f t="shared" si="36"/>
        <v>#VALUE!</v>
      </c>
      <c r="K76" s="55">
        <f t="shared" si="37"/>
        <v>32</v>
      </c>
      <c r="L76" s="55" t="str">
        <f>IFERROR(VLOOKUP(MID(G76,J76,K76-J76),[5]skilldef!$C:$D,2,FALSE),"-") &amp; " / " &amp; IFERROR(VLOOKUP(MID(G76,H76,I76-H76),[5]skilldef!$A:$B,2,FALSE),"-")</f>
        <v>- / -</v>
      </c>
      <c r="M76" s="55" t="str">
        <f t="shared" si="38"/>
        <v>[effect:force_change_block, new_block:crack_bomb, target:block_normal, color:block_red, count:10, val:0, animation:change_range_block],[effect:suicide, target:myself, val:1, dead_type:suicide]</v>
      </c>
      <c r="N76" s="42" t="str">
        <f>IFERROR(LEFT(M76,FIND("],",M76)+#REF!),M76)</f>
        <v>[effect:force_change_block, new_block:crack_bomb, target:block_normal, color:block_red, count:10, val:0, animation:change_range_block],[effect:suicide, target:myself, val:1, dead_type:suicide]</v>
      </c>
      <c r="O76" s="55">
        <f t="shared" si="39"/>
        <v>9</v>
      </c>
      <c r="P76" s="55">
        <f t="shared" si="40"/>
        <v>27</v>
      </c>
      <c r="Q76" s="55">
        <f t="shared" si="41"/>
        <v>58</v>
      </c>
      <c r="R76" s="55">
        <f t="shared" si="42"/>
        <v>49</v>
      </c>
      <c r="S76" s="55" t="str">
        <f>IFERROR(VLOOKUP(MID(N76,Q76,R76-Q76),[5]skilldef!$C:$D,2,FALSE),"-") &amp; " / " &amp; IFERROR(VLOOKUP(MID(N76,O76,P76-O76),[5]skilldef!$A:$B,2,FALSE),"-")</f>
        <v>- / -</v>
      </c>
      <c r="T76" s="42" t="str">
        <f t="shared" si="43"/>
        <v>[effect:suicide, target:myself, val:1, dead_type:suicide]</v>
      </c>
      <c r="U76" s="55">
        <f t="shared" si="44"/>
        <v>9</v>
      </c>
      <c r="V76" s="55">
        <f t="shared" si="45"/>
        <v>16</v>
      </c>
      <c r="W76" s="55">
        <f t="shared" si="46"/>
        <v>25</v>
      </c>
      <c r="X76" s="55">
        <f t="shared" si="47"/>
        <v>31</v>
      </c>
      <c r="Y76" s="55" t="str">
        <f>IFERROR(VLOOKUP(MID(T76,W76,X76-W76),[5]skilldef!$C:$D,2,FALSE),"-") &amp; " / " &amp; IFERROR(VLOOKUP(MID(T76,U76,V76-U76),[5]skilldef!$A:$B,2,FALSE),"-")</f>
        <v>自分自身に / -</v>
      </c>
      <c r="Z76" s="44"/>
      <c r="AA76" s="46"/>
      <c r="AB76" s="44"/>
      <c r="AC76" s="136" t="s">
        <v>444</v>
      </c>
    </row>
    <row r="77" spans="1:29" ht="42" customHeight="1" x14ac:dyDescent="0.15">
      <c r="A77" s="216">
        <v>48701118</v>
      </c>
      <c r="B77" s="42" t="str">
        <f t="shared" si="49"/>
        <v>[effect:enemy_message, val1:1.2, val2:3.8],[effect:tolerance,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C77" s="44">
        <v>1</v>
      </c>
      <c r="D77" s="44" t="s">
        <v>194</v>
      </c>
      <c r="E77" s="45" t="s">
        <v>394</v>
      </c>
      <c r="F77" s="45" t="s">
        <v>370</v>
      </c>
      <c r="G77" s="55" t="str">
        <f t="shared" si="33"/>
        <v>[effect:enemy_message, val1:1.2, val2:3.8]</v>
      </c>
      <c r="H77" s="55">
        <f t="shared" si="34"/>
        <v>9</v>
      </c>
      <c r="I77" s="55">
        <f t="shared" si="35"/>
        <v>22</v>
      </c>
      <c r="J77" s="55" t="e">
        <f t="shared" si="36"/>
        <v>#VALUE!</v>
      </c>
      <c r="K77" s="55">
        <f t="shared" si="37"/>
        <v>32</v>
      </c>
      <c r="L77" s="55" t="str">
        <f>IFERROR(VLOOKUP(MID(G77,J77,K77-J77),[5]skilldef!$C:$D,2,FALSE),"-") &amp; " / " &amp; IFERROR(VLOOKUP(MID(G77,H77,I77-H77),[5]skilldef!$A:$B,2,FALSE),"-")</f>
        <v>- / -</v>
      </c>
      <c r="M77" s="55" t="str">
        <f t="shared" si="38"/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N77" s="42" t="str">
        <f>IFERROR(LEFT(M77,FIND("],",M77)+#REF!),M77)</f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O77" s="55">
        <f t="shared" si="39"/>
        <v>9</v>
      </c>
      <c r="P77" s="55">
        <f t="shared" si="40"/>
        <v>18</v>
      </c>
      <c r="Q77" s="55">
        <f t="shared" si="41"/>
        <v>27</v>
      </c>
      <c r="R77" s="55">
        <f t="shared" si="42"/>
        <v>33</v>
      </c>
      <c r="S77" s="55" t="str">
        <f>IFERROR(VLOOKUP(MID(N77,Q77,R77-Q77),[5]skilldef!$C:$D,2,FALSE),"-") &amp; " / " &amp; IFERROR(VLOOKUP(MID(N77,O77,P77-O77),[5]skilldef!$A:$B,2,FALSE),"-")</f>
        <v>自分自身に / 状態異常耐性</v>
      </c>
      <c r="T77" s="42" t="str">
        <f t="shared" si="43"/>
        <v>[effect:freq_turn, target:myself, turn:1, val:1, animation:enemy_freq_turn],[effect:break_enchance_enemy, target:myself, val:200, lowest_val:0, count:-1, status:attack, turn:1, block01:block_heart, calc:add, animation:enemy_enhance_attack]</v>
      </c>
      <c r="U77" s="55">
        <f t="shared" si="44"/>
        <v>9</v>
      </c>
      <c r="V77" s="55">
        <f t="shared" si="45"/>
        <v>18</v>
      </c>
      <c r="W77" s="55">
        <f t="shared" si="46"/>
        <v>27</v>
      </c>
      <c r="X77" s="55">
        <f t="shared" si="47"/>
        <v>33</v>
      </c>
      <c r="Y77" s="55" t="str">
        <f>IFERROR(VLOOKUP(MID(T77,W77,X77-W77),[5]skilldef!$C:$D,2,FALSE),"-") &amp; " / " &amp; IFERROR(VLOOKUP(MID(T77,U77,V77-U77),[5]skilldef!$A:$B,2,FALSE),"-")</f>
        <v>自分自身に / 攻撃頻度がUP</v>
      </c>
      <c r="Z77" s="44"/>
      <c r="AA77" s="46"/>
      <c r="AB77" s="44"/>
      <c r="AC77" s="136" t="s">
        <v>473</v>
      </c>
    </row>
    <row r="78" spans="1:29" ht="42" customHeight="1" x14ac:dyDescent="0.15">
      <c r="A78" s="216">
        <v>48701119</v>
      </c>
      <c r="B78" s="42" t="str">
        <f t="shared" si="49"/>
        <v>[effect:enemy_message, val1:2.6, val2:3.8],[effect:tolerance,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C78" s="44">
        <v>1</v>
      </c>
      <c r="D78" s="44" t="s">
        <v>194</v>
      </c>
      <c r="E78" s="45" t="s">
        <v>442</v>
      </c>
      <c r="F78" s="144" t="s">
        <v>370</v>
      </c>
      <c r="G78" s="55" t="str">
        <f t="shared" si="33"/>
        <v>[effect:enemy_message, val1:2.6, val2:3.8]</v>
      </c>
      <c r="H78" s="55">
        <f t="shared" si="34"/>
        <v>9</v>
      </c>
      <c r="I78" s="55">
        <f t="shared" si="35"/>
        <v>22</v>
      </c>
      <c r="J78" s="55" t="e">
        <f t="shared" si="36"/>
        <v>#VALUE!</v>
      </c>
      <c r="K78" s="55">
        <f t="shared" si="37"/>
        <v>32</v>
      </c>
      <c r="L78" s="55" t="str">
        <f>IFERROR(VLOOKUP(MID(G78,J78,K78-J78),[5]skilldef!$C:$D,2,FALSE),"-") &amp; " / " &amp; IFERROR(VLOOKUP(MID(G78,H78,I78-H78),[5]skilldef!$A:$B,2,FALSE),"-")</f>
        <v>- / -</v>
      </c>
      <c r="M78" s="55" t="str">
        <f t="shared" si="38"/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N78" s="42" t="str">
        <f>IFERROR(LEFT(M78,FIND("],",M78)+#REF!),M78)</f>
        <v>[effect:tolerance, target:myself, turn:-1, count:-1, tolerance_effect:all, animation:enemy_tolerance],[effect:freq_turn, target:myself, turn:1, val:1, animation:enemy_freq_turn],[effect:break_enchance_enemy, target:myself, val:200, lowest_val:0, count:-1, status:attack, turn:1, block01:block_heart, calc:add, animation:enemy_enhance_attack]</v>
      </c>
      <c r="O78" s="55">
        <f t="shared" si="39"/>
        <v>9</v>
      </c>
      <c r="P78" s="55">
        <f t="shared" si="40"/>
        <v>18</v>
      </c>
      <c r="Q78" s="55">
        <f t="shared" si="41"/>
        <v>27</v>
      </c>
      <c r="R78" s="55">
        <f t="shared" si="42"/>
        <v>33</v>
      </c>
      <c r="S78" s="55" t="str">
        <f>IFERROR(VLOOKUP(MID(N78,Q78,R78-Q78),[5]skilldef!$C:$D,2,FALSE),"-") &amp; " / " &amp; IFERROR(VLOOKUP(MID(N78,O78,P78-O78),[5]skilldef!$A:$B,2,FALSE),"-")</f>
        <v>自分自身に / 状態異常耐性</v>
      </c>
      <c r="T78" s="42" t="str">
        <f t="shared" si="43"/>
        <v>[effect:freq_turn, target:myself, turn:1, val:1, animation:enemy_freq_turn],[effect:break_enchance_enemy, target:myself, val:200, lowest_val:0, count:-1, status:attack, turn:1, block01:block_heart, calc:add, animation:enemy_enhance_attack]</v>
      </c>
      <c r="U78" s="55">
        <f t="shared" si="44"/>
        <v>9</v>
      </c>
      <c r="V78" s="55">
        <f t="shared" si="45"/>
        <v>18</v>
      </c>
      <c r="W78" s="55">
        <f t="shared" si="46"/>
        <v>27</v>
      </c>
      <c r="X78" s="55">
        <f t="shared" si="47"/>
        <v>33</v>
      </c>
      <c r="Y78" s="55" t="str">
        <f>IFERROR(VLOOKUP(MID(T78,W78,X78-W78),[5]skilldef!$C:$D,2,FALSE),"-") &amp; " / " &amp; IFERROR(VLOOKUP(MID(T78,U78,V78-U78),[5]skilldef!$A:$B,2,FALSE),"-")</f>
        <v>自分自身に / 攻撃頻度がUP</v>
      </c>
      <c r="Z78" s="44"/>
      <c r="AA78" s="46"/>
      <c r="AB78" s="44"/>
      <c r="AC78" s="136" t="s">
        <v>473</v>
      </c>
    </row>
    <row r="79" spans="1:29" ht="42" customHeight="1" x14ac:dyDescent="0.15">
      <c r="A79" s="216">
        <v>48701620</v>
      </c>
      <c r="B79" s="42" t="str">
        <f t="shared" si="49"/>
        <v>[effect:enemy_message, val1:1.7, val2:2.8],[effect:spread, val:0.3],[effect:force_change_block, new_block:time_bomb, target:normal, color:block_green, count:2, val:0.08, animation:change_block]</v>
      </c>
      <c r="C79" s="44">
        <v>1</v>
      </c>
      <c r="D79" s="44" t="s">
        <v>194</v>
      </c>
      <c r="E79" s="43" t="s">
        <v>419</v>
      </c>
      <c r="F79" s="228" t="s">
        <v>519</v>
      </c>
      <c r="G79" s="55" t="str">
        <f t="shared" si="33"/>
        <v>[effect:enemy_message, val1:1.7, val2:2.8]</v>
      </c>
      <c r="H79" s="55">
        <f t="shared" si="34"/>
        <v>9</v>
      </c>
      <c r="I79" s="55">
        <f t="shared" si="35"/>
        <v>22</v>
      </c>
      <c r="J79" s="55" t="e">
        <f t="shared" si="36"/>
        <v>#VALUE!</v>
      </c>
      <c r="K79" s="55">
        <f t="shared" si="37"/>
        <v>32</v>
      </c>
      <c r="L79" s="55" t="str">
        <f>IFERROR(VLOOKUP(MID(G79,J79,K79-J79),[5]skilldef!$C:$D,2,FALSE),"-") &amp; " / " &amp; IFERROR(VLOOKUP(MID(G79,H79,I79-H79),[5]skilldef!$A:$B,2,FALSE),"-")</f>
        <v>- / -</v>
      </c>
      <c r="M79" s="55" t="str">
        <f t="shared" si="38"/>
        <v>[effect:spread, val:0.3],[effect:force_change_block, new_block:time_bomb, target:normal, color:block_green, count:2, val:0.08, animation:change_block]</v>
      </c>
      <c r="N79" s="42" t="str">
        <f>IFERROR(LEFT(M79,FIND("],",M79)+#REF!),M79)</f>
        <v>[effect:spread, val:0.3],[effect:force_change_block, new_block:time_bomb, target:normal, color:block_green, count:2, val:0.08, animation:change_block]</v>
      </c>
      <c r="O79" s="55">
        <f t="shared" si="39"/>
        <v>9</v>
      </c>
      <c r="P79" s="55">
        <f t="shared" si="40"/>
        <v>15</v>
      </c>
      <c r="Q79" s="55">
        <f t="shared" si="41"/>
        <v>82</v>
      </c>
      <c r="R79" s="55">
        <f t="shared" si="42"/>
        <v>25</v>
      </c>
      <c r="S79" s="55" t="str">
        <f>IFERROR(VLOOKUP(MID(N79,Q79,R79-Q79),[5]skilldef!$C:$D,2,FALSE),"-") &amp; " / " &amp; IFERROR(VLOOKUP(MID(N79,O79,P79-O79),[5]skilldef!$A:$B,2,FALSE),"-")</f>
        <v>- / 全体攻撃</v>
      </c>
      <c r="T79" s="42" t="str">
        <f t="shared" si="43"/>
        <v>[effect:force_change_block, new_block:time_bomb, target:normal, color:block_green, count:2, val:0.08, animation:change_block]</v>
      </c>
      <c r="U79" s="55">
        <f t="shared" si="44"/>
        <v>9</v>
      </c>
      <c r="V79" s="55">
        <f t="shared" si="45"/>
        <v>27</v>
      </c>
      <c r="W79" s="55">
        <f t="shared" si="46"/>
        <v>57</v>
      </c>
      <c r="X79" s="55">
        <f t="shared" si="47"/>
        <v>48</v>
      </c>
      <c r="Y79" s="55" t="str">
        <f>IFERROR(VLOOKUP(MID(T79,W79,X79-W79),[5]skilldef!$C:$D,2,FALSE),"-") &amp; " / " &amp; IFERROR(VLOOKUP(MID(T79,U79,V79-U79),[5]skilldef!$A:$B,2,FALSE),"-")</f>
        <v>- / -</v>
      </c>
      <c r="Z79" s="44"/>
      <c r="AA79" s="46"/>
      <c r="AB79" s="44"/>
      <c r="AC79" s="229" t="s">
        <v>518</v>
      </c>
    </row>
    <row r="80" spans="1:29" ht="42" customHeight="1" x14ac:dyDescent="0.15">
      <c r="A80" s="216">
        <v>48701120</v>
      </c>
      <c r="B80" s="42" t="str">
        <f t="shared" ref="B80:B89" si="50">"[effect:enemy_message, val1:"&amp;TEXT(IF(TEXT(E80,0)="[表示しない]", "0", IF(LEN(SUBSTITUTE(E80,CHAR(13),""))*0.1&lt;1.2, 1.2, LEN(SUBSTITUTE(E80,CHAR(13),""))*0.1)), "0.0")&amp;", val2:"&amp;TEXT(IF(TEXT(F80,0)="[表示しない]", "0", IF(LEN(SUBSTITUTE(F80,CHAR(13),""))*0.1&lt;1.2, 1.2, LEN(SUBSTITUTE(F80,CHAR(13),""))*0.1)),"0.0")&amp;"]"&amp;IF(LEN(AC80)&gt;0, ","&amp;AC80,AC80)</f>
        <v>[effect:enemy_message, val1:1.2, val2:3.4],[effect:force_change_block, new_block:time_bomb, target:block_red, color:block_blue, count:2, val:0.08, animation:change_block],[effect:break_attack_fix, target:unit_one, val:300, lowest_val:3000, count:-1, color:green, block01:block_blue]</v>
      </c>
      <c r="C80" s="44">
        <v>1</v>
      </c>
      <c r="D80" s="44" t="s">
        <v>194</v>
      </c>
      <c r="E80" s="45" t="s">
        <v>415</v>
      </c>
      <c r="F80" s="228" t="s">
        <v>520</v>
      </c>
      <c r="G80" s="55" t="str">
        <f t="shared" si="33"/>
        <v>[effect:enemy_message, val1:1.2, val2:3.4]</v>
      </c>
      <c r="H80" s="55">
        <f t="shared" si="34"/>
        <v>9</v>
      </c>
      <c r="I80" s="55">
        <f t="shared" si="35"/>
        <v>22</v>
      </c>
      <c r="J80" s="55" t="e">
        <f t="shared" si="36"/>
        <v>#VALUE!</v>
      </c>
      <c r="K80" s="55">
        <f t="shared" si="37"/>
        <v>32</v>
      </c>
      <c r="L80" s="55" t="str">
        <f>IFERROR(VLOOKUP(MID(G80,J80,K80-J80),[5]skilldef!$C:$D,2,FALSE),"-") &amp; " / " &amp; IFERROR(VLOOKUP(MID(G80,H80,I80-H80),[5]skilldef!$A:$B,2,FALSE),"-")</f>
        <v>- / -</v>
      </c>
      <c r="M80" s="55" t="str">
        <f t="shared" si="38"/>
        <v>[effect:force_change_block, new_block:time_bomb, target:block_red, color:block_blue, count:2, val:0.08, animation:change_block],[effect:break_attack_fix, target:unit_one, val:300, lowest_val:3000, count:-1, color:green, block01:block_blue]</v>
      </c>
      <c r="N80" s="42" t="str">
        <f>IFERROR(LEFT(M80,FIND("],",M80)+#REF!),M80)</f>
        <v>[effect:force_change_block, new_block:time_bomb, target:block_red, color:block_blue, count:2, val:0.08, animation:change_block],[effect:break_attack_fix, target:unit_one, val:300, lowest_val:3000, count:-1, color:green, block01:block_blue]</v>
      </c>
      <c r="O80" s="55">
        <f t="shared" si="39"/>
        <v>9</v>
      </c>
      <c r="P80" s="55">
        <f t="shared" si="40"/>
        <v>27</v>
      </c>
      <c r="Q80" s="55">
        <f t="shared" si="41"/>
        <v>57</v>
      </c>
      <c r="R80" s="55">
        <f t="shared" si="42"/>
        <v>48</v>
      </c>
      <c r="S80" s="55" t="str">
        <f>IFERROR(VLOOKUP(MID(N80,Q80,R80-Q80),[5]skilldef!$C:$D,2,FALSE),"-") &amp; " / " &amp; IFERROR(VLOOKUP(MID(N80,O80,P80-O80),[5]skilldef!$A:$B,2,FALSE),"-")</f>
        <v>- / -</v>
      </c>
      <c r="T80" s="42" t="str">
        <f t="shared" si="43"/>
        <v>[effect:break_attack_fix, target:unit_one, val:300, lowest_val:3000, count:-1, color:green, block01:block_blue]</v>
      </c>
      <c r="U80" s="55">
        <f t="shared" si="44"/>
        <v>9</v>
      </c>
      <c r="V80" s="55">
        <f t="shared" si="45"/>
        <v>25</v>
      </c>
      <c r="W80" s="55">
        <f t="shared" si="46"/>
        <v>34</v>
      </c>
      <c r="X80" s="55">
        <f t="shared" si="47"/>
        <v>42</v>
      </c>
      <c r="Y80" s="55" t="str">
        <f>IFERROR(VLOOKUP(MID(T80,W80,X80-W80),[5]skilldef!$C:$D,2,FALSE),"-") &amp; " / " &amp; IFERROR(VLOOKUP(MID(T80,U80,V80-U80),[5]skilldef!$A:$B,2,FALSE),"-")</f>
        <v>味方単体に / -</v>
      </c>
      <c r="Z80" s="44"/>
      <c r="AA80" s="46"/>
      <c r="AB80" s="44"/>
      <c r="AC80" s="229" t="s">
        <v>522</v>
      </c>
    </row>
    <row r="81" spans="1:29" ht="42" customHeight="1" x14ac:dyDescent="0.15">
      <c r="A81" s="216">
        <v>48701121</v>
      </c>
      <c r="B81" s="42" t="str">
        <f t="shared" si="50"/>
        <v>[effect:enemy_message, val1:1.2, val2:3.4],[effect:force_change_block, new_block:time_bomb, target:block_yellow, color:block_green, count:2, val:0.08, animation:change_block],[effect:break_attack_fix, target:unit_one, val:300, lowest_val:3000, count:-1, color:green, block01:block_green]</v>
      </c>
      <c r="C81" s="44">
        <v>1</v>
      </c>
      <c r="D81" s="44" t="s">
        <v>194</v>
      </c>
      <c r="E81" s="45" t="s">
        <v>416</v>
      </c>
      <c r="F81" s="228" t="s">
        <v>521</v>
      </c>
      <c r="G81" s="55" t="str">
        <f t="shared" si="33"/>
        <v>[effect:enemy_message, val1:1.2, val2:3.4]</v>
      </c>
      <c r="H81" s="55">
        <f t="shared" si="34"/>
        <v>9</v>
      </c>
      <c r="I81" s="55">
        <f t="shared" si="35"/>
        <v>22</v>
      </c>
      <c r="J81" s="55" t="e">
        <f t="shared" si="36"/>
        <v>#VALUE!</v>
      </c>
      <c r="K81" s="55">
        <f t="shared" si="37"/>
        <v>32</v>
      </c>
      <c r="L81" s="55" t="str">
        <f>IFERROR(VLOOKUP(MID(G81,J81,K81-J81),[5]skilldef!$C:$D,2,FALSE),"-") &amp; " / " &amp; IFERROR(VLOOKUP(MID(G81,H81,I81-H81),[5]skilldef!$A:$B,2,FALSE),"-")</f>
        <v>- / -</v>
      </c>
      <c r="M81" s="55" t="str">
        <f t="shared" si="38"/>
        <v>[effect:force_change_block, new_block:time_bomb, target:block_yellow, color:block_green, count:2, val:0.08, animation:change_block],[effect:break_attack_fix, target:unit_one, val:300, lowest_val:3000, count:-1, color:green, block01:block_green]</v>
      </c>
      <c r="N81" s="42" t="str">
        <f>IFERROR(LEFT(M81,FIND("],",M81)+#REF!),M81)</f>
        <v>[effect:force_change_block, new_block:time_bomb, target:block_yellow, color:block_green, count:2, val:0.08, animation:change_block],[effect:break_attack_fix, target:unit_one, val:300, lowest_val:3000, count:-1, color:green, block01:block_green]</v>
      </c>
      <c r="O81" s="55">
        <f t="shared" si="39"/>
        <v>9</v>
      </c>
      <c r="P81" s="55">
        <f t="shared" si="40"/>
        <v>27</v>
      </c>
      <c r="Q81" s="55">
        <f t="shared" si="41"/>
        <v>57</v>
      </c>
      <c r="R81" s="55">
        <f t="shared" si="42"/>
        <v>48</v>
      </c>
      <c r="S81" s="55" t="str">
        <f>IFERROR(VLOOKUP(MID(N81,Q81,R81-Q81),[5]skilldef!$C:$D,2,FALSE),"-") &amp; " / " &amp; IFERROR(VLOOKUP(MID(N81,O81,P81-O81),[5]skilldef!$A:$B,2,FALSE),"-")</f>
        <v>- / -</v>
      </c>
      <c r="T81" s="42" t="str">
        <f t="shared" si="43"/>
        <v>[effect:break_attack_fix, target:unit_one, val:300, lowest_val:3000, count:-1, color:green, block01:block_green]</v>
      </c>
      <c r="U81" s="55">
        <f t="shared" si="44"/>
        <v>9</v>
      </c>
      <c r="V81" s="55">
        <f t="shared" si="45"/>
        <v>25</v>
      </c>
      <c r="W81" s="55">
        <f t="shared" si="46"/>
        <v>34</v>
      </c>
      <c r="X81" s="55">
        <f t="shared" si="47"/>
        <v>42</v>
      </c>
      <c r="Y81" s="55" t="str">
        <f>IFERROR(VLOOKUP(MID(T81,W81,X81-W81),[5]skilldef!$C:$D,2,FALSE),"-") &amp; " / " &amp; IFERROR(VLOOKUP(MID(T81,U81,V81-U81),[5]skilldef!$A:$B,2,FALSE),"-")</f>
        <v>味方単体に / -</v>
      </c>
      <c r="Z81" s="44"/>
      <c r="AA81" s="46"/>
      <c r="AB81" s="44"/>
      <c r="AC81" s="229" t="s">
        <v>523</v>
      </c>
    </row>
    <row r="82" spans="1:29" ht="42" customHeight="1" x14ac:dyDescent="0.15">
      <c r="A82" s="216">
        <v>48701122</v>
      </c>
      <c r="B82" s="42" t="str">
        <f t="shared" si="50"/>
        <v>[effect:enemy_message, val1:1.2, val2:2.4],[effect:panel_freeze, target:normal, count:7],[effect:critical, val:1.2, animation:enemy_critical]</v>
      </c>
      <c r="C82" s="44">
        <v>1</v>
      </c>
      <c r="D82" s="44" t="s">
        <v>194</v>
      </c>
      <c r="E82" s="45" t="s">
        <v>414</v>
      </c>
      <c r="F82" s="45" t="s">
        <v>495</v>
      </c>
      <c r="G82" s="55" t="str">
        <f t="shared" si="33"/>
        <v>[effect:enemy_message, val1:1.2, val2:2.4]</v>
      </c>
      <c r="H82" s="55">
        <f t="shared" si="34"/>
        <v>9</v>
      </c>
      <c r="I82" s="55">
        <f t="shared" si="35"/>
        <v>22</v>
      </c>
      <c r="J82" s="55" t="e">
        <f t="shared" si="36"/>
        <v>#VALUE!</v>
      </c>
      <c r="K82" s="55">
        <f t="shared" si="37"/>
        <v>32</v>
      </c>
      <c r="L82" s="55" t="str">
        <f>IFERROR(VLOOKUP(MID(G82,J82,K82-J82),[5]skilldef!$C:$D,2,FALSE),"-") &amp; " / " &amp; IFERROR(VLOOKUP(MID(G82,H82,I82-H82),[5]skilldef!$A:$B,2,FALSE),"-")</f>
        <v>- / -</v>
      </c>
      <c r="M82" s="55" t="str">
        <f t="shared" si="38"/>
        <v>[effect:panel_freeze, target:normal, count:7],[effect:critical, val:1.2, animation:enemy_critical]</v>
      </c>
      <c r="N82" s="42" t="str">
        <f>IFERROR(LEFT(M82,FIND("],",M82)+#REF!),M82)</f>
        <v>[effect:panel_freeze, target:normal, count:7],[effect:critical, val:1.2, animation:enemy_critical]</v>
      </c>
      <c r="O82" s="55">
        <f t="shared" si="39"/>
        <v>9</v>
      </c>
      <c r="P82" s="55">
        <f t="shared" si="40"/>
        <v>21</v>
      </c>
      <c r="Q82" s="55">
        <f t="shared" si="41"/>
        <v>30</v>
      </c>
      <c r="R82" s="55">
        <f t="shared" si="42"/>
        <v>36</v>
      </c>
      <c r="S82" s="55" t="str">
        <f>IFERROR(VLOOKUP(MID(N82,Q82,R82-Q82),[5]skilldef!$C:$D,2,FALSE),"-") &amp; " / " &amp; IFERROR(VLOOKUP(MID(N82,O82,P82-O82),[5]skilldef!$A:$B,2,FALSE),"-")</f>
        <v>- / -</v>
      </c>
      <c r="T82" s="42" t="str">
        <f t="shared" si="43"/>
        <v>[effect:critical, val:1.2, animation:enemy_critical]</v>
      </c>
      <c r="U82" s="55">
        <f t="shared" si="44"/>
        <v>9</v>
      </c>
      <c r="V82" s="55">
        <f t="shared" si="45"/>
        <v>17</v>
      </c>
      <c r="W82" s="55" t="e">
        <f t="shared" si="46"/>
        <v>#VALUE!</v>
      </c>
      <c r="X82" s="55">
        <f t="shared" si="47"/>
        <v>26</v>
      </c>
      <c r="Y82" s="55" t="str">
        <f>IFERROR(VLOOKUP(MID(T82,W82,X82-W82),[5]skilldef!$C:$D,2,FALSE),"-") &amp; " / " &amp; IFERROR(VLOOKUP(MID(T82,U82,V82-U82),[5]skilldef!$A:$B,2,FALSE),"-")</f>
        <v>- / 大攻撃</v>
      </c>
      <c r="Z82" s="44"/>
      <c r="AA82" s="46"/>
      <c r="AB82" s="44"/>
      <c r="AC82" s="136" t="s">
        <v>474</v>
      </c>
    </row>
    <row r="83" spans="1:29" ht="42" customHeight="1" x14ac:dyDescent="0.15">
      <c r="A83" s="216">
        <v>48701123</v>
      </c>
      <c r="B83" s="42" t="str">
        <f t="shared" si="50"/>
        <v>[effect:enemy_message, val1:2.1, val2:2.0],[effect:tolerance, target:myself, turn:-1, count:-1, tolerance_effect:all, animation:enemy_tolerance],[effect:change_panel_ratio, turn:-1, block_type:red, val:0.1, animation:block_incidence04],[effect:fix_speed, target:myself, turn:1]</v>
      </c>
      <c r="C83" s="44">
        <v>1</v>
      </c>
      <c r="D83" s="44" t="s">
        <v>194</v>
      </c>
      <c r="E83" s="45" t="s">
        <v>396</v>
      </c>
      <c r="F83" s="45" t="s">
        <v>530</v>
      </c>
      <c r="G83" s="55" t="str">
        <f t="shared" si="33"/>
        <v>[effect:enemy_message, val1:2.1, val2:2.0]</v>
      </c>
      <c r="H83" s="55">
        <f t="shared" si="34"/>
        <v>9</v>
      </c>
      <c r="I83" s="55">
        <f t="shared" si="35"/>
        <v>22</v>
      </c>
      <c r="J83" s="55" t="e">
        <f t="shared" si="36"/>
        <v>#VALUE!</v>
      </c>
      <c r="K83" s="55">
        <f t="shared" si="37"/>
        <v>32</v>
      </c>
      <c r="L83" s="55" t="str">
        <f>IFERROR(VLOOKUP(MID(G83,J83,K83-J83),[5]skilldef!$C:$D,2,FALSE),"-") &amp; " / " &amp; IFERROR(VLOOKUP(MID(G83,H83,I83-H83),[5]skilldef!$A:$B,2,FALSE),"-")</f>
        <v>- / -</v>
      </c>
      <c r="M83" s="55" t="str">
        <f t="shared" si="38"/>
        <v>[effect:tolerance, target:myself, turn:-1, count:-1, tolerance_effect:all, animation:enemy_tolerance],[effect:change_panel_ratio, turn:-1, block_type:red, val:0.1, animation:block_incidence04],[effect:fix_speed, target:myself, turn:1]</v>
      </c>
      <c r="N83" s="42" t="str">
        <f>IFERROR(LEFT(M83,FIND("],",M83)+#REF!),M83)</f>
        <v>[effect:tolerance, target:myself, turn:-1, count:-1, tolerance_effect:all, animation:enemy_tolerance],[effect:change_panel_ratio, turn:-1, block_type:red, val:0.1, animation:block_incidence04],[effect:fix_speed, target:myself, turn:1]</v>
      </c>
      <c r="O83" s="55">
        <f t="shared" si="39"/>
        <v>9</v>
      </c>
      <c r="P83" s="55">
        <f t="shared" si="40"/>
        <v>18</v>
      </c>
      <c r="Q83" s="55">
        <f t="shared" si="41"/>
        <v>27</v>
      </c>
      <c r="R83" s="55">
        <f t="shared" si="42"/>
        <v>33</v>
      </c>
      <c r="S83" s="55" t="str">
        <f>IFERROR(VLOOKUP(MID(N83,Q83,R83-Q83),[5]skilldef!$C:$D,2,FALSE),"-") &amp; " / " &amp; IFERROR(VLOOKUP(MID(N83,O83,P83-O83),[5]skilldef!$A:$B,2,FALSE),"-")</f>
        <v>自分自身に / 状態異常耐性</v>
      </c>
      <c r="T83" s="42" t="str">
        <f t="shared" si="43"/>
        <v>[effect:change_panel_ratio, turn:-1, block_type:red, val:0.1, animation:block_incidence04],[effect:fix_speed, target:myself, turn:1]</v>
      </c>
      <c r="U83" s="55">
        <f t="shared" si="44"/>
        <v>9</v>
      </c>
      <c r="V83" s="55">
        <f t="shared" si="45"/>
        <v>27</v>
      </c>
      <c r="W83" s="55">
        <f t="shared" si="46"/>
        <v>118</v>
      </c>
      <c r="X83" s="55">
        <f t="shared" si="47"/>
        <v>36</v>
      </c>
      <c r="Y83" s="55" t="str">
        <f>IFERROR(VLOOKUP(MID(T83,W83,X83-W83),[5]skilldef!$C:$D,2,FALSE),"-") &amp; " / " &amp; IFERROR(VLOOKUP(MID(T83,U83,V83-U83),[5]skilldef!$A:$B,2,FALSE),"-")</f>
        <v>- / -</v>
      </c>
      <c r="Z83" s="44"/>
      <c r="AA83" s="46"/>
      <c r="AB83" s="44"/>
      <c r="AC83" s="231" t="s">
        <v>531</v>
      </c>
    </row>
    <row r="84" spans="1:29" ht="42" customHeight="1" x14ac:dyDescent="0.15">
      <c r="A84" s="216">
        <v>48701124</v>
      </c>
      <c r="B84" s="42" t="str">
        <f t="shared" si="50"/>
        <v>[effect:enemy_message, val1:2.0, val2:2.0],[effect:tolerance, target:myself, turn:-1, count:-1, tolerance_effect:all, animation:enemy_tolerance],[effect:change_panel_ratio, turn:-1, block_type:red, val:0.1, animation:block_incidence04],[effect:fix_speed, target:myself, turn:1]</v>
      </c>
      <c r="C84" s="44">
        <v>1</v>
      </c>
      <c r="D84" s="44" t="s">
        <v>194</v>
      </c>
      <c r="E84" s="144" t="s">
        <v>395</v>
      </c>
      <c r="F84" s="45" t="s">
        <v>530</v>
      </c>
      <c r="G84" s="55" t="str">
        <f t="shared" si="33"/>
        <v>[effect:enemy_message, val1:2.0, val2:2.0]</v>
      </c>
      <c r="H84" s="55">
        <f t="shared" si="34"/>
        <v>9</v>
      </c>
      <c r="I84" s="55">
        <f t="shared" si="35"/>
        <v>22</v>
      </c>
      <c r="J84" s="55" t="e">
        <f t="shared" si="36"/>
        <v>#VALUE!</v>
      </c>
      <c r="K84" s="55">
        <f t="shared" si="37"/>
        <v>32</v>
      </c>
      <c r="L84" s="55" t="str">
        <f>IFERROR(VLOOKUP(MID(G84,J84,K84-J84),[5]skilldef!$C:$D,2,FALSE),"-") &amp; " / " &amp; IFERROR(VLOOKUP(MID(G84,H84,I84-H84),[5]skilldef!$A:$B,2,FALSE),"-")</f>
        <v>- / -</v>
      </c>
      <c r="M84" s="55" t="str">
        <f t="shared" si="38"/>
        <v>[effect:tolerance, target:myself, turn:-1, count:-1, tolerance_effect:all, animation:enemy_tolerance],[effect:change_panel_ratio, turn:-1, block_type:red, val:0.1, animation:block_incidence04],[effect:fix_speed, target:myself, turn:1]</v>
      </c>
      <c r="N84" s="42" t="str">
        <f>IFERROR(LEFT(M84,FIND("],",M84)+#REF!),M84)</f>
        <v>[effect:tolerance, target:myself, turn:-1, count:-1, tolerance_effect:all, animation:enemy_tolerance],[effect:change_panel_ratio, turn:-1, block_type:red, val:0.1, animation:block_incidence04],[effect:fix_speed, target:myself, turn:1]</v>
      </c>
      <c r="O84" s="55">
        <f t="shared" si="39"/>
        <v>9</v>
      </c>
      <c r="P84" s="55">
        <f t="shared" si="40"/>
        <v>18</v>
      </c>
      <c r="Q84" s="55">
        <f t="shared" si="41"/>
        <v>27</v>
      </c>
      <c r="R84" s="55">
        <f t="shared" si="42"/>
        <v>33</v>
      </c>
      <c r="S84" s="55" t="str">
        <f>IFERROR(VLOOKUP(MID(N84,Q84,R84-Q84),[5]skilldef!$C:$D,2,FALSE),"-") &amp; " / " &amp; IFERROR(VLOOKUP(MID(N84,O84,P84-O84),[5]skilldef!$A:$B,2,FALSE),"-")</f>
        <v>自分自身に / 状態異常耐性</v>
      </c>
      <c r="T84" s="42" t="str">
        <f t="shared" si="43"/>
        <v>[effect:change_panel_ratio, turn:-1, block_type:red, val:0.1, animation:block_incidence04],[effect:fix_speed, target:myself, turn:1]</v>
      </c>
      <c r="U84" s="55">
        <f t="shared" si="44"/>
        <v>9</v>
      </c>
      <c r="V84" s="55">
        <f t="shared" si="45"/>
        <v>27</v>
      </c>
      <c r="W84" s="55">
        <f t="shared" si="46"/>
        <v>118</v>
      </c>
      <c r="X84" s="55">
        <f t="shared" si="47"/>
        <v>36</v>
      </c>
      <c r="Y84" s="55" t="str">
        <f>IFERROR(VLOOKUP(MID(T84,W84,X84-W84),[5]skilldef!$C:$D,2,FALSE),"-") &amp; " / " &amp; IFERROR(VLOOKUP(MID(T84,U84,V84-U84),[5]skilldef!$A:$B,2,FALSE),"-")</f>
        <v>- / -</v>
      </c>
      <c r="Z84" s="44"/>
      <c r="AA84" s="46"/>
      <c r="AB84" s="44"/>
      <c r="AC84" s="231" t="s">
        <v>531</v>
      </c>
    </row>
    <row r="85" spans="1:29" ht="42" customHeight="1" x14ac:dyDescent="0.15">
      <c r="A85" s="216">
        <v>48701125</v>
      </c>
      <c r="B85" s="42" t="str">
        <f t="shared" si="50"/>
        <v>[effect:enemy_message, val1:1.4, val2:1.3],[effect:break_attack_fix, target:unit_all, val:200, lowest_val:1000, count:-1, color:green, block01:block_red]</v>
      </c>
      <c r="C85" s="44">
        <v>1</v>
      </c>
      <c r="D85" s="44" t="s">
        <v>194</v>
      </c>
      <c r="E85" s="45" t="s">
        <v>418</v>
      </c>
      <c r="F85" s="45" t="s">
        <v>352</v>
      </c>
      <c r="G85" s="55" t="str">
        <f t="shared" si="33"/>
        <v>[effect:enemy_message, val1:1.4, val2:1.3]</v>
      </c>
      <c r="H85" s="55">
        <f t="shared" si="34"/>
        <v>9</v>
      </c>
      <c r="I85" s="55">
        <f t="shared" si="35"/>
        <v>22</v>
      </c>
      <c r="J85" s="55" t="e">
        <f t="shared" si="36"/>
        <v>#VALUE!</v>
      </c>
      <c r="K85" s="55">
        <f t="shared" si="37"/>
        <v>32</v>
      </c>
      <c r="L85" s="55" t="str">
        <f>IFERROR(VLOOKUP(MID(G85,J85,K85-J85),[5]skilldef!$C:$D,2,FALSE),"-") &amp; " / " &amp; IFERROR(VLOOKUP(MID(G85,H85,I85-H85),[5]skilldef!$A:$B,2,FALSE),"-")</f>
        <v>- / -</v>
      </c>
      <c r="M85" s="55" t="str">
        <f t="shared" si="38"/>
        <v>[effect:break_attack_fix, target:unit_all, val:200, lowest_val:1000, count:-1, color:green, block01:block_red]</v>
      </c>
      <c r="N85" s="42" t="str">
        <f>IFERROR(LEFT(M85,FIND("],",M85)+#REF!),M85)</f>
        <v>[effect:break_attack_fix, target:unit_all, val:200, lowest_val:1000, count:-1, color:green, block01:block_red]</v>
      </c>
      <c r="O85" s="55">
        <f t="shared" si="39"/>
        <v>9</v>
      </c>
      <c r="P85" s="55">
        <f t="shared" si="40"/>
        <v>25</v>
      </c>
      <c r="Q85" s="55">
        <f t="shared" si="41"/>
        <v>34</v>
      </c>
      <c r="R85" s="55">
        <f t="shared" si="42"/>
        <v>42</v>
      </c>
      <c r="S85" s="55" t="str">
        <f>IFERROR(VLOOKUP(MID(N85,Q85,R85-Q85),[5]skilldef!$C:$D,2,FALSE),"-") &amp; " / " &amp; IFERROR(VLOOKUP(MID(N85,O85,P85-O85),[5]skilldef!$A:$B,2,FALSE),"-")</f>
        <v>味方全体に / -</v>
      </c>
      <c r="T85" s="42" t="str">
        <f t="shared" si="43"/>
        <v>none</v>
      </c>
      <c r="U85" s="55" t="e">
        <f t="shared" si="44"/>
        <v>#VALUE!</v>
      </c>
      <c r="V85" s="55">
        <f t="shared" si="45"/>
        <v>4</v>
      </c>
      <c r="W85" s="55" t="e">
        <f t="shared" si="46"/>
        <v>#VALUE!</v>
      </c>
      <c r="X85" s="55" t="e">
        <f t="shared" si="47"/>
        <v>#VALUE!</v>
      </c>
      <c r="Y85" s="55" t="str">
        <f>IFERROR(VLOOKUP(MID(T85,W85,X85-W85),[5]skilldef!$C:$D,2,FALSE),"-") &amp; " / " &amp; IFERROR(VLOOKUP(MID(T85,U85,V85-U85),[5]skilldef!$A:$B,2,FALSE),"-")</f>
        <v>- / -</v>
      </c>
      <c r="Z85" s="44"/>
      <c r="AA85" s="46"/>
      <c r="AB85" s="44"/>
      <c r="AC85" s="136" t="s">
        <v>454</v>
      </c>
    </row>
    <row r="86" spans="1:29" ht="42" customHeight="1" x14ac:dyDescent="0.15">
      <c r="A86" s="216">
        <v>48701126</v>
      </c>
      <c r="B86" s="42" t="str">
        <f t="shared" si="50"/>
        <v>[effect:enemy_message, val1:1.4, val2:2.2],[effect:panel_freeze, target:normal, color:block_blue, count:5],[effect:panel_freeze, target:normal, color:block_green, count:5]</v>
      </c>
      <c r="C86" s="44">
        <v>1</v>
      </c>
      <c r="D86" s="44" t="s">
        <v>194</v>
      </c>
      <c r="E86" s="45" t="s">
        <v>417</v>
      </c>
      <c r="F86" s="45" t="s">
        <v>490</v>
      </c>
      <c r="G86" s="55" t="str">
        <f t="shared" si="33"/>
        <v>[effect:enemy_message, val1:1.4, val2:2.2]</v>
      </c>
      <c r="H86" s="55">
        <f t="shared" si="34"/>
        <v>9</v>
      </c>
      <c r="I86" s="55">
        <f t="shared" si="35"/>
        <v>22</v>
      </c>
      <c r="J86" s="55" t="e">
        <f t="shared" si="36"/>
        <v>#VALUE!</v>
      </c>
      <c r="K86" s="55">
        <f t="shared" si="37"/>
        <v>32</v>
      </c>
      <c r="L86" s="55" t="str">
        <f>IFERROR(VLOOKUP(MID(G86,J86,K86-J86),[5]skilldef!$C:$D,2,FALSE),"-") &amp; " / " &amp; IFERROR(VLOOKUP(MID(G86,H86,I86-H86),[5]skilldef!$A:$B,2,FALSE),"-")</f>
        <v>- / -</v>
      </c>
      <c r="M86" s="55" t="str">
        <f t="shared" si="38"/>
        <v>[effect:panel_freeze, target:normal, color:block_blue, count:5],[effect:panel_freeze, target:normal, color:block_green, count:5]</v>
      </c>
      <c r="N86" s="42" t="str">
        <f>IFERROR(LEFT(M86,FIND("],",M86)+#REF!),M86)</f>
        <v>[effect:panel_freeze, target:normal, color:block_blue, count:5],[effect:panel_freeze, target:normal, color:block_green, count:5]</v>
      </c>
      <c r="O86" s="55">
        <f t="shared" si="39"/>
        <v>9</v>
      </c>
      <c r="P86" s="55">
        <f t="shared" si="40"/>
        <v>21</v>
      </c>
      <c r="Q86" s="55">
        <f t="shared" si="41"/>
        <v>30</v>
      </c>
      <c r="R86" s="55">
        <f t="shared" si="42"/>
        <v>36</v>
      </c>
      <c r="S86" s="55" t="str">
        <f>IFERROR(VLOOKUP(MID(N86,Q86,R86-Q86),[5]skilldef!$C:$D,2,FALSE),"-") &amp; " / " &amp; IFERROR(VLOOKUP(MID(N86,O86,P86-O86),[5]skilldef!$A:$B,2,FALSE),"-")</f>
        <v>- / -</v>
      </c>
      <c r="T86" s="42" t="str">
        <f t="shared" si="43"/>
        <v>[effect:panel_freeze, target:normal, color:block_green, count:5]</v>
      </c>
      <c r="U86" s="55">
        <f t="shared" si="44"/>
        <v>9</v>
      </c>
      <c r="V86" s="55">
        <f t="shared" si="45"/>
        <v>21</v>
      </c>
      <c r="W86" s="55">
        <f t="shared" si="46"/>
        <v>30</v>
      </c>
      <c r="X86" s="55">
        <f t="shared" si="47"/>
        <v>36</v>
      </c>
      <c r="Y86" s="55" t="str">
        <f>IFERROR(VLOOKUP(MID(T86,W86,X86-W86),[5]skilldef!$C:$D,2,FALSE),"-") &amp; " / " &amp; IFERROR(VLOOKUP(MID(T86,U86,V86-U86),[5]skilldef!$A:$B,2,FALSE),"-")</f>
        <v>- / -</v>
      </c>
      <c r="Z86" s="44"/>
      <c r="AA86" s="46"/>
      <c r="AB86" s="44"/>
      <c r="AC86" s="136" t="s">
        <v>475</v>
      </c>
    </row>
    <row r="87" spans="1:29" ht="42" customHeight="1" x14ac:dyDescent="0.15">
      <c r="A87" s="216">
        <v>48701127</v>
      </c>
      <c r="B87" s="42" t="str">
        <f t="shared" si="50"/>
        <v>[effect:enemy_message, val1:1.2, val2:3.1],[effect:damage_abnormal, target:unit_one, val:0.5, status:heal, turn:3, val_abnormal:0.5, calc:mul],[effect:damage_abnormal, target:unit_one, val:0.5, status:heal, turn:3, val_abnormal:0.5, calc:mul],[effect:damage_abnormal, target:unit_one, val:0.5, status:heal, turn:3, val_abnormal:0.5, calc:mul]</v>
      </c>
      <c r="C87" s="44">
        <v>1</v>
      </c>
      <c r="D87" s="44" t="s">
        <v>194</v>
      </c>
      <c r="E87" s="45" t="s">
        <v>421</v>
      </c>
      <c r="F87" s="45" t="s">
        <v>374</v>
      </c>
      <c r="G87" s="55" t="str">
        <f t="shared" si="33"/>
        <v>[effect:enemy_message, val1:1.2, val2:3.1]</v>
      </c>
      <c r="H87" s="55">
        <f t="shared" si="34"/>
        <v>9</v>
      </c>
      <c r="I87" s="55">
        <f t="shared" si="35"/>
        <v>22</v>
      </c>
      <c r="J87" s="55" t="e">
        <f t="shared" si="36"/>
        <v>#VALUE!</v>
      </c>
      <c r="K87" s="55">
        <f t="shared" si="37"/>
        <v>32</v>
      </c>
      <c r="L87" s="55" t="str">
        <f>IFERROR(VLOOKUP(MID(G87,J87,K87-J87),[5]skilldef!$C:$D,2,FALSE),"-") &amp; " / " &amp; IFERROR(VLOOKUP(MID(G87,H87,I87-H87),[5]skilldef!$A:$B,2,FALSE),"-")</f>
        <v>- / -</v>
      </c>
      <c r="M87" s="55" t="str">
        <f t="shared" si="38"/>
        <v>[effect:damage_abnormal, target:unit_one, val:0.5, status:heal, turn:3, val_abnormal:0.5, calc:mul],[effect:damage_abnormal, target:unit_one, val:0.5, status:heal, turn:3, val_abnormal:0.5, calc:mul],[effect:damage_abnormal, target:unit_one, val:0.5, status:heal, turn:3, val_abnormal:0.5, calc:mul]</v>
      </c>
      <c r="N87" s="42" t="str">
        <f>IFERROR(LEFT(M87,FIND("],",M87)+#REF!),M87)</f>
        <v>[effect:damage_abnormal, target:unit_one, val:0.5, status:heal, turn:3, val_abnormal:0.5, calc:mul],[effect:damage_abnormal, target:unit_one, val:0.5, status:heal, turn:3, val_abnormal:0.5, calc:mul],[effect:damage_abnormal, target:unit_one, val:0.5, status:heal, turn:3, val_abnormal:0.5, calc:mul]</v>
      </c>
      <c r="O87" s="55">
        <f t="shared" si="39"/>
        <v>9</v>
      </c>
      <c r="P87" s="55">
        <f t="shared" si="40"/>
        <v>24</v>
      </c>
      <c r="Q87" s="55">
        <f t="shared" si="41"/>
        <v>33</v>
      </c>
      <c r="R87" s="55">
        <f t="shared" si="42"/>
        <v>41</v>
      </c>
      <c r="S87" s="55" t="str">
        <f>IFERROR(VLOOKUP(MID(N87,Q87,R87-Q87),[5]skilldef!$C:$D,2,FALSE),"-") &amp; " / " &amp; IFERROR(VLOOKUP(MID(N87,O87,P87-O87),[5]skilldef!$A:$B,2,FALSE),"-")</f>
        <v>味方単体に / -</v>
      </c>
      <c r="T87" s="42" t="str">
        <f t="shared" si="43"/>
        <v>[effect:damage_abnormal, target:unit_one, val:0.5, status:heal, turn:3, val_abnormal:0.5, calc:mul],[effect:damage_abnormal, target:unit_one, val:0.5, status:heal, turn:3, val_abnormal:0.5, calc:mul]</v>
      </c>
      <c r="U87" s="55">
        <f t="shared" si="44"/>
        <v>9</v>
      </c>
      <c r="V87" s="55">
        <f t="shared" si="45"/>
        <v>24</v>
      </c>
      <c r="W87" s="55">
        <f t="shared" si="46"/>
        <v>33</v>
      </c>
      <c r="X87" s="55">
        <f t="shared" si="47"/>
        <v>41</v>
      </c>
      <c r="Y87" s="55" t="str">
        <f>IFERROR(VLOOKUP(MID(T87,W87,X87-W87),[5]skilldef!$C:$D,2,FALSE),"-") &amp; " / " &amp; IFERROR(VLOOKUP(MID(T87,U87,V87-U87),[5]skilldef!$A:$B,2,FALSE),"-")</f>
        <v>味方単体に / -</v>
      </c>
      <c r="Z87" s="44"/>
      <c r="AA87" s="46"/>
      <c r="AB87" s="44"/>
      <c r="AC87" s="136" t="s">
        <v>476</v>
      </c>
    </row>
    <row r="88" spans="1:29" ht="42" customHeight="1" x14ac:dyDescent="0.15">
      <c r="A88" s="216">
        <v>48701128</v>
      </c>
      <c r="B88" s="42" t="str">
        <f t="shared" si="50"/>
        <v>[effect:enemy_message, val1:1.3, val2:3.0],[effect:force_change_block, new_block:time_bomb, target:block_yellow, color:yellow, count:3, val:0.2, min_time_count:2, max_time_count:3, animation:change_block],[effect:critical, val:1.5, animation:enemy_critical]</v>
      </c>
      <c r="C88" s="44">
        <v>1</v>
      </c>
      <c r="D88" s="44" t="s">
        <v>194</v>
      </c>
      <c r="E88" s="45" t="s">
        <v>445</v>
      </c>
      <c r="F88" s="45" t="s">
        <v>508</v>
      </c>
      <c r="G88" s="55" t="str">
        <f t="shared" si="33"/>
        <v>[effect:enemy_message, val1:1.3, val2:3.0]</v>
      </c>
      <c r="H88" s="55">
        <f t="shared" si="34"/>
        <v>9</v>
      </c>
      <c r="I88" s="55">
        <f t="shared" si="35"/>
        <v>22</v>
      </c>
      <c r="J88" s="55" t="e">
        <f t="shared" si="36"/>
        <v>#VALUE!</v>
      </c>
      <c r="K88" s="55">
        <f t="shared" si="37"/>
        <v>32</v>
      </c>
      <c r="L88" s="55" t="str">
        <f>IFERROR(VLOOKUP(MID(G88,J88,K88-J88),[5]skilldef!$C:$D,2,FALSE),"-") &amp; " / " &amp; IFERROR(VLOOKUP(MID(G88,H88,I88-H88),[5]skilldef!$A:$B,2,FALSE),"-")</f>
        <v>- / -</v>
      </c>
      <c r="M88" s="55" t="str">
        <f t="shared" si="38"/>
        <v>[effect:force_change_block, new_block:time_bomb, target:block_yellow, color:yellow, count:3, val:0.2, min_time_count:2, max_time_count:3, animation:change_block],[effect:critical, val:1.5, animation:enemy_critical]</v>
      </c>
      <c r="N88" s="42" t="str">
        <f>IFERROR(LEFT(M88,FIND("],",M88)+#REF!),M88)</f>
        <v>[effect:force_change_block, new_block:time_bomb, target:block_yellow, color:yellow, count:3, val:0.2, min_time_count:2, max_time_count:3, animation:change_block],[effect:critical, val:1.5, animation:enemy_critical]</v>
      </c>
      <c r="O88" s="55">
        <f t="shared" si="39"/>
        <v>9</v>
      </c>
      <c r="P88" s="55">
        <f t="shared" si="40"/>
        <v>27</v>
      </c>
      <c r="Q88" s="55">
        <f t="shared" si="41"/>
        <v>57</v>
      </c>
      <c r="R88" s="55">
        <f t="shared" si="42"/>
        <v>48</v>
      </c>
      <c r="S88" s="55" t="str">
        <f>IFERROR(VLOOKUP(MID(N88,Q88,R88-Q88),[5]skilldef!$C:$D,2,FALSE),"-") &amp; " / " &amp; IFERROR(VLOOKUP(MID(N88,O88,P88-O88),[5]skilldef!$A:$B,2,FALSE),"-")</f>
        <v>- / -</v>
      </c>
      <c r="T88" s="42" t="str">
        <f t="shared" si="43"/>
        <v>[effect:critical, val:1.5, animation:enemy_critical]</v>
      </c>
      <c r="U88" s="55">
        <f t="shared" si="44"/>
        <v>9</v>
      </c>
      <c r="V88" s="55">
        <f t="shared" si="45"/>
        <v>17</v>
      </c>
      <c r="W88" s="55" t="e">
        <f t="shared" si="46"/>
        <v>#VALUE!</v>
      </c>
      <c r="X88" s="55">
        <f t="shared" si="47"/>
        <v>26</v>
      </c>
      <c r="Y88" s="55" t="str">
        <f>IFERROR(VLOOKUP(MID(T88,W88,X88-W88),[5]skilldef!$C:$D,2,FALSE),"-") &amp; " / " &amp; IFERROR(VLOOKUP(MID(T88,U88,V88-U88),[5]skilldef!$A:$B,2,FALSE),"-")</f>
        <v>- / 大攻撃</v>
      </c>
      <c r="Z88" s="44"/>
      <c r="AA88" s="46"/>
      <c r="AB88" s="44"/>
      <c r="AC88" s="136" t="s">
        <v>453</v>
      </c>
    </row>
    <row r="89" spans="1:29" ht="42" customHeight="1" x14ac:dyDescent="0.15">
      <c r="A89" s="216">
        <v>48701129</v>
      </c>
      <c r="B89" s="42" t="str">
        <f t="shared" si="50"/>
        <v>[effect:enemy_message, val1:1.3, val2:1.2],[effect:critical, val:1.6, animation:enemy_critical]</v>
      </c>
      <c r="C89" s="44">
        <v>1</v>
      </c>
      <c r="D89" s="44" t="s">
        <v>194</v>
      </c>
      <c r="E89" s="45" t="s">
        <v>422</v>
      </c>
      <c r="F89" s="45" t="s">
        <v>353</v>
      </c>
      <c r="G89" s="55" t="str">
        <f t="shared" si="33"/>
        <v>[effect:enemy_message, val1:1.3, val2:1.2]</v>
      </c>
      <c r="H89" s="55">
        <f t="shared" si="34"/>
        <v>9</v>
      </c>
      <c r="I89" s="55">
        <f t="shared" si="35"/>
        <v>22</v>
      </c>
      <c r="J89" s="55" t="e">
        <f t="shared" si="36"/>
        <v>#VALUE!</v>
      </c>
      <c r="K89" s="55">
        <f t="shared" si="37"/>
        <v>32</v>
      </c>
      <c r="L89" s="55" t="str">
        <f>IFERROR(VLOOKUP(MID(G89,J89,K89-J89),[5]skilldef!$C:$D,2,FALSE),"-") &amp; " / " &amp; IFERROR(VLOOKUP(MID(G89,H89,I89-H89),[5]skilldef!$A:$B,2,FALSE),"-")</f>
        <v>- / -</v>
      </c>
      <c r="M89" s="55" t="str">
        <f t="shared" si="38"/>
        <v>[effect:critical, val:1.6, animation:enemy_critical]</v>
      </c>
      <c r="N89" s="42" t="str">
        <f>IFERROR(LEFT(M89,FIND("],",M89)+#REF!),M89)</f>
        <v>[effect:critical, val:1.6, animation:enemy_critical]</v>
      </c>
      <c r="O89" s="55">
        <f t="shared" si="39"/>
        <v>9</v>
      </c>
      <c r="P89" s="55">
        <f t="shared" si="40"/>
        <v>17</v>
      </c>
      <c r="Q89" s="55" t="e">
        <f t="shared" si="41"/>
        <v>#VALUE!</v>
      </c>
      <c r="R89" s="55">
        <f t="shared" si="42"/>
        <v>26</v>
      </c>
      <c r="S89" s="55" t="str">
        <f>IFERROR(VLOOKUP(MID(N89,Q89,R89-Q89),[5]skilldef!$C:$D,2,FALSE),"-") &amp; " / " &amp; IFERROR(VLOOKUP(MID(N89,O89,P89-O89),[5]skilldef!$A:$B,2,FALSE),"-")</f>
        <v>- / 大攻撃</v>
      </c>
      <c r="T89" s="42" t="str">
        <f t="shared" si="43"/>
        <v>none</v>
      </c>
      <c r="U89" s="55" t="e">
        <f t="shared" si="44"/>
        <v>#VALUE!</v>
      </c>
      <c r="V89" s="55">
        <f t="shared" si="45"/>
        <v>4</v>
      </c>
      <c r="W89" s="55" t="e">
        <f t="shared" si="46"/>
        <v>#VALUE!</v>
      </c>
      <c r="X89" s="55" t="e">
        <f t="shared" si="47"/>
        <v>#VALUE!</v>
      </c>
      <c r="Y89" s="55" t="str">
        <f>IFERROR(VLOOKUP(MID(T89,W89,X89-W89),[5]skilldef!$C:$D,2,FALSE),"-") &amp; " / " &amp; IFERROR(VLOOKUP(MID(T89,U89,V89-U89),[5]skilldef!$A:$B,2,FALSE),"-")</f>
        <v>- / -</v>
      </c>
      <c r="Z89" s="44"/>
      <c r="AA89" s="46"/>
      <c r="AB89" s="44"/>
      <c r="AC89" s="136" t="s">
        <v>451</v>
      </c>
    </row>
    <row r="90" spans="1:29" ht="42" customHeight="1" x14ac:dyDescent="0.15">
      <c r="A90" s="216">
        <v>48701130</v>
      </c>
      <c r="B90" s="42" t="str">
        <f>"[effect:enemy_message, val1:"&amp;TEXT(IF(TEXT(E90,0)="[表示しない]", "0", IF(LEN(SUBSTITUTE(E90,CHAR(13),""))*0.1&lt;1.2, 1.2, LEN(SUBSTITUTE(E90,CHAR(13),""))*0.1)), "0.0")&amp;", val2:"&amp;TEXT(IF(TEXT(F90,0)="[表示しない]", "0", IF(LEN(SUBSTITUTE(F90,CHAR(13),""))*0.1&lt;1.2, 1.2, LEN(SUBSTITUTE(F90,CHAR(13),""))*0.1)),"0.0")&amp;"]"&amp;IF(LEN(AC90)&gt;0, ","&amp;AC90,AC90)</f>
        <v>[effect:enemy_message, val1:1.3, val2:3.3],[effect:tolerance,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C90" s="44">
        <v>1</v>
      </c>
      <c r="D90" s="44" t="s">
        <v>194</v>
      </c>
      <c r="E90" s="45" t="s">
        <v>402</v>
      </c>
      <c r="F90" s="45" t="s">
        <v>375</v>
      </c>
      <c r="G90" s="55" t="str">
        <f t="shared" si="33"/>
        <v>[effect:enemy_message, val1:1.3, val2:3.3]</v>
      </c>
      <c r="H90" s="55">
        <f t="shared" si="34"/>
        <v>9</v>
      </c>
      <c r="I90" s="55">
        <f t="shared" si="35"/>
        <v>22</v>
      </c>
      <c r="J90" s="55" t="e">
        <f t="shared" si="36"/>
        <v>#VALUE!</v>
      </c>
      <c r="K90" s="55">
        <f t="shared" si="37"/>
        <v>32</v>
      </c>
      <c r="L90" s="55" t="str">
        <f>IFERROR(VLOOKUP(MID(G90,J90,K90-J90),[5]skilldef!$C:$D,2,FALSE),"-") &amp; " / " &amp; IFERROR(VLOOKUP(MID(G90,H90,I90-H90),[5]skilldef!$A:$B,2,FALSE),"-")</f>
        <v>- / -</v>
      </c>
      <c r="M90" s="55" t="str">
        <f t="shared" si="38"/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N90" s="42" t="str">
        <f>IFERROR(LEFT(M90,FIND("],",M90)+#REF!),M90)</f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O90" s="55">
        <f t="shared" si="39"/>
        <v>9</v>
      </c>
      <c r="P90" s="55">
        <f t="shared" si="40"/>
        <v>18</v>
      </c>
      <c r="Q90" s="55">
        <f t="shared" si="41"/>
        <v>27</v>
      </c>
      <c r="R90" s="55">
        <f t="shared" si="42"/>
        <v>33</v>
      </c>
      <c r="S90" s="55" t="str">
        <f>IFERROR(VLOOKUP(MID(N90,Q90,R90-Q90),[5]skilldef!$C:$D,2,FALSE),"-") &amp; " / " &amp; IFERROR(VLOOKUP(MID(N90,O90,P90-O90),[5]skilldef!$A:$B,2,FALSE),"-")</f>
        <v>自分自身に / 状態異常耐性</v>
      </c>
      <c r="T90" s="42" t="str">
        <f t="shared" si="43"/>
        <v>[effect:freq_turn, target:myself, turn:2, val:1, animation:enemy_freq_turn],[effect:change_panel_ratio, turn:1, block_type:blue, val:0.8, animation:block_incidence04]</v>
      </c>
      <c r="U90" s="55">
        <f t="shared" si="44"/>
        <v>9</v>
      </c>
      <c r="V90" s="55">
        <f t="shared" si="45"/>
        <v>18</v>
      </c>
      <c r="W90" s="55">
        <f t="shared" si="46"/>
        <v>27</v>
      </c>
      <c r="X90" s="55">
        <f t="shared" si="47"/>
        <v>33</v>
      </c>
      <c r="Y90" s="55" t="str">
        <f>IFERROR(VLOOKUP(MID(T90,W90,X90-W90),[5]skilldef!$C:$D,2,FALSE),"-") &amp; " / " &amp; IFERROR(VLOOKUP(MID(T90,U90,V90-U90),[5]skilldef!$A:$B,2,FALSE),"-")</f>
        <v>自分自身に / 攻撃頻度がUP</v>
      </c>
      <c r="Z90" s="44"/>
      <c r="AA90" s="46"/>
      <c r="AB90" s="44"/>
      <c r="AC90" s="136" t="s">
        <v>477</v>
      </c>
    </row>
    <row r="91" spans="1:29" ht="42" customHeight="1" x14ac:dyDescent="0.15">
      <c r="A91" s="216">
        <v>48701131</v>
      </c>
      <c r="B91" s="42" t="str">
        <f t="shared" ref="B91:B113" si="51">"[effect:enemy_message, val1:"&amp;TEXT(IF(TEXT(E91,0)="[表示しない]", "0", IF(LEN(SUBSTITUTE(E91,CHAR(13),""))*0.1&lt;1.2, 1.2, LEN(SUBSTITUTE(E91,CHAR(13),""))*0.1)), "0.0")&amp;", val2:"&amp;TEXT(IF(TEXT(F91,0)="[表示しない]", "0", IF(LEN(SUBSTITUTE(F91,CHAR(13),""))*0.1&lt;1.2, 1.2, LEN(SUBSTITUTE(F91,CHAR(13),""))*0.1)),"0.0")&amp;"]"&amp;IF(LEN(AC91)&gt;0, ","&amp;AC91,AC91)</f>
        <v>[effect:enemy_message, val1:1.2, val2:3.3],[effect:tolerance,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C91" s="44">
        <v>1</v>
      </c>
      <c r="D91" s="44" t="s">
        <v>194</v>
      </c>
      <c r="E91" s="45" t="s">
        <v>397</v>
      </c>
      <c r="F91" s="144" t="s">
        <v>375</v>
      </c>
      <c r="G91" s="55" t="str">
        <f t="shared" si="33"/>
        <v>[effect:enemy_message, val1:1.2, val2:3.3]</v>
      </c>
      <c r="H91" s="55">
        <f t="shared" si="34"/>
        <v>9</v>
      </c>
      <c r="I91" s="55">
        <f t="shared" si="35"/>
        <v>22</v>
      </c>
      <c r="J91" s="55" t="e">
        <f t="shared" si="36"/>
        <v>#VALUE!</v>
      </c>
      <c r="K91" s="55">
        <f t="shared" si="37"/>
        <v>32</v>
      </c>
      <c r="L91" s="55" t="str">
        <f>IFERROR(VLOOKUP(MID(G91,J91,K91-J91),[5]skilldef!$C:$D,2,FALSE),"-") &amp; " / " &amp; IFERROR(VLOOKUP(MID(G91,H91,I91-H91),[5]skilldef!$A:$B,2,FALSE),"-")</f>
        <v>- / -</v>
      </c>
      <c r="M91" s="55" t="str">
        <f t="shared" si="38"/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N91" s="42" t="str">
        <f>IFERROR(LEFT(M91,FIND("],",M91)+#REF!),M91)</f>
        <v>[effect:tolerance, target:myself, turn:-1, count:-1, tolerance_effect:all, animation:enemy_tolerance],[effect:freq_turn, target:myself, turn:2, val:1, animation:enemy_freq_turn],[effect:change_panel_ratio, turn:1, block_type:blue, val:0.8, animation:block_incidence04]</v>
      </c>
      <c r="O91" s="55">
        <f t="shared" si="39"/>
        <v>9</v>
      </c>
      <c r="P91" s="55">
        <f t="shared" si="40"/>
        <v>18</v>
      </c>
      <c r="Q91" s="55">
        <f t="shared" si="41"/>
        <v>27</v>
      </c>
      <c r="R91" s="55">
        <f t="shared" si="42"/>
        <v>33</v>
      </c>
      <c r="S91" s="55" t="str">
        <f>IFERROR(VLOOKUP(MID(N91,Q91,R91-Q91),[5]skilldef!$C:$D,2,FALSE),"-") &amp; " / " &amp; IFERROR(VLOOKUP(MID(N91,O91,P91-O91),[5]skilldef!$A:$B,2,FALSE),"-")</f>
        <v>自分自身に / 状態異常耐性</v>
      </c>
      <c r="T91" s="42" t="str">
        <f t="shared" si="43"/>
        <v>[effect:freq_turn, target:myself, turn:2, val:1, animation:enemy_freq_turn],[effect:change_panel_ratio, turn:1, block_type:blue, val:0.8, animation:block_incidence04]</v>
      </c>
      <c r="U91" s="55">
        <f t="shared" si="44"/>
        <v>9</v>
      </c>
      <c r="V91" s="55">
        <f t="shared" si="45"/>
        <v>18</v>
      </c>
      <c r="W91" s="55">
        <f t="shared" si="46"/>
        <v>27</v>
      </c>
      <c r="X91" s="55">
        <f t="shared" si="47"/>
        <v>33</v>
      </c>
      <c r="Y91" s="55" t="str">
        <f>IFERROR(VLOOKUP(MID(T91,W91,X91-W91),[5]skilldef!$C:$D,2,FALSE),"-") &amp; " / " &amp; IFERROR(VLOOKUP(MID(T91,U91,V91-U91),[5]skilldef!$A:$B,2,FALSE),"-")</f>
        <v>自分自身に / 攻撃頻度がUP</v>
      </c>
      <c r="Z91" s="44"/>
      <c r="AA91" s="46"/>
      <c r="AB91" s="44"/>
      <c r="AC91" s="136" t="s">
        <v>477</v>
      </c>
    </row>
    <row r="92" spans="1:29" ht="42" customHeight="1" x14ac:dyDescent="0.15">
      <c r="A92" s="216">
        <v>48701132</v>
      </c>
      <c r="B92" s="42" t="str">
        <f t="shared" si="51"/>
        <v>[effect:enemy_message, val1:1.4, val2:2.7],[effect:dark, target:unit_all, turn:3, animation:enemy_dark],[effect:force_change_block, new_block:time_bomb, target:block_blue, color:blue, count:-1, val:0.1, min_time_count:2, max_time_count:3, animation:change_block]</v>
      </c>
      <c r="C92" s="44">
        <v>1</v>
      </c>
      <c r="D92" s="44" t="s">
        <v>194</v>
      </c>
      <c r="E92" s="45" t="s">
        <v>423</v>
      </c>
      <c r="F92" s="45" t="s">
        <v>354</v>
      </c>
      <c r="G92" s="55" t="str">
        <f t="shared" ref="G92:G115" si="52">IFERROR(LEFT(B92,FIND("],",B92)),B92)</f>
        <v>[effect:enemy_message, val1:1.4, val2:2.7]</v>
      </c>
      <c r="H92" s="55">
        <f t="shared" ref="H92:H115" si="53">FIND("effect:",G92)+7</f>
        <v>9</v>
      </c>
      <c r="I92" s="55">
        <f t="shared" ref="I92:I115" si="54">IFERROR(FIND(",",G92),LEN(G92))</f>
        <v>22</v>
      </c>
      <c r="J92" s="55" t="e">
        <f t="shared" ref="J92:J115" si="55">FIND("target:",G92)+7</f>
        <v>#VALUE!</v>
      </c>
      <c r="K92" s="55">
        <f t="shared" ref="K92:K115" si="56">FIND(",",G92,I92+1)</f>
        <v>32</v>
      </c>
      <c r="L92" s="55" t="str">
        <f>IFERROR(VLOOKUP(MID(G92,J92,K92-J92),[5]skilldef!$C:$D,2,FALSE),"-") &amp; " / " &amp; IFERROR(VLOOKUP(MID(G92,H92,I92-H92),[5]skilldef!$A:$B,2,FALSE),"-")</f>
        <v>- / -</v>
      </c>
      <c r="M92" s="55" t="str">
        <f t="shared" ref="M92:M115" si="57">IFERROR(RIGHT(B92,LEN(B92)-FIND("],",B92)-1),"none")</f>
        <v>[effect:dark, target:unit_all, turn:3, animation:enemy_dark],[effect:force_change_block, new_block:time_bomb, target:block_blue, color:blue, count:-1, val:0.1, min_time_count:2, max_time_count:3, animation:change_block]</v>
      </c>
      <c r="N92" s="42" t="str">
        <f>IFERROR(LEFT(M92,FIND("],",M92)+#REF!),M92)</f>
        <v>[effect:dark, target:unit_all, turn:3, animation:enemy_dark],[effect:force_change_block, new_block:time_bomb, target:block_blue, color:blue, count:-1, val:0.1, min_time_count:2, max_time_count:3, animation:change_block]</v>
      </c>
      <c r="O92" s="55">
        <f t="shared" ref="O92:O115" si="58">FIND("effect:",N92)+7</f>
        <v>9</v>
      </c>
      <c r="P92" s="55">
        <f t="shared" ref="P92:P115" si="59">IFERROR(FIND(",",N92),LEN(N92))</f>
        <v>13</v>
      </c>
      <c r="Q92" s="55">
        <f t="shared" ref="Q92:Q115" si="60">FIND("target:",N92)+7</f>
        <v>22</v>
      </c>
      <c r="R92" s="55">
        <f t="shared" ref="R92:R115" si="61">FIND(",",N92,P92+1)</f>
        <v>30</v>
      </c>
      <c r="S92" s="55" t="str">
        <f>IFERROR(VLOOKUP(MID(N92,Q92,R92-Q92),[5]skilldef!$C:$D,2,FALSE),"-") &amp; " / " &amp; IFERROR(VLOOKUP(MID(N92,O92,P92-O92),[5]skilldef!$A:$B,2,FALSE),"-")</f>
        <v>味方全体に / 暗黒</v>
      </c>
      <c r="T92" s="42" t="str">
        <f t="shared" ref="T92:T115" si="62">IFERROR(RIGHT(M92,LEN(M92)-FIND("],",M92)-1),"none")</f>
        <v>[effect:force_change_block, new_block:time_bomb, target:block_blue, color:blue, count:-1, val:0.1, min_time_count:2, max_time_count:3, animation:change_block]</v>
      </c>
      <c r="U92" s="55">
        <f t="shared" ref="U92:U115" si="63">FIND("effect:",T92)+7</f>
        <v>9</v>
      </c>
      <c r="V92" s="55">
        <f t="shared" ref="V92:V115" si="64">IFERROR(FIND(",",T92),LEN(T92))</f>
        <v>27</v>
      </c>
      <c r="W92" s="55">
        <f t="shared" ref="W92:W115" si="65">FIND("target:",T92)+7</f>
        <v>57</v>
      </c>
      <c r="X92" s="55">
        <f t="shared" ref="X92:X115" si="66">FIND(",",T92,V92+1)</f>
        <v>48</v>
      </c>
      <c r="Y92" s="55" t="str">
        <f>IFERROR(VLOOKUP(MID(T92,W92,X92-W92),[5]skilldef!$C:$D,2,FALSE),"-") &amp; " / " &amp; IFERROR(VLOOKUP(MID(T92,U92,V92-U92),[5]skilldef!$A:$B,2,FALSE),"-")</f>
        <v>- / -</v>
      </c>
      <c r="Z92" s="44"/>
      <c r="AA92" s="46"/>
      <c r="AB92" s="44"/>
      <c r="AC92" s="136" t="s">
        <v>478</v>
      </c>
    </row>
    <row r="93" spans="1:29" ht="42" customHeight="1" x14ac:dyDescent="0.15">
      <c r="A93" s="216">
        <v>48701133</v>
      </c>
      <c r="B93" s="42" t="str">
        <f t="shared" si="51"/>
        <v>[effect:enemy_message, val1:1.2, val2:1.3],[effect:break_attack_fix, target:unit_all, val:200, lowest_val:1000, count:-1, color:green, block01:block_red]</v>
      </c>
      <c r="C93" s="44">
        <v>1</v>
      </c>
      <c r="D93" s="44" t="s">
        <v>194</v>
      </c>
      <c r="E93" s="45" t="s">
        <v>424</v>
      </c>
      <c r="F93" s="45" t="s">
        <v>496</v>
      </c>
      <c r="G93" s="55" t="str">
        <f t="shared" si="52"/>
        <v>[effect:enemy_message, val1:1.2, val2:1.3]</v>
      </c>
      <c r="H93" s="55">
        <f t="shared" si="53"/>
        <v>9</v>
      </c>
      <c r="I93" s="55">
        <f t="shared" si="54"/>
        <v>22</v>
      </c>
      <c r="J93" s="55" t="e">
        <f t="shared" si="55"/>
        <v>#VALUE!</v>
      </c>
      <c r="K93" s="55">
        <f t="shared" si="56"/>
        <v>32</v>
      </c>
      <c r="L93" s="55" t="str">
        <f>IFERROR(VLOOKUP(MID(G93,J93,K93-J93),[5]skilldef!$C:$D,2,FALSE),"-") &amp; " / " &amp; IFERROR(VLOOKUP(MID(G93,H93,I93-H93),[5]skilldef!$A:$B,2,FALSE),"-")</f>
        <v>- / -</v>
      </c>
      <c r="M93" s="55" t="str">
        <f t="shared" si="57"/>
        <v>[effect:break_attack_fix, target:unit_all, val:200, lowest_val:1000, count:-1, color:green, block01:block_red]</v>
      </c>
      <c r="N93" s="42" t="str">
        <f>IFERROR(LEFT(M93,FIND("],",M93)+#REF!),M93)</f>
        <v>[effect:break_attack_fix, target:unit_all, val:200, lowest_val:1000, count:-1, color:green, block01:block_red]</v>
      </c>
      <c r="O93" s="55">
        <f t="shared" si="58"/>
        <v>9</v>
      </c>
      <c r="P93" s="55">
        <f t="shared" si="59"/>
        <v>25</v>
      </c>
      <c r="Q93" s="55">
        <f t="shared" si="60"/>
        <v>34</v>
      </c>
      <c r="R93" s="55">
        <f t="shared" si="61"/>
        <v>42</v>
      </c>
      <c r="S93" s="55" t="str">
        <f>IFERROR(VLOOKUP(MID(N93,Q93,R93-Q93),[5]skilldef!$C:$D,2,FALSE),"-") &amp; " / " &amp; IFERROR(VLOOKUP(MID(N93,O93,P93-O93),[5]skilldef!$A:$B,2,FALSE),"-")</f>
        <v>味方全体に / -</v>
      </c>
      <c r="T93" s="42" t="str">
        <f t="shared" si="62"/>
        <v>none</v>
      </c>
      <c r="U93" s="55" t="e">
        <f t="shared" si="63"/>
        <v>#VALUE!</v>
      </c>
      <c r="V93" s="55">
        <f t="shared" si="64"/>
        <v>4</v>
      </c>
      <c r="W93" s="55" t="e">
        <f t="shared" si="65"/>
        <v>#VALUE!</v>
      </c>
      <c r="X93" s="55" t="e">
        <f t="shared" si="66"/>
        <v>#VALUE!</v>
      </c>
      <c r="Y93" s="55" t="str">
        <f>IFERROR(VLOOKUP(MID(T93,W93,X93-W93),[5]skilldef!$C:$D,2,FALSE),"-") &amp; " / " &amp; IFERROR(VLOOKUP(MID(T93,U93,V93-U93),[5]skilldef!$A:$B,2,FALSE),"-")</f>
        <v>- / -</v>
      </c>
      <c r="Z93" s="44"/>
      <c r="AA93" s="46"/>
      <c r="AB93" s="44"/>
      <c r="AC93" s="136" t="s">
        <v>454</v>
      </c>
    </row>
    <row r="94" spans="1:29" ht="42" customHeight="1" x14ac:dyDescent="0.15">
      <c r="A94" s="216">
        <v>48701134</v>
      </c>
      <c r="B94" s="42" t="str">
        <f t="shared" si="51"/>
        <v>[effect:enemy_message, val1:1.3, val2:2.5],[effect:spread, val:0.6],[effect:attack_break, target:unit_all, turn:2, val:0.2, calc:mul, animation:attack_break01]</v>
      </c>
      <c r="C94" s="44">
        <v>1</v>
      </c>
      <c r="D94" s="44" t="s">
        <v>194</v>
      </c>
      <c r="E94" s="45" t="s">
        <v>425</v>
      </c>
      <c r="F94" s="45" t="s">
        <v>466</v>
      </c>
      <c r="G94" s="55" t="str">
        <f t="shared" si="52"/>
        <v>[effect:enemy_message, val1:1.3, val2:2.5]</v>
      </c>
      <c r="H94" s="55">
        <f t="shared" si="53"/>
        <v>9</v>
      </c>
      <c r="I94" s="55">
        <f t="shared" si="54"/>
        <v>22</v>
      </c>
      <c r="J94" s="55" t="e">
        <f t="shared" si="55"/>
        <v>#VALUE!</v>
      </c>
      <c r="K94" s="55">
        <f t="shared" si="56"/>
        <v>32</v>
      </c>
      <c r="L94" s="55" t="str">
        <f>IFERROR(VLOOKUP(MID(G94,J94,K94-J94),[5]skilldef!$C:$D,2,FALSE),"-") &amp; " / " &amp; IFERROR(VLOOKUP(MID(G94,H94,I94-H94),[5]skilldef!$A:$B,2,FALSE),"-")</f>
        <v>- / -</v>
      </c>
      <c r="M94" s="55" t="str">
        <f t="shared" si="57"/>
        <v>[effect:spread, val:0.6],[effect:attack_break, target:unit_all, turn:2, val:0.2, calc:mul, animation:attack_break01]</v>
      </c>
      <c r="N94" s="42" t="str">
        <f>IFERROR(LEFT(M94,FIND("],",M94)+#REF!),M94)</f>
        <v>[effect:spread, val:0.6],[effect:attack_break, target:unit_all, turn:2, val:0.2, calc:mul, animation:attack_break01]</v>
      </c>
      <c r="O94" s="55">
        <f t="shared" si="58"/>
        <v>9</v>
      </c>
      <c r="P94" s="55">
        <f t="shared" si="59"/>
        <v>15</v>
      </c>
      <c r="Q94" s="55">
        <f t="shared" si="60"/>
        <v>55</v>
      </c>
      <c r="R94" s="55">
        <f t="shared" si="61"/>
        <v>25</v>
      </c>
      <c r="S94" s="55" t="str">
        <f>IFERROR(VLOOKUP(MID(N94,Q94,R94-Q94),[5]skilldef!$C:$D,2,FALSE),"-") &amp; " / " &amp; IFERROR(VLOOKUP(MID(N94,O94,P94-O94),[5]skilldef!$A:$B,2,FALSE),"-")</f>
        <v>- / 全体攻撃</v>
      </c>
      <c r="T94" s="42" t="str">
        <f t="shared" si="62"/>
        <v>[effect:attack_break, target:unit_all, turn:2, val:0.2, calc:mul, animation:attack_break01]</v>
      </c>
      <c r="U94" s="55">
        <f t="shared" si="63"/>
        <v>9</v>
      </c>
      <c r="V94" s="55">
        <f t="shared" si="64"/>
        <v>21</v>
      </c>
      <c r="W94" s="55">
        <f t="shared" si="65"/>
        <v>30</v>
      </c>
      <c r="X94" s="55">
        <f t="shared" si="66"/>
        <v>38</v>
      </c>
      <c r="Y94" s="55" t="str">
        <f>IFERROR(VLOOKUP(MID(T94,W94,X94-W94),[5]skilldef!$C:$D,2,FALSE),"-") &amp; " / " &amp; IFERROR(VLOOKUP(MID(T94,U94,V94-U94),[5]skilldef!$A:$B,2,FALSE),"-")</f>
        <v>味方全体に / -</v>
      </c>
      <c r="Z94" s="44"/>
      <c r="AA94" s="46"/>
      <c r="AB94" s="44"/>
      <c r="AC94" s="229" t="s">
        <v>524</v>
      </c>
    </row>
    <row r="95" spans="1:29" ht="42" customHeight="1" x14ac:dyDescent="0.15">
      <c r="A95" s="216">
        <v>48701135</v>
      </c>
      <c r="B95" s="42" t="str">
        <f t="shared" si="51"/>
        <v>[effect:enemy_message, val1:1.4, val2:1.2],[effect:rush, count:4, val:0.3]</v>
      </c>
      <c r="C95" s="44">
        <v>1</v>
      </c>
      <c r="D95" s="44" t="s">
        <v>194</v>
      </c>
      <c r="E95" s="45" t="s">
        <v>426</v>
      </c>
      <c r="F95" s="45" t="s">
        <v>355</v>
      </c>
      <c r="G95" s="55" t="str">
        <f t="shared" si="52"/>
        <v>[effect:enemy_message, val1:1.4, val2:1.2]</v>
      </c>
      <c r="H95" s="55">
        <f t="shared" si="53"/>
        <v>9</v>
      </c>
      <c r="I95" s="55">
        <f t="shared" si="54"/>
        <v>22</v>
      </c>
      <c r="J95" s="55" t="e">
        <f t="shared" si="55"/>
        <v>#VALUE!</v>
      </c>
      <c r="K95" s="55">
        <f t="shared" si="56"/>
        <v>32</v>
      </c>
      <c r="L95" s="55" t="str">
        <f>IFERROR(VLOOKUP(MID(G95,J95,K95-J95),[5]skilldef!$C:$D,2,FALSE),"-") &amp; " / " &amp; IFERROR(VLOOKUP(MID(G95,H95,I95-H95),[5]skilldef!$A:$B,2,FALSE),"-")</f>
        <v>- / -</v>
      </c>
      <c r="M95" s="55" t="str">
        <f t="shared" si="57"/>
        <v>[effect:rush, count:4, val:0.3]</v>
      </c>
      <c r="N95" s="42" t="str">
        <f>IFERROR(LEFT(M95,FIND("],",M95)+#REF!),M95)</f>
        <v>[effect:rush, count:4, val:0.3]</v>
      </c>
      <c r="O95" s="55">
        <f t="shared" si="58"/>
        <v>9</v>
      </c>
      <c r="P95" s="55">
        <f t="shared" si="59"/>
        <v>13</v>
      </c>
      <c r="Q95" s="55" t="e">
        <f t="shared" si="60"/>
        <v>#VALUE!</v>
      </c>
      <c r="R95" s="55">
        <f t="shared" si="61"/>
        <v>22</v>
      </c>
      <c r="S95" s="55" t="str">
        <f>IFERROR(VLOOKUP(MID(N95,Q95,R95-Q95),[5]skilldef!$C:$D,2,FALSE),"-") &amp; " / " &amp; IFERROR(VLOOKUP(MID(N95,O95,P95-O95),[5]skilldef!$A:$B,2,FALSE),"-")</f>
        <v>- / 連続攻撃</v>
      </c>
      <c r="T95" s="42" t="str">
        <f t="shared" si="62"/>
        <v>none</v>
      </c>
      <c r="U95" s="55" t="e">
        <f t="shared" si="63"/>
        <v>#VALUE!</v>
      </c>
      <c r="V95" s="55">
        <f t="shared" si="64"/>
        <v>4</v>
      </c>
      <c r="W95" s="55" t="e">
        <f t="shared" si="65"/>
        <v>#VALUE!</v>
      </c>
      <c r="X95" s="55" t="e">
        <f t="shared" si="66"/>
        <v>#VALUE!</v>
      </c>
      <c r="Y95" s="55" t="str">
        <f>IFERROR(VLOOKUP(MID(T95,W95,X95-W95),[5]skilldef!$C:$D,2,FALSE),"-") &amp; " / " &amp; IFERROR(VLOOKUP(MID(T95,U95,V95-U95),[5]skilldef!$A:$B,2,FALSE),"-")</f>
        <v>- / -</v>
      </c>
      <c r="Z95" s="44"/>
      <c r="AA95" s="46"/>
      <c r="AB95" s="44"/>
      <c r="AC95" s="136" t="s">
        <v>347</v>
      </c>
    </row>
    <row r="96" spans="1:29" ht="42" customHeight="1" x14ac:dyDescent="0.15">
      <c r="A96" s="216">
        <v>48701136</v>
      </c>
      <c r="B96" s="42" t="str">
        <f t="shared" si="51"/>
        <v>[effect:enemy_message, val1:1.4, val2:2.8],[effect:tolerance, target:myself, turn:-1, count:-1, tolerance_effect:all, animation:enemy_tolerance],[effect:degrade_unit, target:unit_all, turn:4, status:action, val:1, animation:enemy_tap_down]</v>
      </c>
      <c r="C96" s="44">
        <v>1</v>
      </c>
      <c r="D96" s="44" t="s">
        <v>194</v>
      </c>
      <c r="E96" s="145" t="s">
        <v>398</v>
      </c>
      <c r="F96" s="45" t="s">
        <v>356</v>
      </c>
      <c r="G96" s="55" t="str">
        <f t="shared" si="52"/>
        <v>[effect:enemy_message, val1:1.4, val2:2.8]</v>
      </c>
      <c r="H96" s="55">
        <f t="shared" si="53"/>
        <v>9</v>
      </c>
      <c r="I96" s="55">
        <f t="shared" si="54"/>
        <v>22</v>
      </c>
      <c r="J96" s="55" t="e">
        <f t="shared" si="55"/>
        <v>#VALUE!</v>
      </c>
      <c r="K96" s="55">
        <f t="shared" si="56"/>
        <v>32</v>
      </c>
      <c r="L96" s="55" t="str">
        <f>IFERROR(VLOOKUP(MID(G96,J96,K96-J96),[5]skilldef!$C:$D,2,FALSE),"-") &amp; " / " &amp; IFERROR(VLOOKUP(MID(G96,H96,I96-H96),[5]skilldef!$A:$B,2,FALSE),"-")</f>
        <v>- / -</v>
      </c>
      <c r="M96" s="55" t="str">
        <f t="shared" si="57"/>
        <v>[effect:tolerance, target:myself, turn:-1, count:-1, tolerance_effect:all, animation:enemy_tolerance],[effect:degrade_unit, target:unit_all, turn:4, status:action, val:1, animation:enemy_tap_down]</v>
      </c>
      <c r="N96" s="42" t="str">
        <f>IFERROR(LEFT(M96,FIND("],",M96)+#REF!),M96)</f>
        <v>[effect:tolerance, target:myself, turn:-1, count:-1, tolerance_effect:all, animation:enemy_tolerance],[effect:degrade_unit, target:unit_all, turn:4, status:action, val:1, animation:enemy_tap_down]</v>
      </c>
      <c r="O96" s="55">
        <f t="shared" si="58"/>
        <v>9</v>
      </c>
      <c r="P96" s="55">
        <f t="shared" si="59"/>
        <v>18</v>
      </c>
      <c r="Q96" s="55">
        <f t="shared" si="60"/>
        <v>27</v>
      </c>
      <c r="R96" s="55">
        <f t="shared" si="61"/>
        <v>33</v>
      </c>
      <c r="S96" s="55" t="str">
        <f>IFERROR(VLOOKUP(MID(N96,Q96,R96-Q96),[5]skilldef!$C:$D,2,FALSE),"-") &amp; " / " &amp; IFERROR(VLOOKUP(MID(N96,O96,P96-O96),[5]skilldef!$A:$B,2,FALSE),"-")</f>
        <v>自分自身に / 状態異常耐性</v>
      </c>
      <c r="T96" s="42" t="str">
        <f t="shared" si="62"/>
        <v>[effect:degrade_unit, target:unit_all, turn:4, status:action, val:1, animation:enemy_tap_down]</v>
      </c>
      <c r="U96" s="55">
        <f t="shared" si="63"/>
        <v>9</v>
      </c>
      <c r="V96" s="55">
        <f t="shared" si="64"/>
        <v>21</v>
      </c>
      <c r="W96" s="55">
        <f t="shared" si="65"/>
        <v>30</v>
      </c>
      <c r="X96" s="55">
        <f t="shared" si="66"/>
        <v>38</v>
      </c>
      <c r="Y96" s="55" t="str">
        <f>IFERROR(VLOOKUP(MID(T96,W96,X96-W96),[5]skilldef!$C:$D,2,FALSE),"-") &amp; " / " &amp; IFERROR(VLOOKUP(MID(T96,U96,V96-U96),[5]skilldef!$A:$B,2,FALSE),"-")</f>
        <v>味方全体に / ステータスDOWN</v>
      </c>
      <c r="Z96" s="44"/>
      <c r="AA96" s="46"/>
      <c r="AB96" s="44"/>
      <c r="AC96" s="136" t="s">
        <v>479</v>
      </c>
    </row>
    <row r="97" spans="1:29" ht="42" customHeight="1" x14ac:dyDescent="0.15">
      <c r="A97" s="216">
        <v>48701137</v>
      </c>
      <c r="B97" s="42" t="str">
        <f t="shared" si="51"/>
        <v>[effect:enemy_message, val1:1.4, val2:2.8],[effect:tolerance, target:myself, turn:-1, count:-1, tolerance_effect:all, animation:enemy_tolerance],[effect:degrade_unit, target:unit_all, turn:4, status:action, val:1, animation:enemy_tap_down]</v>
      </c>
      <c r="C97" s="44">
        <v>1</v>
      </c>
      <c r="D97" s="44" t="s">
        <v>194</v>
      </c>
      <c r="E97" s="145" t="s">
        <v>398</v>
      </c>
      <c r="F97" s="45" t="s">
        <v>389</v>
      </c>
      <c r="G97" s="55" t="str">
        <f t="shared" si="52"/>
        <v>[effect:enemy_message, val1:1.4, val2:2.8]</v>
      </c>
      <c r="H97" s="55">
        <f t="shared" si="53"/>
        <v>9</v>
      </c>
      <c r="I97" s="55">
        <f t="shared" si="54"/>
        <v>22</v>
      </c>
      <c r="J97" s="55" t="e">
        <f t="shared" si="55"/>
        <v>#VALUE!</v>
      </c>
      <c r="K97" s="55">
        <f t="shared" si="56"/>
        <v>32</v>
      </c>
      <c r="L97" s="55" t="str">
        <f>IFERROR(VLOOKUP(MID(G97,J97,K97-J97),[5]skilldef!$C:$D,2,FALSE),"-") &amp; " / " &amp; IFERROR(VLOOKUP(MID(G97,H97,I97-H97),[5]skilldef!$A:$B,2,FALSE),"-")</f>
        <v>- / -</v>
      </c>
      <c r="M97" s="55" t="str">
        <f t="shared" si="57"/>
        <v>[effect:tolerance, target:myself, turn:-1, count:-1, tolerance_effect:all, animation:enemy_tolerance],[effect:degrade_unit, target:unit_all, turn:4, status:action, val:1, animation:enemy_tap_down]</v>
      </c>
      <c r="N97" s="42" t="str">
        <f>IFERROR(LEFT(M97,FIND("],",M97)+#REF!),M97)</f>
        <v>[effect:tolerance, target:myself, turn:-1, count:-1, tolerance_effect:all, animation:enemy_tolerance],[effect:degrade_unit, target:unit_all, turn:4, status:action, val:1, animation:enemy_tap_down]</v>
      </c>
      <c r="O97" s="55">
        <f t="shared" si="58"/>
        <v>9</v>
      </c>
      <c r="P97" s="55">
        <f t="shared" si="59"/>
        <v>18</v>
      </c>
      <c r="Q97" s="55">
        <f t="shared" si="60"/>
        <v>27</v>
      </c>
      <c r="R97" s="55">
        <f t="shared" si="61"/>
        <v>33</v>
      </c>
      <c r="S97" s="55" t="str">
        <f>IFERROR(VLOOKUP(MID(N97,Q97,R97-Q97),[5]skilldef!$C:$D,2,FALSE),"-") &amp; " / " &amp; IFERROR(VLOOKUP(MID(N97,O97,P97-O97),[5]skilldef!$A:$B,2,FALSE),"-")</f>
        <v>自分自身に / 状態異常耐性</v>
      </c>
      <c r="T97" s="42" t="str">
        <f t="shared" si="62"/>
        <v>[effect:degrade_unit, target:unit_all, turn:4, status:action, val:1, animation:enemy_tap_down]</v>
      </c>
      <c r="U97" s="55">
        <f t="shared" si="63"/>
        <v>9</v>
      </c>
      <c r="V97" s="55">
        <f t="shared" si="64"/>
        <v>21</v>
      </c>
      <c r="W97" s="55">
        <f t="shared" si="65"/>
        <v>30</v>
      </c>
      <c r="X97" s="55">
        <f t="shared" si="66"/>
        <v>38</v>
      </c>
      <c r="Y97" s="55" t="str">
        <f>IFERROR(VLOOKUP(MID(T97,W97,X97-W97),[5]skilldef!$C:$D,2,FALSE),"-") &amp; " / " &amp; IFERROR(VLOOKUP(MID(T97,U97,V97-U97),[5]skilldef!$A:$B,2,FALSE),"-")</f>
        <v>味方全体に / ステータスDOWN</v>
      </c>
      <c r="Z97" s="44"/>
      <c r="AA97" s="46"/>
      <c r="AB97" s="44"/>
      <c r="AC97" s="136" t="s">
        <v>479</v>
      </c>
    </row>
    <row r="98" spans="1:29" ht="42" customHeight="1" x14ac:dyDescent="0.15">
      <c r="A98" s="216">
        <v>48701138</v>
      </c>
      <c r="B98" s="42" t="str">
        <f t="shared" si="51"/>
        <v>[effect:enemy_message, val1:1.2, val2:3.0],[effect:panel_freeze, target:normal, color:yellow, count:-1],[effect:force_change_block, new_block:time_bomb, target:block_blue, color:blue, count:-1, val:0.2, min_time_count:2, max_time_count:3, animation:change_block]</v>
      </c>
      <c r="C98" s="44">
        <v>1</v>
      </c>
      <c r="D98" s="44" t="s">
        <v>194</v>
      </c>
      <c r="E98" s="45" t="s">
        <v>430</v>
      </c>
      <c r="F98" s="45" t="s">
        <v>491</v>
      </c>
      <c r="G98" s="55" t="str">
        <f t="shared" si="52"/>
        <v>[effect:enemy_message, val1:1.2, val2:3.0]</v>
      </c>
      <c r="H98" s="55">
        <f t="shared" si="53"/>
        <v>9</v>
      </c>
      <c r="I98" s="55">
        <f t="shared" si="54"/>
        <v>22</v>
      </c>
      <c r="J98" s="55" t="e">
        <f t="shared" si="55"/>
        <v>#VALUE!</v>
      </c>
      <c r="K98" s="55">
        <f t="shared" si="56"/>
        <v>32</v>
      </c>
      <c r="L98" s="55" t="str">
        <f>IFERROR(VLOOKUP(MID(G98,J98,K98-J98),[5]skilldef!$C:$D,2,FALSE),"-") &amp; " / " &amp; IFERROR(VLOOKUP(MID(G98,H98,I98-H98),[5]skilldef!$A:$B,2,FALSE),"-")</f>
        <v>- / -</v>
      </c>
      <c r="M98" s="55" t="str">
        <f t="shared" si="57"/>
        <v>[effect:panel_freeze, target:normal, color:yellow, count:-1],[effect:force_change_block, new_block:time_bomb, target:block_blue, color:blue, count:-1, val:0.2, min_time_count:2, max_time_count:3, animation:change_block]</v>
      </c>
      <c r="N98" s="42" t="str">
        <f>IFERROR(LEFT(M98,FIND("],",M98)+#REF!),M98)</f>
        <v>[effect:panel_freeze, target:normal, color:yellow, count:-1],[effect:force_change_block, new_block:time_bomb, target:block_blue, color:blue, count:-1, val:0.2, min_time_count:2, max_time_count:3, animation:change_block]</v>
      </c>
      <c r="O98" s="55">
        <f t="shared" si="58"/>
        <v>9</v>
      </c>
      <c r="P98" s="55">
        <f t="shared" si="59"/>
        <v>21</v>
      </c>
      <c r="Q98" s="55">
        <f t="shared" si="60"/>
        <v>30</v>
      </c>
      <c r="R98" s="55">
        <f t="shared" si="61"/>
        <v>36</v>
      </c>
      <c r="S98" s="55" t="str">
        <f>IFERROR(VLOOKUP(MID(N98,Q98,R98-Q98),[5]skilldef!$C:$D,2,FALSE),"-") &amp; " / " &amp; IFERROR(VLOOKUP(MID(N98,O98,P98-O98),[5]skilldef!$A:$B,2,FALSE),"-")</f>
        <v>- / -</v>
      </c>
      <c r="T98" s="42" t="str">
        <f t="shared" si="62"/>
        <v>[effect:force_change_block, new_block:time_bomb, target:block_blue, color:blue, count:-1, val:0.2, min_time_count:2, max_time_count:3, animation:change_block]</v>
      </c>
      <c r="U98" s="55">
        <f t="shared" si="63"/>
        <v>9</v>
      </c>
      <c r="V98" s="55">
        <f t="shared" si="64"/>
        <v>27</v>
      </c>
      <c r="W98" s="55">
        <f t="shared" si="65"/>
        <v>57</v>
      </c>
      <c r="X98" s="55">
        <f t="shared" si="66"/>
        <v>48</v>
      </c>
      <c r="Y98" s="55" t="str">
        <f>IFERROR(VLOOKUP(MID(T98,W98,X98-W98),[5]skilldef!$C:$D,2,FALSE),"-") &amp; " / " &amp; IFERROR(VLOOKUP(MID(T98,U98,V98-U98),[5]skilldef!$A:$B,2,FALSE),"-")</f>
        <v>- / -</v>
      </c>
      <c r="Z98" s="44"/>
      <c r="AA98" s="46"/>
      <c r="AB98" s="44"/>
      <c r="AC98" s="136" t="s">
        <v>480</v>
      </c>
    </row>
    <row r="99" spans="1:29" ht="42" customHeight="1" x14ac:dyDescent="0.15">
      <c r="A99" s="216">
        <v>48701139</v>
      </c>
      <c r="B99" s="42" t="str">
        <f t="shared" si="51"/>
        <v>[effect:enemy_message, val1:1.3, val2:1.4],[effect:dark, target:unit_all, turn:1, animation:enemy_dark],[effect:critical, val:1.3, animation:enemy_critical]</v>
      </c>
      <c r="C99" s="44">
        <v>1</v>
      </c>
      <c r="D99" s="44" t="s">
        <v>194</v>
      </c>
      <c r="E99" s="45" t="s">
        <v>429</v>
      </c>
      <c r="F99" s="45" t="s">
        <v>357</v>
      </c>
      <c r="G99" s="55" t="str">
        <f t="shared" si="52"/>
        <v>[effect:enemy_message, val1:1.3, val2:1.4]</v>
      </c>
      <c r="H99" s="55">
        <f t="shared" si="53"/>
        <v>9</v>
      </c>
      <c r="I99" s="55">
        <f t="shared" si="54"/>
        <v>22</v>
      </c>
      <c r="J99" s="55" t="e">
        <f t="shared" si="55"/>
        <v>#VALUE!</v>
      </c>
      <c r="K99" s="55">
        <f t="shared" si="56"/>
        <v>32</v>
      </c>
      <c r="L99" s="55" t="str">
        <f>IFERROR(VLOOKUP(MID(G99,J99,K99-J99),[5]skilldef!$C:$D,2,FALSE),"-") &amp; " / " &amp; IFERROR(VLOOKUP(MID(G99,H99,I99-H99),[5]skilldef!$A:$B,2,FALSE),"-")</f>
        <v>- / -</v>
      </c>
      <c r="M99" s="55" t="str">
        <f t="shared" si="57"/>
        <v>[effect:dark, target:unit_all, turn:1, animation:enemy_dark],[effect:critical, val:1.3, animation:enemy_critical]</v>
      </c>
      <c r="N99" s="42" t="str">
        <f>IFERROR(LEFT(M99,FIND("],",M99)+#REF!),M99)</f>
        <v>[effect:dark, target:unit_all, turn:1, animation:enemy_dark],[effect:critical, val:1.3, animation:enemy_critical]</v>
      </c>
      <c r="O99" s="55">
        <f t="shared" si="58"/>
        <v>9</v>
      </c>
      <c r="P99" s="55">
        <f t="shared" si="59"/>
        <v>13</v>
      </c>
      <c r="Q99" s="55">
        <f t="shared" si="60"/>
        <v>22</v>
      </c>
      <c r="R99" s="55">
        <f t="shared" si="61"/>
        <v>30</v>
      </c>
      <c r="S99" s="55" t="str">
        <f>IFERROR(VLOOKUP(MID(N99,Q99,R99-Q99),[5]skilldef!$C:$D,2,FALSE),"-") &amp; " / " &amp; IFERROR(VLOOKUP(MID(N99,O99,P99-O99),[5]skilldef!$A:$B,2,FALSE),"-")</f>
        <v>味方全体に / 暗黒</v>
      </c>
      <c r="T99" s="42" t="str">
        <f t="shared" si="62"/>
        <v>[effect:critical, val:1.3, animation:enemy_critical]</v>
      </c>
      <c r="U99" s="55">
        <f t="shared" si="63"/>
        <v>9</v>
      </c>
      <c r="V99" s="55">
        <f t="shared" si="64"/>
        <v>17</v>
      </c>
      <c r="W99" s="55" t="e">
        <f t="shared" si="65"/>
        <v>#VALUE!</v>
      </c>
      <c r="X99" s="55">
        <f t="shared" si="66"/>
        <v>26</v>
      </c>
      <c r="Y99" s="55" t="str">
        <f>IFERROR(VLOOKUP(MID(T99,W99,X99-W99),[5]skilldef!$C:$D,2,FALSE),"-") &amp; " / " &amp; IFERROR(VLOOKUP(MID(T99,U99,V99-U99),[5]skilldef!$A:$B,2,FALSE),"-")</f>
        <v>- / 大攻撃</v>
      </c>
      <c r="Z99" s="44"/>
      <c r="AA99" s="46"/>
      <c r="AB99" s="44"/>
      <c r="AC99" s="136" t="s">
        <v>481</v>
      </c>
    </row>
    <row r="100" spans="1:29" ht="42" customHeight="1" x14ac:dyDescent="0.15">
      <c r="A100" s="216">
        <v>48701140</v>
      </c>
      <c r="B100" s="42" t="str">
        <f t="shared" si="51"/>
        <v>[effect:enemy_message, val1:1.2, val2:1.2],[effect:rush, count:2, val:0.8]</v>
      </c>
      <c r="C100" s="44">
        <v>1</v>
      </c>
      <c r="D100" s="44" t="s">
        <v>194</v>
      </c>
      <c r="E100" s="45" t="s">
        <v>428</v>
      </c>
      <c r="F100" s="45" t="s">
        <v>349</v>
      </c>
      <c r="G100" s="55" t="str">
        <f t="shared" si="52"/>
        <v>[effect:enemy_message, val1:1.2, val2:1.2]</v>
      </c>
      <c r="H100" s="55">
        <f t="shared" si="53"/>
        <v>9</v>
      </c>
      <c r="I100" s="55">
        <f t="shared" si="54"/>
        <v>22</v>
      </c>
      <c r="J100" s="55" t="e">
        <f t="shared" si="55"/>
        <v>#VALUE!</v>
      </c>
      <c r="K100" s="55">
        <f t="shared" si="56"/>
        <v>32</v>
      </c>
      <c r="L100" s="55" t="str">
        <f>IFERROR(VLOOKUP(MID(G100,J100,K100-J100),[5]skilldef!$C:$D,2,FALSE),"-") &amp; " / " &amp; IFERROR(VLOOKUP(MID(G100,H100,I100-H100),[5]skilldef!$A:$B,2,FALSE),"-")</f>
        <v>- / -</v>
      </c>
      <c r="M100" s="55" t="str">
        <f t="shared" si="57"/>
        <v>[effect:rush, count:2, val:0.8]</v>
      </c>
      <c r="N100" s="42" t="str">
        <f>IFERROR(LEFT(M100,FIND("],",M100)+#REF!),M100)</f>
        <v>[effect:rush, count:2, val:0.8]</v>
      </c>
      <c r="O100" s="55">
        <f t="shared" si="58"/>
        <v>9</v>
      </c>
      <c r="P100" s="55">
        <f t="shared" si="59"/>
        <v>13</v>
      </c>
      <c r="Q100" s="55" t="e">
        <f t="shared" si="60"/>
        <v>#VALUE!</v>
      </c>
      <c r="R100" s="55">
        <f t="shared" si="61"/>
        <v>22</v>
      </c>
      <c r="S100" s="55" t="str">
        <f>IFERROR(VLOOKUP(MID(N100,Q100,R100-Q100),[5]skilldef!$C:$D,2,FALSE),"-") &amp; " / " &amp; IFERROR(VLOOKUP(MID(N100,O100,P100-O100),[5]skilldef!$A:$B,2,FALSE),"-")</f>
        <v>- / 連続攻撃</v>
      </c>
      <c r="T100" s="42" t="str">
        <f t="shared" si="62"/>
        <v>none</v>
      </c>
      <c r="U100" s="55" t="e">
        <f t="shared" si="63"/>
        <v>#VALUE!</v>
      </c>
      <c r="V100" s="55">
        <f t="shared" si="64"/>
        <v>4</v>
      </c>
      <c r="W100" s="55" t="e">
        <f t="shared" si="65"/>
        <v>#VALUE!</v>
      </c>
      <c r="X100" s="55" t="e">
        <f t="shared" si="66"/>
        <v>#VALUE!</v>
      </c>
      <c r="Y100" s="55" t="str">
        <f>IFERROR(VLOOKUP(MID(T100,W100,X100-W100),[5]skilldef!$C:$D,2,FALSE),"-") &amp; " / " &amp; IFERROR(VLOOKUP(MID(T100,U100,V100-U100),[5]skilldef!$A:$B,2,FALSE),"-")</f>
        <v>- / -</v>
      </c>
      <c r="Z100" s="44"/>
      <c r="AA100" s="46"/>
      <c r="AB100" s="44"/>
      <c r="AC100" s="136" t="s">
        <v>345</v>
      </c>
    </row>
    <row r="101" spans="1:29" ht="42" customHeight="1" x14ac:dyDescent="0.15">
      <c r="A101" s="216">
        <v>48701141</v>
      </c>
      <c r="B101" s="42" t="str">
        <f t="shared" si="51"/>
        <v>[effect:enemy_message, val1:2.1, val2:3.8],[effect:tolerance, target:myself, turn:-1, count:-1, tolerance_effect:all, animation:enemy_tolerance],[effect:freq_turn, target:myself, turn:4, val:1, animation:enemy_freq_turn],[effect:degrade_unit, target:unit_all, turn:2, status:heal, val:0.5, animation:degrade_unit_all_heal]</v>
      </c>
      <c r="C101" s="44">
        <v>1</v>
      </c>
      <c r="D101" s="44" t="s">
        <v>194</v>
      </c>
      <c r="E101" s="45" t="s">
        <v>431</v>
      </c>
      <c r="F101" s="45" t="s">
        <v>369</v>
      </c>
      <c r="G101" s="55" t="str">
        <f t="shared" si="52"/>
        <v>[effect:enemy_message, val1:2.1, val2:3.8]</v>
      </c>
      <c r="H101" s="55">
        <f t="shared" si="53"/>
        <v>9</v>
      </c>
      <c r="I101" s="55">
        <f t="shared" si="54"/>
        <v>22</v>
      </c>
      <c r="J101" s="55" t="e">
        <f t="shared" si="55"/>
        <v>#VALUE!</v>
      </c>
      <c r="K101" s="55">
        <f t="shared" si="56"/>
        <v>32</v>
      </c>
      <c r="L101" s="55" t="str">
        <f>IFERROR(VLOOKUP(MID(G101,J101,K101-J101),[5]skilldef!$C:$D,2,FALSE),"-") &amp; " / " &amp; IFERROR(VLOOKUP(MID(G101,H101,I101-H101),[5]skilldef!$A:$B,2,FALSE),"-")</f>
        <v>- / -</v>
      </c>
      <c r="M101" s="55" t="str">
        <f t="shared" si="57"/>
        <v>[effect:tolerance, target:myself, turn:-1, count:-1, tolerance_effect:all, animation:enemy_tolerance],[effect:freq_turn, target:myself, turn:4, val:1, animation:enemy_freq_turn],[effect:degrade_unit, target:unit_all, turn:2, status:heal, val:0.5, animation:degrade_unit_all_heal]</v>
      </c>
      <c r="N101" s="42" t="str">
        <f>IFERROR(LEFT(M101,FIND("],",M101)+#REF!),M101)</f>
        <v>[effect:tolerance, target:myself, turn:-1, count:-1, tolerance_effect:all, animation:enemy_tolerance],[effect:freq_turn, target:myself, turn:4, val:1, animation:enemy_freq_turn],[effect:degrade_unit, target:unit_all, turn:2, status:heal, val:0.5, animation:degrade_unit_all_heal]</v>
      </c>
      <c r="O101" s="55">
        <f t="shared" si="58"/>
        <v>9</v>
      </c>
      <c r="P101" s="55">
        <f t="shared" si="59"/>
        <v>18</v>
      </c>
      <c r="Q101" s="55">
        <f t="shared" si="60"/>
        <v>27</v>
      </c>
      <c r="R101" s="55">
        <f t="shared" si="61"/>
        <v>33</v>
      </c>
      <c r="S101" s="55" t="str">
        <f>IFERROR(VLOOKUP(MID(N101,Q101,R101-Q101),[5]skilldef!$C:$D,2,FALSE),"-") &amp; " / " &amp; IFERROR(VLOOKUP(MID(N101,O101,P101-O101),[5]skilldef!$A:$B,2,FALSE),"-")</f>
        <v>自分自身に / 状態異常耐性</v>
      </c>
      <c r="T101" s="42" t="str">
        <f t="shared" si="62"/>
        <v>[effect:freq_turn, target:myself, turn:4, val:1, animation:enemy_freq_turn],[effect:degrade_unit, target:unit_all, turn:2, status:heal, val:0.5, animation:degrade_unit_all_heal]</v>
      </c>
      <c r="U101" s="55">
        <f t="shared" si="63"/>
        <v>9</v>
      </c>
      <c r="V101" s="55">
        <f t="shared" si="64"/>
        <v>18</v>
      </c>
      <c r="W101" s="55">
        <f t="shared" si="65"/>
        <v>27</v>
      </c>
      <c r="X101" s="55">
        <f t="shared" si="66"/>
        <v>33</v>
      </c>
      <c r="Y101" s="55" t="str">
        <f>IFERROR(VLOOKUP(MID(T101,W101,X101-W101),[5]skilldef!$C:$D,2,FALSE),"-") &amp; " / " &amp; IFERROR(VLOOKUP(MID(T101,U101,V101-U101),[5]skilldef!$A:$B,2,FALSE),"-")</f>
        <v>自分自身に / 攻撃頻度がUP</v>
      </c>
      <c r="Z101" s="44"/>
      <c r="AA101" s="46"/>
      <c r="AB101" s="44"/>
      <c r="AC101" s="136" t="s">
        <v>482</v>
      </c>
    </row>
    <row r="102" spans="1:29" ht="42" customHeight="1" x14ac:dyDescent="0.15">
      <c r="A102" s="216">
        <v>48701142</v>
      </c>
      <c r="B102" s="42" t="str">
        <f t="shared" si="51"/>
        <v>[effect:enemy_message, val1:2.9, val2:3.7],[effect:tolerance, target:myself, turn:-1, count:-1, tolerance_effect:all, animation:enemy_tolerance],[effect:freq_turn, target:myself, turn:4, val:1, animation:enemy_freq_turn],[effect:force_change_block, new_block:crash, target:block_green, count:0, val:6, animation:change_block]</v>
      </c>
      <c r="C102" s="44">
        <v>1</v>
      </c>
      <c r="D102" s="44" t="s">
        <v>194</v>
      </c>
      <c r="E102" s="45" t="s">
        <v>403</v>
      </c>
      <c r="F102" s="228" t="s">
        <v>516</v>
      </c>
      <c r="G102" s="55" t="str">
        <f t="shared" si="52"/>
        <v>[effect:enemy_message, val1:2.9, val2:3.7]</v>
      </c>
      <c r="H102" s="55">
        <f t="shared" si="53"/>
        <v>9</v>
      </c>
      <c r="I102" s="55">
        <f t="shared" si="54"/>
        <v>22</v>
      </c>
      <c r="J102" s="55" t="e">
        <f t="shared" si="55"/>
        <v>#VALUE!</v>
      </c>
      <c r="K102" s="55">
        <f t="shared" si="56"/>
        <v>32</v>
      </c>
      <c r="L102" s="55" t="str">
        <f>IFERROR(VLOOKUP(MID(G102,J102,K102-J102),[5]skilldef!$C:$D,2,FALSE),"-") &amp; " / " &amp; IFERROR(VLOOKUP(MID(G102,H102,I102-H102),[5]skilldef!$A:$B,2,FALSE),"-")</f>
        <v>- / -</v>
      </c>
      <c r="M102" s="55" t="str">
        <f t="shared" si="57"/>
        <v>[effect:tolerance, target:myself, turn:-1, count:-1, tolerance_effect:all, animation:enemy_tolerance],[effect:freq_turn, target:myself, turn:4, val:1, animation:enemy_freq_turn],[effect:force_change_block, new_block:crash, target:block_green, count:0, val:6, animation:change_block]</v>
      </c>
      <c r="N102" s="42" t="str">
        <f>IFERROR(LEFT(M102,FIND("],",M102)+#REF!),M102)</f>
        <v>[effect:tolerance, target:myself, turn:-1, count:-1, tolerance_effect:all, animation:enemy_tolerance],[effect:freq_turn, target:myself, turn:4, val:1, animation:enemy_freq_turn],[effect:force_change_block, new_block:crash, target:block_green, count:0, val:6, animation:change_block]</v>
      </c>
      <c r="O102" s="55">
        <f t="shared" si="58"/>
        <v>9</v>
      </c>
      <c r="P102" s="55">
        <f t="shared" si="59"/>
        <v>18</v>
      </c>
      <c r="Q102" s="55">
        <f t="shared" si="60"/>
        <v>27</v>
      </c>
      <c r="R102" s="55">
        <f t="shared" si="61"/>
        <v>33</v>
      </c>
      <c r="S102" s="55" t="str">
        <f>IFERROR(VLOOKUP(MID(N102,Q102,R102-Q102),[5]skilldef!$C:$D,2,FALSE),"-") &amp; " / " &amp; IFERROR(VLOOKUP(MID(N102,O102,P102-O102),[5]skilldef!$A:$B,2,FALSE),"-")</f>
        <v>自分自身に / 状態異常耐性</v>
      </c>
      <c r="T102" s="42" t="str">
        <f t="shared" si="62"/>
        <v>[effect:freq_turn, target:myself, turn:4, val:1, animation:enemy_freq_turn],[effect:force_change_block, new_block:crash, target:block_green, count:0, val:6, animation:change_block]</v>
      </c>
      <c r="U102" s="55">
        <f t="shared" si="63"/>
        <v>9</v>
      </c>
      <c r="V102" s="55">
        <f t="shared" si="64"/>
        <v>18</v>
      </c>
      <c r="W102" s="55">
        <f t="shared" si="65"/>
        <v>27</v>
      </c>
      <c r="X102" s="55">
        <f t="shared" si="66"/>
        <v>33</v>
      </c>
      <c r="Y102" s="55" t="str">
        <f>IFERROR(VLOOKUP(MID(T102,W102,X102-W102),[5]skilldef!$C:$D,2,FALSE),"-") &amp; " / " &amp; IFERROR(VLOOKUP(MID(T102,U102,V102-U102),[5]skilldef!$A:$B,2,FALSE),"-")</f>
        <v>自分自身に / 攻撃頻度がUP</v>
      </c>
      <c r="Z102" s="44"/>
      <c r="AA102" s="46"/>
      <c r="AB102" s="44"/>
      <c r="AC102" s="229" t="s">
        <v>525</v>
      </c>
    </row>
    <row r="103" spans="1:29" ht="42" customHeight="1" x14ac:dyDescent="0.15">
      <c r="A103" s="216">
        <v>48701143</v>
      </c>
      <c r="B103" s="42" t="str">
        <f t="shared" si="51"/>
        <v>[effect:enemy_message, val1:1.2, val2:2.8],[effect:spread, val:0.3],[effect:force_change_block, new_block:time_bomb, target:normal, count:8, val:0.2, min_time_count:1, max_time_count:3, animation:change_block]</v>
      </c>
      <c r="C103" s="44">
        <v>1</v>
      </c>
      <c r="D103" s="44" t="s">
        <v>194</v>
      </c>
      <c r="E103" s="45" t="s">
        <v>427</v>
      </c>
      <c r="F103" s="45" t="s">
        <v>499</v>
      </c>
      <c r="G103" s="55" t="str">
        <f t="shared" si="52"/>
        <v>[effect:enemy_message, val1:1.2, val2:2.8]</v>
      </c>
      <c r="H103" s="55">
        <f t="shared" si="53"/>
        <v>9</v>
      </c>
      <c r="I103" s="55">
        <f t="shared" si="54"/>
        <v>22</v>
      </c>
      <c r="J103" s="55" t="e">
        <f t="shared" si="55"/>
        <v>#VALUE!</v>
      </c>
      <c r="K103" s="55">
        <f t="shared" si="56"/>
        <v>32</v>
      </c>
      <c r="L103" s="55" t="str">
        <f>IFERROR(VLOOKUP(MID(G103,J103,K103-J103),[5]skilldef!$C:$D,2,FALSE),"-") &amp; " / " &amp; IFERROR(VLOOKUP(MID(G103,H103,I103-H103),[5]skilldef!$A:$B,2,FALSE),"-")</f>
        <v>- / -</v>
      </c>
      <c r="M103" s="55" t="str">
        <f t="shared" si="57"/>
        <v>[effect:spread, val:0.3],[effect:force_change_block, new_block:time_bomb, target:normal, count:8, val:0.2, min_time_count:1, max_time_count:3, animation:change_block]</v>
      </c>
      <c r="N103" s="42" t="str">
        <f>IFERROR(LEFT(M103,FIND("],",M103)+#REF!),M103)</f>
        <v>[effect:spread, val:0.3],[effect:force_change_block, new_block:time_bomb, target:normal, count:8, val:0.2, min_time_count:1, max_time_count:3, animation:change_block]</v>
      </c>
      <c r="O103" s="55">
        <f t="shared" si="58"/>
        <v>9</v>
      </c>
      <c r="P103" s="55">
        <f t="shared" si="59"/>
        <v>15</v>
      </c>
      <c r="Q103" s="55">
        <f t="shared" si="60"/>
        <v>82</v>
      </c>
      <c r="R103" s="55">
        <f t="shared" si="61"/>
        <v>25</v>
      </c>
      <c r="S103" s="55" t="str">
        <f>IFERROR(VLOOKUP(MID(N103,Q103,R103-Q103),[5]skilldef!$C:$D,2,FALSE),"-") &amp; " / " &amp; IFERROR(VLOOKUP(MID(N103,O103,P103-O103),[5]skilldef!$A:$B,2,FALSE),"-")</f>
        <v>- / 全体攻撃</v>
      </c>
      <c r="T103" s="42" t="str">
        <f t="shared" si="62"/>
        <v>[effect:force_change_block, new_block:time_bomb, target:normal, count:8, val:0.2, min_time_count:1, max_time_count:3, animation:change_block]</v>
      </c>
      <c r="U103" s="55">
        <f t="shared" si="63"/>
        <v>9</v>
      </c>
      <c r="V103" s="55">
        <f t="shared" si="64"/>
        <v>27</v>
      </c>
      <c r="W103" s="55">
        <f t="shared" si="65"/>
        <v>57</v>
      </c>
      <c r="X103" s="55">
        <f t="shared" si="66"/>
        <v>48</v>
      </c>
      <c r="Y103" s="55" t="str">
        <f>IFERROR(VLOOKUP(MID(T103,W103,X103-W103),[5]skilldef!$C:$D,2,FALSE),"-") &amp; " / " &amp; IFERROR(VLOOKUP(MID(T103,U103,V103-U103),[5]skilldef!$A:$B,2,FALSE),"-")</f>
        <v>- / -</v>
      </c>
      <c r="Z103" s="44"/>
      <c r="AA103" s="46"/>
      <c r="AB103" s="44"/>
      <c r="AC103" s="136" t="s">
        <v>483</v>
      </c>
    </row>
    <row r="104" spans="1:29" ht="42" customHeight="1" x14ac:dyDescent="0.15">
      <c r="A104" s="216">
        <v>48701144</v>
      </c>
      <c r="B104" s="42" t="str">
        <f t="shared" si="51"/>
        <v>[effect:enemy_message, val1:1.2, val2:2.2],[effect:dark, target:unit_all, turn:2, animation:enemy_dark],[effect:degrade_unit, target:unit_all, turn:2, status:action, val:1, animation:enemy_tap_down]</v>
      </c>
      <c r="C104" s="44">
        <v>1</v>
      </c>
      <c r="D104" s="44" t="s">
        <v>194</v>
      </c>
      <c r="E104" s="45" t="s">
        <v>432</v>
      </c>
      <c r="F104" s="45" t="s">
        <v>358</v>
      </c>
      <c r="G104" s="55" t="str">
        <f t="shared" si="52"/>
        <v>[effect:enemy_message, val1:1.2, val2:2.2]</v>
      </c>
      <c r="H104" s="55">
        <f t="shared" si="53"/>
        <v>9</v>
      </c>
      <c r="I104" s="55">
        <f t="shared" si="54"/>
        <v>22</v>
      </c>
      <c r="J104" s="55" t="e">
        <f t="shared" si="55"/>
        <v>#VALUE!</v>
      </c>
      <c r="K104" s="55">
        <f t="shared" si="56"/>
        <v>32</v>
      </c>
      <c r="L104" s="55" t="str">
        <f>IFERROR(VLOOKUP(MID(G104,J104,K104-J104),[5]skilldef!$C:$D,2,FALSE),"-") &amp; " / " &amp; IFERROR(VLOOKUP(MID(G104,H104,I104-H104),[5]skilldef!$A:$B,2,FALSE),"-")</f>
        <v>- / -</v>
      </c>
      <c r="M104" s="55" t="str">
        <f t="shared" si="57"/>
        <v>[effect:dark, target:unit_all, turn:2, animation:enemy_dark],[effect:degrade_unit, target:unit_all, turn:2, status:action, val:1, animation:enemy_tap_down]</v>
      </c>
      <c r="N104" s="42" t="str">
        <f>IFERROR(LEFT(M104,FIND("],",M104)+#REF!),M104)</f>
        <v>[effect:dark, target:unit_all, turn:2, animation:enemy_dark],[effect:degrade_unit, target:unit_all, turn:2, status:action, val:1, animation:enemy_tap_down]</v>
      </c>
      <c r="O104" s="55">
        <f t="shared" si="58"/>
        <v>9</v>
      </c>
      <c r="P104" s="55">
        <f t="shared" si="59"/>
        <v>13</v>
      </c>
      <c r="Q104" s="55">
        <f t="shared" si="60"/>
        <v>22</v>
      </c>
      <c r="R104" s="55">
        <f t="shared" si="61"/>
        <v>30</v>
      </c>
      <c r="S104" s="55" t="str">
        <f>IFERROR(VLOOKUP(MID(N104,Q104,R104-Q104),[5]skilldef!$C:$D,2,FALSE),"-") &amp; " / " &amp; IFERROR(VLOOKUP(MID(N104,O104,P104-O104),[5]skilldef!$A:$B,2,FALSE),"-")</f>
        <v>味方全体に / 暗黒</v>
      </c>
      <c r="T104" s="42" t="str">
        <f t="shared" si="62"/>
        <v>[effect:degrade_unit, target:unit_all, turn:2, status:action, val:1, animation:enemy_tap_down]</v>
      </c>
      <c r="U104" s="55">
        <f t="shared" si="63"/>
        <v>9</v>
      </c>
      <c r="V104" s="55">
        <f t="shared" si="64"/>
        <v>21</v>
      </c>
      <c r="W104" s="55">
        <f t="shared" si="65"/>
        <v>30</v>
      </c>
      <c r="X104" s="55">
        <f t="shared" si="66"/>
        <v>38</v>
      </c>
      <c r="Y104" s="55" t="str">
        <f>IFERROR(VLOOKUP(MID(T104,W104,X104-W104),[5]skilldef!$C:$D,2,FALSE),"-") &amp; " / " &amp; IFERROR(VLOOKUP(MID(T104,U104,V104-U104),[5]skilldef!$A:$B,2,FALSE),"-")</f>
        <v>味方全体に / ステータスDOWN</v>
      </c>
      <c r="Z104" s="44"/>
      <c r="AA104" s="46"/>
      <c r="AB104" s="44"/>
      <c r="AC104" s="136" t="s">
        <v>484</v>
      </c>
    </row>
    <row r="105" spans="1:29" ht="42" customHeight="1" x14ac:dyDescent="0.15">
      <c r="A105" s="216">
        <v>48701145</v>
      </c>
      <c r="B105" s="42" t="str">
        <f t="shared" si="51"/>
        <v>[effect:enemy_message, val1:1.2, val2:2.3],[effect:panel_freeze, target:normal, color:yellow, count:4],[effect:critical, val:1.2, animation:enemy_critical]</v>
      </c>
      <c r="C105" s="44">
        <v>1</v>
      </c>
      <c r="D105" s="44" t="s">
        <v>194</v>
      </c>
      <c r="E105" s="45" t="s">
        <v>438</v>
      </c>
      <c r="F105" s="45" t="s">
        <v>492</v>
      </c>
      <c r="G105" s="55" t="str">
        <f t="shared" si="52"/>
        <v>[effect:enemy_message, val1:1.2, val2:2.3]</v>
      </c>
      <c r="H105" s="55">
        <f t="shared" si="53"/>
        <v>9</v>
      </c>
      <c r="I105" s="55">
        <f t="shared" si="54"/>
        <v>22</v>
      </c>
      <c r="J105" s="55" t="e">
        <f t="shared" si="55"/>
        <v>#VALUE!</v>
      </c>
      <c r="K105" s="55">
        <f t="shared" si="56"/>
        <v>32</v>
      </c>
      <c r="L105" s="55" t="str">
        <f>IFERROR(VLOOKUP(MID(G105,J105,K105-J105),[5]skilldef!$C:$D,2,FALSE),"-") &amp; " / " &amp; IFERROR(VLOOKUP(MID(G105,H105,I105-H105),[5]skilldef!$A:$B,2,FALSE),"-")</f>
        <v>- / -</v>
      </c>
      <c r="M105" s="55" t="str">
        <f t="shared" si="57"/>
        <v>[effect:panel_freeze, target:normal, color:yellow, count:4],[effect:critical, val:1.2, animation:enemy_critical]</v>
      </c>
      <c r="N105" s="42" t="str">
        <f>IFERROR(LEFT(M105,FIND("],",M105)+#REF!),M105)</f>
        <v>[effect:panel_freeze, target:normal, color:yellow, count:4],[effect:critical, val:1.2, animation:enemy_critical]</v>
      </c>
      <c r="O105" s="55">
        <f t="shared" si="58"/>
        <v>9</v>
      </c>
      <c r="P105" s="55">
        <f t="shared" si="59"/>
        <v>21</v>
      </c>
      <c r="Q105" s="55">
        <f t="shared" si="60"/>
        <v>30</v>
      </c>
      <c r="R105" s="55">
        <f t="shared" si="61"/>
        <v>36</v>
      </c>
      <c r="S105" s="55" t="str">
        <f>IFERROR(VLOOKUP(MID(N105,Q105,R105-Q105),[5]skilldef!$C:$D,2,FALSE),"-") &amp; " / " &amp; IFERROR(VLOOKUP(MID(N105,O105,P105-O105),[5]skilldef!$A:$B,2,FALSE),"-")</f>
        <v>- / -</v>
      </c>
      <c r="T105" s="42" t="str">
        <f t="shared" si="62"/>
        <v>[effect:critical, val:1.2, animation:enemy_critical]</v>
      </c>
      <c r="U105" s="55">
        <f t="shared" si="63"/>
        <v>9</v>
      </c>
      <c r="V105" s="55">
        <f t="shared" si="64"/>
        <v>17</v>
      </c>
      <c r="W105" s="55" t="e">
        <f t="shared" si="65"/>
        <v>#VALUE!</v>
      </c>
      <c r="X105" s="55">
        <f t="shared" si="66"/>
        <v>26</v>
      </c>
      <c r="Y105" s="55" t="str">
        <f>IFERROR(VLOOKUP(MID(T105,W105,X105-W105),[5]skilldef!$C:$D,2,FALSE),"-") &amp; " / " &amp; IFERROR(VLOOKUP(MID(T105,U105,V105-U105),[5]skilldef!$A:$B,2,FALSE),"-")</f>
        <v>- / 大攻撃</v>
      </c>
      <c r="Z105" s="44"/>
      <c r="AA105" s="46"/>
      <c r="AB105" s="44"/>
      <c r="AC105" s="136" t="s">
        <v>485</v>
      </c>
    </row>
    <row r="106" spans="1:29" ht="42" customHeight="1" x14ac:dyDescent="0.15">
      <c r="A106" s="216">
        <v>48701146</v>
      </c>
      <c r="B106" s="42" t="str">
        <f t="shared" si="51"/>
        <v>[effect:enemy_message, val1:1.2, val2:2.3],[effect:panel_freeze, target:normal, color:blue, count:4],[effect:critical, val:1.2, animation:enemy_critical]</v>
      </c>
      <c r="C106" s="44">
        <v>1</v>
      </c>
      <c r="D106" s="44" t="s">
        <v>194</v>
      </c>
      <c r="E106" s="45" t="s">
        <v>440</v>
      </c>
      <c r="F106" s="45" t="s">
        <v>493</v>
      </c>
      <c r="G106" s="55" t="str">
        <f t="shared" si="52"/>
        <v>[effect:enemy_message, val1:1.2, val2:2.3]</v>
      </c>
      <c r="H106" s="55">
        <f t="shared" si="53"/>
        <v>9</v>
      </c>
      <c r="I106" s="55">
        <f t="shared" si="54"/>
        <v>22</v>
      </c>
      <c r="J106" s="55" t="e">
        <f t="shared" si="55"/>
        <v>#VALUE!</v>
      </c>
      <c r="K106" s="55">
        <f t="shared" si="56"/>
        <v>32</v>
      </c>
      <c r="L106" s="55" t="str">
        <f>IFERROR(VLOOKUP(MID(G106,J106,K106-J106),[5]skilldef!$C:$D,2,FALSE),"-") &amp; " / " &amp; IFERROR(VLOOKUP(MID(G106,H106,I106-H106),[5]skilldef!$A:$B,2,FALSE),"-")</f>
        <v>- / -</v>
      </c>
      <c r="M106" s="55" t="str">
        <f t="shared" si="57"/>
        <v>[effect:panel_freeze, target:normal, color:blue, count:4],[effect:critical, val:1.2, animation:enemy_critical]</v>
      </c>
      <c r="N106" s="42" t="str">
        <f>IFERROR(LEFT(M106,FIND("],",M106)+#REF!),M106)</f>
        <v>[effect:panel_freeze, target:normal, color:blue, count:4],[effect:critical, val:1.2, animation:enemy_critical]</v>
      </c>
      <c r="O106" s="55">
        <f t="shared" si="58"/>
        <v>9</v>
      </c>
      <c r="P106" s="55">
        <f t="shared" si="59"/>
        <v>21</v>
      </c>
      <c r="Q106" s="55">
        <f t="shared" si="60"/>
        <v>30</v>
      </c>
      <c r="R106" s="55">
        <f t="shared" si="61"/>
        <v>36</v>
      </c>
      <c r="S106" s="55" t="str">
        <f>IFERROR(VLOOKUP(MID(N106,Q106,R106-Q106),[5]skilldef!$C:$D,2,FALSE),"-") &amp; " / " &amp; IFERROR(VLOOKUP(MID(N106,O106,P106-O106),[5]skilldef!$A:$B,2,FALSE),"-")</f>
        <v>- / -</v>
      </c>
      <c r="T106" s="42" t="str">
        <f t="shared" si="62"/>
        <v>[effect:critical, val:1.2, animation:enemy_critical]</v>
      </c>
      <c r="U106" s="55">
        <f t="shared" si="63"/>
        <v>9</v>
      </c>
      <c r="V106" s="55">
        <f t="shared" si="64"/>
        <v>17</v>
      </c>
      <c r="W106" s="55" t="e">
        <f t="shared" si="65"/>
        <v>#VALUE!</v>
      </c>
      <c r="X106" s="55">
        <f t="shared" si="66"/>
        <v>26</v>
      </c>
      <c r="Y106" s="55" t="str">
        <f>IFERROR(VLOOKUP(MID(T106,W106,X106-W106),[5]skilldef!$C:$D,2,FALSE),"-") &amp; " / " &amp; IFERROR(VLOOKUP(MID(T106,U106,V106-U106),[5]skilldef!$A:$B,2,FALSE),"-")</f>
        <v>- / 大攻撃</v>
      </c>
      <c r="Z106" s="44"/>
      <c r="AA106" s="46"/>
      <c r="AB106" s="44"/>
      <c r="AC106" s="136" t="s">
        <v>486</v>
      </c>
    </row>
    <row r="107" spans="1:29" ht="42" customHeight="1" x14ac:dyDescent="0.15">
      <c r="A107" s="216">
        <v>48701147</v>
      </c>
      <c r="B107" s="42" t="str">
        <f t="shared" si="51"/>
        <v>[effect:enemy_message, val1:1.8, val2:1.2],[effect:critical, val:1.4, animation:enemy_critical]</v>
      </c>
      <c r="C107" s="44">
        <v>1</v>
      </c>
      <c r="D107" s="44" t="s">
        <v>194</v>
      </c>
      <c r="E107" s="45" t="s">
        <v>433</v>
      </c>
      <c r="F107" s="45" t="s">
        <v>353</v>
      </c>
      <c r="G107" s="55" t="str">
        <f t="shared" si="52"/>
        <v>[effect:enemy_message, val1:1.8, val2:1.2]</v>
      </c>
      <c r="H107" s="55">
        <f t="shared" si="53"/>
        <v>9</v>
      </c>
      <c r="I107" s="55">
        <f t="shared" si="54"/>
        <v>22</v>
      </c>
      <c r="J107" s="55" t="e">
        <f t="shared" si="55"/>
        <v>#VALUE!</v>
      </c>
      <c r="K107" s="55">
        <f t="shared" si="56"/>
        <v>32</v>
      </c>
      <c r="L107" s="55" t="str">
        <f>IFERROR(VLOOKUP(MID(G107,J107,K107-J107),[5]skilldef!$C:$D,2,FALSE),"-") &amp; " / " &amp; IFERROR(VLOOKUP(MID(G107,H107,I107-H107),[5]skilldef!$A:$B,2,FALSE),"-")</f>
        <v>- / -</v>
      </c>
      <c r="M107" s="55" t="str">
        <f t="shared" si="57"/>
        <v>[effect:critical, val:1.4, animation:enemy_critical]</v>
      </c>
      <c r="N107" s="42" t="str">
        <f>IFERROR(LEFT(M107,FIND("],",M107)+#REF!),M107)</f>
        <v>[effect:critical, val:1.4, animation:enemy_critical]</v>
      </c>
      <c r="O107" s="55">
        <f t="shared" si="58"/>
        <v>9</v>
      </c>
      <c r="P107" s="55">
        <f t="shared" si="59"/>
        <v>17</v>
      </c>
      <c r="Q107" s="55" t="e">
        <f t="shared" si="60"/>
        <v>#VALUE!</v>
      </c>
      <c r="R107" s="55">
        <f t="shared" si="61"/>
        <v>26</v>
      </c>
      <c r="S107" s="55" t="str">
        <f>IFERROR(VLOOKUP(MID(N107,Q107,R107-Q107),[5]skilldef!$C:$D,2,FALSE),"-") &amp; " / " &amp; IFERROR(VLOOKUP(MID(N107,O107,P107-O107),[5]skilldef!$A:$B,2,FALSE),"-")</f>
        <v>- / 大攻撃</v>
      </c>
      <c r="T107" s="42" t="str">
        <f t="shared" si="62"/>
        <v>none</v>
      </c>
      <c r="U107" s="55" t="e">
        <f t="shared" si="63"/>
        <v>#VALUE!</v>
      </c>
      <c r="V107" s="55">
        <f t="shared" si="64"/>
        <v>4</v>
      </c>
      <c r="W107" s="55" t="e">
        <f t="shared" si="65"/>
        <v>#VALUE!</v>
      </c>
      <c r="X107" s="55" t="e">
        <f t="shared" si="66"/>
        <v>#VALUE!</v>
      </c>
      <c r="Y107" s="55" t="str">
        <f>IFERROR(VLOOKUP(MID(T107,W107,X107-W107),[5]skilldef!$C:$D,2,FALSE),"-") &amp; " / " &amp; IFERROR(VLOOKUP(MID(T107,U107,V107-U107),[5]skilldef!$A:$B,2,FALSE),"-")</f>
        <v>- / -</v>
      </c>
      <c r="Z107" s="44"/>
      <c r="AA107" s="46"/>
      <c r="AB107" s="44"/>
      <c r="AC107" s="136" t="s">
        <v>452</v>
      </c>
    </row>
    <row r="108" spans="1:29" ht="42" customHeight="1" x14ac:dyDescent="0.15">
      <c r="A108" s="216">
        <v>48701148</v>
      </c>
      <c r="B108" s="42" t="str">
        <f t="shared" si="51"/>
        <v>[effect:enemy_message, val1:1.3, val2:1.5],[effect:break_attack_fix, target:unit_all, val:250, lowest_val:1000, count:-1, color:green, block01:block_heart]</v>
      </c>
      <c r="C108" s="44">
        <v>1</v>
      </c>
      <c r="D108" s="44" t="s">
        <v>194</v>
      </c>
      <c r="E108" s="45" t="s">
        <v>448</v>
      </c>
      <c r="F108" s="45" t="s">
        <v>359</v>
      </c>
      <c r="G108" s="55" t="str">
        <f t="shared" si="52"/>
        <v>[effect:enemy_message, val1:1.3, val2:1.5]</v>
      </c>
      <c r="H108" s="55">
        <f t="shared" si="53"/>
        <v>9</v>
      </c>
      <c r="I108" s="55">
        <f t="shared" si="54"/>
        <v>22</v>
      </c>
      <c r="J108" s="55" t="e">
        <f t="shared" si="55"/>
        <v>#VALUE!</v>
      </c>
      <c r="K108" s="55">
        <f t="shared" si="56"/>
        <v>32</v>
      </c>
      <c r="L108" s="55" t="str">
        <f>IFERROR(VLOOKUP(MID(G108,J108,K108-J108),[5]skilldef!$C:$D,2,FALSE),"-") &amp; " / " &amp; IFERROR(VLOOKUP(MID(G108,H108,I108-H108),[5]skilldef!$A:$B,2,FALSE),"-")</f>
        <v>- / -</v>
      </c>
      <c r="M108" s="55" t="str">
        <f t="shared" si="57"/>
        <v>[effect:break_attack_fix, target:unit_all, val:250, lowest_val:1000, count:-1, color:green, block01:block_heart]</v>
      </c>
      <c r="N108" s="42" t="str">
        <f>IFERROR(LEFT(M108,FIND("],",M108)+#REF!),M108)</f>
        <v>[effect:break_attack_fix, target:unit_all, val:250, lowest_val:1000, count:-1, color:green, block01:block_heart]</v>
      </c>
      <c r="O108" s="55">
        <f t="shared" si="58"/>
        <v>9</v>
      </c>
      <c r="P108" s="55">
        <f t="shared" si="59"/>
        <v>25</v>
      </c>
      <c r="Q108" s="55">
        <f t="shared" si="60"/>
        <v>34</v>
      </c>
      <c r="R108" s="55">
        <f t="shared" si="61"/>
        <v>42</v>
      </c>
      <c r="S108" s="55" t="str">
        <f>IFERROR(VLOOKUP(MID(N108,Q108,R108-Q108),[5]skilldef!$C:$D,2,FALSE),"-") &amp; " / " &amp; IFERROR(VLOOKUP(MID(N108,O108,P108-O108),[5]skilldef!$A:$B,2,FALSE),"-")</f>
        <v>味方全体に / -</v>
      </c>
      <c r="T108" s="42" t="str">
        <f t="shared" si="62"/>
        <v>none</v>
      </c>
      <c r="U108" s="55" t="e">
        <f t="shared" si="63"/>
        <v>#VALUE!</v>
      </c>
      <c r="V108" s="55">
        <f t="shared" si="64"/>
        <v>4</v>
      </c>
      <c r="W108" s="55" t="e">
        <f t="shared" si="65"/>
        <v>#VALUE!</v>
      </c>
      <c r="X108" s="55" t="e">
        <f t="shared" si="66"/>
        <v>#VALUE!</v>
      </c>
      <c r="Y108" s="55" t="str">
        <f>IFERROR(VLOOKUP(MID(T108,W108,X108-W108),[5]skilldef!$C:$D,2,FALSE),"-") &amp; " / " &amp; IFERROR(VLOOKUP(MID(T108,U108,V108-U108),[5]skilldef!$A:$B,2,FALSE),"-")</f>
        <v>- / -</v>
      </c>
      <c r="Z108" s="44"/>
      <c r="AA108" s="46"/>
      <c r="AB108" s="44"/>
      <c r="AC108" s="136" t="s">
        <v>457</v>
      </c>
    </row>
    <row r="109" spans="1:29" ht="42" customHeight="1" x14ac:dyDescent="0.15">
      <c r="A109" s="216">
        <v>48701149</v>
      </c>
      <c r="B109" s="42" t="str">
        <f t="shared" si="51"/>
        <v>[effect:enemy_message, val1:1.5, val2:2.2],[effect:drop_block, block_type:time_bomb, color:block_all, val:0.1, rate:0.5, turn:-1, min_time_count:2, max_time_count:3, animation:time_bomb_influence04]</v>
      </c>
      <c r="C109" s="44">
        <v>1</v>
      </c>
      <c r="D109" s="44" t="s">
        <v>194</v>
      </c>
      <c r="E109" s="45" t="s">
        <v>434</v>
      </c>
      <c r="F109" s="45" t="s">
        <v>500</v>
      </c>
      <c r="G109" s="55" t="str">
        <f t="shared" si="52"/>
        <v>[effect:enemy_message, val1:1.5, val2:2.2]</v>
      </c>
      <c r="H109" s="55">
        <f t="shared" si="53"/>
        <v>9</v>
      </c>
      <c r="I109" s="55">
        <f t="shared" si="54"/>
        <v>22</v>
      </c>
      <c r="J109" s="55" t="e">
        <f t="shared" si="55"/>
        <v>#VALUE!</v>
      </c>
      <c r="K109" s="55">
        <f t="shared" si="56"/>
        <v>32</v>
      </c>
      <c r="L109" s="55" t="str">
        <f>IFERROR(VLOOKUP(MID(G109,J109,K109-J109),[5]skilldef!$C:$D,2,FALSE),"-") &amp; " / " &amp; IFERROR(VLOOKUP(MID(G109,H109,I109-H109),[5]skilldef!$A:$B,2,FALSE),"-")</f>
        <v>- / -</v>
      </c>
      <c r="M109" s="55" t="str">
        <f t="shared" si="57"/>
        <v>[effect:drop_block, block_type:time_bomb, color:block_all, val:0.1, rate:0.5, turn:-1, min_time_count:2, max_time_count:3, animation:time_bomb_influence04]</v>
      </c>
      <c r="N109" s="42" t="str">
        <f>IFERROR(LEFT(M109,FIND("],",M109)+#REF!),M109)</f>
        <v>[effect:drop_block, block_type:time_bomb, color:block_all, val:0.1, rate:0.5, turn:-1, min_time_count:2, max_time_count:3, animation:time_bomb_influence04]</v>
      </c>
      <c r="O109" s="55">
        <f t="shared" si="58"/>
        <v>9</v>
      </c>
      <c r="P109" s="55">
        <f t="shared" si="59"/>
        <v>19</v>
      </c>
      <c r="Q109" s="55" t="e">
        <f t="shared" si="60"/>
        <v>#VALUE!</v>
      </c>
      <c r="R109" s="55">
        <f t="shared" si="61"/>
        <v>41</v>
      </c>
      <c r="S109" s="55" t="str">
        <f>IFERROR(VLOOKUP(MID(N109,Q109,R109-Q109),[5]skilldef!$C:$D,2,FALSE),"-") &amp; " / " &amp; IFERROR(VLOOKUP(MID(N109,O109,P109-O109),[5]skilldef!$A:$B,2,FALSE),"-")</f>
        <v>- / 特定ブロックの割合ドロップ</v>
      </c>
      <c r="T109" s="42" t="str">
        <f t="shared" si="62"/>
        <v>none</v>
      </c>
      <c r="U109" s="55" t="e">
        <f t="shared" si="63"/>
        <v>#VALUE!</v>
      </c>
      <c r="V109" s="55">
        <f t="shared" si="64"/>
        <v>4</v>
      </c>
      <c r="W109" s="55" t="e">
        <f t="shared" si="65"/>
        <v>#VALUE!</v>
      </c>
      <c r="X109" s="55" t="e">
        <f t="shared" si="66"/>
        <v>#VALUE!</v>
      </c>
      <c r="Y109" s="55" t="str">
        <f>IFERROR(VLOOKUP(MID(T109,W109,X109-W109),[5]skilldef!$C:$D,2,FALSE),"-") &amp; " / " &amp; IFERROR(VLOOKUP(MID(T109,U109,V109-U109),[5]skilldef!$A:$B,2,FALSE),"-")</f>
        <v>- / -</v>
      </c>
      <c r="Z109" s="44"/>
      <c r="AA109" s="46"/>
      <c r="AB109" s="44"/>
      <c r="AC109" s="136" t="s">
        <v>342</v>
      </c>
    </row>
    <row r="110" spans="1:29" ht="42" customHeight="1" x14ac:dyDescent="0.15">
      <c r="A110" s="216">
        <v>48701150</v>
      </c>
      <c r="B110" s="42" t="str">
        <f t="shared" si="51"/>
        <v>[effect:enemy_message, val1:1.2, val2:1.2],[effect:rush, count:8, val:0.3]</v>
      </c>
      <c r="C110" s="44">
        <v>1</v>
      </c>
      <c r="D110" s="44" t="s">
        <v>194</v>
      </c>
      <c r="E110" s="45" t="s">
        <v>435</v>
      </c>
      <c r="F110" s="45" t="s">
        <v>360</v>
      </c>
      <c r="G110" s="55" t="str">
        <f t="shared" si="52"/>
        <v>[effect:enemy_message, val1:1.2, val2:1.2]</v>
      </c>
      <c r="H110" s="55">
        <f t="shared" si="53"/>
        <v>9</v>
      </c>
      <c r="I110" s="55">
        <f t="shared" si="54"/>
        <v>22</v>
      </c>
      <c r="J110" s="55" t="e">
        <f t="shared" si="55"/>
        <v>#VALUE!</v>
      </c>
      <c r="K110" s="55">
        <f t="shared" si="56"/>
        <v>32</v>
      </c>
      <c r="L110" s="55" t="str">
        <f>IFERROR(VLOOKUP(MID(G110,J110,K110-J110),[5]skilldef!$C:$D,2,FALSE),"-") &amp; " / " &amp; IFERROR(VLOOKUP(MID(G110,H110,I110-H110),[5]skilldef!$A:$B,2,FALSE),"-")</f>
        <v>- / -</v>
      </c>
      <c r="M110" s="55" t="str">
        <f t="shared" si="57"/>
        <v>[effect:rush, count:8, val:0.3]</v>
      </c>
      <c r="N110" s="42" t="str">
        <f>IFERROR(LEFT(M110,FIND("],",M110)+#REF!),M110)</f>
        <v>[effect:rush, count:8, val:0.3]</v>
      </c>
      <c r="O110" s="55">
        <f t="shared" si="58"/>
        <v>9</v>
      </c>
      <c r="P110" s="55">
        <f t="shared" si="59"/>
        <v>13</v>
      </c>
      <c r="Q110" s="55" t="e">
        <f t="shared" si="60"/>
        <v>#VALUE!</v>
      </c>
      <c r="R110" s="55">
        <f t="shared" si="61"/>
        <v>22</v>
      </c>
      <c r="S110" s="55" t="str">
        <f>IFERROR(VLOOKUP(MID(N110,Q110,R110-Q110),[5]skilldef!$C:$D,2,FALSE),"-") &amp; " / " &amp; IFERROR(VLOOKUP(MID(N110,O110,P110-O110),[5]skilldef!$A:$B,2,FALSE),"-")</f>
        <v>- / 連続攻撃</v>
      </c>
      <c r="T110" s="42" t="str">
        <f t="shared" si="62"/>
        <v>none</v>
      </c>
      <c r="U110" s="55" t="e">
        <f t="shared" si="63"/>
        <v>#VALUE!</v>
      </c>
      <c r="V110" s="55">
        <f t="shared" si="64"/>
        <v>4</v>
      </c>
      <c r="W110" s="55" t="e">
        <f t="shared" si="65"/>
        <v>#VALUE!</v>
      </c>
      <c r="X110" s="55" t="e">
        <f t="shared" si="66"/>
        <v>#VALUE!</v>
      </c>
      <c r="Y110" s="55" t="str">
        <f>IFERROR(VLOOKUP(MID(T110,W110,X110-W110),[5]skilldef!$C:$D,2,FALSE),"-") &amp; " / " &amp; IFERROR(VLOOKUP(MID(T110,U110,V110-U110),[5]skilldef!$A:$B,2,FALSE),"-")</f>
        <v>- / -</v>
      </c>
      <c r="Z110" s="44"/>
      <c r="AA110" s="46"/>
      <c r="AB110" s="44"/>
      <c r="AC110" s="136" t="s">
        <v>362</v>
      </c>
    </row>
    <row r="111" spans="1:29" ht="42" customHeight="1" x14ac:dyDescent="0.15">
      <c r="A111" s="216">
        <v>48701151</v>
      </c>
      <c r="B111" s="42" t="str">
        <f t="shared" si="51"/>
        <v>[effect:enemy_message, val1:1.2, val2:3.1],[effect:damage_abnormal, target:unit_one, val:0.4, status:heal, turn:3, val_abnormal:0.5, calc:mul],[effect:damage_abnormal, target:unit_one, val:0.4, status:heal, turn:3, val_abnormal:0.5, calc:mul],[effect:damage_abnormal, target:unit_one, val:0.4, status:heal, turn:3, val_abnormal:0.5, calc:mul]</v>
      </c>
      <c r="C111" s="44">
        <v>1</v>
      </c>
      <c r="D111" s="44" t="s">
        <v>194</v>
      </c>
      <c r="E111" s="45" t="s">
        <v>437</v>
      </c>
      <c r="F111" s="45" t="s">
        <v>376</v>
      </c>
      <c r="G111" s="55" t="str">
        <f t="shared" si="52"/>
        <v>[effect:enemy_message, val1:1.2, val2:3.1]</v>
      </c>
      <c r="H111" s="55">
        <f t="shared" si="53"/>
        <v>9</v>
      </c>
      <c r="I111" s="55">
        <f t="shared" si="54"/>
        <v>22</v>
      </c>
      <c r="J111" s="55" t="e">
        <f t="shared" si="55"/>
        <v>#VALUE!</v>
      </c>
      <c r="K111" s="55">
        <f t="shared" si="56"/>
        <v>32</v>
      </c>
      <c r="L111" s="55" t="str">
        <f>IFERROR(VLOOKUP(MID(G111,J111,K111-J111),[5]skilldef!$C:$D,2,FALSE),"-") &amp; " / " &amp; IFERROR(VLOOKUP(MID(G111,H111,I111-H111),[5]skilldef!$A:$B,2,FALSE),"-")</f>
        <v>- / -</v>
      </c>
      <c r="M111" s="55" t="str">
        <f t="shared" si="57"/>
        <v>[effect:damage_abnormal, target:unit_one, val:0.4, status:heal, turn:3, val_abnormal:0.5, calc:mul],[effect:damage_abnormal, target:unit_one, val:0.4, status:heal, turn:3, val_abnormal:0.5, calc:mul],[effect:damage_abnormal, target:unit_one, val:0.4, status:heal, turn:3, val_abnormal:0.5, calc:mul]</v>
      </c>
      <c r="N111" s="42" t="str">
        <f>IFERROR(LEFT(M111,FIND("],",M111)+#REF!),M111)</f>
        <v>[effect:damage_abnormal, target:unit_one, val:0.4, status:heal, turn:3, val_abnormal:0.5, calc:mul],[effect:damage_abnormal, target:unit_one, val:0.4, status:heal, turn:3, val_abnormal:0.5, calc:mul],[effect:damage_abnormal, target:unit_one, val:0.4, status:heal, turn:3, val_abnormal:0.5, calc:mul]</v>
      </c>
      <c r="O111" s="55">
        <f t="shared" si="58"/>
        <v>9</v>
      </c>
      <c r="P111" s="55">
        <f t="shared" si="59"/>
        <v>24</v>
      </c>
      <c r="Q111" s="55">
        <f t="shared" si="60"/>
        <v>33</v>
      </c>
      <c r="R111" s="55">
        <f t="shared" si="61"/>
        <v>41</v>
      </c>
      <c r="S111" s="55" t="str">
        <f>IFERROR(VLOOKUP(MID(N111,Q111,R111-Q111),[5]skilldef!$C:$D,2,FALSE),"-") &amp; " / " &amp; IFERROR(VLOOKUP(MID(N111,O111,P111-O111),[5]skilldef!$A:$B,2,FALSE),"-")</f>
        <v>味方単体に / -</v>
      </c>
      <c r="T111" s="42" t="str">
        <f t="shared" si="62"/>
        <v>[effect:damage_abnormal, target:unit_one, val:0.4, status:heal, turn:3, val_abnormal:0.5, calc:mul],[effect:damage_abnormal, target:unit_one, val:0.4, status:heal, turn:3, val_abnormal:0.5, calc:mul]</v>
      </c>
      <c r="U111" s="55">
        <f t="shared" si="63"/>
        <v>9</v>
      </c>
      <c r="V111" s="55">
        <f t="shared" si="64"/>
        <v>24</v>
      </c>
      <c r="W111" s="55">
        <f t="shared" si="65"/>
        <v>33</v>
      </c>
      <c r="X111" s="55">
        <f t="shared" si="66"/>
        <v>41</v>
      </c>
      <c r="Y111" s="55" t="str">
        <f>IFERROR(VLOOKUP(MID(T111,W111,X111-W111),[5]skilldef!$C:$D,2,FALSE),"-") &amp; " / " &amp; IFERROR(VLOOKUP(MID(T111,U111,V111-U111),[5]skilldef!$A:$B,2,FALSE),"-")</f>
        <v>味方単体に / -</v>
      </c>
      <c r="Z111" s="44"/>
      <c r="AA111" s="46"/>
      <c r="AB111" s="44"/>
      <c r="AC111" s="136" t="s">
        <v>487</v>
      </c>
    </row>
    <row r="112" spans="1:29" ht="42" customHeight="1" x14ac:dyDescent="0.15">
      <c r="A112" s="216">
        <v>48701152</v>
      </c>
      <c r="B112" s="42" t="str">
        <f t="shared" si="51"/>
        <v>[effect:enemy_message, val1:1.2, val2:1.7],[effect:break_attack_fix, target:unit_one, val:500, lowest_val:3000, count:7, color:green, block01:block_yellow]</v>
      </c>
      <c r="C112" s="44">
        <v>1</v>
      </c>
      <c r="D112" s="44" t="s">
        <v>194</v>
      </c>
      <c r="E112" s="45" t="s">
        <v>439</v>
      </c>
      <c r="F112" s="45" t="s">
        <v>509</v>
      </c>
      <c r="G112" s="55" t="str">
        <f t="shared" si="52"/>
        <v>[effect:enemy_message, val1:1.2, val2:1.7]</v>
      </c>
      <c r="H112" s="55">
        <f t="shared" si="53"/>
        <v>9</v>
      </c>
      <c r="I112" s="55">
        <f t="shared" si="54"/>
        <v>22</v>
      </c>
      <c r="J112" s="55" t="e">
        <f t="shared" si="55"/>
        <v>#VALUE!</v>
      </c>
      <c r="K112" s="55">
        <f t="shared" si="56"/>
        <v>32</v>
      </c>
      <c r="L112" s="55" t="str">
        <f>IFERROR(VLOOKUP(MID(G112,J112,K112-J112),[5]skilldef!$C:$D,2,FALSE),"-") &amp; " / " &amp; IFERROR(VLOOKUP(MID(G112,H112,I112-H112),[5]skilldef!$A:$B,2,FALSE),"-")</f>
        <v>- / -</v>
      </c>
      <c r="M112" s="55" t="str">
        <f t="shared" si="57"/>
        <v>[effect:break_attack_fix, target:unit_one, val:500, lowest_val:3000, count:7, color:green, block01:block_yellow]</v>
      </c>
      <c r="N112" s="42" t="str">
        <f>IFERROR(LEFT(M112,FIND("],",M112)+#REF!),M112)</f>
        <v>[effect:break_attack_fix, target:unit_one, val:500, lowest_val:3000, count:7, color:green, block01:block_yellow]</v>
      </c>
      <c r="O112" s="55">
        <f t="shared" si="58"/>
        <v>9</v>
      </c>
      <c r="P112" s="55">
        <f t="shared" si="59"/>
        <v>25</v>
      </c>
      <c r="Q112" s="55">
        <f t="shared" si="60"/>
        <v>34</v>
      </c>
      <c r="R112" s="55">
        <f t="shared" si="61"/>
        <v>42</v>
      </c>
      <c r="S112" s="55" t="str">
        <f>IFERROR(VLOOKUP(MID(N112,Q112,R112-Q112),[5]skilldef!$C:$D,2,FALSE),"-") &amp; " / " &amp; IFERROR(VLOOKUP(MID(N112,O112,P112-O112),[5]skilldef!$A:$B,2,FALSE),"-")</f>
        <v>味方単体に / -</v>
      </c>
      <c r="T112" s="42" t="str">
        <f t="shared" si="62"/>
        <v>none</v>
      </c>
      <c r="U112" s="55" t="e">
        <f t="shared" si="63"/>
        <v>#VALUE!</v>
      </c>
      <c r="V112" s="55">
        <f t="shared" si="64"/>
        <v>4</v>
      </c>
      <c r="W112" s="55" t="e">
        <f t="shared" si="65"/>
        <v>#VALUE!</v>
      </c>
      <c r="X112" s="55" t="e">
        <f t="shared" si="66"/>
        <v>#VALUE!</v>
      </c>
      <c r="Y112" s="55" t="str">
        <f>IFERROR(VLOOKUP(MID(T112,W112,X112-W112),[5]skilldef!$C:$D,2,FALSE),"-") &amp; " / " &amp; IFERROR(VLOOKUP(MID(T112,U112,V112-U112),[5]skilldef!$A:$B,2,FALSE),"-")</f>
        <v>- / -</v>
      </c>
      <c r="Z112" s="44"/>
      <c r="AA112" s="46"/>
      <c r="AB112" s="44"/>
      <c r="AC112" s="136" t="s">
        <v>361</v>
      </c>
    </row>
    <row r="113" spans="1:29" ht="42" customHeight="1" x14ac:dyDescent="0.15">
      <c r="A113" s="216">
        <v>48701153</v>
      </c>
      <c r="B113" s="42" t="str">
        <f t="shared" si="51"/>
        <v>[effect:enemy_message, val1:1.2, val2:1.7],[effect:break_attack_fix, target:unit_one, val:500, lowest_val:3000, count:7, color:green, block01:block_green]</v>
      </c>
      <c r="C113" s="44">
        <v>1</v>
      </c>
      <c r="D113" s="44" t="s">
        <v>194</v>
      </c>
      <c r="E113" s="45" t="s">
        <v>441</v>
      </c>
      <c r="F113" s="45" t="s">
        <v>511</v>
      </c>
      <c r="G113" s="55" t="str">
        <f t="shared" si="52"/>
        <v>[effect:enemy_message, val1:1.2, val2:1.7]</v>
      </c>
      <c r="H113" s="55">
        <f t="shared" si="53"/>
        <v>9</v>
      </c>
      <c r="I113" s="55">
        <f t="shared" si="54"/>
        <v>22</v>
      </c>
      <c r="J113" s="55" t="e">
        <f t="shared" si="55"/>
        <v>#VALUE!</v>
      </c>
      <c r="K113" s="55">
        <f t="shared" si="56"/>
        <v>32</v>
      </c>
      <c r="L113" s="55" t="str">
        <f>IFERROR(VLOOKUP(MID(G113,J113,K113-J113),[5]skilldef!$C:$D,2,FALSE),"-") &amp; " / " &amp; IFERROR(VLOOKUP(MID(G113,H113,I113-H113),[5]skilldef!$A:$B,2,FALSE),"-")</f>
        <v>- / -</v>
      </c>
      <c r="M113" s="55" t="str">
        <f t="shared" si="57"/>
        <v>[effect:break_attack_fix, target:unit_one, val:500, lowest_val:3000, count:7, color:green, block01:block_green]</v>
      </c>
      <c r="N113" s="42" t="str">
        <f>IFERROR(LEFT(M113,FIND("],",M113)+#REF!),M113)</f>
        <v>[effect:break_attack_fix, target:unit_one, val:500, lowest_val:3000, count:7, color:green, block01:block_green]</v>
      </c>
      <c r="O113" s="55">
        <f t="shared" si="58"/>
        <v>9</v>
      </c>
      <c r="P113" s="55">
        <f t="shared" si="59"/>
        <v>25</v>
      </c>
      <c r="Q113" s="55">
        <f t="shared" si="60"/>
        <v>34</v>
      </c>
      <c r="R113" s="55">
        <f t="shared" si="61"/>
        <v>42</v>
      </c>
      <c r="S113" s="55" t="str">
        <f>IFERROR(VLOOKUP(MID(N113,Q113,R113-Q113),[5]skilldef!$C:$D,2,FALSE),"-") &amp; " / " &amp; IFERROR(VLOOKUP(MID(N113,O113,P113-O113),[5]skilldef!$A:$B,2,FALSE),"-")</f>
        <v>味方単体に / -</v>
      </c>
      <c r="T113" s="42" t="str">
        <f t="shared" si="62"/>
        <v>none</v>
      </c>
      <c r="U113" s="55" t="e">
        <f t="shared" si="63"/>
        <v>#VALUE!</v>
      </c>
      <c r="V113" s="55">
        <f t="shared" si="64"/>
        <v>4</v>
      </c>
      <c r="W113" s="55" t="e">
        <f t="shared" si="65"/>
        <v>#VALUE!</v>
      </c>
      <c r="X113" s="55" t="e">
        <f t="shared" si="66"/>
        <v>#VALUE!</v>
      </c>
      <c r="Y113" s="55" t="str">
        <f>IFERROR(VLOOKUP(MID(T113,W113,X113-W113),[5]skilldef!$C:$D,2,FALSE),"-") &amp; " / " &amp; IFERROR(VLOOKUP(MID(T113,U113,V113-U113),[5]skilldef!$A:$B,2,FALSE),"-")</f>
        <v>- / -</v>
      </c>
      <c r="Z113" s="44"/>
      <c r="AA113" s="46"/>
      <c r="AB113" s="44"/>
      <c r="AC113" s="136" t="s">
        <v>343</v>
      </c>
    </row>
    <row r="114" spans="1:29" ht="42" customHeight="1" x14ac:dyDescent="0.15">
      <c r="A114" s="216">
        <v>48701154</v>
      </c>
      <c r="B114" s="42" t="s">
        <v>463</v>
      </c>
      <c r="C114" s="44">
        <v>1</v>
      </c>
      <c r="D114" s="44" t="s">
        <v>194</v>
      </c>
      <c r="E114" s="45" t="s">
        <v>436</v>
      </c>
      <c r="F114" s="144" t="s">
        <v>401</v>
      </c>
      <c r="G114" s="55" t="str">
        <f t="shared" si="52"/>
        <v>[effect:enemy_message, val1:2.1, val2:2.7]</v>
      </c>
      <c r="H114" s="55">
        <f t="shared" si="53"/>
        <v>9</v>
      </c>
      <c r="I114" s="55">
        <f t="shared" si="54"/>
        <v>22</v>
      </c>
      <c r="J114" s="55" t="e">
        <f t="shared" si="55"/>
        <v>#VALUE!</v>
      </c>
      <c r="K114" s="55">
        <f t="shared" si="56"/>
        <v>32</v>
      </c>
      <c r="L114" s="55" t="str">
        <f>IFERROR(VLOOKUP(MID(G114,J114,K114-J114),[5]skilldef!$C:$D,2,FALSE),"-") &amp; " / " &amp; IFERROR(VLOOKUP(MID(G114,H114,I114-H114),[5]skilldef!$A:$B,2,FALSE),"-")</f>
        <v>- / -</v>
      </c>
      <c r="M114" s="55" t="str">
        <f t="shared" si="57"/>
        <v>none</v>
      </c>
      <c r="N114" s="42" t="str">
        <f>IFERROR(LEFT(M114,FIND("],",M114)+#REF!),M114)</f>
        <v>none</v>
      </c>
      <c r="O114" s="55" t="e">
        <f t="shared" si="58"/>
        <v>#VALUE!</v>
      </c>
      <c r="P114" s="55">
        <f t="shared" si="59"/>
        <v>4</v>
      </c>
      <c r="Q114" s="55" t="e">
        <f t="shared" si="60"/>
        <v>#VALUE!</v>
      </c>
      <c r="R114" s="55" t="e">
        <f t="shared" si="61"/>
        <v>#VALUE!</v>
      </c>
      <c r="S114" s="55" t="str">
        <f>IFERROR(VLOOKUP(MID(N114,Q114,R114-Q114),[5]skilldef!$C:$D,2,FALSE),"-") &amp; " / " &amp; IFERROR(VLOOKUP(MID(N114,O114,P114-O114),[5]skilldef!$A:$B,2,FALSE),"-")</f>
        <v>- / -</v>
      </c>
      <c r="T114" s="42" t="str">
        <f t="shared" si="62"/>
        <v>none</v>
      </c>
      <c r="U114" s="55" t="e">
        <f t="shared" si="63"/>
        <v>#VALUE!</v>
      </c>
      <c r="V114" s="55">
        <f t="shared" si="64"/>
        <v>4</v>
      </c>
      <c r="W114" s="55" t="e">
        <f t="shared" si="65"/>
        <v>#VALUE!</v>
      </c>
      <c r="X114" s="55" t="e">
        <f t="shared" si="66"/>
        <v>#VALUE!</v>
      </c>
      <c r="Y114" s="55" t="str">
        <f>IFERROR(VLOOKUP(MID(T114,W114,X114-W114),[5]skilldef!$C:$D,2,FALSE),"-") &amp; " / " &amp; IFERROR(VLOOKUP(MID(T114,U114,V114-U114),[5]skilldef!$A:$B,2,FALSE),"-")</f>
        <v>- / -</v>
      </c>
      <c r="Z114" s="44"/>
      <c r="AA114" s="46"/>
      <c r="AB114" s="44"/>
      <c r="AC114" s="136"/>
    </row>
    <row r="115" spans="1:29" ht="42" customHeight="1" thickBot="1" x14ac:dyDescent="0.2">
      <c r="A115" s="217">
        <v>48701155</v>
      </c>
      <c r="B115" s="200" t="s">
        <v>464</v>
      </c>
      <c r="C115" s="201">
        <v>1</v>
      </c>
      <c r="D115" s="201" t="s">
        <v>194</v>
      </c>
      <c r="E115" s="202" t="s">
        <v>400</v>
      </c>
      <c r="F115" s="203" t="s">
        <v>401</v>
      </c>
      <c r="G115" s="204" t="str">
        <f t="shared" si="52"/>
        <v>[effect:enemy_message, val1:1.7, val2:2.7]</v>
      </c>
      <c r="H115" s="204">
        <f t="shared" si="53"/>
        <v>9</v>
      </c>
      <c r="I115" s="204">
        <f t="shared" si="54"/>
        <v>22</v>
      </c>
      <c r="J115" s="204" t="e">
        <f t="shared" si="55"/>
        <v>#VALUE!</v>
      </c>
      <c r="K115" s="204">
        <f t="shared" si="56"/>
        <v>32</v>
      </c>
      <c r="L115" s="204" t="str">
        <f>IFERROR(VLOOKUP(MID(G115,J115,K115-J115),[5]skilldef!$C:$D,2,FALSE),"-") &amp; " / " &amp; IFERROR(VLOOKUP(MID(G115,H115,I115-H115),[5]skilldef!$A:$B,2,FALSE),"-")</f>
        <v>- / -</v>
      </c>
      <c r="M115" s="204" t="str">
        <f t="shared" si="57"/>
        <v>none</v>
      </c>
      <c r="N115" s="200" t="str">
        <f>IFERROR(LEFT(M115,FIND("],",M115)+#REF!),M115)</f>
        <v>none</v>
      </c>
      <c r="O115" s="204" t="e">
        <f t="shared" si="58"/>
        <v>#VALUE!</v>
      </c>
      <c r="P115" s="204">
        <f t="shared" si="59"/>
        <v>4</v>
      </c>
      <c r="Q115" s="204" t="e">
        <f t="shared" si="60"/>
        <v>#VALUE!</v>
      </c>
      <c r="R115" s="204" t="e">
        <f t="shared" si="61"/>
        <v>#VALUE!</v>
      </c>
      <c r="S115" s="204" t="str">
        <f>IFERROR(VLOOKUP(MID(N115,Q115,R115-Q115),[5]skilldef!$C:$D,2,FALSE),"-") &amp; " / " &amp; IFERROR(VLOOKUP(MID(N115,O115,P115-O115),[5]skilldef!$A:$B,2,FALSE),"-")</f>
        <v>- / -</v>
      </c>
      <c r="T115" s="200" t="str">
        <f t="shared" si="62"/>
        <v>none</v>
      </c>
      <c r="U115" s="204" t="e">
        <f t="shared" si="63"/>
        <v>#VALUE!</v>
      </c>
      <c r="V115" s="204">
        <f t="shared" si="64"/>
        <v>4</v>
      </c>
      <c r="W115" s="204" t="e">
        <f t="shared" si="65"/>
        <v>#VALUE!</v>
      </c>
      <c r="X115" s="204" t="e">
        <f t="shared" si="66"/>
        <v>#VALUE!</v>
      </c>
      <c r="Y115" s="204" t="str">
        <f>IFERROR(VLOOKUP(MID(T115,W115,X115-W115),[5]skilldef!$C:$D,2,FALSE),"-") &amp; " / " &amp; IFERROR(VLOOKUP(MID(T115,U115,V115-U115),[5]skilldef!$A:$B,2,FALSE),"-")</f>
        <v>- / -</v>
      </c>
      <c r="Z115" s="201"/>
      <c r="AA115" s="205"/>
      <c r="AB115" s="201"/>
      <c r="AC115" s="206"/>
    </row>
    <row r="119" spans="1:29" ht="21" customHeight="1" x14ac:dyDescent="0.15">
      <c r="B119" s="227"/>
      <c r="C119" s="227"/>
    </row>
    <row r="120" spans="1:29" ht="21" customHeight="1" x14ac:dyDescent="0.15">
      <c r="B120" s="227"/>
      <c r="C120" s="227"/>
    </row>
    <row r="121" spans="1:29" ht="21" customHeight="1" x14ac:dyDescent="0.15">
      <c r="B121" s="227"/>
      <c r="C121" s="227"/>
    </row>
  </sheetData>
  <autoFilter ref="A1:AC59">
    <sortState ref="A2:AC58">
      <sortCondition ref="A1:A58"/>
    </sortState>
  </autoFilter>
  <phoneticPr fontId="5"/>
  <conditionalFormatting sqref="E52 E54 E57 E50 E1:E20 E23:E28 E30:E47 E116:E1048576">
    <cfRule type="containsText" dxfId="24" priority="25" operator="containsText" text="春香">
      <formula>NOT(ISERROR(SEARCH("春香",E1)))</formula>
    </cfRule>
  </conditionalFormatting>
  <conditionalFormatting sqref="E53">
    <cfRule type="containsText" dxfId="23" priority="23" operator="containsText" text="春香">
      <formula>NOT(ISERROR(SEARCH("春香",E53)))</formula>
    </cfRule>
  </conditionalFormatting>
  <conditionalFormatting sqref="E21">
    <cfRule type="containsText" dxfId="22" priority="22" operator="containsText" text="春香">
      <formula>NOT(ISERROR(SEARCH("春香",E21)))</formula>
    </cfRule>
  </conditionalFormatting>
  <conditionalFormatting sqref="E55">
    <cfRule type="containsText" dxfId="21" priority="21" operator="containsText" text="春香">
      <formula>NOT(ISERROR(SEARCH("春香",E55)))</formula>
    </cfRule>
  </conditionalFormatting>
  <conditionalFormatting sqref="E56">
    <cfRule type="containsText" dxfId="20" priority="20" operator="containsText" text="春香">
      <formula>NOT(ISERROR(SEARCH("春香",E56)))</formula>
    </cfRule>
  </conditionalFormatting>
  <conditionalFormatting sqref="E58">
    <cfRule type="containsText" dxfId="19" priority="19" operator="containsText" text="春香">
      <formula>NOT(ISERROR(SEARCH("春香",E58)))</formula>
    </cfRule>
  </conditionalFormatting>
  <conditionalFormatting sqref="E29">
    <cfRule type="containsText" dxfId="18" priority="18" operator="containsText" text="春香">
      <formula>NOT(ISERROR(SEARCH("春香",E29)))</formula>
    </cfRule>
  </conditionalFormatting>
  <conditionalFormatting sqref="E48">
    <cfRule type="containsText" dxfId="17" priority="17" operator="containsText" text="春香">
      <formula>NOT(ISERROR(SEARCH("春香",E48)))</formula>
    </cfRule>
  </conditionalFormatting>
  <conditionalFormatting sqref="E49">
    <cfRule type="containsText" dxfId="16" priority="16" operator="containsText" text="春香">
      <formula>NOT(ISERROR(SEARCH("春香",E49)))</formula>
    </cfRule>
  </conditionalFormatting>
  <conditionalFormatting sqref="E109 E111 E114 E107 E60:E64 E80:E85 E87:E104 E66:E77">
    <cfRule type="containsText" dxfId="15" priority="15" operator="containsText" text="春香">
      <formula>NOT(ISERROR(SEARCH("春香",E60)))</formula>
    </cfRule>
  </conditionalFormatting>
  <conditionalFormatting sqref="E108">
    <cfRule type="containsText" dxfId="14" priority="14" operator="containsText" text="春香">
      <formula>NOT(ISERROR(SEARCH("春香",E108)))</formula>
    </cfRule>
  </conditionalFormatting>
  <conditionalFormatting sqref="E110">
    <cfRule type="containsText" dxfId="13" priority="13" operator="containsText" text="春香">
      <formula>NOT(ISERROR(SEARCH("春香",E110)))</formula>
    </cfRule>
  </conditionalFormatting>
  <conditionalFormatting sqref="E78">
    <cfRule type="containsText" dxfId="12" priority="12" operator="containsText" text="春香">
      <formula>NOT(ISERROR(SEARCH("春香",E78)))</formula>
    </cfRule>
  </conditionalFormatting>
  <conditionalFormatting sqref="E112">
    <cfRule type="containsText" dxfId="11" priority="11" operator="containsText" text="春香">
      <formula>NOT(ISERROR(SEARCH("春香",E112)))</formula>
    </cfRule>
  </conditionalFormatting>
  <conditionalFormatting sqref="E113">
    <cfRule type="containsText" dxfId="10" priority="10" operator="containsText" text="春香">
      <formula>NOT(ISERROR(SEARCH("春香",E113)))</formula>
    </cfRule>
  </conditionalFormatting>
  <conditionalFormatting sqref="E115">
    <cfRule type="containsText" dxfId="9" priority="9" operator="containsText" text="春香">
      <formula>NOT(ISERROR(SEARCH("春香",E115)))</formula>
    </cfRule>
  </conditionalFormatting>
  <conditionalFormatting sqref="E86">
    <cfRule type="containsText" dxfId="8" priority="8" operator="containsText" text="春香">
      <formula>NOT(ISERROR(SEARCH("春香",E86)))</formula>
    </cfRule>
  </conditionalFormatting>
  <conditionalFormatting sqref="E105">
    <cfRule type="containsText" dxfId="7" priority="7" operator="containsText" text="春香">
      <formula>NOT(ISERROR(SEARCH("春香",E105)))</formula>
    </cfRule>
  </conditionalFormatting>
  <conditionalFormatting sqref="E106">
    <cfRule type="containsText" dxfId="6" priority="6" operator="containsText" text="春香">
      <formula>NOT(ISERROR(SEARCH("春香",E106)))</formula>
    </cfRule>
  </conditionalFormatting>
  <conditionalFormatting sqref="E51">
    <cfRule type="containsText" dxfId="5" priority="5" operator="containsText" text="春香">
      <formula>NOT(ISERROR(SEARCH("春香",E51)))</formula>
    </cfRule>
  </conditionalFormatting>
  <conditionalFormatting sqref="E59">
    <cfRule type="containsText" dxfId="4" priority="4" operator="containsText" text="春香">
      <formula>NOT(ISERROR(SEARCH("春香",E59)))</formula>
    </cfRule>
  </conditionalFormatting>
  <conditionalFormatting sqref="E65">
    <cfRule type="containsText" dxfId="3" priority="3" operator="containsText" text="春香">
      <formula>NOT(ISERROR(SEARCH("春香",E65)))</formula>
    </cfRule>
  </conditionalFormatting>
  <conditionalFormatting sqref="F1:F82 F85:F1048576">
    <cfRule type="containsText" dxfId="2" priority="2" operator="containsText" text="攻撃頻度">
      <formula>NOT(ISERROR(SEARCH("攻撃頻度",F1)))</formula>
    </cfRule>
  </conditionalFormatting>
  <conditionalFormatting sqref="F83:F84">
    <cfRule type="containsText" dxfId="1" priority="1" operator="containsText" text="攻撃頻度">
      <formula>NOT(ISERROR(SEARCH("攻撃頻度",F83)))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51"/>
  <sheetViews>
    <sheetView showGridLines="0" workbookViewId="0">
      <pane ySplit="1" topLeftCell="A21" activePane="bottomLeft" state="frozenSplit"/>
      <selection pane="bottomLeft" activeCell="L35" sqref="L35:M35"/>
    </sheetView>
  </sheetViews>
  <sheetFormatPr baseColWidth="12" defaultColWidth="12.83203125" defaultRowHeight="21" customHeight="1" x14ac:dyDescent="0.15"/>
  <cols>
    <col min="1" max="1" width="16.1640625" style="114" bestFit="1" customWidth="1"/>
    <col min="2" max="2" width="13.33203125" style="114" bestFit="1" customWidth="1"/>
    <col min="3" max="3" width="11.83203125" style="114" bestFit="1" customWidth="1"/>
    <col min="4" max="4" width="14.6640625" style="114" bestFit="1" customWidth="1"/>
    <col min="5" max="5" width="15.6640625" style="114" bestFit="1" customWidth="1"/>
    <col min="6" max="6" width="17" style="114" bestFit="1" customWidth="1"/>
    <col min="7" max="7" width="15.6640625" style="114" bestFit="1" customWidth="1"/>
    <col min="8" max="9" width="14.6640625" style="114" customWidth="1"/>
    <col min="10" max="10" width="12.6640625" style="114" customWidth="1"/>
    <col min="11" max="11" width="10" style="36" customWidth="1"/>
    <col min="12" max="12" width="18.83203125" style="115" customWidth="1"/>
    <col min="13" max="13" width="27.1640625" style="116" customWidth="1"/>
    <col min="14" max="16384" width="12.83203125" style="39"/>
  </cols>
  <sheetData>
    <row r="1" spans="1:13" ht="21" customHeight="1" x14ac:dyDescent="0.15">
      <c r="A1" s="109" t="s">
        <v>84</v>
      </c>
      <c r="B1" s="109" t="s">
        <v>85</v>
      </c>
      <c r="C1" s="109" t="s">
        <v>86</v>
      </c>
      <c r="D1" s="109" t="s">
        <v>87</v>
      </c>
      <c r="E1" s="109" t="s">
        <v>70</v>
      </c>
      <c r="F1" s="110" t="s">
        <v>71</v>
      </c>
      <c r="G1" s="110" t="s">
        <v>72</v>
      </c>
      <c r="H1" s="109" t="s">
        <v>73</v>
      </c>
      <c r="I1" s="109" t="s">
        <v>74</v>
      </c>
      <c r="J1" s="109" t="s">
        <v>75</v>
      </c>
      <c r="K1" s="47" t="s">
        <v>88</v>
      </c>
    </row>
    <row r="2" spans="1:13" s="105" customFormat="1" ht="21" customHeight="1" x14ac:dyDescent="0.15">
      <c r="A2" s="111">
        <v>48701900</v>
      </c>
      <c r="B2" s="111">
        <v>1</v>
      </c>
      <c r="C2" s="111">
        <v>900</v>
      </c>
      <c r="D2" s="111">
        <v>100</v>
      </c>
      <c r="E2" s="111" t="s">
        <v>252</v>
      </c>
      <c r="F2" s="111" t="s">
        <v>252</v>
      </c>
      <c r="G2" s="111">
        <v>1</v>
      </c>
      <c r="H2" s="111">
        <v>1</v>
      </c>
      <c r="I2" s="111">
        <v>9001</v>
      </c>
      <c r="J2" s="111">
        <f t="shared" ref="J2:J5" si="0">D2</f>
        <v>100</v>
      </c>
      <c r="K2" s="36"/>
      <c r="L2" s="117" t="s">
        <v>337</v>
      </c>
      <c r="M2" s="118"/>
    </row>
    <row r="3" spans="1:13" s="105" customFormat="1" ht="21" customHeight="1" x14ac:dyDescent="0.15">
      <c r="A3" s="111">
        <v>48701901</v>
      </c>
      <c r="B3" s="111">
        <v>0</v>
      </c>
      <c r="C3" s="111">
        <v>901</v>
      </c>
      <c r="D3" s="111">
        <v>100</v>
      </c>
      <c r="E3" s="111" t="s">
        <v>252</v>
      </c>
      <c r="F3" s="111" t="s">
        <v>252</v>
      </c>
      <c r="G3" s="111">
        <v>0</v>
      </c>
      <c r="H3" s="111">
        <v>1</v>
      </c>
      <c r="I3" s="111">
        <v>9001</v>
      </c>
      <c r="J3" s="111">
        <f t="shared" ref="J3" si="1">D3</f>
        <v>100</v>
      </c>
      <c r="K3" s="36"/>
      <c r="L3" s="117" t="s">
        <v>338</v>
      </c>
      <c r="M3" s="118"/>
    </row>
    <row r="4" spans="1:13" s="105" customFormat="1" ht="21" customHeight="1" x14ac:dyDescent="0.15">
      <c r="A4" s="111">
        <v>48701902</v>
      </c>
      <c r="B4" s="111">
        <v>0</v>
      </c>
      <c r="C4" s="111">
        <v>902</v>
      </c>
      <c r="D4" s="111">
        <v>100</v>
      </c>
      <c r="E4" s="111" t="s">
        <v>252</v>
      </c>
      <c r="F4" s="111" t="s">
        <v>252</v>
      </c>
      <c r="G4" s="111">
        <v>0</v>
      </c>
      <c r="H4" s="111">
        <v>1</v>
      </c>
      <c r="I4" s="111">
        <v>9002</v>
      </c>
      <c r="J4" s="111">
        <f t="shared" si="0"/>
        <v>100</v>
      </c>
      <c r="K4" s="36"/>
      <c r="L4" s="117" t="s">
        <v>338</v>
      </c>
      <c r="M4" s="118"/>
    </row>
    <row r="5" spans="1:13" ht="21" customHeight="1" x14ac:dyDescent="0.15">
      <c r="A5" s="112">
        <v>48701000</v>
      </c>
      <c r="B5" s="112">
        <v>0</v>
      </c>
      <c r="C5" s="112">
        <v>510</v>
      </c>
      <c r="D5" s="112">
        <v>50</v>
      </c>
      <c r="E5" s="112" t="s">
        <v>252</v>
      </c>
      <c r="F5" s="112" t="s">
        <v>252</v>
      </c>
      <c r="G5" s="112" t="s">
        <v>252</v>
      </c>
      <c r="H5" s="112">
        <v>1</v>
      </c>
      <c r="I5" s="112" t="s">
        <v>252</v>
      </c>
      <c r="J5" s="113">
        <f t="shared" si="0"/>
        <v>50</v>
      </c>
      <c r="L5" s="119" t="s">
        <v>258</v>
      </c>
      <c r="M5" s="120" t="s">
        <v>255</v>
      </c>
    </row>
    <row r="6" spans="1:13" ht="21" customHeight="1" x14ac:dyDescent="0.15">
      <c r="A6" s="112">
        <v>48701001</v>
      </c>
      <c r="B6" s="112">
        <v>0</v>
      </c>
      <c r="C6" s="112">
        <v>500</v>
      </c>
      <c r="D6" s="112">
        <v>100</v>
      </c>
      <c r="E6" s="112" t="s">
        <v>252</v>
      </c>
      <c r="F6" s="112" t="s">
        <v>252</v>
      </c>
      <c r="G6" s="112" t="s">
        <v>252</v>
      </c>
      <c r="H6" s="112">
        <v>1</v>
      </c>
      <c r="I6" s="112" t="s">
        <v>252</v>
      </c>
      <c r="J6" s="113">
        <f t="shared" ref="J6:J51" si="2">D6</f>
        <v>100</v>
      </c>
      <c r="L6" s="119" t="s">
        <v>258</v>
      </c>
      <c r="M6" s="120" t="s">
        <v>256</v>
      </c>
    </row>
    <row r="7" spans="1:13" ht="21" customHeight="1" x14ac:dyDescent="0.15">
      <c r="A7" s="112">
        <v>48701002</v>
      </c>
      <c r="B7" s="112">
        <v>1</v>
      </c>
      <c r="C7" s="112">
        <v>600</v>
      </c>
      <c r="D7" s="112">
        <v>100</v>
      </c>
      <c r="E7" s="112" t="s">
        <v>252</v>
      </c>
      <c r="F7" s="112" t="s">
        <v>252</v>
      </c>
      <c r="G7" s="112">
        <v>1</v>
      </c>
      <c r="H7" s="112">
        <v>1</v>
      </c>
      <c r="I7" s="112" t="s">
        <v>252</v>
      </c>
      <c r="J7" s="113">
        <f t="shared" si="2"/>
        <v>100</v>
      </c>
      <c r="L7" s="119" t="s">
        <v>257</v>
      </c>
      <c r="M7" s="120" t="s">
        <v>259</v>
      </c>
    </row>
    <row r="8" spans="1:13" ht="21" customHeight="1" x14ac:dyDescent="0.15">
      <c r="A8" s="112">
        <v>48701003</v>
      </c>
      <c r="B8" s="112">
        <v>0</v>
      </c>
      <c r="C8" s="112">
        <v>500</v>
      </c>
      <c r="D8" s="112">
        <v>50</v>
      </c>
      <c r="E8" s="112" t="s">
        <v>252</v>
      </c>
      <c r="F8" s="112" t="s">
        <v>252</v>
      </c>
      <c r="G8" s="112" t="s">
        <v>252</v>
      </c>
      <c r="H8" s="112">
        <v>1</v>
      </c>
      <c r="I8" s="112" t="s">
        <v>252</v>
      </c>
      <c r="J8" s="113">
        <f t="shared" si="2"/>
        <v>50</v>
      </c>
      <c r="L8" s="119" t="s">
        <v>260</v>
      </c>
      <c r="M8" s="120" t="s">
        <v>253</v>
      </c>
    </row>
    <row r="9" spans="1:13" ht="21" customHeight="1" x14ac:dyDescent="0.15">
      <c r="A9" s="112">
        <v>48701004</v>
      </c>
      <c r="B9" s="112">
        <v>0</v>
      </c>
      <c r="C9" s="112">
        <v>500</v>
      </c>
      <c r="D9" s="112">
        <v>100</v>
      </c>
      <c r="E9" s="112" t="s">
        <v>252</v>
      </c>
      <c r="F9" s="112" t="s">
        <v>252</v>
      </c>
      <c r="G9" s="112" t="s">
        <v>252</v>
      </c>
      <c r="H9" s="112">
        <v>2</v>
      </c>
      <c r="I9" s="112" t="s">
        <v>252</v>
      </c>
      <c r="J9" s="113">
        <f t="shared" si="2"/>
        <v>100</v>
      </c>
      <c r="L9" s="119" t="s">
        <v>261</v>
      </c>
      <c r="M9" s="120" t="s">
        <v>262</v>
      </c>
    </row>
    <row r="10" spans="1:13" ht="21" customHeight="1" x14ac:dyDescent="0.15">
      <c r="A10" s="112">
        <v>48701005</v>
      </c>
      <c r="B10" s="112">
        <v>1</v>
      </c>
      <c r="C10" s="112">
        <v>600</v>
      </c>
      <c r="D10" s="112">
        <v>100</v>
      </c>
      <c r="E10" s="112" t="s">
        <v>252</v>
      </c>
      <c r="F10" s="112" t="s">
        <v>252</v>
      </c>
      <c r="G10" s="112">
        <v>1</v>
      </c>
      <c r="H10" s="112">
        <v>1</v>
      </c>
      <c r="I10" s="112" t="s">
        <v>252</v>
      </c>
      <c r="J10" s="113">
        <f t="shared" si="2"/>
        <v>100</v>
      </c>
      <c r="L10" s="119" t="s">
        <v>303</v>
      </c>
      <c r="M10" s="120" t="s">
        <v>263</v>
      </c>
    </row>
    <row r="11" spans="1:13" ht="21" customHeight="1" x14ac:dyDescent="0.15">
      <c r="A11" s="112">
        <v>48701006</v>
      </c>
      <c r="B11" s="112">
        <v>0</v>
      </c>
      <c r="C11" s="112">
        <v>500</v>
      </c>
      <c r="D11" s="112">
        <v>100</v>
      </c>
      <c r="E11" s="112" t="s">
        <v>252</v>
      </c>
      <c r="F11" s="112" t="s">
        <v>252</v>
      </c>
      <c r="G11" s="112">
        <v>1</v>
      </c>
      <c r="H11" s="112">
        <v>1</v>
      </c>
      <c r="I11" s="112" t="s">
        <v>252</v>
      </c>
      <c r="J11" s="113">
        <f t="shared" si="2"/>
        <v>100</v>
      </c>
      <c r="L11" s="119" t="s">
        <v>304</v>
      </c>
      <c r="M11" s="120" t="s">
        <v>264</v>
      </c>
    </row>
    <row r="12" spans="1:13" ht="21" customHeight="1" x14ac:dyDescent="0.15">
      <c r="A12" s="112">
        <v>48701007</v>
      </c>
      <c r="B12" s="112">
        <v>0</v>
      </c>
      <c r="C12" s="112">
        <v>490</v>
      </c>
      <c r="D12" s="112">
        <v>100</v>
      </c>
      <c r="E12" s="112" t="s">
        <v>252</v>
      </c>
      <c r="F12" s="112" t="s">
        <v>252</v>
      </c>
      <c r="G12" s="112" t="s">
        <v>252</v>
      </c>
      <c r="H12" s="112">
        <v>2</v>
      </c>
      <c r="I12" s="112" t="s">
        <v>252</v>
      </c>
      <c r="J12" s="113">
        <f t="shared" si="2"/>
        <v>100</v>
      </c>
      <c r="L12" s="119" t="s">
        <v>305</v>
      </c>
      <c r="M12" s="120" t="s">
        <v>266</v>
      </c>
    </row>
    <row r="13" spans="1:13" ht="21" customHeight="1" x14ac:dyDescent="0.15">
      <c r="A13" s="112">
        <v>48701008</v>
      </c>
      <c r="B13" s="112">
        <v>0</v>
      </c>
      <c r="C13" s="112">
        <v>480</v>
      </c>
      <c r="D13" s="112">
        <v>100</v>
      </c>
      <c r="E13" s="112" t="s">
        <v>252</v>
      </c>
      <c r="F13" s="112" t="s">
        <v>252</v>
      </c>
      <c r="G13" s="112" t="s">
        <v>252</v>
      </c>
      <c r="H13" s="112">
        <v>1</v>
      </c>
      <c r="I13" s="112" t="s">
        <v>252</v>
      </c>
      <c r="J13" s="113">
        <f t="shared" si="2"/>
        <v>100</v>
      </c>
      <c r="L13" s="119" t="s">
        <v>265</v>
      </c>
      <c r="M13" s="120" t="s">
        <v>267</v>
      </c>
    </row>
    <row r="14" spans="1:13" ht="21" customHeight="1" x14ac:dyDescent="0.15">
      <c r="A14" s="112">
        <v>48701009</v>
      </c>
      <c r="B14" s="112">
        <v>1</v>
      </c>
      <c r="C14" s="112">
        <v>510</v>
      </c>
      <c r="D14" s="112">
        <v>100</v>
      </c>
      <c r="E14" s="112" t="s">
        <v>252</v>
      </c>
      <c r="F14" s="112" t="s">
        <v>252</v>
      </c>
      <c r="G14" s="112">
        <v>1</v>
      </c>
      <c r="H14" s="112">
        <v>1</v>
      </c>
      <c r="I14" s="112" t="s">
        <v>252</v>
      </c>
      <c r="J14" s="113">
        <f t="shared" si="2"/>
        <v>100</v>
      </c>
      <c r="L14" s="119" t="s">
        <v>306</v>
      </c>
      <c r="M14" s="120" t="s">
        <v>268</v>
      </c>
    </row>
    <row r="15" spans="1:13" ht="21" customHeight="1" x14ac:dyDescent="0.15">
      <c r="A15" s="112">
        <v>48701010</v>
      </c>
      <c r="B15" s="112">
        <v>0</v>
      </c>
      <c r="C15" s="112">
        <v>500</v>
      </c>
      <c r="D15" s="112">
        <v>35</v>
      </c>
      <c r="E15" s="112" t="s">
        <v>252</v>
      </c>
      <c r="F15" s="112" t="s">
        <v>252</v>
      </c>
      <c r="G15" s="112" t="s">
        <v>252</v>
      </c>
      <c r="H15" s="112">
        <v>1</v>
      </c>
      <c r="I15" s="112" t="s">
        <v>252</v>
      </c>
      <c r="J15" s="113">
        <f t="shared" si="2"/>
        <v>35</v>
      </c>
      <c r="L15" s="119" t="s">
        <v>517</v>
      </c>
      <c r="M15" s="120" t="s">
        <v>269</v>
      </c>
    </row>
    <row r="16" spans="1:13" ht="21" customHeight="1" x14ac:dyDescent="0.15">
      <c r="A16" s="112">
        <v>48701011</v>
      </c>
      <c r="B16" s="112">
        <v>0</v>
      </c>
      <c r="C16" s="112">
        <v>490</v>
      </c>
      <c r="D16" s="112">
        <v>50</v>
      </c>
      <c r="E16" s="112" t="s">
        <v>252</v>
      </c>
      <c r="F16" s="112" t="s">
        <v>252</v>
      </c>
      <c r="G16" s="112" t="s">
        <v>252</v>
      </c>
      <c r="H16" s="112">
        <v>1</v>
      </c>
      <c r="I16" s="112" t="s">
        <v>252</v>
      </c>
      <c r="J16" s="113">
        <f t="shared" si="2"/>
        <v>50</v>
      </c>
      <c r="L16" s="119" t="s">
        <v>307</v>
      </c>
      <c r="M16" s="120" t="s">
        <v>270</v>
      </c>
    </row>
    <row r="17" spans="1:14" ht="21" customHeight="1" x14ac:dyDescent="0.15">
      <c r="A17" s="112">
        <v>48701012</v>
      </c>
      <c r="B17" s="112">
        <v>0</v>
      </c>
      <c r="C17" s="112">
        <v>480</v>
      </c>
      <c r="D17" s="112">
        <v>100</v>
      </c>
      <c r="E17" s="112" t="s">
        <v>252</v>
      </c>
      <c r="F17" s="112" t="s">
        <v>252</v>
      </c>
      <c r="G17" s="112" t="s">
        <v>252</v>
      </c>
      <c r="H17" s="112">
        <v>1</v>
      </c>
      <c r="I17" s="112" t="s">
        <v>252</v>
      </c>
      <c r="J17" s="113">
        <f t="shared" si="2"/>
        <v>100</v>
      </c>
      <c r="L17" s="119" t="s">
        <v>307</v>
      </c>
      <c r="M17" s="120" t="s">
        <v>271</v>
      </c>
    </row>
    <row r="18" spans="1:14" ht="21" customHeight="1" x14ac:dyDescent="0.15">
      <c r="A18" s="137">
        <v>48701013</v>
      </c>
      <c r="B18" s="137">
        <v>0</v>
      </c>
      <c r="C18" s="137">
        <v>520</v>
      </c>
      <c r="D18" s="137">
        <v>100</v>
      </c>
      <c r="E18" s="137" t="s">
        <v>252</v>
      </c>
      <c r="F18" s="137" t="s">
        <v>252</v>
      </c>
      <c r="G18" s="137">
        <v>0</v>
      </c>
      <c r="H18" s="137">
        <v>1</v>
      </c>
      <c r="I18" s="137">
        <v>0</v>
      </c>
      <c r="J18" s="137">
        <f t="shared" si="2"/>
        <v>100</v>
      </c>
      <c r="K18" s="138"/>
      <c r="L18" s="139" t="s">
        <v>308</v>
      </c>
      <c r="M18" s="140" t="s">
        <v>272</v>
      </c>
      <c r="N18" s="39" t="s">
        <v>348</v>
      </c>
    </row>
    <row r="19" spans="1:14" ht="21" customHeight="1" x14ac:dyDescent="0.15">
      <c r="A19" s="112">
        <v>48701014</v>
      </c>
      <c r="B19" s="112">
        <v>1</v>
      </c>
      <c r="C19" s="112">
        <v>510</v>
      </c>
      <c r="D19" s="112">
        <v>100</v>
      </c>
      <c r="E19" s="112" t="s">
        <v>252</v>
      </c>
      <c r="F19" s="112" t="s">
        <v>252</v>
      </c>
      <c r="G19" s="112">
        <v>1</v>
      </c>
      <c r="H19" s="112">
        <v>1</v>
      </c>
      <c r="I19" s="112" t="s">
        <v>252</v>
      </c>
      <c r="J19" s="113">
        <f t="shared" si="2"/>
        <v>100</v>
      </c>
      <c r="L19" s="119" t="s">
        <v>309</v>
      </c>
      <c r="M19" s="120" t="s">
        <v>273</v>
      </c>
    </row>
    <row r="20" spans="1:14" ht="21" customHeight="1" x14ac:dyDescent="0.15">
      <c r="A20" s="112">
        <v>48701115</v>
      </c>
      <c r="B20" s="112">
        <v>0</v>
      </c>
      <c r="C20" s="112">
        <v>501</v>
      </c>
      <c r="D20" s="112">
        <v>100</v>
      </c>
      <c r="E20" s="112" t="s">
        <v>252</v>
      </c>
      <c r="F20" s="112" t="s">
        <v>252</v>
      </c>
      <c r="G20" s="112">
        <v>1</v>
      </c>
      <c r="H20" s="112">
        <v>1</v>
      </c>
      <c r="I20" s="112" t="s">
        <v>252</v>
      </c>
      <c r="J20" s="113">
        <f t="shared" ref="J20" si="3">D20</f>
        <v>100</v>
      </c>
      <c r="L20" s="119" t="s">
        <v>365</v>
      </c>
      <c r="M20" s="120" t="s">
        <v>366</v>
      </c>
    </row>
    <row r="21" spans="1:14" ht="21" customHeight="1" x14ac:dyDescent="0.15">
      <c r="A21" s="112">
        <v>48701015</v>
      </c>
      <c r="B21" s="112">
        <v>0</v>
      </c>
      <c r="C21" s="112">
        <v>500</v>
      </c>
      <c r="D21" s="112">
        <v>20</v>
      </c>
      <c r="E21" s="112" t="s">
        <v>252</v>
      </c>
      <c r="F21" s="112" t="s">
        <v>252</v>
      </c>
      <c r="G21" s="112" t="s">
        <v>252</v>
      </c>
      <c r="H21" s="112">
        <v>1</v>
      </c>
      <c r="I21" s="112" t="s">
        <v>252</v>
      </c>
      <c r="J21" s="113">
        <f t="shared" si="2"/>
        <v>20</v>
      </c>
      <c r="L21" s="119" t="s">
        <v>310</v>
      </c>
      <c r="M21" s="120" t="s">
        <v>274</v>
      </c>
    </row>
    <row r="22" spans="1:14" ht="21" customHeight="1" x14ac:dyDescent="0.15">
      <c r="A22" s="112">
        <v>48701016</v>
      </c>
      <c r="B22" s="112">
        <v>0</v>
      </c>
      <c r="C22" s="112">
        <v>490</v>
      </c>
      <c r="D22" s="112">
        <v>25</v>
      </c>
      <c r="E22" s="112" t="s">
        <v>252</v>
      </c>
      <c r="F22" s="112" t="s">
        <v>252</v>
      </c>
      <c r="G22" s="112" t="s">
        <v>252</v>
      </c>
      <c r="H22" s="112">
        <v>1</v>
      </c>
      <c r="I22" s="112" t="s">
        <v>252</v>
      </c>
      <c r="J22" s="113">
        <f t="shared" si="2"/>
        <v>25</v>
      </c>
      <c r="L22" s="119" t="s">
        <v>310</v>
      </c>
      <c r="M22" s="120" t="s">
        <v>275</v>
      </c>
    </row>
    <row r="23" spans="1:14" ht="21" customHeight="1" x14ac:dyDescent="0.15">
      <c r="A23" s="112">
        <v>48701017</v>
      </c>
      <c r="B23" s="112">
        <v>0</v>
      </c>
      <c r="C23" s="112">
        <v>480</v>
      </c>
      <c r="D23" s="112">
        <v>34</v>
      </c>
      <c r="E23" s="112" t="s">
        <v>252</v>
      </c>
      <c r="F23" s="112" t="s">
        <v>252</v>
      </c>
      <c r="G23" s="112" t="s">
        <v>252</v>
      </c>
      <c r="H23" s="112">
        <v>1</v>
      </c>
      <c r="I23" s="112" t="s">
        <v>252</v>
      </c>
      <c r="J23" s="113">
        <f t="shared" si="2"/>
        <v>34</v>
      </c>
      <c r="L23" s="119" t="s">
        <v>310</v>
      </c>
      <c r="M23" s="120" t="s">
        <v>276</v>
      </c>
    </row>
    <row r="24" spans="1:14" ht="21" customHeight="1" x14ac:dyDescent="0.15">
      <c r="A24" s="112">
        <v>48701018</v>
      </c>
      <c r="B24" s="112">
        <v>1</v>
      </c>
      <c r="C24" s="112">
        <v>510</v>
      </c>
      <c r="D24" s="112">
        <v>100</v>
      </c>
      <c r="E24" s="112" t="s">
        <v>252</v>
      </c>
      <c r="F24" s="112" t="s">
        <v>252</v>
      </c>
      <c r="G24" s="112">
        <v>1</v>
      </c>
      <c r="H24" s="112">
        <v>1</v>
      </c>
      <c r="I24" s="112" t="s">
        <v>252</v>
      </c>
      <c r="J24" s="113">
        <f t="shared" si="2"/>
        <v>100</v>
      </c>
      <c r="L24" s="119" t="s">
        <v>311</v>
      </c>
      <c r="M24" s="120" t="s">
        <v>277</v>
      </c>
    </row>
    <row r="25" spans="1:14" ht="21" customHeight="1" x14ac:dyDescent="0.15">
      <c r="A25" s="112">
        <v>48701019</v>
      </c>
      <c r="B25" s="112">
        <v>0</v>
      </c>
      <c r="C25" s="112">
        <v>500</v>
      </c>
      <c r="D25" s="112">
        <v>100</v>
      </c>
      <c r="E25" s="112" t="s">
        <v>252</v>
      </c>
      <c r="F25" s="112" t="s">
        <v>252</v>
      </c>
      <c r="G25" s="112">
        <v>1</v>
      </c>
      <c r="H25" s="112">
        <v>1</v>
      </c>
      <c r="I25" s="112" t="s">
        <v>252</v>
      </c>
      <c r="J25" s="113">
        <f t="shared" si="2"/>
        <v>100</v>
      </c>
      <c r="L25" s="119" t="s">
        <v>312</v>
      </c>
      <c r="M25" s="120" t="s">
        <v>278</v>
      </c>
    </row>
    <row r="26" spans="1:14" ht="21" customHeight="1" x14ac:dyDescent="0.15">
      <c r="A26" s="112">
        <v>48701020</v>
      </c>
      <c r="B26" s="112">
        <v>0</v>
      </c>
      <c r="C26" s="112">
        <v>490</v>
      </c>
      <c r="D26" s="112">
        <v>100</v>
      </c>
      <c r="E26" s="112" t="s">
        <v>252</v>
      </c>
      <c r="F26" s="112" t="s">
        <v>252</v>
      </c>
      <c r="G26" s="112">
        <v>1</v>
      </c>
      <c r="H26" s="112">
        <v>1</v>
      </c>
      <c r="I26" s="112" t="s">
        <v>252</v>
      </c>
      <c r="J26" s="113">
        <f t="shared" si="2"/>
        <v>100</v>
      </c>
      <c r="L26" s="119" t="s">
        <v>313</v>
      </c>
      <c r="M26" s="120" t="s">
        <v>279</v>
      </c>
    </row>
    <row r="27" spans="1:14" ht="21" customHeight="1" x14ac:dyDescent="0.15">
      <c r="A27" s="112">
        <v>48701021</v>
      </c>
      <c r="B27" s="112">
        <v>0</v>
      </c>
      <c r="C27" s="112">
        <v>480</v>
      </c>
      <c r="D27" s="112">
        <v>30</v>
      </c>
      <c r="E27" s="112" t="s">
        <v>252</v>
      </c>
      <c r="F27" s="112" t="s">
        <v>252</v>
      </c>
      <c r="G27" s="112" t="s">
        <v>252</v>
      </c>
      <c r="H27" s="112">
        <v>1</v>
      </c>
      <c r="I27" s="112" t="s">
        <v>252</v>
      </c>
      <c r="J27" s="113">
        <f t="shared" si="2"/>
        <v>30</v>
      </c>
      <c r="L27" s="119" t="s">
        <v>314</v>
      </c>
      <c r="M27" s="120" t="s">
        <v>280</v>
      </c>
    </row>
    <row r="28" spans="1:14" ht="21" customHeight="1" x14ac:dyDescent="0.15">
      <c r="A28" s="112">
        <v>48701022</v>
      </c>
      <c r="B28" s="112">
        <v>0</v>
      </c>
      <c r="C28" s="112">
        <v>470</v>
      </c>
      <c r="D28" s="112">
        <v>50</v>
      </c>
      <c r="E28" s="112" t="s">
        <v>252</v>
      </c>
      <c r="F28" s="112" t="s">
        <v>252</v>
      </c>
      <c r="G28" s="112" t="s">
        <v>252</v>
      </c>
      <c r="H28" s="112">
        <v>1</v>
      </c>
      <c r="I28" s="112" t="s">
        <v>252</v>
      </c>
      <c r="J28" s="113">
        <f t="shared" si="2"/>
        <v>50</v>
      </c>
      <c r="L28" s="119" t="s">
        <v>314</v>
      </c>
      <c r="M28" s="120" t="s">
        <v>281</v>
      </c>
    </row>
    <row r="29" spans="1:14" ht="21" customHeight="1" x14ac:dyDescent="0.15">
      <c r="A29" s="112">
        <v>48701023</v>
      </c>
      <c r="B29" s="112">
        <v>0</v>
      </c>
      <c r="C29" s="112">
        <v>460</v>
      </c>
      <c r="D29" s="112">
        <v>100</v>
      </c>
      <c r="E29" s="112" t="s">
        <v>252</v>
      </c>
      <c r="F29" s="112" t="s">
        <v>252</v>
      </c>
      <c r="G29" s="112" t="s">
        <v>252</v>
      </c>
      <c r="H29" s="112">
        <v>1</v>
      </c>
      <c r="I29" s="112" t="s">
        <v>252</v>
      </c>
      <c r="J29" s="113">
        <f t="shared" si="2"/>
        <v>100</v>
      </c>
      <c r="L29" s="119" t="s">
        <v>315</v>
      </c>
      <c r="M29" s="120" t="s">
        <v>282</v>
      </c>
    </row>
    <row r="30" spans="1:14" ht="21" customHeight="1" x14ac:dyDescent="0.15">
      <c r="A30" s="112">
        <v>48701024</v>
      </c>
      <c r="B30" s="112">
        <v>1</v>
      </c>
      <c r="C30" s="112">
        <v>510</v>
      </c>
      <c r="D30" s="112">
        <v>100</v>
      </c>
      <c r="E30" s="112" t="s">
        <v>252</v>
      </c>
      <c r="F30" s="112" t="s">
        <v>252</v>
      </c>
      <c r="G30" s="112">
        <v>1</v>
      </c>
      <c r="H30" s="112">
        <v>1</v>
      </c>
      <c r="I30" s="112" t="s">
        <v>252</v>
      </c>
      <c r="J30" s="113">
        <f t="shared" si="2"/>
        <v>100</v>
      </c>
      <c r="L30" s="119" t="s">
        <v>283</v>
      </c>
      <c r="M30" s="120" t="s">
        <v>316</v>
      </c>
    </row>
    <row r="31" spans="1:14" ht="21" customHeight="1" x14ac:dyDescent="0.15">
      <c r="A31" s="112">
        <v>48701025</v>
      </c>
      <c r="B31" s="112">
        <v>0</v>
      </c>
      <c r="C31" s="112">
        <v>500</v>
      </c>
      <c r="D31" s="112">
        <v>100</v>
      </c>
      <c r="E31" s="112" t="s">
        <v>252</v>
      </c>
      <c r="F31" s="112" t="s">
        <v>252</v>
      </c>
      <c r="G31" s="112">
        <v>1</v>
      </c>
      <c r="H31" s="112">
        <v>1</v>
      </c>
      <c r="I31" s="112" t="s">
        <v>252</v>
      </c>
      <c r="J31" s="113">
        <f t="shared" si="2"/>
        <v>100</v>
      </c>
      <c r="L31" s="119" t="s">
        <v>284</v>
      </c>
      <c r="M31" s="120" t="s">
        <v>317</v>
      </c>
    </row>
    <row r="32" spans="1:14" ht="21" customHeight="1" x14ac:dyDescent="0.15">
      <c r="A32" s="112">
        <v>48701026</v>
      </c>
      <c r="B32" s="112">
        <v>0</v>
      </c>
      <c r="C32" s="112">
        <v>490</v>
      </c>
      <c r="D32" s="112">
        <v>100</v>
      </c>
      <c r="E32" s="112" t="s">
        <v>252</v>
      </c>
      <c r="F32" s="112" t="s">
        <v>252</v>
      </c>
      <c r="G32" s="112">
        <v>1</v>
      </c>
      <c r="H32" s="112">
        <v>1</v>
      </c>
      <c r="I32" s="112" t="s">
        <v>252</v>
      </c>
      <c r="J32" s="113">
        <f t="shared" si="2"/>
        <v>100</v>
      </c>
      <c r="L32" s="119" t="s">
        <v>285</v>
      </c>
      <c r="M32" s="120" t="s">
        <v>318</v>
      </c>
    </row>
    <row r="33" spans="1:13" ht="21" customHeight="1" x14ac:dyDescent="0.15">
      <c r="A33" s="112">
        <v>48701027</v>
      </c>
      <c r="B33" s="112">
        <v>0</v>
      </c>
      <c r="C33" s="112">
        <v>480</v>
      </c>
      <c r="D33" s="112">
        <v>40</v>
      </c>
      <c r="E33" s="112" t="s">
        <v>252</v>
      </c>
      <c r="F33" s="112" t="s">
        <v>252</v>
      </c>
      <c r="G33" s="112" t="s">
        <v>252</v>
      </c>
      <c r="H33" s="112">
        <v>1</v>
      </c>
      <c r="I33" s="112" t="s">
        <v>252</v>
      </c>
      <c r="J33" s="113">
        <f>D33</f>
        <v>40</v>
      </c>
      <c r="L33" s="119" t="s">
        <v>287</v>
      </c>
      <c r="M33" s="120" t="s">
        <v>320</v>
      </c>
    </row>
    <row r="34" spans="1:13" ht="21" customHeight="1" x14ac:dyDescent="0.15">
      <c r="A34" s="112">
        <v>48701028</v>
      </c>
      <c r="B34" s="112">
        <v>0</v>
      </c>
      <c r="C34" s="112">
        <v>470</v>
      </c>
      <c r="D34" s="112">
        <v>50</v>
      </c>
      <c r="E34" s="112" t="s">
        <v>252</v>
      </c>
      <c r="F34" s="112" t="s">
        <v>252</v>
      </c>
      <c r="G34" s="112" t="s">
        <v>252</v>
      </c>
      <c r="H34" s="112">
        <v>1</v>
      </c>
      <c r="I34" s="112" t="s">
        <v>252</v>
      </c>
      <c r="J34" s="113">
        <f t="shared" si="2"/>
        <v>50</v>
      </c>
      <c r="L34" s="119" t="s">
        <v>286</v>
      </c>
      <c r="M34" s="120" t="s">
        <v>319</v>
      </c>
    </row>
    <row r="35" spans="1:13" ht="21" customHeight="1" x14ac:dyDescent="0.15">
      <c r="A35" s="112">
        <v>48701029</v>
      </c>
      <c r="B35" s="112">
        <v>1</v>
      </c>
      <c r="C35" s="112">
        <v>510</v>
      </c>
      <c r="D35" s="112">
        <v>100</v>
      </c>
      <c r="E35" s="112" t="s">
        <v>252</v>
      </c>
      <c r="F35" s="112" t="s">
        <v>252</v>
      </c>
      <c r="G35" s="112">
        <v>1</v>
      </c>
      <c r="H35" s="112">
        <v>1</v>
      </c>
      <c r="I35" s="112" t="s">
        <v>252</v>
      </c>
      <c r="J35" s="113">
        <f t="shared" si="2"/>
        <v>100</v>
      </c>
      <c r="L35" s="119" t="s">
        <v>288</v>
      </c>
      <c r="M35" s="120" t="s">
        <v>321</v>
      </c>
    </row>
    <row r="36" spans="1:13" ht="21" customHeight="1" x14ac:dyDescent="0.15">
      <c r="A36" s="112">
        <v>48701030</v>
      </c>
      <c r="B36" s="112">
        <v>0</v>
      </c>
      <c r="C36" s="112">
        <v>500</v>
      </c>
      <c r="D36" s="112">
        <v>100</v>
      </c>
      <c r="E36" s="112" t="s">
        <v>252</v>
      </c>
      <c r="F36" s="112" t="s">
        <v>252</v>
      </c>
      <c r="G36" s="112" t="s">
        <v>252</v>
      </c>
      <c r="H36" s="112">
        <v>4</v>
      </c>
      <c r="I36" s="112" t="s">
        <v>252</v>
      </c>
      <c r="J36" s="113">
        <f>D36</f>
        <v>100</v>
      </c>
      <c r="L36" s="119" t="s">
        <v>290</v>
      </c>
      <c r="M36" s="120" t="s">
        <v>323</v>
      </c>
    </row>
    <row r="37" spans="1:13" ht="21" customHeight="1" x14ac:dyDescent="0.15">
      <c r="A37" s="112">
        <v>48701031</v>
      </c>
      <c r="B37" s="112">
        <v>0</v>
      </c>
      <c r="C37" s="112">
        <v>490</v>
      </c>
      <c r="D37" s="112">
        <v>100</v>
      </c>
      <c r="E37" s="112" t="s">
        <v>252</v>
      </c>
      <c r="F37" s="112" t="s">
        <v>252</v>
      </c>
      <c r="G37" s="112" t="s">
        <v>252</v>
      </c>
      <c r="H37" s="112">
        <v>2</v>
      </c>
      <c r="I37" s="112" t="s">
        <v>252</v>
      </c>
      <c r="J37" s="113">
        <f t="shared" si="2"/>
        <v>100</v>
      </c>
      <c r="L37" s="119" t="s">
        <v>289</v>
      </c>
      <c r="M37" s="120" t="s">
        <v>322</v>
      </c>
    </row>
    <row r="38" spans="1:13" ht="21" customHeight="1" x14ac:dyDescent="0.15">
      <c r="A38" s="112">
        <v>48701032</v>
      </c>
      <c r="B38" s="112">
        <v>0</v>
      </c>
      <c r="C38" s="112">
        <v>480</v>
      </c>
      <c r="D38" s="112">
        <v>100</v>
      </c>
      <c r="E38" s="112" t="s">
        <v>252</v>
      </c>
      <c r="F38" s="112" t="s">
        <v>252</v>
      </c>
      <c r="G38" s="112" t="s">
        <v>252</v>
      </c>
      <c r="H38" s="112">
        <v>1</v>
      </c>
      <c r="I38" s="112" t="s">
        <v>252</v>
      </c>
      <c r="J38" s="113">
        <f t="shared" si="2"/>
        <v>100</v>
      </c>
      <c r="L38" s="119" t="s">
        <v>291</v>
      </c>
      <c r="M38" s="120" t="s">
        <v>255</v>
      </c>
    </row>
    <row r="39" spans="1:13" ht="21" customHeight="1" x14ac:dyDescent="0.15">
      <c r="A39" s="112">
        <v>48701033</v>
      </c>
      <c r="B39" s="112">
        <v>1</v>
      </c>
      <c r="C39" s="112">
        <v>510</v>
      </c>
      <c r="D39" s="112">
        <v>100</v>
      </c>
      <c r="E39" s="112">
        <v>100</v>
      </c>
      <c r="F39" s="112" t="s">
        <v>252</v>
      </c>
      <c r="G39" s="112">
        <v>1</v>
      </c>
      <c r="H39" s="112">
        <v>1</v>
      </c>
      <c r="I39" s="112" t="s">
        <v>252</v>
      </c>
      <c r="J39" s="113">
        <f t="shared" si="2"/>
        <v>100</v>
      </c>
      <c r="L39" s="119" t="s">
        <v>292</v>
      </c>
      <c r="M39" s="120" t="s">
        <v>324</v>
      </c>
    </row>
    <row r="40" spans="1:13" ht="21" customHeight="1" x14ac:dyDescent="0.15">
      <c r="A40" s="112">
        <v>48701034</v>
      </c>
      <c r="B40" s="112">
        <v>0</v>
      </c>
      <c r="C40" s="112">
        <v>400</v>
      </c>
      <c r="D40" s="112">
        <v>100</v>
      </c>
      <c r="E40" s="112">
        <v>100</v>
      </c>
      <c r="F40" s="112" t="s">
        <v>252</v>
      </c>
      <c r="G40" s="112">
        <v>1</v>
      </c>
      <c r="H40" s="112">
        <v>1</v>
      </c>
      <c r="I40" s="112" t="s">
        <v>252</v>
      </c>
      <c r="J40" s="113">
        <f t="shared" si="2"/>
        <v>100</v>
      </c>
      <c r="L40" s="119" t="s">
        <v>293</v>
      </c>
      <c r="M40" s="120" t="s">
        <v>325</v>
      </c>
    </row>
    <row r="41" spans="1:13" ht="21" customHeight="1" x14ac:dyDescent="0.15">
      <c r="A41" s="112">
        <v>48701035</v>
      </c>
      <c r="B41" s="112">
        <v>0</v>
      </c>
      <c r="C41" s="112">
        <v>390</v>
      </c>
      <c r="D41" s="112">
        <v>100</v>
      </c>
      <c r="E41" s="112">
        <v>100</v>
      </c>
      <c r="F41" s="112" t="s">
        <v>252</v>
      </c>
      <c r="G41" s="112">
        <v>1</v>
      </c>
      <c r="H41" s="112">
        <v>1</v>
      </c>
      <c r="I41" s="112" t="s">
        <v>252</v>
      </c>
      <c r="J41" s="113">
        <f t="shared" si="2"/>
        <v>100</v>
      </c>
      <c r="L41" s="119" t="s">
        <v>294</v>
      </c>
      <c r="M41" s="120" t="s">
        <v>326</v>
      </c>
    </row>
    <row r="42" spans="1:13" ht="21" customHeight="1" x14ac:dyDescent="0.15">
      <c r="A42" s="112">
        <v>48701036</v>
      </c>
      <c r="B42" s="112">
        <v>0</v>
      </c>
      <c r="C42" s="112">
        <v>380</v>
      </c>
      <c r="D42" s="112">
        <v>100</v>
      </c>
      <c r="E42" s="112">
        <v>100</v>
      </c>
      <c r="F42" s="112" t="s">
        <v>252</v>
      </c>
      <c r="G42" s="112">
        <v>1</v>
      </c>
      <c r="H42" s="112">
        <v>1</v>
      </c>
      <c r="I42" s="112" t="s">
        <v>252</v>
      </c>
      <c r="J42" s="113">
        <f t="shared" si="2"/>
        <v>100</v>
      </c>
      <c r="L42" s="119" t="s">
        <v>295</v>
      </c>
      <c r="M42" s="120" t="s">
        <v>327</v>
      </c>
    </row>
    <row r="43" spans="1:13" ht="21" customHeight="1" x14ac:dyDescent="0.15">
      <c r="A43" s="112">
        <v>48701037</v>
      </c>
      <c r="B43" s="112">
        <v>0</v>
      </c>
      <c r="C43" s="112">
        <v>370</v>
      </c>
      <c r="D43" s="112">
        <v>100</v>
      </c>
      <c r="E43" s="112">
        <v>100</v>
      </c>
      <c r="F43" s="112" t="s">
        <v>252</v>
      </c>
      <c r="G43" s="112">
        <v>1</v>
      </c>
      <c r="H43" s="112">
        <v>1</v>
      </c>
      <c r="I43" s="112" t="s">
        <v>252</v>
      </c>
      <c r="J43" s="113">
        <f t="shared" si="2"/>
        <v>100</v>
      </c>
      <c r="L43" s="119" t="s">
        <v>296</v>
      </c>
      <c r="M43" s="120" t="s">
        <v>328</v>
      </c>
    </row>
    <row r="44" spans="1:13" ht="21" customHeight="1" x14ac:dyDescent="0.15">
      <c r="A44" s="112">
        <v>48701038</v>
      </c>
      <c r="B44" s="112">
        <v>0</v>
      </c>
      <c r="C44" s="112">
        <v>360</v>
      </c>
      <c r="D44" s="112">
        <v>50</v>
      </c>
      <c r="E44" s="112">
        <v>100</v>
      </c>
      <c r="F44" s="112" t="s">
        <v>252</v>
      </c>
      <c r="G44" s="112" t="s">
        <v>252</v>
      </c>
      <c r="H44" s="112">
        <v>1</v>
      </c>
      <c r="I44" s="112" t="s">
        <v>252</v>
      </c>
      <c r="J44" s="113">
        <f t="shared" si="2"/>
        <v>50</v>
      </c>
      <c r="L44" s="119" t="s">
        <v>297</v>
      </c>
      <c r="M44" s="120" t="s">
        <v>329</v>
      </c>
    </row>
    <row r="45" spans="1:13" ht="21" customHeight="1" x14ac:dyDescent="0.15">
      <c r="A45" s="112">
        <v>48701039</v>
      </c>
      <c r="B45" s="112">
        <v>0</v>
      </c>
      <c r="C45" s="112">
        <v>350</v>
      </c>
      <c r="D45" s="112">
        <v>50</v>
      </c>
      <c r="E45" s="112">
        <v>100</v>
      </c>
      <c r="F45" s="112" t="s">
        <v>252</v>
      </c>
      <c r="G45" s="112" t="s">
        <v>252</v>
      </c>
      <c r="H45" s="112">
        <v>1</v>
      </c>
      <c r="I45" s="112" t="s">
        <v>252</v>
      </c>
      <c r="J45" s="113">
        <f t="shared" si="2"/>
        <v>50</v>
      </c>
      <c r="L45" s="119" t="s">
        <v>298</v>
      </c>
      <c r="M45" s="120" t="s">
        <v>330</v>
      </c>
    </row>
    <row r="46" spans="1:13" ht="21" customHeight="1" x14ac:dyDescent="0.15">
      <c r="A46" s="112">
        <v>48701040</v>
      </c>
      <c r="B46" s="112">
        <v>0</v>
      </c>
      <c r="C46" s="112">
        <v>500</v>
      </c>
      <c r="D46" s="112">
        <v>100</v>
      </c>
      <c r="E46" s="112">
        <v>85</v>
      </c>
      <c r="F46" s="112" t="s">
        <v>252</v>
      </c>
      <c r="G46" s="112">
        <v>1</v>
      </c>
      <c r="H46" s="112">
        <v>1</v>
      </c>
      <c r="I46" s="112" t="s">
        <v>252</v>
      </c>
      <c r="J46" s="113">
        <f t="shared" si="2"/>
        <v>100</v>
      </c>
      <c r="L46" s="119" t="s">
        <v>299</v>
      </c>
      <c r="M46" s="120" t="s">
        <v>331</v>
      </c>
    </row>
    <row r="47" spans="1:13" ht="21" customHeight="1" x14ac:dyDescent="0.15">
      <c r="A47" s="112">
        <v>48701041</v>
      </c>
      <c r="B47" s="112">
        <v>0</v>
      </c>
      <c r="C47" s="112">
        <v>490</v>
      </c>
      <c r="D47" s="112">
        <v>100</v>
      </c>
      <c r="E47" s="112">
        <v>85</v>
      </c>
      <c r="F47" s="112" t="s">
        <v>252</v>
      </c>
      <c r="G47" s="112">
        <v>1</v>
      </c>
      <c r="H47" s="112">
        <v>1</v>
      </c>
      <c r="I47" s="112" t="s">
        <v>252</v>
      </c>
      <c r="J47" s="113">
        <f t="shared" si="2"/>
        <v>100</v>
      </c>
      <c r="L47" s="119" t="s">
        <v>300</v>
      </c>
      <c r="M47" s="120" t="s">
        <v>332</v>
      </c>
    </row>
    <row r="48" spans="1:13" ht="21" customHeight="1" x14ac:dyDescent="0.15">
      <c r="A48" s="112">
        <v>48701042</v>
      </c>
      <c r="B48" s="112">
        <v>0</v>
      </c>
      <c r="C48" s="112">
        <v>480</v>
      </c>
      <c r="D48" s="112">
        <v>40</v>
      </c>
      <c r="E48" s="112">
        <v>85</v>
      </c>
      <c r="F48" s="112" t="s">
        <v>252</v>
      </c>
      <c r="G48" s="112" t="s">
        <v>252</v>
      </c>
      <c r="H48" s="112">
        <v>1</v>
      </c>
      <c r="I48" s="112" t="s">
        <v>252</v>
      </c>
      <c r="J48" s="113">
        <f t="shared" si="2"/>
        <v>40</v>
      </c>
      <c r="L48" s="119" t="s">
        <v>301</v>
      </c>
      <c r="M48" s="120" t="s">
        <v>280</v>
      </c>
    </row>
    <row r="49" spans="1:13" ht="21" customHeight="1" x14ac:dyDescent="0.15">
      <c r="A49" s="112">
        <v>48701043</v>
      </c>
      <c r="B49" s="112">
        <v>0</v>
      </c>
      <c r="C49" s="112">
        <v>470</v>
      </c>
      <c r="D49" s="112">
        <v>50</v>
      </c>
      <c r="E49" s="112">
        <v>85</v>
      </c>
      <c r="F49" s="112" t="s">
        <v>252</v>
      </c>
      <c r="G49" s="112" t="s">
        <v>252</v>
      </c>
      <c r="H49" s="112">
        <v>1</v>
      </c>
      <c r="I49" s="112" t="s">
        <v>252</v>
      </c>
      <c r="J49" s="113">
        <f t="shared" si="2"/>
        <v>50</v>
      </c>
      <c r="L49" s="119" t="s">
        <v>302</v>
      </c>
      <c r="M49" s="120" t="s">
        <v>333</v>
      </c>
    </row>
    <row r="50" spans="1:13" ht="21" customHeight="1" x14ac:dyDescent="0.15">
      <c r="A50" s="112">
        <v>48701044</v>
      </c>
      <c r="B50" s="112">
        <v>0</v>
      </c>
      <c r="C50" s="112">
        <v>460</v>
      </c>
      <c r="D50" s="112">
        <v>100</v>
      </c>
      <c r="E50" s="112">
        <v>85</v>
      </c>
      <c r="F50" s="112" t="s">
        <v>252</v>
      </c>
      <c r="G50" s="112" t="s">
        <v>252</v>
      </c>
      <c r="H50" s="112">
        <v>1</v>
      </c>
      <c r="I50" s="112" t="s">
        <v>252</v>
      </c>
      <c r="J50" s="113">
        <f t="shared" si="2"/>
        <v>100</v>
      </c>
      <c r="L50" s="119" t="s">
        <v>302</v>
      </c>
      <c r="M50" s="120" t="s">
        <v>334</v>
      </c>
    </row>
    <row r="51" spans="1:13" ht="21" customHeight="1" x14ac:dyDescent="0.15">
      <c r="A51" s="112">
        <v>48701045</v>
      </c>
      <c r="B51" s="112">
        <v>0</v>
      </c>
      <c r="C51" s="112">
        <v>520</v>
      </c>
      <c r="D51" s="112">
        <v>100</v>
      </c>
      <c r="E51" s="112" t="s">
        <v>252</v>
      </c>
      <c r="F51" s="112" t="s">
        <v>252</v>
      </c>
      <c r="G51" s="112">
        <v>0</v>
      </c>
      <c r="H51" s="112">
        <v>1</v>
      </c>
      <c r="I51" s="112">
        <v>0</v>
      </c>
      <c r="J51" s="113">
        <f t="shared" si="2"/>
        <v>100</v>
      </c>
      <c r="L51" s="119" t="s">
        <v>335</v>
      </c>
      <c r="M51" s="120" t="s">
        <v>336</v>
      </c>
    </row>
  </sheetData>
  <autoFilter ref="A1:G1"/>
  <phoneticPr fontId="5"/>
  <conditionalFormatting sqref="K1:K2 K4:K19 K21:K1048576">
    <cfRule type="duplicateValues" dxfId="41" priority="21"/>
  </conditionalFormatting>
  <conditionalFormatting sqref="K3">
    <cfRule type="duplicateValues" dxfId="40" priority="20"/>
  </conditionalFormatting>
  <conditionalFormatting sqref="L5:L19 L25:L50 L21:L23">
    <cfRule type="containsText" dxfId="39" priority="19" operator="containsText" text="春香">
      <formula>NOT(ISERROR(SEARCH("春香",L5)))</formula>
    </cfRule>
  </conditionalFormatting>
  <conditionalFormatting sqref="L24">
    <cfRule type="containsText" dxfId="38" priority="16" operator="containsText" text="春香">
      <formula>NOT(ISERROR(SEARCH("春香",L24)))</formula>
    </cfRule>
  </conditionalFormatting>
  <conditionalFormatting sqref="L51">
    <cfRule type="containsText" dxfId="37" priority="13" operator="containsText" text="春香">
      <formula>NOT(ISERROR(SEARCH("春香",L51)))</formula>
    </cfRule>
  </conditionalFormatting>
  <conditionalFormatting sqref="L1:L19 L21:L1048576">
    <cfRule type="containsText" dxfId="36" priority="11" operator="containsText" text="死亡">
      <formula>NOT(ISERROR(SEARCH("死亡",L1)))</formula>
    </cfRule>
    <cfRule type="containsText" dxfId="35" priority="12" operator="containsText" text="開幕">
      <formula>NOT(ISERROR(SEARCH("開幕",L1)))</formula>
    </cfRule>
  </conditionalFormatting>
  <conditionalFormatting sqref="B1:B19 B21:B1048576">
    <cfRule type="containsText" dxfId="34" priority="10" operator="containsText" text="1">
      <formula>NOT(ISERROR(SEARCH("1",B1)))</formula>
    </cfRule>
  </conditionalFormatting>
  <conditionalFormatting sqref="I33:I1048576 G1:G19 G21:G1048576">
    <cfRule type="notContainsText" dxfId="33" priority="9" operator="notContains" text="null">
      <formula>ISERROR(SEARCH("null",G1))</formula>
    </cfRule>
  </conditionalFormatting>
  <conditionalFormatting sqref="I1:I19 I21:I32">
    <cfRule type="notContainsText" dxfId="32" priority="8" operator="notContains" text="null">
      <formula>ISERROR(SEARCH("null",I1))</formula>
    </cfRule>
  </conditionalFormatting>
  <conditionalFormatting sqref="K20">
    <cfRule type="duplicateValues" dxfId="31" priority="7"/>
  </conditionalFormatting>
  <conditionalFormatting sqref="L20">
    <cfRule type="containsText" dxfId="30" priority="6" operator="containsText" text="春香">
      <formula>NOT(ISERROR(SEARCH("春香",L20)))</formula>
    </cfRule>
  </conditionalFormatting>
  <conditionalFormatting sqref="L20">
    <cfRule type="containsText" dxfId="29" priority="4" operator="containsText" text="死亡">
      <formula>NOT(ISERROR(SEARCH("死亡",L20)))</formula>
    </cfRule>
    <cfRule type="containsText" dxfId="28" priority="5" operator="containsText" text="開幕">
      <formula>NOT(ISERROR(SEARCH("開幕",L20)))</formula>
    </cfRule>
  </conditionalFormatting>
  <conditionalFormatting sqref="B20">
    <cfRule type="containsText" dxfId="27" priority="3" operator="containsText" text="1">
      <formula>NOT(ISERROR(SEARCH("1",B20)))</formula>
    </cfRule>
  </conditionalFormatting>
  <conditionalFormatting sqref="G20">
    <cfRule type="notContainsText" dxfId="26" priority="2" operator="notContains" text="null">
      <formula>ISERROR(SEARCH("null",G20))</formula>
    </cfRule>
  </conditionalFormatting>
  <conditionalFormatting sqref="I20">
    <cfRule type="notContainsText" dxfId="25" priority="1" operator="notContains" text="null">
      <formula>ISERROR(SEARCH("null",I20))</formula>
    </cfRule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E34" sqref="E3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6" t="s">
        <v>148</v>
      </c>
      <c r="B1" s="56" t="s">
        <v>149</v>
      </c>
      <c r="C1" s="57" t="s">
        <v>150</v>
      </c>
      <c r="D1" s="63" t="s">
        <v>151</v>
      </c>
      <c r="E1" s="58" t="s">
        <v>152</v>
      </c>
      <c r="F1" s="56" t="s">
        <v>153</v>
      </c>
      <c r="G1" s="56" t="s">
        <v>154</v>
      </c>
      <c r="H1" s="56" t="s">
        <v>155</v>
      </c>
      <c r="I1" s="56" t="s">
        <v>156</v>
      </c>
      <c r="J1" s="56" t="s">
        <v>157</v>
      </c>
      <c r="K1" s="56" t="s">
        <v>158</v>
      </c>
      <c r="L1" s="56" t="s">
        <v>159</v>
      </c>
      <c r="M1" s="56" t="s">
        <v>160</v>
      </c>
      <c r="N1" s="56" t="s">
        <v>161</v>
      </c>
      <c r="O1" s="56" t="s">
        <v>162</v>
      </c>
      <c r="P1" s="56" t="s">
        <v>163</v>
      </c>
      <c r="Q1" s="56" t="s">
        <v>164</v>
      </c>
      <c r="R1" s="56" t="s">
        <v>165</v>
      </c>
    </row>
    <row r="2" spans="1:18" x14ac:dyDescent="0.15">
      <c r="A2" s="50">
        <v>48701</v>
      </c>
      <c r="B2" s="50">
        <v>1</v>
      </c>
      <c r="C2" s="62" t="str">
        <f>A2&amp; "_"&amp;B2</f>
        <v>48701_1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23">
        <v>1</v>
      </c>
      <c r="F2" s="218" t="s">
        <v>458</v>
      </c>
      <c r="G2" s="218">
        <v>40000</v>
      </c>
      <c r="H2" s="218" t="s">
        <v>252</v>
      </c>
      <c r="I2" s="218">
        <v>1</v>
      </c>
      <c r="J2" s="218">
        <v>1</v>
      </c>
      <c r="K2" s="218">
        <v>0</v>
      </c>
      <c r="L2" s="218">
        <v>0</v>
      </c>
      <c r="M2" s="218">
        <v>0</v>
      </c>
      <c r="N2" s="218">
        <v>0</v>
      </c>
      <c r="O2" s="218">
        <v>1</v>
      </c>
      <c r="P2" s="218">
        <v>150</v>
      </c>
      <c r="Q2" s="50" t="s">
        <v>166</v>
      </c>
      <c r="R2" s="50" t="s">
        <v>167</v>
      </c>
    </row>
    <row r="3" spans="1:18" x14ac:dyDescent="0.15">
      <c r="A3" s="50">
        <v>48701</v>
      </c>
      <c r="B3" s="50">
        <v>1</v>
      </c>
      <c r="C3" s="62" t="str">
        <f t="shared" ref="C3:C18" si="0">A3&amp; "_"&amp;B3</f>
        <v>48701_1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82">
        <v>2</v>
      </c>
      <c r="F3" s="219" t="s">
        <v>459</v>
      </c>
      <c r="G3" s="219">
        <v>30</v>
      </c>
      <c r="H3" s="219" t="s">
        <v>252</v>
      </c>
      <c r="I3" s="219">
        <v>1</v>
      </c>
      <c r="J3" s="219">
        <v>1</v>
      </c>
      <c r="K3" s="219">
        <v>0</v>
      </c>
      <c r="L3" s="219">
        <v>0</v>
      </c>
      <c r="M3" s="219">
        <v>0</v>
      </c>
      <c r="N3" s="219">
        <v>0</v>
      </c>
      <c r="O3" s="219">
        <v>1</v>
      </c>
      <c r="P3" s="219">
        <v>150</v>
      </c>
      <c r="Q3" s="50" t="s">
        <v>166</v>
      </c>
      <c r="R3" s="50" t="s">
        <v>167</v>
      </c>
    </row>
    <row r="4" spans="1:18" x14ac:dyDescent="0.15">
      <c r="A4" s="50">
        <v>48701</v>
      </c>
      <c r="B4" s="50">
        <v>1</v>
      </c>
      <c r="C4" s="62" t="str">
        <f t="shared" si="0"/>
        <v>48701_1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82">
        <v>3</v>
      </c>
      <c r="F4" s="219" t="s">
        <v>254</v>
      </c>
      <c r="G4" s="220">
        <v>9003</v>
      </c>
      <c r="H4" s="219">
        <v>1</v>
      </c>
      <c r="I4" s="219">
        <v>1</v>
      </c>
      <c r="J4" s="219">
        <v>1</v>
      </c>
      <c r="K4" s="219">
        <v>0</v>
      </c>
      <c r="L4" s="219">
        <v>0</v>
      </c>
      <c r="M4" s="219">
        <v>0</v>
      </c>
      <c r="N4" s="219">
        <v>0</v>
      </c>
      <c r="O4" s="219">
        <v>1</v>
      </c>
      <c r="P4" s="219">
        <v>100</v>
      </c>
      <c r="Q4" s="50" t="s">
        <v>166</v>
      </c>
      <c r="R4" s="50" t="s">
        <v>167</v>
      </c>
    </row>
    <row r="5" spans="1:18" x14ac:dyDescent="0.15">
      <c r="A5" s="50">
        <v>48701</v>
      </c>
      <c r="B5" s="50">
        <v>1</v>
      </c>
      <c r="C5" s="62" t="str">
        <f t="shared" si="0"/>
        <v>48701_1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82">
        <v>4</v>
      </c>
      <c r="F5" s="219" t="s">
        <v>254</v>
      </c>
      <c r="G5" s="219">
        <v>337</v>
      </c>
      <c r="H5" s="219">
        <v>1</v>
      </c>
      <c r="I5" s="219">
        <v>1</v>
      </c>
      <c r="J5" s="219">
        <v>1</v>
      </c>
      <c r="K5" s="219">
        <v>0</v>
      </c>
      <c r="L5" s="219">
        <v>0</v>
      </c>
      <c r="M5" s="219">
        <v>0</v>
      </c>
      <c r="N5" s="219">
        <v>0</v>
      </c>
      <c r="O5" s="219">
        <v>1</v>
      </c>
      <c r="P5" s="219">
        <v>28</v>
      </c>
      <c r="Q5" s="50" t="s">
        <v>166</v>
      </c>
      <c r="R5" s="50" t="s">
        <v>167</v>
      </c>
    </row>
    <row r="6" spans="1:18" x14ac:dyDescent="0.15">
      <c r="A6" s="50">
        <v>48701</v>
      </c>
      <c r="B6" s="50">
        <v>1</v>
      </c>
      <c r="C6" s="62" t="str">
        <f t="shared" si="0"/>
        <v>48701_1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82">
        <v>5</v>
      </c>
      <c r="F6" s="219" t="s">
        <v>254</v>
      </c>
      <c r="G6" s="219">
        <v>338</v>
      </c>
      <c r="H6" s="219">
        <v>1</v>
      </c>
      <c r="I6" s="219">
        <v>1</v>
      </c>
      <c r="J6" s="219">
        <v>1</v>
      </c>
      <c r="K6" s="219">
        <v>0</v>
      </c>
      <c r="L6" s="219">
        <v>0</v>
      </c>
      <c r="M6" s="219">
        <v>0</v>
      </c>
      <c r="N6" s="219">
        <v>0</v>
      </c>
      <c r="O6" s="219">
        <v>1</v>
      </c>
      <c r="P6" s="219">
        <v>112</v>
      </c>
      <c r="Q6" s="50" t="s">
        <v>166</v>
      </c>
      <c r="R6" s="50" t="s">
        <v>167</v>
      </c>
    </row>
    <row r="7" spans="1:18" x14ac:dyDescent="0.15">
      <c r="A7" s="50">
        <v>48701</v>
      </c>
      <c r="B7" s="50">
        <v>1</v>
      </c>
      <c r="C7" s="62" t="str">
        <f t="shared" si="0"/>
        <v>48701_1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82">
        <v>6</v>
      </c>
      <c r="F7" s="219" t="s">
        <v>254</v>
      </c>
      <c r="G7" s="219">
        <v>350</v>
      </c>
      <c r="H7" s="219">
        <v>1</v>
      </c>
      <c r="I7" s="219">
        <v>1</v>
      </c>
      <c r="J7" s="219">
        <v>1</v>
      </c>
      <c r="K7" s="219">
        <v>0</v>
      </c>
      <c r="L7" s="219">
        <v>0</v>
      </c>
      <c r="M7" s="219">
        <v>0</v>
      </c>
      <c r="N7" s="219">
        <v>0</v>
      </c>
      <c r="O7" s="219">
        <v>1</v>
      </c>
      <c r="P7" s="219">
        <v>150</v>
      </c>
      <c r="Q7" s="50" t="s">
        <v>166</v>
      </c>
      <c r="R7" s="50" t="s">
        <v>167</v>
      </c>
    </row>
    <row r="8" spans="1:18" x14ac:dyDescent="0.15">
      <c r="A8" s="50">
        <v>48701</v>
      </c>
      <c r="B8" s="50">
        <v>1</v>
      </c>
      <c r="C8" s="62" t="str">
        <f t="shared" si="0"/>
        <v>48701_1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82">
        <v>7</v>
      </c>
      <c r="F8" s="219" t="s">
        <v>254</v>
      </c>
      <c r="G8" s="219">
        <v>121</v>
      </c>
      <c r="H8" s="219">
        <v>1</v>
      </c>
      <c r="I8" s="219">
        <v>1</v>
      </c>
      <c r="J8" s="219">
        <v>1</v>
      </c>
      <c r="K8" s="219">
        <v>0</v>
      </c>
      <c r="L8" s="219">
        <v>0</v>
      </c>
      <c r="M8" s="219">
        <v>0</v>
      </c>
      <c r="N8" s="219">
        <v>0</v>
      </c>
      <c r="O8" s="219">
        <v>1</v>
      </c>
      <c r="P8" s="219">
        <v>100</v>
      </c>
      <c r="Q8" s="50" t="s">
        <v>166</v>
      </c>
      <c r="R8" s="50" t="s">
        <v>167</v>
      </c>
    </row>
    <row r="9" spans="1:18" x14ac:dyDescent="0.15">
      <c r="A9" s="50">
        <v>48701</v>
      </c>
      <c r="B9" s="50">
        <v>1</v>
      </c>
      <c r="C9" s="62" t="str">
        <f t="shared" si="0"/>
        <v>48701_1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82">
        <v>8</v>
      </c>
      <c r="F9" s="219" t="s">
        <v>254</v>
      </c>
      <c r="G9" s="219">
        <v>122</v>
      </c>
      <c r="H9" s="219">
        <v>1</v>
      </c>
      <c r="I9" s="219">
        <v>1</v>
      </c>
      <c r="J9" s="219">
        <v>1</v>
      </c>
      <c r="K9" s="219">
        <v>0</v>
      </c>
      <c r="L9" s="219">
        <v>0</v>
      </c>
      <c r="M9" s="219">
        <v>0</v>
      </c>
      <c r="N9" s="219">
        <v>0</v>
      </c>
      <c r="O9" s="219">
        <v>1</v>
      </c>
      <c r="P9" s="219">
        <v>100</v>
      </c>
      <c r="Q9" s="50" t="s">
        <v>166</v>
      </c>
      <c r="R9" s="50" t="s">
        <v>167</v>
      </c>
    </row>
    <row r="10" spans="1:18" x14ac:dyDescent="0.15">
      <c r="A10" s="50">
        <v>48701</v>
      </c>
      <c r="B10" s="50">
        <v>1</v>
      </c>
      <c r="C10" s="62" t="str">
        <f t="shared" si="0"/>
        <v>48701_1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82">
        <v>9</v>
      </c>
      <c r="F10" s="219" t="s">
        <v>254</v>
      </c>
      <c r="G10" s="219">
        <v>123</v>
      </c>
      <c r="H10" s="219">
        <v>1</v>
      </c>
      <c r="I10" s="219">
        <v>1</v>
      </c>
      <c r="J10" s="219">
        <v>1</v>
      </c>
      <c r="K10" s="219">
        <v>0</v>
      </c>
      <c r="L10" s="219">
        <v>0</v>
      </c>
      <c r="M10" s="219">
        <v>0</v>
      </c>
      <c r="N10" s="219">
        <v>0</v>
      </c>
      <c r="O10" s="219">
        <v>1</v>
      </c>
      <c r="P10" s="219">
        <v>100</v>
      </c>
      <c r="Q10" s="50" t="s">
        <v>166</v>
      </c>
      <c r="R10" s="50" t="s">
        <v>167</v>
      </c>
    </row>
    <row r="11" spans="1:18" x14ac:dyDescent="0.15">
      <c r="A11" s="50">
        <v>48701</v>
      </c>
      <c r="B11" s="50">
        <v>1</v>
      </c>
      <c r="C11" s="62" t="str">
        <f t="shared" si="0"/>
        <v>48701_1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82">
        <v>10</v>
      </c>
      <c r="F11" s="219" t="s">
        <v>254</v>
      </c>
      <c r="G11" s="219">
        <v>125</v>
      </c>
      <c r="H11" s="219">
        <v>1</v>
      </c>
      <c r="I11" s="219">
        <v>1</v>
      </c>
      <c r="J11" s="219">
        <v>1</v>
      </c>
      <c r="K11" s="219">
        <v>0</v>
      </c>
      <c r="L11" s="219">
        <v>0</v>
      </c>
      <c r="M11" s="219">
        <v>0</v>
      </c>
      <c r="N11" s="219">
        <v>0</v>
      </c>
      <c r="O11" s="219">
        <v>1</v>
      </c>
      <c r="P11" s="219">
        <v>10</v>
      </c>
      <c r="Q11" s="50" t="s">
        <v>166</v>
      </c>
      <c r="R11" s="50" t="s">
        <v>167</v>
      </c>
    </row>
    <row r="12" spans="1:18" x14ac:dyDescent="0.15">
      <c r="A12" s="50">
        <v>48701</v>
      </c>
      <c r="B12" s="51">
        <v>2</v>
      </c>
      <c r="C12" s="62" t="str">
        <f t="shared" si="0"/>
        <v>48701_2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21">
        <v>11</v>
      </c>
      <c r="F12" s="222" t="s">
        <v>254</v>
      </c>
      <c r="G12" s="223">
        <v>9003</v>
      </c>
      <c r="H12" s="222">
        <v>1</v>
      </c>
      <c r="I12" s="222">
        <v>1</v>
      </c>
      <c r="J12" s="222">
        <v>1</v>
      </c>
      <c r="K12" s="222">
        <v>0</v>
      </c>
      <c r="L12" s="222">
        <v>0</v>
      </c>
      <c r="M12" s="222">
        <v>0</v>
      </c>
      <c r="N12" s="222">
        <v>0</v>
      </c>
      <c r="O12" s="222">
        <v>1</v>
      </c>
      <c r="P12" s="222">
        <v>500</v>
      </c>
      <c r="Q12" s="51" t="s">
        <v>166</v>
      </c>
      <c r="R12" s="51" t="s">
        <v>167</v>
      </c>
    </row>
    <row r="13" spans="1:18" x14ac:dyDescent="0.15">
      <c r="A13" s="50">
        <v>48701</v>
      </c>
      <c r="B13" s="51">
        <v>2</v>
      </c>
      <c r="C13" s="62" t="str">
        <f t="shared" si="0"/>
        <v>48701_2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21">
        <v>12</v>
      </c>
      <c r="F13" s="222" t="s">
        <v>254</v>
      </c>
      <c r="G13" s="222">
        <v>338</v>
      </c>
      <c r="H13" s="222">
        <v>1</v>
      </c>
      <c r="I13" s="222">
        <v>1</v>
      </c>
      <c r="J13" s="222">
        <v>1</v>
      </c>
      <c r="K13" s="222">
        <v>0</v>
      </c>
      <c r="L13" s="222">
        <v>0</v>
      </c>
      <c r="M13" s="222">
        <v>0</v>
      </c>
      <c r="N13" s="222">
        <v>0</v>
      </c>
      <c r="O13" s="222">
        <v>1</v>
      </c>
      <c r="P13" s="222">
        <v>50</v>
      </c>
      <c r="Q13" s="51" t="s">
        <v>166</v>
      </c>
      <c r="R13" s="51" t="s">
        <v>167</v>
      </c>
    </row>
    <row r="14" spans="1:18" x14ac:dyDescent="0.15">
      <c r="A14" s="50">
        <v>48701</v>
      </c>
      <c r="B14" s="51">
        <v>2</v>
      </c>
      <c r="C14" s="62" t="str">
        <f t="shared" si="0"/>
        <v>48701_2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21">
        <v>13</v>
      </c>
      <c r="F14" s="222" t="s">
        <v>254</v>
      </c>
      <c r="G14" s="222">
        <v>350</v>
      </c>
      <c r="H14" s="222">
        <v>1</v>
      </c>
      <c r="I14" s="222">
        <v>1</v>
      </c>
      <c r="J14" s="222">
        <v>1</v>
      </c>
      <c r="K14" s="222">
        <v>0</v>
      </c>
      <c r="L14" s="222">
        <v>0</v>
      </c>
      <c r="M14" s="222">
        <v>0</v>
      </c>
      <c r="N14" s="222">
        <v>0</v>
      </c>
      <c r="O14" s="222">
        <v>1</v>
      </c>
      <c r="P14" s="222">
        <v>120</v>
      </c>
      <c r="Q14" s="51" t="s">
        <v>166</v>
      </c>
      <c r="R14" s="51" t="s">
        <v>167</v>
      </c>
    </row>
    <row r="15" spans="1:18" x14ac:dyDescent="0.15">
      <c r="A15" s="50">
        <v>48701</v>
      </c>
      <c r="B15" s="51">
        <v>2</v>
      </c>
      <c r="C15" s="62" t="str">
        <f t="shared" si="0"/>
        <v>48701_2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21">
        <v>14</v>
      </c>
      <c r="F15" s="222" t="s">
        <v>254</v>
      </c>
      <c r="G15" s="222">
        <v>607</v>
      </c>
      <c r="H15" s="222">
        <v>1</v>
      </c>
      <c r="I15" s="222">
        <v>1</v>
      </c>
      <c r="J15" s="222">
        <v>1</v>
      </c>
      <c r="K15" s="222">
        <v>0</v>
      </c>
      <c r="L15" s="222">
        <v>0</v>
      </c>
      <c r="M15" s="222">
        <v>0</v>
      </c>
      <c r="N15" s="222">
        <v>0</v>
      </c>
      <c r="O15" s="222">
        <v>1</v>
      </c>
      <c r="P15" s="222">
        <v>100</v>
      </c>
      <c r="Q15" s="51" t="s">
        <v>166</v>
      </c>
      <c r="R15" s="51" t="s">
        <v>167</v>
      </c>
    </row>
    <row r="16" spans="1:18" x14ac:dyDescent="0.15">
      <c r="A16" s="50">
        <v>48701</v>
      </c>
      <c r="B16" s="51">
        <v>2</v>
      </c>
      <c r="C16" s="62" t="str">
        <f t="shared" si="0"/>
        <v>48701_2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21">
        <v>15</v>
      </c>
      <c r="F16" s="222" t="s">
        <v>254</v>
      </c>
      <c r="G16" s="222">
        <v>608</v>
      </c>
      <c r="H16" s="222">
        <v>1</v>
      </c>
      <c r="I16" s="222">
        <v>1</v>
      </c>
      <c r="J16" s="222">
        <v>1</v>
      </c>
      <c r="K16" s="222">
        <v>0</v>
      </c>
      <c r="L16" s="222">
        <v>0</v>
      </c>
      <c r="M16" s="222">
        <v>0</v>
      </c>
      <c r="N16" s="222">
        <v>0</v>
      </c>
      <c r="O16" s="222">
        <v>1</v>
      </c>
      <c r="P16" s="222">
        <v>100</v>
      </c>
      <c r="Q16" s="51" t="s">
        <v>166</v>
      </c>
      <c r="R16" s="51" t="s">
        <v>167</v>
      </c>
    </row>
    <row r="17" spans="1:18" x14ac:dyDescent="0.15">
      <c r="A17" s="50">
        <v>48701</v>
      </c>
      <c r="B17" s="51">
        <v>2</v>
      </c>
      <c r="C17" s="62" t="str">
        <f t="shared" si="0"/>
        <v>48701_2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21">
        <v>16</v>
      </c>
      <c r="F17" s="222" t="s">
        <v>254</v>
      </c>
      <c r="G17" s="222">
        <v>609</v>
      </c>
      <c r="H17" s="222">
        <v>1</v>
      </c>
      <c r="I17" s="222">
        <v>1</v>
      </c>
      <c r="J17" s="222">
        <v>1</v>
      </c>
      <c r="K17" s="222">
        <v>0</v>
      </c>
      <c r="L17" s="222">
        <v>0</v>
      </c>
      <c r="M17" s="222">
        <v>0</v>
      </c>
      <c r="N17" s="222">
        <v>0</v>
      </c>
      <c r="O17" s="222">
        <v>1</v>
      </c>
      <c r="P17" s="222">
        <v>100</v>
      </c>
      <c r="Q17" s="51" t="s">
        <v>166</v>
      </c>
      <c r="R17" s="51" t="s">
        <v>167</v>
      </c>
    </row>
    <row r="18" spans="1:18" x14ac:dyDescent="0.15">
      <c r="A18" s="50">
        <v>48701</v>
      </c>
      <c r="B18" s="51">
        <v>2</v>
      </c>
      <c r="C18" s="62" t="str">
        <f t="shared" si="0"/>
        <v>48701_2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21">
        <v>17</v>
      </c>
      <c r="F18" s="222" t="s">
        <v>254</v>
      </c>
      <c r="G18" s="222">
        <v>125</v>
      </c>
      <c r="H18" s="222">
        <v>1</v>
      </c>
      <c r="I18" s="222">
        <v>1</v>
      </c>
      <c r="J18" s="222">
        <v>1</v>
      </c>
      <c r="K18" s="222">
        <v>0</v>
      </c>
      <c r="L18" s="222">
        <v>0</v>
      </c>
      <c r="M18" s="222">
        <v>0</v>
      </c>
      <c r="N18" s="222">
        <v>0</v>
      </c>
      <c r="O18" s="222">
        <v>1</v>
      </c>
      <c r="P18" s="222">
        <v>30</v>
      </c>
      <c r="Q18" s="51" t="s">
        <v>166</v>
      </c>
      <c r="R18" s="51" t="s">
        <v>167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E8" sqref="E8:E9"/>
    </sheetView>
  </sheetViews>
  <sheetFormatPr baseColWidth="12" defaultColWidth="13" defaultRowHeight="15" outlineLevelCol="1" x14ac:dyDescent="0.15"/>
  <cols>
    <col min="1" max="1" width="13" style="7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7" t="s">
        <v>184</v>
      </c>
      <c r="B1" s="64" t="s">
        <v>185</v>
      </c>
      <c r="C1" s="68" t="s">
        <v>186</v>
      </c>
      <c r="D1" s="68" t="s">
        <v>33</v>
      </c>
      <c r="E1" s="64" t="s">
        <v>187</v>
      </c>
      <c r="F1" s="68" t="s">
        <v>188</v>
      </c>
      <c r="G1" s="68" t="s">
        <v>33</v>
      </c>
      <c r="H1" s="64" t="s">
        <v>189</v>
      </c>
      <c r="I1" s="82" t="s">
        <v>191</v>
      </c>
      <c r="J1" s="70" t="s">
        <v>125</v>
      </c>
      <c r="K1" s="69" t="s">
        <v>183</v>
      </c>
      <c r="L1" s="83" t="s">
        <v>182</v>
      </c>
      <c r="M1" s="71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7"/>
  <sheetViews>
    <sheetView showGridLines="0" workbookViewId="0">
      <pane ySplit="1" topLeftCell="A6" activePane="bottomLeft" state="frozen"/>
      <selection pane="bottomLeft" sqref="A1:A1048576"/>
    </sheetView>
  </sheetViews>
  <sheetFormatPr baseColWidth="12" defaultColWidth="13" defaultRowHeight="15" outlineLevelCol="1" x14ac:dyDescent="0.15"/>
  <cols>
    <col min="1" max="1" width="13" style="7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38.33203125" style="143" customWidth="1"/>
  </cols>
  <sheetData>
    <row r="1" spans="1:15" x14ac:dyDescent="0.15">
      <c r="A1" s="67" t="s">
        <v>184</v>
      </c>
      <c r="B1" s="64" t="s">
        <v>148</v>
      </c>
      <c r="C1" s="68" t="s">
        <v>186</v>
      </c>
      <c r="D1" s="68" t="s">
        <v>33</v>
      </c>
      <c r="E1" s="64" t="s">
        <v>187</v>
      </c>
      <c r="F1" s="68" t="s">
        <v>18</v>
      </c>
      <c r="G1" s="68" t="s">
        <v>33</v>
      </c>
      <c r="H1" s="64" t="s">
        <v>189</v>
      </c>
      <c r="I1" s="80" t="s">
        <v>190</v>
      </c>
      <c r="J1" s="82" t="s">
        <v>191</v>
      </c>
      <c r="K1" s="70" t="s">
        <v>125</v>
      </c>
      <c r="L1" s="69" t="s">
        <v>183</v>
      </c>
      <c r="M1" s="83" t="s">
        <v>182</v>
      </c>
      <c r="N1" s="71" t="s">
        <v>192</v>
      </c>
      <c r="O1" s="142" t="s">
        <v>251</v>
      </c>
    </row>
    <row r="2" spans="1:15" ht="57" customHeight="1" x14ac:dyDescent="0.15">
      <c r="A2" s="72" t="s">
        <v>193</v>
      </c>
      <c r="B2" s="123">
        <v>48701</v>
      </c>
      <c r="C2" s="74" t="str">
        <f ca="1">VLOOKUP($B2,OFFSET([2]quests!$A$1,0,0,COUNTA([2]quests!$A:$A),MATCH(C$1,[2]quests!$1:$1,0)-MATCH($B$1,[2]quests!$1:$1,0)+1),MATCH(C$1,[2]quests!$1:$1,0)-MATCH($B$1,[2]quests!$1:$1,0)+1,FALSE)</f>
        <v>M.Dragon襲来！</v>
      </c>
      <c r="D2" s="74" t="str">
        <f ca="1">VLOOKUP($B2,OFFSET([2]quests!$A$1,0,0,COUNTA([2]quests!$A:$A),MATCH(D$1,[2]quests!$1:$1,0)-MATCH($B$1,[2]quests!$1:$1,0)+1),MATCH(D$1,[2]quests!$1:$1,0)-MATCH($B$1,[2]quests!$1:$1,0)+1,FALSE)</f>
        <v>韓国版降臨1</v>
      </c>
      <c r="E2" s="75">
        <v>1</v>
      </c>
      <c r="F2" s="7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【超絶級】M.Dragon襲来</v>
      </c>
      <c r="G2" s="74" t="str">
        <f ca="1">VLOOKUP($B2&amp;"_"&amp;$E2,OFFSET([2]stages!$A$1,0,0,COUNTA([2]stages!$A:$A),MATCH(G$1,[2]stages!$2:$2,0)-MATCH("temp_stage",[2]stages!$2:$2,0)+1),MATCH(G$1,[2]stages!$2:$2,0)-MATCH("temp_stage",[2]stages!$2:$2,0)+1,FALSE)</f>
        <v>韓国版降臨1</v>
      </c>
      <c r="H2" s="76">
        <v>1</v>
      </c>
      <c r="I2" s="81">
        <f>ROW()-1</f>
        <v>1</v>
      </c>
      <c r="J2" s="77" t="str">
        <f>B2&amp;TEXT(I2,"00")</f>
        <v>4870101</v>
      </c>
      <c r="K2" s="75" t="s">
        <v>194</v>
      </c>
      <c r="L2" s="78" t="s">
        <v>248</v>
      </c>
      <c r="M2" s="103" t="s">
        <v>364</v>
      </c>
      <c r="N2" s="50" t="s">
        <v>195</v>
      </c>
      <c r="O2" s="141" t="str">
        <f>"１２３４５６７８９０１２３４５６７８９０"&amp;M2</f>
        <v>１２３４５６７８９０１２３４５６７８９０ユノは攻撃力DOWNのスキルを使用します_x000D_ターゲットを指定して優先的に倒しましょう</v>
      </c>
    </row>
    <row r="3" spans="1:15" ht="78" customHeight="1" x14ac:dyDescent="0.15">
      <c r="A3" s="72" t="s">
        <v>193</v>
      </c>
      <c r="B3" s="123">
        <v>48701</v>
      </c>
      <c r="C3" s="74" t="str">
        <f ca="1">VLOOKUP($B3,OFFSET([2]quests!$A$1,0,0,COUNTA([2]quests!$A:$A),MATCH(C$1,[2]quests!$1:$1,0)-MATCH($B$1,[2]quests!$1:$1,0)+1),MATCH(C$1,[2]quests!$1:$1,0)-MATCH($B$1,[2]quests!$1:$1,0)+1,FALSE)</f>
        <v>M.Dragon襲来！</v>
      </c>
      <c r="D3" s="74" t="str">
        <f ca="1">VLOOKUP($B3,OFFSET([2]quests!$A$1,0,0,COUNTA([2]quests!$A:$A),MATCH(D$1,[2]quests!$1:$1,0)-MATCH($B$1,[2]quests!$1:$1,0)+1),MATCH(D$1,[2]quests!$1:$1,0)-MATCH($B$1,[2]quests!$1:$1,0)+1,FALSE)</f>
        <v>韓国版降臨1</v>
      </c>
      <c r="E3" s="75">
        <v>1</v>
      </c>
      <c r="F3" s="7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【超絶級】M.Dragon襲来</v>
      </c>
      <c r="G3" s="74" t="str">
        <f ca="1">VLOOKUP($B3&amp;"_"&amp;$E3,OFFSET([2]stages!$A$1,0,0,COUNTA([2]stages!$A:$A),MATCH(G$1,[2]stages!$2:$2,0)-MATCH("temp_stage",[2]stages!$2:$2,0)+1),MATCH(G$1,[2]stages!$2:$2,0)-MATCH("temp_stage",[2]stages!$2:$2,0)+1,FALSE)</f>
        <v>韓国版降臨1</v>
      </c>
      <c r="H3" s="76">
        <v>2</v>
      </c>
      <c r="I3" s="81">
        <f t="shared" ref="I3:I17" si="0">ROW()-1</f>
        <v>2</v>
      </c>
      <c r="J3" s="77" t="str">
        <f t="shared" ref="J3:J6" si="1">B3&amp;TEXT(I3,"00")</f>
        <v>4870102</v>
      </c>
      <c r="K3" s="75" t="s">
        <v>194</v>
      </c>
      <c r="L3" s="78" t="s">
        <v>248</v>
      </c>
      <c r="M3" s="103" t="s">
        <v>505</v>
      </c>
      <c r="N3" s="50" t="s">
        <v>195</v>
      </c>
      <c r="O3" s="141" t="str">
        <f t="shared" ref="O3:O6" si="2">"１２３４５６７８９０１２３４５６７８９０"&amp;M3</f>
        <v>１２３４５６７８９０１２３４５６７８９０時限式ダメージパネルは_x000D_暗闇の中では解除が難しいです_x000D_パネル吸収スキルを使うと_x000D_パネルが繋がりやすくなり有利になります</v>
      </c>
    </row>
    <row r="4" spans="1:15" ht="57" customHeight="1" x14ac:dyDescent="0.15">
      <c r="A4" s="72" t="s">
        <v>193</v>
      </c>
      <c r="B4" s="123">
        <v>48701</v>
      </c>
      <c r="C4" s="74" t="str">
        <f ca="1">VLOOKUP($B4,OFFSET([2]quests!$A$1,0,0,COUNTA([2]quests!$A:$A),MATCH(C$1,[2]quests!$1:$1,0)-MATCH($B$1,[2]quests!$1:$1,0)+1),MATCH(C$1,[2]quests!$1:$1,0)-MATCH($B$1,[2]quests!$1:$1,0)+1,FALSE)</f>
        <v>M.Dragon襲来！</v>
      </c>
      <c r="D4" s="74" t="str">
        <f ca="1">VLOOKUP($B4,OFFSET([2]quests!$A$1,0,0,COUNTA([2]quests!$A:$A),MATCH(D$1,[2]quests!$1:$1,0)-MATCH($B$1,[2]quests!$1:$1,0)+1),MATCH(D$1,[2]quests!$1:$1,0)-MATCH($B$1,[2]quests!$1:$1,0)+1,FALSE)</f>
        <v>韓国版降臨1</v>
      </c>
      <c r="E4" s="75">
        <v>1</v>
      </c>
      <c r="F4" s="7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【超絶級】M.Dragon襲来</v>
      </c>
      <c r="G4" s="74" t="str">
        <f ca="1">VLOOKUP($B4&amp;"_"&amp;$E4,OFFSET([2]stages!$A$1,0,0,COUNTA([2]stages!$A:$A),MATCH(G$1,[2]stages!$2:$2,0)-MATCH("temp_stage",[2]stages!$2:$2,0)+1),MATCH(G$1,[2]stages!$2:$2,0)-MATCH("temp_stage",[2]stages!$2:$2,0)+1,FALSE)</f>
        <v>韓国版降臨1</v>
      </c>
      <c r="H4" s="76">
        <v>3</v>
      </c>
      <c r="I4" s="81">
        <f t="shared" si="0"/>
        <v>3</v>
      </c>
      <c r="J4" s="77" t="str">
        <f t="shared" si="1"/>
        <v>4870103</v>
      </c>
      <c r="K4" s="75" t="s">
        <v>194</v>
      </c>
      <c r="L4" s="78" t="s">
        <v>248</v>
      </c>
      <c r="M4" s="103" t="s">
        <v>367</v>
      </c>
      <c r="N4" s="50" t="s">
        <v>195</v>
      </c>
      <c r="O4" s="141" t="str">
        <f t="shared" si="2"/>
        <v>１２３４５６７８９０１２３４５６７８９０ハーメルンがパネル出現率を変更したら_x000D_次のターンその色のパネルを吸収して_x000D_強力な全体攻撃を繰り出すので要注意です</v>
      </c>
    </row>
    <row r="5" spans="1:15" ht="57" customHeight="1" x14ac:dyDescent="0.15">
      <c r="A5" s="72" t="s">
        <v>193</v>
      </c>
      <c r="B5" s="123">
        <v>48701</v>
      </c>
      <c r="C5" s="74" t="str">
        <f ca="1">VLOOKUP($B5,OFFSET([2]quests!$A$1,0,0,COUNTA([2]quests!$A:$A),MATCH(C$1,[2]quests!$1:$1,0)-MATCH($B$1,[2]quests!$1:$1,0)+1),MATCH(C$1,[2]quests!$1:$1,0)-MATCH($B$1,[2]quests!$1:$1,0)+1,FALSE)</f>
        <v>M.Dragon襲来！</v>
      </c>
      <c r="D5" s="74" t="str">
        <f ca="1">VLOOKUP($B5,OFFSET([2]quests!$A$1,0,0,COUNTA([2]quests!$A:$A),MATCH(D$1,[2]quests!$1:$1,0)-MATCH($B$1,[2]quests!$1:$1,0)+1),MATCH(D$1,[2]quests!$1:$1,0)-MATCH($B$1,[2]quests!$1:$1,0)+1,FALSE)</f>
        <v>韓国版降臨1</v>
      </c>
      <c r="E5" s="75">
        <v>1</v>
      </c>
      <c r="F5" s="7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【超絶級】M.Dragon襲来</v>
      </c>
      <c r="G5" s="74" t="str">
        <f ca="1">VLOOKUP($B5&amp;"_"&amp;$E5,OFFSET([2]stages!$A$1,0,0,COUNTA([2]stages!$A:$A),MATCH(G$1,[2]stages!$2:$2,0)-MATCH("temp_stage",[2]stages!$2:$2,0)+1),MATCH(G$1,[2]stages!$2:$2,0)-MATCH("temp_stage",[2]stages!$2:$2,0)+1,FALSE)</f>
        <v>韓国版降臨1</v>
      </c>
      <c r="H5" s="76">
        <v>4</v>
      </c>
      <c r="I5" s="81">
        <f t="shared" si="0"/>
        <v>4</v>
      </c>
      <c r="J5" s="77" t="str">
        <f t="shared" si="1"/>
        <v>4870104</v>
      </c>
      <c r="K5" s="75" t="s">
        <v>194</v>
      </c>
      <c r="L5" s="78" t="s">
        <v>248</v>
      </c>
      <c r="M5" s="103" t="s">
        <v>506</v>
      </c>
      <c r="N5" s="50" t="s">
        <v>195</v>
      </c>
      <c r="O5" s="141" t="str">
        <f t="shared" si="2"/>
        <v>１２３４５６７８９０１２３４５６７８９０夢龍の3ゲージ目はHPが半分以下になると_x000D_時限式ダメージパネルが大量に降り始めます_x000D_一気に倒しましょう！</v>
      </c>
    </row>
    <row r="6" spans="1:15" ht="57" customHeight="1" x14ac:dyDescent="0.15">
      <c r="A6" s="72" t="s">
        <v>193</v>
      </c>
      <c r="B6" s="123">
        <v>48701</v>
      </c>
      <c r="C6" s="74" t="str">
        <f ca="1">VLOOKUP($B6,OFFSET([2]quests!$A$1,0,0,COUNTA([2]quests!$A:$A),MATCH(C$1,[2]quests!$1:$1,0)-MATCH($B$1,[2]quests!$1:$1,0)+1),MATCH(C$1,[2]quests!$1:$1,0)-MATCH($B$1,[2]quests!$1:$1,0)+1,FALSE)</f>
        <v>M.Dragon襲来！</v>
      </c>
      <c r="D6" s="74" t="str">
        <f ca="1">VLOOKUP($B6,OFFSET([2]quests!$A$1,0,0,COUNTA([2]quests!$A:$A),MATCH(D$1,[2]quests!$1:$1,0)-MATCH($B$1,[2]quests!$1:$1,0)+1),MATCH(D$1,[2]quests!$1:$1,0)-MATCH($B$1,[2]quests!$1:$1,0)+1,FALSE)</f>
        <v>韓国版降臨1</v>
      </c>
      <c r="E6" s="75">
        <v>1</v>
      </c>
      <c r="F6" s="7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【超絶級】M.Dragon襲来</v>
      </c>
      <c r="G6" s="74" t="str">
        <f ca="1">VLOOKUP($B6&amp;"_"&amp;$E6,OFFSET([2]stages!$A$1,0,0,COUNTA([2]stages!$A:$A),MATCH(G$1,[2]stages!$2:$2,0)-MATCH("temp_stage",[2]stages!$2:$2,0)+1),MATCH(G$1,[2]stages!$2:$2,0)-MATCH("temp_stage",[2]stages!$2:$2,0)+1,FALSE)</f>
        <v>韓国版降臨1</v>
      </c>
      <c r="H6" s="76">
        <v>4</v>
      </c>
      <c r="I6" s="81">
        <f t="shared" si="0"/>
        <v>5</v>
      </c>
      <c r="J6" s="77" t="str">
        <f t="shared" si="1"/>
        <v>4870105</v>
      </c>
      <c r="K6" s="75" t="s">
        <v>194</v>
      </c>
      <c r="L6" s="78" t="s">
        <v>248</v>
      </c>
      <c r="M6" s="103" t="s">
        <v>368</v>
      </c>
      <c r="N6" s="50" t="s">
        <v>195</v>
      </c>
      <c r="O6" s="141" t="str">
        <f t="shared" si="2"/>
        <v>１２３４５６７８９０１２３４５６７８９０夢龍は吸収攻撃を頻繁に使用します_x000D_上手く活用して_x000D_たくさんパネルを繋げましょう</v>
      </c>
    </row>
    <row r="7" spans="1:15" ht="84" x14ac:dyDescent="0.15">
      <c r="A7" s="72" t="s">
        <v>196</v>
      </c>
      <c r="B7" s="123">
        <v>48701</v>
      </c>
      <c r="C7" s="74" t="str">
        <f ca="1">VLOOKUP($B7,OFFSET([2]quests!$A$1,0,0,COUNTA([2]quests!$A:$A),MATCH(C$1,[2]quests!$1:$1,0)-MATCH($B$1,[2]quests!$1:$1,0)+1),MATCH(C$1,[2]quests!$1:$1,0)-MATCH($B$1,[2]quests!$1:$1,0)+1,FALSE)</f>
        <v>M.Dragon襲来！</v>
      </c>
      <c r="D7" s="74" t="str">
        <f ca="1">VLOOKUP($B7,OFFSET([2]quests!$A$1,0,0,COUNTA([2]quests!$A:$A),MATCH(D$1,[2]quests!$1:$1,0)-MATCH($B$1,[2]quests!$1:$1,0)+1),MATCH(D$1,[2]quests!$1:$1,0)-MATCH($B$1,[2]quests!$1:$1,0)+1,FALSE)</f>
        <v>韓国版降臨1</v>
      </c>
      <c r="E7" s="75">
        <v>1</v>
      </c>
      <c r="F7" s="7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【超絶級】M.Dragon襲来</v>
      </c>
      <c r="G7" s="74" t="str">
        <f ca="1">VLOOKUP($B7&amp;"_"&amp;$E7,OFFSET([2]stages!$A$1,0,0,COUNTA([2]stages!$A:$A),MATCH(G$1,[2]stages!$2:$2,0)-MATCH("temp_stage",[2]stages!$2:$2,0)+1),MATCH(G$1,[2]stages!$2:$2,0)-MATCH("temp_stage",[2]stages!$2:$2,0)+1,FALSE)</f>
        <v>韓国版降臨1</v>
      </c>
      <c r="H7" s="76">
        <v>0</v>
      </c>
      <c r="I7" s="81">
        <f t="shared" si="0"/>
        <v>6</v>
      </c>
      <c r="J7" s="77" t="str">
        <f t="shared" ref="J7:J8" si="3">B7&amp;TEXT(I7,"00")</f>
        <v>4870106</v>
      </c>
      <c r="K7" s="75" t="s">
        <v>194</v>
      </c>
      <c r="L7" s="78" t="s">
        <v>377</v>
      </c>
      <c r="M7" s="103" t="s">
        <v>380</v>
      </c>
      <c r="N7" s="50" t="s">
        <v>195</v>
      </c>
      <c r="O7" s="141" t="str">
        <f t="shared" ref="O7:O8" si="4">"１２３４５６７８９０１２３４５６７８９０"&amp;M7</f>
        <v>１２３４５６７８９０１２３４５６７８９０春香と夢龍はどちらも_x000D_ALICEの中心から離れたサーバーで地道に_x000D_個人放送を運営する名も無きアイドルでした_x000D_同じ境遇の二人が運命的に出会い_x000D_恋人同士になりました</v>
      </c>
    </row>
    <row r="8" spans="1:15" ht="84" x14ac:dyDescent="0.15">
      <c r="A8" s="72" t="s">
        <v>383</v>
      </c>
      <c r="B8" s="123">
        <v>48701</v>
      </c>
      <c r="C8" s="74" t="str">
        <f ca="1">VLOOKUP($B8,OFFSET([2]quests!$A$1,0,0,COUNTA([2]quests!$A:$A),MATCH(C$1,[2]quests!$1:$1,0)-MATCH($B$1,[2]quests!$1:$1,0)+1),MATCH(C$1,[2]quests!$1:$1,0)-MATCH($B$1,[2]quests!$1:$1,0)+1,FALSE)</f>
        <v>M.Dragon襲来！</v>
      </c>
      <c r="D8" s="74" t="str">
        <f ca="1">VLOOKUP($B8,OFFSET([2]quests!$A$1,0,0,COUNTA([2]quests!$A:$A),MATCH(D$1,[2]quests!$1:$1,0)-MATCH($B$1,[2]quests!$1:$1,0)+1),MATCH(D$1,[2]quests!$1:$1,0)-MATCH($B$1,[2]quests!$1:$1,0)+1,FALSE)</f>
        <v>韓国版降臨1</v>
      </c>
      <c r="E8" s="75">
        <v>1</v>
      </c>
      <c r="F8" s="7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【超絶級】M.Dragon襲来</v>
      </c>
      <c r="G8" s="74" t="str">
        <f ca="1">VLOOKUP($B8&amp;"_"&amp;$E8,OFFSET([2]stages!$A$1,0,0,COUNTA([2]stages!$A:$A),MATCH(G$1,[2]stages!$2:$2,0)-MATCH("temp_stage",[2]stages!$2:$2,0)+1),MATCH(G$1,[2]stages!$2:$2,0)-MATCH("temp_stage",[2]stages!$2:$2,0)+1,FALSE)</f>
        <v>韓国版降臨1</v>
      </c>
      <c r="H8" s="76">
        <v>0</v>
      </c>
      <c r="I8" s="81">
        <f t="shared" si="0"/>
        <v>7</v>
      </c>
      <c r="J8" s="77" t="str">
        <f t="shared" si="3"/>
        <v>4870107</v>
      </c>
      <c r="K8" s="75" t="s">
        <v>194</v>
      </c>
      <c r="L8" s="78" t="s">
        <v>378</v>
      </c>
      <c r="M8" s="103" t="s">
        <v>381</v>
      </c>
      <c r="N8" s="50" t="s">
        <v>195</v>
      </c>
      <c r="O8" s="141" t="str">
        <f t="shared" si="4"/>
        <v>１２３４５６７８９０１２３４５６７８９０幸せに暮らしていた春香と夢龍ですが_x000D_ALICEのトップアイドルになるという野心を_x000D_捨て切れなかった夢龍はALICE中心に向かい_x000D_春香にこう約束しました_x000D_「いつか君を迎えにくる」</v>
      </c>
    </row>
    <row r="9" spans="1:15" ht="85" thickBot="1" x14ac:dyDescent="0.2">
      <c r="A9" s="189" t="s">
        <v>196</v>
      </c>
      <c r="B9" s="190">
        <v>48701</v>
      </c>
      <c r="C9" s="191" t="str">
        <f ca="1">VLOOKUP($B9,OFFSET([2]quests!$A$1,0,0,COUNTA([2]quests!$A:$A),MATCH(C$1,[2]quests!$1:$1,0)-MATCH($B$1,[2]quests!$1:$1,0)+1),MATCH(C$1,[2]quests!$1:$1,0)-MATCH($B$1,[2]quests!$1:$1,0)+1,FALSE)</f>
        <v>M.Dragon襲来！</v>
      </c>
      <c r="D9" s="191" t="str">
        <f ca="1">VLOOKUP($B9,OFFSET([2]quests!$A$1,0,0,COUNTA([2]quests!$A:$A),MATCH(D$1,[2]quests!$1:$1,0)-MATCH($B$1,[2]quests!$1:$1,0)+1),MATCH(D$1,[2]quests!$1:$1,0)-MATCH($B$1,[2]quests!$1:$1,0)+1,FALSE)</f>
        <v>韓国版降臨1</v>
      </c>
      <c r="E9" s="192">
        <v>1</v>
      </c>
      <c r="F9" s="19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【超絶級】M.Dragon襲来</v>
      </c>
      <c r="G9" s="191" t="str">
        <f ca="1">VLOOKUP($B9&amp;"_"&amp;$E9,OFFSET([2]stages!$A$1,0,0,COUNTA([2]stages!$A:$A),MATCH(G$1,[2]stages!$2:$2,0)-MATCH("temp_stage",[2]stages!$2:$2,0)+1),MATCH(G$1,[2]stages!$2:$2,0)-MATCH("temp_stage",[2]stages!$2:$2,0)+1,FALSE)</f>
        <v>韓国版降臨1</v>
      </c>
      <c r="H9" s="193">
        <v>0</v>
      </c>
      <c r="I9" s="194">
        <f t="shared" si="0"/>
        <v>8</v>
      </c>
      <c r="J9" s="195" t="str">
        <f t="shared" ref="J9" si="5">B9&amp;TEXT(I9,"00")</f>
        <v>4870108</v>
      </c>
      <c r="K9" s="192" t="s">
        <v>194</v>
      </c>
      <c r="L9" s="196" t="s">
        <v>379</v>
      </c>
      <c r="M9" s="197" t="s">
        <v>382</v>
      </c>
      <c r="N9" s="198" t="s">
        <v>195</v>
      </c>
      <c r="O9" s="199" t="str">
        <f t="shared" ref="O9" si="6">"１２３４５６７８９０１２３４５６７８９０"&amp;M9</f>
        <v>１２３４５６７８９０１２３４５６７８９０夢龍は自分の事をALICE一番のイケメンだと_x000D_思っているナルシストです_x000D_春香は考えより行動が先に出るような_x000D_短気な性格です_x000D_二人はトップアイドルになれるのでしょうか</v>
      </c>
    </row>
    <row r="10" spans="1:15" ht="57" customHeight="1" x14ac:dyDescent="0.15">
      <c r="A10" s="181" t="s">
        <v>193</v>
      </c>
      <c r="B10" s="182">
        <v>48701</v>
      </c>
      <c r="C10" s="74" t="str">
        <f ca="1">VLOOKUP($B10,OFFSET([2]quests!$A$1,0,0,COUNTA([2]quests!$A:$A),MATCH(C$1,[2]quests!$1:$1,0)-MATCH($B$1,[2]quests!$1:$1,0)+1),MATCH(C$1,[2]quests!$1:$1,0)-MATCH($B$1,[2]quests!$1:$1,0)+1,FALSE)</f>
        <v>M.Dragon襲来！</v>
      </c>
      <c r="D10" s="74" t="str">
        <f ca="1">VLOOKUP($B10,OFFSET([2]quests!$A$1,0,0,COUNTA([2]quests!$A:$A),MATCH(D$1,[2]quests!$1:$1,0)-MATCH($B$1,[2]quests!$1:$1,0)+1),MATCH(D$1,[2]quests!$1:$1,0)-MATCH($B$1,[2]quests!$1:$1,0)+1,FALSE)</f>
        <v>韓国版降臨1</v>
      </c>
      <c r="E10" s="183">
        <v>2</v>
      </c>
      <c r="F10" s="7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0" s="74" t="str">
        <f ca="1">VLOOKUP($B10&amp;"_"&amp;$E10,OFFSET([2]stages!$A$1,0,0,COUNTA([2]stages!$A:$A),MATCH(G$1,[2]stages!$2:$2,0)-MATCH("temp_stage",[2]stages!$2:$2,0)+1),MATCH(G$1,[2]stages!$2:$2,0)-MATCH("temp_stage",[2]stages!$2:$2,0)+1,FALSE)</f>
        <v>韓国版降臨1</v>
      </c>
      <c r="H10" s="76">
        <v>1</v>
      </c>
      <c r="I10" s="184">
        <f>ROW()-1</f>
        <v>9</v>
      </c>
      <c r="J10" s="185" t="str">
        <f>B10&amp;TEXT(I10,"00")</f>
        <v>4870109</v>
      </c>
      <c r="K10" s="183" t="s">
        <v>194</v>
      </c>
      <c r="L10" s="186" t="s">
        <v>248</v>
      </c>
      <c r="M10" s="187" t="s">
        <v>364</v>
      </c>
      <c r="N10" s="188" t="s">
        <v>195</v>
      </c>
      <c r="O10" s="141" t="str">
        <f>"１２３４５６７８９０１２３４５６７８９０"&amp;M10</f>
        <v>１２３４５６７８９０１２３４５６７８９０ユノは攻撃力DOWNのスキルを使用します_x000D_ターゲットを指定して優先的に倒しましょう</v>
      </c>
    </row>
    <row r="11" spans="1:15" ht="78" customHeight="1" x14ac:dyDescent="0.15">
      <c r="A11" s="72" t="s">
        <v>193</v>
      </c>
      <c r="B11" s="123">
        <v>48701</v>
      </c>
      <c r="C11" s="74" t="str">
        <f ca="1">VLOOKUP($B11,OFFSET([2]quests!$A$1,0,0,COUNTA([2]quests!$A:$A),MATCH(C$1,[2]quests!$1:$1,0)-MATCH($B$1,[2]quests!$1:$1,0)+1),MATCH(C$1,[2]quests!$1:$1,0)-MATCH($B$1,[2]quests!$1:$1,0)+1,FALSE)</f>
        <v>M.Dragon襲来！</v>
      </c>
      <c r="D11" s="74" t="str">
        <f ca="1">VLOOKUP($B11,OFFSET([2]quests!$A$1,0,0,COUNTA([2]quests!$A:$A),MATCH(D$1,[2]quests!$1:$1,0)-MATCH($B$1,[2]quests!$1:$1,0)+1),MATCH(D$1,[2]quests!$1:$1,0)-MATCH($B$1,[2]quests!$1:$1,0)+1,FALSE)</f>
        <v>韓国版降臨1</v>
      </c>
      <c r="E11" s="75">
        <v>2</v>
      </c>
      <c r="F11" s="7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1" s="74" t="str">
        <f ca="1">VLOOKUP($B11&amp;"_"&amp;$E11,OFFSET([2]stages!$A$1,0,0,COUNTA([2]stages!$A:$A),MATCH(G$1,[2]stages!$2:$2,0)-MATCH("temp_stage",[2]stages!$2:$2,0)+1),MATCH(G$1,[2]stages!$2:$2,0)-MATCH("temp_stage",[2]stages!$2:$2,0)+1,FALSE)</f>
        <v>韓国版降臨1</v>
      </c>
      <c r="H11" s="76">
        <v>2</v>
      </c>
      <c r="I11" s="81">
        <f t="shared" si="0"/>
        <v>10</v>
      </c>
      <c r="J11" s="77" t="str">
        <f t="shared" ref="J11:J17" si="7">B11&amp;TEXT(I11,"00")</f>
        <v>4870110</v>
      </c>
      <c r="K11" s="75" t="s">
        <v>194</v>
      </c>
      <c r="L11" s="78" t="s">
        <v>248</v>
      </c>
      <c r="M11" s="103" t="s">
        <v>505</v>
      </c>
      <c r="N11" s="50" t="s">
        <v>195</v>
      </c>
      <c r="O11" s="141" t="str">
        <f t="shared" ref="O11:O17" si="8">"１２３４５６７８９０１２３４５６７８９０"&amp;M11</f>
        <v>１２３４５６７８９０１２３４５６７８９０時限式ダメージパネルは_x000D_暗闇の中では解除が難しいです_x000D_パネル吸収スキルを使うと_x000D_パネルが繋がりやすくなり有利になります</v>
      </c>
    </row>
    <row r="12" spans="1:15" ht="57" customHeight="1" x14ac:dyDescent="0.15">
      <c r="A12" s="72" t="s">
        <v>193</v>
      </c>
      <c r="B12" s="123">
        <v>48701</v>
      </c>
      <c r="C12" s="74" t="str">
        <f ca="1">VLOOKUP($B12,OFFSET([2]quests!$A$1,0,0,COUNTA([2]quests!$A:$A),MATCH(C$1,[2]quests!$1:$1,0)-MATCH($B$1,[2]quests!$1:$1,0)+1),MATCH(C$1,[2]quests!$1:$1,0)-MATCH($B$1,[2]quests!$1:$1,0)+1,FALSE)</f>
        <v>M.Dragon襲来！</v>
      </c>
      <c r="D12" s="74" t="str">
        <f ca="1">VLOOKUP($B12,OFFSET([2]quests!$A$1,0,0,COUNTA([2]quests!$A:$A),MATCH(D$1,[2]quests!$1:$1,0)-MATCH($B$1,[2]quests!$1:$1,0)+1),MATCH(D$1,[2]quests!$1:$1,0)-MATCH($B$1,[2]quests!$1:$1,0)+1,FALSE)</f>
        <v>韓国版降臨1</v>
      </c>
      <c r="E12" s="75">
        <v>2</v>
      </c>
      <c r="F12" s="7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2" s="74" t="str">
        <f ca="1">VLOOKUP($B12&amp;"_"&amp;$E12,OFFSET([2]stages!$A$1,0,0,COUNTA([2]stages!$A:$A),MATCH(G$1,[2]stages!$2:$2,0)-MATCH("temp_stage",[2]stages!$2:$2,0)+1),MATCH(G$1,[2]stages!$2:$2,0)-MATCH("temp_stage",[2]stages!$2:$2,0)+1,FALSE)</f>
        <v>韓国版降臨1</v>
      </c>
      <c r="H12" s="76">
        <v>3</v>
      </c>
      <c r="I12" s="81">
        <f t="shared" si="0"/>
        <v>11</v>
      </c>
      <c r="J12" s="77" t="str">
        <f t="shared" si="7"/>
        <v>4870111</v>
      </c>
      <c r="K12" s="75" t="s">
        <v>194</v>
      </c>
      <c r="L12" s="78" t="s">
        <v>248</v>
      </c>
      <c r="M12" s="103" t="s">
        <v>367</v>
      </c>
      <c r="N12" s="50" t="s">
        <v>195</v>
      </c>
      <c r="O12" s="141" t="str">
        <f t="shared" si="8"/>
        <v>１２３４５６７８９０１２３４５６７８９０ハーメルンがパネル出現率を変更したら_x000D_次のターンその色のパネルを吸収して_x000D_強力な全体攻撃を繰り出すので要注意です</v>
      </c>
    </row>
    <row r="13" spans="1:15" ht="57" customHeight="1" x14ac:dyDescent="0.15">
      <c r="A13" s="72" t="s">
        <v>193</v>
      </c>
      <c r="B13" s="123">
        <v>48701</v>
      </c>
      <c r="C13" s="74" t="str">
        <f ca="1">VLOOKUP($B13,OFFSET([2]quests!$A$1,0,0,COUNTA([2]quests!$A:$A),MATCH(C$1,[2]quests!$1:$1,0)-MATCH($B$1,[2]quests!$1:$1,0)+1),MATCH(C$1,[2]quests!$1:$1,0)-MATCH($B$1,[2]quests!$1:$1,0)+1,FALSE)</f>
        <v>M.Dragon襲来！</v>
      </c>
      <c r="D13" s="74" t="str">
        <f ca="1">VLOOKUP($B13,OFFSET([2]quests!$A$1,0,0,COUNTA([2]quests!$A:$A),MATCH(D$1,[2]quests!$1:$1,0)-MATCH($B$1,[2]quests!$1:$1,0)+1),MATCH(D$1,[2]quests!$1:$1,0)-MATCH($B$1,[2]quests!$1:$1,0)+1,FALSE)</f>
        <v>韓国版降臨1</v>
      </c>
      <c r="E13" s="75">
        <v>2</v>
      </c>
      <c r="F13" s="7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3" s="74" t="str">
        <f ca="1">VLOOKUP($B13&amp;"_"&amp;$E13,OFFSET([2]stages!$A$1,0,0,COUNTA([2]stages!$A:$A),MATCH(G$1,[2]stages!$2:$2,0)-MATCH("temp_stage",[2]stages!$2:$2,0)+1),MATCH(G$1,[2]stages!$2:$2,0)-MATCH("temp_stage",[2]stages!$2:$2,0)+1,FALSE)</f>
        <v>韓国版降臨1</v>
      </c>
      <c r="H13" s="76">
        <v>4</v>
      </c>
      <c r="I13" s="81">
        <f t="shared" si="0"/>
        <v>12</v>
      </c>
      <c r="J13" s="77" t="str">
        <f t="shared" si="7"/>
        <v>4870112</v>
      </c>
      <c r="K13" s="75" t="s">
        <v>194</v>
      </c>
      <c r="L13" s="78" t="s">
        <v>248</v>
      </c>
      <c r="M13" s="103" t="s">
        <v>506</v>
      </c>
      <c r="N13" s="50" t="s">
        <v>195</v>
      </c>
      <c r="O13" s="141" t="str">
        <f t="shared" si="8"/>
        <v>１２３４５６７８９０１２３４５６７８９０夢龍の3ゲージ目はHPが半分以下になると_x000D_時限式ダメージパネルが大量に降り始めます_x000D_一気に倒しましょう！</v>
      </c>
    </row>
    <row r="14" spans="1:15" ht="57" customHeight="1" x14ac:dyDescent="0.15">
      <c r="A14" s="72" t="s">
        <v>193</v>
      </c>
      <c r="B14" s="123">
        <v>48701</v>
      </c>
      <c r="C14" s="74" t="str">
        <f ca="1">VLOOKUP($B14,OFFSET([2]quests!$A$1,0,0,COUNTA([2]quests!$A:$A),MATCH(C$1,[2]quests!$1:$1,0)-MATCH($B$1,[2]quests!$1:$1,0)+1),MATCH(C$1,[2]quests!$1:$1,0)-MATCH($B$1,[2]quests!$1:$1,0)+1,FALSE)</f>
        <v>M.Dragon襲来！</v>
      </c>
      <c r="D14" s="74" t="str">
        <f ca="1">VLOOKUP($B14,OFFSET([2]quests!$A$1,0,0,COUNTA([2]quests!$A:$A),MATCH(D$1,[2]quests!$1:$1,0)-MATCH($B$1,[2]quests!$1:$1,0)+1),MATCH(D$1,[2]quests!$1:$1,0)-MATCH($B$1,[2]quests!$1:$1,0)+1,FALSE)</f>
        <v>韓国版降臨1</v>
      </c>
      <c r="E14" s="75">
        <v>2</v>
      </c>
      <c r="F14" s="7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4" s="74" t="str">
        <f ca="1">VLOOKUP($B14&amp;"_"&amp;$E14,OFFSET([2]stages!$A$1,0,0,COUNTA([2]stages!$A:$A),MATCH(G$1,[2]stages!$2:$2,0)-MATCH("temp_stage",[2]stages!$2:$2,0)+1),MATCH(G$1,[2]stages!$2:$2,0)-MATCH("temp_stage",[2]stages!$2:$2,0)+1,FALSE)</f>
        <v>韓国版降臨1</v>
      </c>
      <c r="H14" s="76">
        <v>4</v>
      </c>
      <c r="I14" s="81">
        <f t="shared" si="0"/>
        <v>13</v>
      </c>
      <c r="J14" s="77" t="str">
        <f t="shared" si="7"/>
        <v>4870113</v>
      </c>
      <c r="K14" s="75" t="s">
        <v>194</v>
      </c>
      <c r="L14" s="78" t="s">
        <v>248</v>
      </c>
      <c r="M14" s="103" t="s">
        <v>368</v>
      </c>
      <c r="N14" s="50" t="s">
        <v>195</v>
      </c>
      <c r="O14" s="141" t="str">
        <f t="shared" si="8"/>
        <v>１２３４５６７８９０１２３４５６７８９０夢龍は吸収攻撃を頻繁に使用します_x000D_上手く活用して_x000D_たくさんパネルを繋げましょう</v>
      </c>
    </row>
    <row r="15" spans="1:15" ht="84" x14ac:dyDescent="0.15">
      <c r="A15" s="72" t="s">
        <v>196</v>
      </c>
      <c r="B15" s="123">
        <v>48701</v>
      </c>
      <c r="C15" s="74" t="str">
        <f ca="1">VLOOKUP($B15,OFFSET([2]quests!$A$1,0,0,COUNTA([2]quests!$A:$A),MATCH(C$1,[2]quests!$1:$1,0)-MATCH($B$1,[2]quests!$1:$1,0)+1),MATCH(C$1,[2]quests!$1:$1,0)-MATCH($B$1,[2]quests!$1:$1,0)+1,FALSE)</f>
        <v>M.Dragon襲来！</v>
      </c>
      <c r="D15" s="74" t="str">
        <f ca="1">VLOOKUP($B15,OFFSET([2]quests!$A$1,0,0,COUNTA([2]quests!$A:$A),MATCH(D$1,[2]quests!$1:$1,0)-MATCH($B$1,[2]quests!$1:$1,0)+1),MATCH(D$1,[2]quests!$1:$1,0)-MATCH($B$1,[2]quests!$1:$1,0)+1,FALSE)</f>
        <v>韓国版降臨1</v>
      </c>
      <c r="E15" s="75">
        <v>2</v>
      </c>
      <c r="F15" s="7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5" s="74" t="str">
        <f ca="1">VLOOKUP($B15&amp;"_"&amp;$E15,OFFSET([2]stages!$A$1,0,0,COUNTA([2]stages!$A:$A),MATCH(G$1,[2]stages!$2:$2,0)-MATCH("temp_stage",[2]stages!$2:$2,0)+1),MATCH(G$1,[2]stages!$2:$2,0)-MATCH("temp_stage",[2]stages!$2:$2,0)+1,FALSE)</f>
        <v>韓国版降臨1</v>
      </c>
      <c r="H15" s="76">
        <v>0</v>
      </c>
      <c r="I15" s="81">
        <f t="shared" si="0"/>
        <v>14</v>
      </c>
      <c r="J15" s="77" t="str">
        <f t="shared" si="7"/>
        <v>4870114</v>
      </c>
      <c r="K15" s="75" t="s">
        <v>194</v>
      </c>
      <c r="L15" s="78" t="s">
        <v>377</v>
      </c>
      <c r="M15" s="103" t="s">
        <v>380</v>
      </c>
      <c r="N15" s="50" t="s">
        <v>195</v>
      </c>
      <c r="O15" s="141" t="str">
        <f t="shared" si="8"/>
        <v>１２３４５６７８９０１２３４５６７８９０春香と夢龍はどちらも_x000D_ALICEの中心から離れたサーバーで地道に_x000D_個人放送を運営する名も無きアイドルでした_x000D_同じ境遇の二人が運命的に出会い_x000D_恋人同士になりました</v>
      </c>
    </row>
    <row r="16" spans="1:15" ht="84" x14ac:dyDescent="0.15">
      <c r="A16" s="72" t="s">
        <v>383</v>
      </c>
      <c r="B16" s="123">
        <v>48701</v>
      </c>
      <c r="C16" s="74" t="str">
        <f ca="1">VLOOKUP($B16,OFFSET([2]quests!$A$1,0,0,COUNTA([2]quests!$A:$A),MATCH(C$1,[2]quests!$1:$1,0)-MATCH($B$1,[2]quests!$1:$1,0)+1),MATCH(C$1,[2]quests!$1:$1,0)-MATCH($B$1,[2]quests!$1:$1,0)+1,FALSE)</f>
        <v>M.Dragon襲来！</v>
      </c>
      <c r="D16" s="74" t="str">
        <f ca="1">VLOOKUP($B16,OFFSET([2]quests!$A$1,0,0,COUNTA([2]quests!$A:$A),MATCH(D$1,[2]quests!$1:$1,0)-MATCH($B$1,[2]quests!$1:$1,0)+1),MATCH(D$1,[2]quests!$1:$1,0)-MATCH($B$1,[2]quests!$1:$1,0)+1,FALSE)</f>
        <v>韓国版降臨1</v>
      </c>
      <c r="E16" s="75">
        <v>2</v>
      </c>
      <c r="F16" s="7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6" s="74" t="str">
        <f ca="1">VLOOKUP($B16&amp;"_"&amp;$E16,OFFSET([2]stages!$A$1,0,0,COUNTA([2]stages!$A:$A),MATCH(G$1,[2]stages!$2:$2,0)-MATCH("temp_stage",[2]stages!$2:$2,0)+1),MATCH(G$1,[2]stages!$2:$2,0)-MATCH("temp_stage",[2]stages!$2:$2,0)+1,FALSE)</f>
        <v>韓国版降臨1</v>
      </c>
      <c r="H16" s="76">
        <v>0</v>
      </c>
      <c r="I16" s="81">
        <f t="shared" si="0"/>
        <v>15</v>
      </c>
      <c r="J16" s="77" t="str">
        <f t="shared" si="7"/>
        <v>4870115</v>
      </c>
      <c r="K16" s="75" t="s">
        <v>194</v>
      </c>
      <c r="L16" s="78" t="s">
        <v>378</v>
      </c>
      <c r="M16" s="103" t="s">
        <v>381</v>
      </c>
      <c r="N16" s="50" t="s">
        <v>195</v>
      </c>
      <c r="O16" s="141" t="str">
        <f t="shared" si="8"/>
        <v>１２３４５６７８９０１２３４５６７８９０幸せに暮らしていた春香と夢龍ですが_x000D_ALICEのトップアイドルになるという野心を_x000D_捨て切れなかった夢龍はALICE中心に向かい_x000D_春香にこう約束しました_x000D_「いつか君を迎えにくる」</v>
      </c>
    </row>
    <row r="17" spans="1:15" ht="84" x14ac:dyDescent="0.15">
      <c r="A17" s="72" t="s">
        <v>196</v>
      </c>
      <c r="B17" s="123">
        <v>48701</v>
      </c>
      <c r="C17" s="74" t="str">
        <f ca="1">VLOOKUP($B17,OFFSET([2]quests!$A$1,0,0,COUNTA([2]quests!$A:$A),MATCH(C$1,[2]quests!$1:$1,0)-MATCH($B$1,[2]quests!$1:$1,0)+1),MATCH(C$1,[2]quests!$1:$1,0)-MATCH($B$1,[2]quests!$1:$1,0)+1,FALSE)</f>
        <v>M.Dragon襲来！</v>
      </c>
      <c r="D17" s="74" t="str">
        <f ca="1">VLOOKUP($B17,OFFSET([2]quests!$A$1,0,0,COUNTA([2]quests!$A:$A),MATCH(D$1,[2]quests!$1:$1,0)-MATCH($B$1,[2]quests!$1:$1,0)+1),MATCH(D$1,[2]quests!$1:$1,0)-MATCH($B$1,[2]quests!$1:$1,0)+1,FALSE)</f>
        <v>韓国版降臨1</v>
      </c>
      <c r="E17" s="75">
        <v>2</v>
      </c>
      <c r="F17" s="7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【ウィザード級】M.Dragon襲来</v>
      </c>
      <c r="G17" s="74" t="str">
        <f ca="1">VLOOKUP($B17&amp;"_"&amp;$E17,OFFSET([2]stages!$A$1,0,0,COUNTA([2]stages!$A:$A),MATCH(G$1,[2]stages!$2:$2,0)-MATCH("temp_stage",[2]stages!$2:$2,0)+1),MATCH(G$1,[2]stages!$2:$2,0)-MATCH("temp_stage",[2]stages!$2:$2,0)+1,FALSE)</f>
        <v>韓国版降臨1</v>
      </c>
      <c r="H17" s="76">
        <v>0</v>
      </c>
      <c r="I17" s="81">
        <f t="shared" si="0"/>
        <v>16</v>
      </c>
      <c r="J17" s="77" t="str">
        <f t="shared" si="7"/>
        <v>4870116</v>
      </c>
      <c r="K17" s="75" t="s">
        <v>194</v>
      </c>
      <c r="L17" s="78" t="s">
        <v>379</v>
      </c>
      <c r="M17" s="103" t="s">
        <v>382</v>
      </c>
      <c r="N17" s="50" t="s">
        <v>195</v>
      </c>
      <c r="O17" s="141" t="str">
        <f t="shared" si="8"/>
        <v>１２３４５６７８９０１２３４５６７８９０夢龍は自分の事をALICE一番のイケメンだと_x000D_思っているナルシストです_x000D_春香は考えより行動が先に出るような_x000D_短気な性格です_x000D_二人はトップアイドルになれるのでしょうか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F5" sqref="F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5" t="s">
        <v>208</v>
      </c>
      <c r="B1" s="86" t="s">
        <v>209</v>
      </c>
      <c r="C1" s="68" t="s">
        <v>210</v>
      </c>
      <c r="D1" s="68" t="s">
        <v>33</v>
      </c>
      <c r="E1" s="86" t="s">
        <v>211</v>
      </c>
      <c r="F1" s="68" t="s">
        <v>212</v>
      </c>
      <c r="G1" s="68" t="s">
        <v>33</v>
      </c>
      <c r="H1" s="86" t="s">
        <v>213</v>
      </c>
      <c r="I1" s="86" t="s">
        <v>214</v>
      </c>
      <c r="J1" s="86" t="s">
        <v>215</v>
      </c>
      <c r="K1" s="64" t="s">
        <v>216</v>
      </c>
      <c r="L1" s="64" t="s">
        <v>217</v>
      </c>
      <c r="M1" s="64" t="s">
        <v>154</v>
      </c>
      <c r="N1" s="68" t="s">
        <v>16</v>
      </c>
      <c r="O1" s="64" t="s">
        <v>218</v>
      </c>
      <c r="P1" s="64" t="s">
        <v>57</v>
      </c>
      <c r="Q1" s="64" t="s">
        <v>219</v>
      </c>
      <c r="R1" s="64" t="s">
        <v>38</v>
      </c>
      <c r="S1" s="64" t="s">
        <v>40</v>
      </c>
      <c r="T1" s="64" t="s">
        <v>42</v>
      </c>
      <c r="U1" s="64" t="s">
        <v>44</v>
      </c>
      <c r="V1" s="64" t="s">
        <v>46</v>
      </c>
      <c r="W1" s="64" t="s">
        <v>220</v>
      </c>
      <c r="X1" s="64" t="s">
        <v>221</v>
      </c>
    </row>
    <row r="2" spans="1:24" x14ac:dyDescent="0.15">
      <c r="A2" s="87" t="str">
        <f>B2&amp;"_"&amp;E2&amp;"_"&amp;H2&amp;"_"&amp;I2&amp;"_"&amp;J2</f>
        <v>48701_2_everyone_no_continue_1</v>
      </c>
      <c r="B2" s="73">
        <v>48701</v>
      </c>
      <c r="C2" s="74" t="str">
        <f ca="1">VLOOKUP($B2,OFFSET([2]quests!$A$1,0,0,COUNTA([2]quests!$A:$A),MATCH(C$1,[2]quests!$1:$1,0)-MATCH($B$1,[2]quests!$1:$1,0)+1),MATCH(C$1,[2]quests!$1:$1,0)-MATCH($B$1,[2]quests!$1:$1,0)+1,FALSE)</f>
        <v>M.Dragon襲来！</v>
      </c>
      <c r="D2" s="74" t="str">
        <f ca="1">VLOOKUP($B2,OFFSET([2]quests!$A$1,0,0,COUNTA([2]quests!$A:$A),MATCH(D$1,[2]quests!$1:$1,0)-MATCH($B$1,[2]quests!$1:$1,0)+1),MATCH(D$1,[2]quests!$1:$1,0)-MATCH($B$1,[2]quests!$1:$1,0)+1,FALSE)</f>
        <v>韓国版降臨1</v>
      </c>
      <c r="E2" s="75">
        <v>2</v>
      </c>
      <c r="F2" s="7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【ウィザード級】M.Dragon襲来</v>
      </c>
      <c r="G2" s="74" t="str">
        <f ca="1">VLOOKUP($B2&amp;"_"&amp;$E2,OFFSET([2]stages!$A$1,0,0,COUNTA([2]stages!$A:$A),MATCH(G$1,[2]stages!$2:$2,0)-MATCH("temp_stage",[2]stages!$2:$2,0)+1),MATCH(G$1,[2]stages!$2:$2,0)-MATCH("temp_stage",[2]stages!$2:$2,0)+1,FALSE)</f>
        <v>韓国版降臨1</v>
      </c>
      <c r="H2" s="76" t="s">
        <v>460</v>
      </c>
      <c r="I2" s="224" t="s">
        <v>461</v>
      </c>
      <c r="J2" s="75">
        <v>1</v>
      </c>
      <c r="K2" s="75">
        <v>1000</v>
      </c>
      <c r="L2" s="75" t="s">
        <v>222</v>
      </c>
      <c r="M2" s="225">
        <v>9003</v>
      </c>
      <c r="N2" s="8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夢龍</v>
      </c>
      <c r="O2" s="75">
        <v>1</v>
      </c>
      <c r="P2" s="75">
        <v>1</v>
      </c>
      <c r="Q2" s="75">
        <v>1</v>
      </c>
      <c r="R2" s="75">
        <v>0</v>
      </c>
      <c r="S2" s="75">
        <v>0</v>
      </c>
      <c r="T2" s="75">
        <v>0</v>
      </c>
      <c r="U2" s="75">
        <v>0</v>
      </c>
      <c r="V2" s="75">
        <v>1</v>
      </c>
      <c r="W2" s="89" t="s">
        <v>223</v>
      </c>
      <c r="X2" s="90" t="s">
        <v>224</v>
      </c>
    </row>
    <row r="3" spans="1:24" x14ac:dyDescent="0.15">
      <c r="A3" s="87" t="str">
        <f>B3&amp;"_"&amp;E3&amp;"_"&amp;H3&amp;"_"&amp;I3&amp;"_"&amp;J3</f>
        <v>48701_2_everyone_full_member_2</v>
      </c>
      <c r="B3" s="73">
        <v>48701</v>
      </c>
      <c r="C3" s="74" t="str">
        <f ca="1">VLOOKUP($B3,OFFSET([2]quests!$A$1,0,0,COUNTA([2]quests!$A:$A),MATCH(C$1,[2]quests!$1:$1,0)-MATCH($B$1,[2]quests!$1:$1,0)+1),MATCH(C$1,[2]quests!$1:$1,0)-MATCH($B$1,[2]quests!$1:$1,0)+1,FALSE)</f>
        <v>M.Dragon襲来！</v>
      </c>
      <c r="D3" s="74" t="str">
        <f ca="1">VLOOKUP($B3,OFFSET([2]quests!$A$1,0,0,COUNTA([2]quests!$A:$A),MATCH(D$1,[2]quests!$1:$1,0)-MATCH($B$1,[2]quests!$1:$1,0)+1),MATCH(D$1,[2]quests!$1:$1,0)-MATCH($B$1,[2]quests!$1:$1,0)+1,FALSE)</f>
        <v>韓国版降臨1</v>
      </c>
      <c r="E3" s="75">
        <v>2</v>
      </c>
      <c r="F3" s="7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【ウィザード級】M.Dragon襲来</v>
      </c>
      <c r="G3" s="74" t="str">
        <f ca="1">VLOOKUP($B3&amp;"_"&amp;$E3,OFFSET([2]stages!$A$1,0,0,COUNTA([2]stages!$A:$A),MATCH(G$1,[2]stages!$2:$2,0)-MATCH("temp_stage",[2]stages!$2:$2,0)+1),MATCH(G$1,[2]stages!$2:$2,0)-MATCH("temp_stage",[2]stages!$2:$2,0)+1,FALSE)</f>
        <v>韓国版降臨1</v>
      </c>
      <c r="H3" s="76" t="s">
        <v>460</v>
      </c>
      <c r="I3" s="226" t="s">
        <v>462</v>
      </c>
      <c r="J3" s="75">
        <v>2</v>
      </c>
      <c r="K3" s="75">
        <v>1000</v>
      </c>
      <c r="L3" s="75" t="s">
        <v>222</v>
      </c>
      <c r="M3" s="225">
        <v>9003</v>
      </c>
      <c r="N3" s="8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夢龍</v>
      </c>
      <c r="O3" s="75">
        <v>1</v>
      </c>
      <c r="P3" s="75">
        <v>1</v>
      </c>
      <c r="Q3" s="75">
        <v>1</v>
      </c>
      <c r="R3" s="75">
        <v>0</v>
      </c>
      <c r="S3" s="75">
        <v>0</v>
      </c>
      <c r="T3" s="75">
        <v>0</v>
      </c>
      <c r="U3" s="75">
        <v>0</v>
      </c>
      <c r="V3" s="75">
        <v>1</v>
      </c>
      <c r="W3" s="89" t="s">
        <v>223</v>
      </c>
      <c r="X3" s="90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2017-03-22T03:59:11Z</dcterms:modified>
</cp:coreProperties>
</file>