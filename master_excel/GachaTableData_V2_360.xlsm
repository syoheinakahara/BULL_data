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60010" sheetId="157" r:id="rId4"/>
    <sheet name="tables_360010" sheetId="158" r:id="rId5"/>
    <sheet name="input_360100" sheetId="153" r:id="rId6"/>
    <sheet name="tables_360100" sheetId="154" r:id="rId7"/>
    <sheet name="tables_settle_360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tables_360010!$A$1:$V$283</definedName>
    <definedName name="_xlnm._FilterDatabase" localSheetId="6" hidden="1">tables_360100!$A$1:$V$283</definedName>
    <definedName name="_xlnm._FilterDatabase" localSheetId="7" hidden="1">tables_settle_360100!$A$1:$V$7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8" i="153" l="1"/>
  <c r="N7" i="153"/>
  <c r="N6" i="153"/>
  <c r="N5" i="153"/>
  <c r="N8" i="157"/>
  <c r="N7" i="157"/>
  <c r="N6" i="157"/>
  <c r="N5" i="157"/>
  <c r="O7" i="156"/>
  <c r="O6" i="156"/>
  <c r="O5" i="156"/>
  <c r="O4" i="156"/>
  <c r="O3" i="156"/>
  <c r="O2" i="156"/>
  <c r="P2" i="156"/>
  <c r="P3" i="156"/>
  <c r="P4" i="156"/>
  <c r="P5" i="156"/>
  <c r="P6" i="156"/>
  <c r="P7" i="156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F6" i="157"/>
  <c r="E6" i="157"/>
  <c r="I287" i="154"/>
  <c r="D287" i="154"/>
  <c r="J287" i="154"/>
  <c r="E287" i="154"/>
  <c r="F287" i="154"/>
  <c r="C287" i="154"/>
  <c r="H287" i="154"/>
  <c r="K287" i="154"/>
  <c r="L287" i="154"/>
  <c r="M287" i="154"/>
  <c r="N287" i="154"/>
  <c r="A2" i="153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8" i="153"/>
  <c r="B28" i="153"/>
  <c r="E29" i="153"/>
  <c r="B29" i="153"/>
  <c r="B10" i="153"/>
  <c r="E6" i="153"/>
  <c r="E21" i="153"/>
  <c r="B21" i="153"/>
  <c r="B23" i="153"/>
  <c r="G23" i="153"/>
  <c r="E23" i="153"/>
  <c r="H23" i="153"/>
  <c r="R6" i="153"/>
  <c r="O287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R3" i="153"/>
  <c r="O284" i="154"/>
  <c r="R4" i="153"/>
  <c r="O285" i="154"/>
  <c r="R5" i="153"/>
  <c r="O286" i="154"/>
  <c r="R7" i="153"/>
  <c r="O288" i="154"/>
  <c r="R8" i="153"/>
  <c r="O289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A2" i="157"/>
  <c r="A285" i="158"/>
  <c r="F285" i="158"/>
  <c r="H285" i="158"/>
  <c r="K285" i="158"/>
  <c r="L285" i="158"/>
  <c r="M285" i="158"/>
  <c r="N285" i="158"/>
  <c r="F286" i="158"/>
  <c r="F287" i="158"/>
  <c r="F288" i="158"/>
  <c r="F289" i="158"/>
  <c r="F5" i="157"/>
  <c r="A36" i="157"/>
  <c r="R4" i="157"/>
  <c r="O285" i="158"/>
  <c r="F28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5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R3" i="157"/>
  <c r="O284" i="158"/>
  <c r="R5" i="157"/>
  <c r="O286" i="158"/>
  <c r="R6" i="157"/>
  <c r="O287" i="158"/>
  <c r="R7" i="157"/>
  <c r="O288" i="158"/>
  <c r="R8" i="157"/>
  <c r="O289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F284" i="154"/>
  <c r="F285" i="154"/>
  <c r="F286" i="154"/>
  <c r="B6" i="157"/>
  <c r="B5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E31" i="157"/>
  <c r="G31" i="157"/>
  <c r="H31" i="157"/>
  <c r="B10" i="157"/>
  <c r="E30" i="157"/>
  <c r="G30" i="157"/>
  <c r="H30" i="157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F7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J7" i="156"/>
  <c r="E7" i="156"/>
  <c r="C7" i="156"/>
  <c r="N7" i="156"/>
  <c r="M7" i="156"/>
  <c r="L7" i="156"/>
  <c r="K7" i="156"/>
  <c r="H7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<sst xmlns="http://schemas.openxmlformats.org/spreadsheetml/2006/main" count="553" uniqueCount="266">
  <si>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</si>
  <si>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</si>
  <si>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</si>
  <si>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</si>
  <si>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</si>
  <si>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</si>
  <si>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</si>
  <si>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</si>
  <si>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</si>
  <si>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</si>
  <si>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</si>
  <si>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</si>
  <si>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</si>
  <si>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</si>
  <si>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</si>
  <si>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</si>
  <si>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</si>
  <si>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</si>
  <si>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</si>
  <si>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</si>
  <si>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</si>
  <si>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</si>
  <si>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</si>
  <si>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</si>
  <si>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</si>
  <si>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</si>
  <si>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</si>
  <si>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</si>
  <si>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</si>
  <si>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</si>
  <si>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</si>
  <si>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</si>
  <si>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</si>
  <si>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</si>
  <si>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</si>
  <si>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</si>
  <si>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</si>
  <si>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</si>
  <si>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</si>
  <si>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</si>
  <si>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</si>
  <si>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</si>
  <si>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</si>
  <si>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</si>
  <si>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</si>
  <si>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</si>
  <si>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</si>
  <si>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</si>
  <si>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</si>
  <si>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</si>
  <si>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</si>
  <si>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</si>
  <si>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</si>
  <si>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</si>
  <si>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</si>
  <si>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</si>
  <si>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</si>
  <si>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</si>
  <si>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</si>
  <si>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</si>
  <si>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</si>
  <si>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</si>
  <si>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</si>
  <si>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</si>
  <si>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</si>
  <si>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</si>
  <si>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</si>
  <si>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</si>
  <si>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</si>
  <si>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</si>
  <si>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</si>
  <si>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</si>
  <si>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</si>
  <si>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</si>
  <si>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</si>
  <si>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</si>
  <si>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</si>
  <si>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</si>
  <si>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</si>
  <si>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</si>
  <si>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</si>
  <si>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</si>
  <si>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</si>
  <si>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</si>
  <si>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</si>
  <si>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</si>
  <si>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</si>
  <si>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</si>
  <si>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</si>
  <si>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</si>
  <si>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</si>
  <si>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</si>
  <si>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</si>
  <si>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</si>
  <si>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</si>
  <si>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</si>
  <si>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</si>
  <si>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</si>
  <si>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</si>
  <si>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</si>
  <si>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</si>
  <si>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</si>
  <si>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</si>
  <si>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</si>
  <si>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</si>
  <si>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</si>
  <si>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</si>
  <si>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</si>
  <si>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</si>
  <si>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</si>
  <si>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</si>
  <si>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</si>
  <si>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</si>
  <si>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</si>
  <si>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</si>
  <si>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</si>
  <si>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</si>
  <si>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</si>
  <si>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</si>
  <si>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</si>
  <si>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</si>
  <si>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</si>
  <si>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</si>
  <si>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</si>
  <si>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</si>
  <si>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</si>
  <si>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</si>
  <si>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</si>
  <si>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</si>
  <si>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</si>
  <si>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</si>
  <si>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</si>
  <si>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</si>
  <si>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</si>
  <si>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</si>
  <si>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</si>
  <si>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</si>
  <si>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</si>
  <si>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</si>
  <si>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</si>
  <si>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</si>
  <si>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</si>
  <si>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</si>
  <si>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</si>
  <si>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</si>
  <si>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</si>
  <si>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</si>
  <si>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</si>
  <si>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</si>
  <si>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</si>
  <si>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</si>
  <si>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</si>
  <si>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</si>
  <si>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</si>
  <si>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</si>
  <si>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</si>
  <si>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</si>
  <si>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</si>
  <si>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</si>
  <si>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</si>
  <si>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</si>
  <si>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</si>
  <si>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</si>
  <si>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</si>
  <si>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</si>
  <si>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</si>
  <si>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</si>
  <si>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</si>
  <si>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</si>
  <si>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</si>
  <si>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</si>
  <si>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</si>
  <si>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</si>
  <si>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</si>
  <si>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</si>
  <si>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</si>
  <si>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</si>
  <si>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</si>
  <si>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</si>
  <si>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</si>
  <si>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</si>
  <si>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</si>
  <si>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</si>
  <si>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</si>
  <si>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</si>
  <si>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</si>
  <si>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</si>
  <si>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</si>
  <si>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</si>
  <si>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</si>
  <si>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</si>
  <si>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</si>
  <si>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</si>
  <si>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</si>
  <si>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</si>
  <si>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</si>
  <si>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</si>
  <si>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</si>
  <si>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</si>
  <si>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</si>
  <si>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</si>
  <si>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</si>
  <si>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</si>
  <si>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</si>
  <si>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</si>
  <si>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</si>
  <si>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</si>
  <si>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</si>
  <si>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</si>
  <si>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</si>
  <si>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</si>
  <si>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</si>
  <si>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</si>
  <si>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</si>
  <si>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</si>
  <si>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</si>
  <si>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</si>
  <si>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</si>
  <si>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</si>
  <si>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</si>
  <si>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</si>
  <si>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</si>
  <si>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</si>
  <si>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</si>
  <si>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</si>
  <si>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</si>
  <si>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</si>
  <si>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</si>
  <si>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</si>
  <si>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</si>
  <si>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</si>
  <si>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</si>
  <si>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</si>
  <si>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</si>
  <si>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</si>
  <si>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</si>
  <si>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</si>
  <si>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</si>
  <si>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</si>
  <si>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</si>
  <si>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</si>
  <si>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</si>
  <si>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</si>
  <si>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</si>
  <si>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</si>
  <si>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</si>
  <si>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</si>
  <si>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tables_358104</t>
    <phoneticPr fontId="21"/>
  </si>
  <si>
    <t>tables_358105</t>
    <phoneticPr fontId="21"/>
  </si>
  <si>
    <t>tables_358100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</si>
  <si>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</si>
  <si>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</si>
  <si>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</si>
  <si>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</si>
  <si>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</si>
  <si>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</si>
  <si>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</si>
  <si>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</si>
  <si>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tables_360100</t>
    <phoneticPr fontId="21"/>
  </si>
  <si>
    <t>tables_360010</t>
    <phoneticPr fontId="21"/>
  </si>
  <si>
    <t>tables_settle_360100</t>
    <phoneticPr fontId="21"/>
  </si>
  <si>
    <t>通常確率</t>
    <phoneticPr fontId="21"/>
  </si>
  <si>
    <t>通常確率</t>
    <phoneticPr fontId="21"/>
  </si>
  <si>
    <t>360100</t>
    <phoneticPr fontId="21"/>
  </si>
  <si>
    <t>old</t>
    <phoneticPr fontId="21"/>
  </si>
  <si>
    <t>skip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</si>
</sst>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6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5" fillId="25" borderId="0" xfId="0" applyFont="1" applyFill="1" applyBorder="1" applyAlignment="1">
      <alignment horizontal="right" vertical="center"/>
    </xf>
    <xf numFmtId="0" fontId="2" fillId="0" borderId="1" xfId="3036" applyFont="1" applyBorder="1"/>
    <xf numFmtId="10" fontId="0" fillId="4" borderId="0" xfId="0" applyNumberFormat="1" applyFill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シュレディンガー_水着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フェンリル_水着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オイラー_水着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ケツァクアトル_水着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メビウス_水着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ルキフグス_水着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ファラデー_水着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バルドル_水着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麒麟_水着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麒麟_水着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3" sqref="A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265</v>
      </c>
      <c r="B2" s="61" t="s">
        <v>110</v>
      </c>
      <c r="C2" s="50" t="str">
        <f t="shared" ref="C2" si="0">RIGHT(F2,6)</f>
        <v>360100</v>
      </c>
      <c r="D2" s="19" t="s">
        <v>45</v>
      </c>
      <c r="E2" s="17" t="str">
        <f t="shared" ref="E2" si="1">B2&amp;C2&amp;D2</f>
        <v>gacha_select_tables_360100.tmp</v>
      </c>
      <c r="F2" s="91" t="s">
        <v>258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264</v>
      </c>
      <c r="B3" s="61" t="s">
        <v>110</v>
      </c>
      <c r="C3" s="50" t="str">
        <f t="shared" ref="C3:C7" si="2">RIGHT(F3,6)</f>
        <v>360010</v>
      </c>
      <c r="D3" s="19" t="s">
        <v>45</v>
      </c>
      <c r="E3" s="17" t="str">
        <f t="shared" ref="E3:E10" si="3">B3&amp;C3&amp;D3</f>
        <v>gacha_select_tables_360010.tmp</v>
      </c>
      <c r="F3" s="91" t="s">
        <v>259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264</v>
      </c>
      <c r="B4" s="77" t="s">
        <v>213</v>
      </c>
      <c r="C4" s="50" t="str">
        <f t="shared" si="2"/>
        <v>360100</v>
      </c>
      <c r="D4" s="19" t="s">
        <v>45</v>
      </c>
      <c r="E4" s="17" t="str">
        <f t="shared" ref="E4:E7" si="4">B4&amp;C4&amp;D4</f>
        <v>gacha_settle_tables_360100.tmp</v>
      </c>
      <c r="F4" s="91" t="s">
        <v>260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257</v>
      </c>
      <c r="B5" s="61" t="s">
        <v>110</v>
      </c>
      <c r="C5" s="50" t="str">
        <f t="shared" si="2"/>
        <v>358104</v>
      </c>
      <c r="D5" s="19" t="s">
        <v>45</v>
      </c>
      <c r="E5" s="17" t="str">
        <f t="shared" si="4"/>
        <v>gacha_select_tables_358104.tmp</v>
      </c>
      <c r="F5" s="89" t="s">
        <v>247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0" t="s">
        <v>257</v>
      </c>
      <c r="B6" s="61" t="s">
        <v>110</v>
      </c>
      <c r="C6" s="50" t="str">
        <f t="shared" ref="C6" si="5">RIGHT(F6,6)</f>
        <v>358105</v>
      </c>
      <c r="D6" s="19" t="s">
        <v>45</v>
      </c>
      <c r="E6" s="17" t="str">
        <f t="shared" ref="E6" si="6">B6&amp;C6&amp;D6</f>
        <v>gacha_select_tables_358105.tmp</v>
      </c>
      <c r="F6" s="89" t="s">
        <v>248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0" t="s">
        <v>257</v>
      </c>
      <c r="B7" s="61" t="s">
        <v>110</v>
      </c>
      <c r="C7" s="50" t="str">
        <f t="shared" si="2"/>
        <v>358100</v>
      </c>
      <c r="D7" s="19" t="s">
        <v>45</v>
      </c>
      <c r="E7" s="17" t="str">
        <f t="shared" si="4"/>
        <v>gacha_select_tables_358100.tmp</v>
      </c>
      <c r="F7" s="89" t="s">
        <v>249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257</v>
      </c>
      <c r="B8" s="27" t="s">
        <v>50</v>
      </c>
      <c r="C8" s="32">
        <v>358</v>
      </c>
      <c r="D8" s="19" t="s">
        <v>46</v>
      </c>
      <c r="E8" s="17" t="str">
        <f t="shared" si="3"/>
        <v>gacha_bonus_tables_358.tmp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257</v>
      </c>
      <c r="B9" s="19" t="s">
        <v>48</v>
      </c>
      <c r="C9" s="32">
        <v>358</v>
      </c>
      <c r="D9" s="19" t="s">
        <v>46</v>
      </c>
      <c r="E9" s="17" t="str">
        <f t="shared" si="3"/>
        <v>gifts_tmp_358.tmp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257</v>
      </c>
      <c r="B10" s="19" t="s">
        <v>49</v>
      </c>
      <c r="C10" s="32">
        <v>358</v>
      </c>
      <c r="D10" s="19" t="s">
        <v>46</v>
      </c>
      <c r="E10" s="17" t="str">
        <f t="shared" si="3"/>
        <v>gifts_i18n_358.tmp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H5" sqref="H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742</v>
      </c>
      <c r="M3" s="37" t="str">
        <f>VLOOKUP(L3,[1]characters!$A:$C,3,FALSE)</f>
        <v>アポロン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VLOOKUP(L3,tables_360010!B:C,2,FALSE)</f>
        <v>PremiumSS5R5only</v>
      </c>
      <c r="R3" s="62">
        <f t="shared" ref="R3:R20" si="1">N3*A$36</f>
        <v>59280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744</v>
      </c>
      <c r="M4" s="37" t="str">
        <f>VLOOKUP(L4,[1]characters!$A:$C,3,FALSE)</f>
        <v>ヘルメス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VLOOKUP(L4,tables_360010!B:C,2,FALSE)</f>
        <v>PremiumSS5R5only</v>
      </c>
      <c r="R4" s="62">
        <f t="shared" si="1"/>
        <v>59280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2.6315789473684205E-4</v>
      </c>
      <c r="F5">
        <f>(COUNTIF(tables_360010!C:C,input_360010!A26)+COUNTIF(tables_360010!C:C,input_360010!A28)+COUNTIF(tables_360010!C:C,input_360010!A29))</f>
        <v>40</v>
      </c>
      <c r="H5" s="85">
        <v>0.02</v>
      </c>
      <c r="I5" s="31">
        <v>2</v>
      </c>
      <c r="L5" s="60">
        <v>746</v>
      </c>
      <c r="M5" s="37" t="str">
        <f>VLOOKUP(L5,[1]characters!$A:$C,3,FALSE)</f>
        <v>ノルン</v>
      </c>
      <c r="N5" s="63">
        <f>0.012*0.95</f>
        <v>1.14E-2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VLOOKUP(L5,tables_360010!B:C,2,FALSE)</f>
        <v>Premium4R3less</v>
      </c>
      <c r="R5" s="62">
        <f t="shared" si="1"/>
        <v>67579.199999999997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1.2128205128205128E-2</v>
      </c>
      <c r="F6">
        <f>(COUNTIF(tables_360010!C:C,input_360010!A18)+COUNTIF(tables_360010!C:C,input_360010!A20)+COUNTIF(tables_360010!C:C,input_360010!A22))</f>
        <v>80</v>
      </c>
      <c r="H6" s="94">
        <v>2.4E-2</v>
      </c>
      <c r="I6" s="31">
        <v>2</v>
      </c>
      <c r="L6" s="60">
        <v>747</v>
      </c>
      <c r="M6" s="37" t="str">
        <f>VLOOKUP(L6,[1]characters!$A:$C,3,FALSE)</f>
        <v>潔碧の巡励神 ノルン</v>
      </c>
      <c r="N6" s="63">
        <f>0.012*0.05</f>
        <v>6.0000000000000006E-4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VLOOKUP(L6,tables_360010!B:C,2,FALSE)</f>
        <v>Premium5R3less</v>
      </c>
      <c r="R6" s="62">
        <f t="shared" si="1"/>
        <v>3556.8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748</v>
      </c>
      <c r="M7" s="37" t="str">
        <f>VLOOKUP(L7,[1]characters!$A:$C,3,FALSE)</f>
        <v>パーン</v>
      </c>
      <c r="N7" s="63">
        <f>0.012*0.95</f>
        <v>1.14E-2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VLOOKUP(L7,tables_360010!B:C,2,FALSE)</f>
        <v>Premium4R3less</v>
      </c>
      <c r="R7" s="62">
        <f t="shared" si="1"/>
        <v>67579.199999999997</v>
      </c>
      <c r="S7">
        <v>597</v>
      </c>
      <c r="U7" s="33" t="s">
        <v>196</v>
      </c>
      <c r="V7" s="54">
        <f t="shared" si="0"/>
        <v>2.2800000000000001E-2</v>
      </c>
    </row>
    <row r="8" spans="1:22" x14ac:dyDescent="0.15">
      <c r="A8" s="57"/>
      <c r="B8" s="71"/>
      <c r="E8" s="76"/>
      <c r="L8" s="60">
        <v>749</v>
      </c>
      <c r="M8" s="37" t="str">
        <f>VLOOKUP(L8,[1]characters!$A:$C,3,FALSE)</f>
        <v>光喜の牧童 パーン</v>
      </c>
      <c r="N8" s="63">
        <f>0.012*0.05</f>
        <v>6.0000000000000006E-4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VLOOKUP(L8,tables_360010!B:C,2,FALSE)</f>
        <v>Premium5R3less</v>
      </c>
      <c r="R8" s="62">
        <f t="shared" si="1"/>
        <v>3556.8</v>
      </c>
      <c r="S8">
        <v>598</v>
      </c>
      <c r="U8" s="33" t="s">
        <v>197</v>
      </c>
      <c r="V8" s="54">
        <f t="shared" si="0"/>
        <v>1.2000000000000001E-3</v>
      </c>
    </row>
    <row r="9" spans="1:22" x14ac:dyDescent="0.15">
      <c r="A9" s="35" t="s">
        <v>54</v>
      </c>
      <c r="B9" s="35"/>
      <c r="L9" s="92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92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262</v>
      </c>
      <c r="L11" s="92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0.18414035087719297</v>
      </c>
      <c r="C17" s="86">
        <f t="shared" ref="C17:C31" si="2">SUMIF(Q:Q,A17,N:N)</f>
        <v>0</v>
      </c>
      <c r="D17" s="74">
        <f t="shared" ref="D17:D32" si="3">B17-C17</f>
        <v>0.18414035087719297</v>
      </c>
      <c r="E17">
        <f>COUNTIF(tables_360010!C:C,input_360010!A17)-COUNTIF(Q:Q,A17)</f>
        <v>20</v>
      </c>
      <c r="F17" s="43">
        <f>IFERROR(B17/E17,0)</f>
        <v>9.2070175438596479E-3</v>
      </c>
      <c r="G17">
        <f t="shared" ref="G17:G31" si="4">A$36*B17</f>
        <v>1091584</v>
      </c>
      <c r="H17">
        <f t="shared" ref="H17:H31" si="5">IFERROR(ROUND(G17/E17,5),0)</f>
        <v>54579.199999999997</v>
      </c>
      <c r="I17">
        <f t="shared" ref="I17:I31" si="6">MOD(H17,1)</f>
        <v>0.19999999999708962</v>
      </c>
      <c r="J17">
        <f t="shared" ref="J17:J31" si="7">IFERROR(1/I17,1)</f>
        <v>5.0000000000727596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5.8423751686909609E-2</v>
      </c>
      <c r="C18" s="86">
        <f t="shared" si="2"/>
        <v>0</v>
      </c>
      <c r="D18" s="74">
        <f t="shared" si="3"/>
        <v>5.8423751686909609E-2</v>
      </c>
      <c r="E18">
        <f>COUNTIF(tables_360010!C:C,input_360010!A18)-COUNTIF(Q:Q,A18)</f>
        <v>20</v>
      </c>
      <c r="F18" s="43">
        <f>IFERROR(B18/E18,0)</f>
        <v>2.9211875843454804E-3</v>
      </c>
      <c r="G18">
        <f t="shared" si="4"/>
        <v>346336.00000000017</v>
      </c>
      <c r="H18">
        <f t="shared" si="5"/>
        <v>17316.8</v>
      </c>
      <c r="I18">
        <f t="shared" si="6"/>
        <v>0.7999999999992724</v>
      </c>
      <c r="J18">
        <f t="shared" si="7"/>
        <v>1.2500000000011369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0.31533333333333335</v>
      </c>
      <c r="C19" s="86">
        <f t="shared" si="2"/>
        <v>0</v>
      </c>
      <c r="D19" s="74">
        <f t="shared" si="3"/>
        <v>0.31533333333333335</v>
      </c>
      <c r="E19">
        <f>COUNTIF(tables_360010!C:C,input_360010!A19)-COUNTIF(Q:Q,A19)</f>
        <v>52</v>
      </c>
      <c r="F19" s="43">
        <f t="shared" ref="F19:F31" si="8">IFERROR(B19/E19,0)</f>
        <v>6.0641025641025642E-3</v>
      </c>
      <c r="G19">
        <f t="shared" si="4"/>
        <v>1869296.0000000002</v>
      </c>
      <c r="H19">
        <f t="shared" si="5"/>
        <v>35948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0.28380000000000005</v>
      </c>
      <c r="C20" s="86">
        <f t="shared" si="2"/>
        <v>0</v>
      </c>
      <c r="D20" s="74">
        <f t="shared" si="3"/>
        <v>0.28380000000000005</v>
      </c>
      <c r="E20">
        <f>COUNTIF(tables_360010!C:C,input_360010!A20)-COUNTIF(Q:Q,A20)</f>
        <v>52</v>
      </c>
      <c r="F20" s="43">
        <f t="shared" si="8"/>
        <v>5.4576923076923084E-3</v>
      </c>
      <c r="G20">
        <f t="shared" si="4"/>
        <v>1682366.4000000004</v>
      </c>
      <c r="H20">
        <f t="shared" si="5"/>
        <v>32353.200000000001</v>
      </c>
      <c r="I20">
        <f t="shared" si="6"/>
        <v>0.2000000000007276</v>
      </c>
      <c r="J20">
        <f t="shared" si="7"/>
        <v>4.9999999999818101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3.1533333333333337E-2</v>
      </c>
      <c r="C21" s="86">
        <f t="shared" si="2"/>
        <v>0</v>
      </c>
      <c r="D21" s="74">
        <f t="shared" si="3"/>
        <v>3.1533333333333337E-2</v>
      </c>
      <c r="E21">
        <f>COUNTIF(tables_360010!C:C,input_360010!A21)-COUNTIF(Q:Q,A21)</f>
        <v>52</v>
      </c>
      <c r="F21" s="43">
        <f t="shared" si="8"/>
        <v>6.0641025641025646E-4</v>
      </c>
      <c r="G21">
        <f t="shared" si="4"/>
        <v>186929.60000000003</v>
      </c>
      <c r="H21">
        <f t="shared" si="5"/>
        <v>3594.8</v>
      </c>
      <c r="I21">
        <f t="shared" si="6"/>
        <v>0.8000000000001819</v>
      </c>
      <c r="J21">
        <f t="shared" si="7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5.6302564102564102E-2</v>
      </c>
      <c r="C22" s="86">
        <f t="shared" si="2"/>
        <v>2.2800000000000001E-2</v>
      </c>
      <c r="D22" s="74">
        <f t="shared" si="3"/>
        <v>3.3502564102564102E-2</v>
      </c>
      <c r="E22">
        <f>COUNTIF(tables_360010!C:C,input_360010!A22)-COUNTIF(Q:Q,A22)</f>
        <v>6</v>
      </c>
      <c r="F22" s="43">
        <f t="shared" si="8"/>
        <v>9.3837606837606832E-3</v>
      </c>
      <c r="G22">
        <f t="shared" si="4"/>
        <v>333761.59999999998</v>
      </c>
      <c r="H22">
        <f t="shared" si="5"/>
        <v>55626.93333</v>
      </c>
      <c r="I22">
        <f t="shared" si="6"/>
        <v>0.93332999999984168</v>
      </c>
      <c r="J22">
        <f t="shared" si="7"/>
        <v>1.0714323979730316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1.6466666666666664E-2</v>
      </c>
      <c r="C23" s="86">
        <f t="shared" si="2"/>
        <v>1.2000000000000001E-3</v>
      </c>
      <c r="D23" s="74">
        <f t="shared" si="3"/>
        <v>1.5266666666666664E-2</v>
      </c>
      <c r="E23">
        <f>COUNTIF(tables_360010!C:C,input_360010!A23)-COUNTIF(Q:Q,A23)</f>
        <v>6</v>
      </c>
      <c r="F23" s="43">
        <f t="shared" si="8"/>
        <v>2.7444444444444439E-3</v>
      </c>
      <c r="G23">
        <f t="shared" si="4"/>
        <v>97614.39999999998</v>
      </c>
      <c r="H23">
        <f t="shared" si="5"/>
        <v>16269.06667</v>
      </c>
      <c r="I23">
        <f t="shared" si="6"/>
        <v>6.6670000000158325E-2</v>
      </c>
      <c r="J23">
        <f t="shared" si="7"/>
        <v>14.999250037462506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5.2631578947368409E-4</v>
      </c>
      <c r="C24" s="86">
        <f t="shared" si="2"/>
        <v>0</v>
      </c>
      <c r="D24" s="74">
        <f t="shared" si="3"/>
        <v>5.2631578947368409E-4</v>
      </c>
      <c r="E24">
        <f>COUNTIF(tables_360010!C:C,input_360010!A24)-COUNTIF(Q:Q,A24)</f>
        <v>4</v>
      </c>
      <c r="F24" s="43">
        <f t="shared" si="8"/>
        <v>1.3157894736842102E-4</v>
      </c>
      <c r="G24">
        <f t="shared" si="4"/>
        <v>3119.9999999999991</v>
      </c>
      <c r="H24">
        <f t="shared" si="5"/>
        <v>780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4.7368421052631571E-4</v>
      </c>
      <c r="C25" s="86">
        <f t="shared" si="2"/>
        <v>0</v>
      </c>
      <c r="D25" s="74">
        <f t="shared" si="3"/>
        <v>4.7368421052631571E-4</v>
      </c>
      <c r="E25">
        <f>COUNTIF(tables_360010!C:C,input_360010!A25)-COUNTIF(Q:Q,A25)</f>
        <v>4</v>
      </c>
      <c r="F25" s="43">
        <f t="shared" si="8"/>
        <v>1.1842105263157893E-4</v>
      </c>
      <c r="G25">
        <f t="shared" si="4"/>
        <v>2807.9999999999995</v>
      </c>
      <c r="H25">
        <f t="shared" si="5"/>
        <v>702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5.263157894736841E-5</v>
      </c>
      <c r="C26" s="86">
        <f t="shared" si="2"/>
        <v>0</v>
      </c>
      <c r="D26" s="74">
        <f t="shared" si="3"/>
        <v>5.263157894736841E-5</v>
      </c>
      <c r="E26">
        <f>COUNTIF(tables_360010!C:C,input_360010!A26)-COUNTIF(Q:Q,A26)</f>
        <v>4</v>
      </c>
      <c r="F26" s="43">
        <f t="shared" si="8"/>
        <v>1.3157894736842103E-5</v>
      </c>
      <c r="G26">
        <f t="shared" si="4"/>
        <v>311.99999999999994</v>
      </c>
      <c r="H26">
        <f t="shared" si="5"/>
        <v>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6.9999999999999975E-3</v>
      </c>
      <c r="C27" s="86">
        <f t="shared" si="2"/>
        <v>0</v>
      </c>
      <c r="D27" s="74">
        <f t="shared" si="3"/>
        <v>6.9999999999999975E-3</v>
      </c>
      <c r="E27">
        <f>COUNTIF(tables_360010!C:C,input_360010!A27)-COUNTIF(Q:Q,A27)</f>
        <v>28</v>
      </c>
      <c r="F27" s="43">
        <f>IFERROR(B27/E27,0)</f>
        <v>2.499999999999999E-4</v>
      </c>
      <c r="G27">
        <f t="shared" si="4"/>
        <v>41495.999999999985</v>
      </c>
      <c r="H27">
        <f t="shared" si="5"/>
        <v>1482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3.6842105263157885E-4</v>
      </c>
      <c r="C28" s="86">
        <f t="shared" si="2"/>
        <v>0</v>
      </c>
      <c r="D28" s="74">
        <f t="shared" si="3"/>
        <v>3.6842105263157885E-4</v>
      </c>
      <c r="E28">
        <f>COUNTIF(tables_360010!C:C,input_360010!A28)-COUNTIF(Q:Q,A28)</f>
        <v>28</v>
      </c>
      <c r="F28" s="43">
        <f t="shared" si="8"/>
        <v>1.3157894736842103E-5</v>
      </c>
      <c r="G28">
        <f t="shared" si="4"/>
        <v>2183.9999999999995</v>
      </c>
      <c r="H28">
        <f t="shared" si="5"/>
        <v>78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1.5789473684210522E-3</v>
      </c>
      <c r="C29" s="86">
        <f t="shared" si="2"/>
        <v>0.02</v>
      </c>
      <c r="D29" s="74">
        <f t="shared" si="3"/>
        <v>-1.8421052631578949E-2</v>
      </c>
      <c r="E29">
        <f>COUNTIF(tables_360010!C:C,input_360010!A29)-COUNTIF(Q:Q,A29)</f>
        <v>6</v>
      </c>
      <c r="F29" s="43">
        <f t="shared" si="8"/>
        <v>2.6315789473684205E-4</v>
      </c>
      <c r="G29">
        <f t="shared" si="4"/>
        <v>9359.9999999999964</v>
      </c>
      <c r="H29">
        <f t="shared" si="5"/>
        <v>1560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COUNTIF(tables_360010!C:C,input_360010!A30)-COUNTIF(Q:Q,A30)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COUNTIF(tables_360010!C:C,input_360010!A31)-COUNTIF(Q:Q,A31)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0.95599999999999996</v>
      </c>
      <c r="C32" s="41">
        <f>SUM(C19:C31)</f>
        <v>4.3999999999999997E-2</v>
      </c>
      <c r="D32" s="42">
        <f t="shared" si="3"/>
        <v>0.91199999999999992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SUMIF(tables_360010!C:C,input_360010!A40,tables_360010!O:O)</f>
        <v>1869296</v>
      </c>
      <c r="C40" s="54">
        <f t="shared" ref="C40:C46" ca="1" si="9">B40/B$47</f>
        <v>0.49422569291685015</v>
      </c>
      <c r="E40">
        <v>3</v>
      </c>
      <c r="F40">
        <f ca="1">SUMIF(tables_360010!J:J,input_360010!E40,tables_360010!O:O)</f>
        <v>2963999.9999999995</v>
      </c>
      <c r="G40">
        <f ca="1">F40/A36</f>
        <v>0.49999999999999994</v>
      </c>
    </row>
    <row r="41" spans="1:7" x14ac:dyDescent="0.15">
      <c r="A41" s="33" t="s">
        <v>104</v>
      </c>
      <c r="B41">
        <f ca="1">SUMIF(tables_360010!C:C,input_360010!A41,tables_360010!O:O)</f>
        <v>1682366.3999999985</v>
      </c>
      <c r="C41" s="54">
        <f t="shared" ca="1" si="9"/>
        <v>0.44480312362516478</v>
      </c>
      <c r="E41">
        <v>4</v>
      </c>
      <c r="F41">
        <f ca="1">SUMIF(tables_360010!J:J,input_360010!E41,tables_360010!O:O)</f>
        <v>2541926.3999799984</v>
      </c>
      <c r="G41">
        <f ca="1">F41/A36</f>
        <v>0.42879999999662588</v>
      </c>
    </row>
    <row r="42" spans="1:7" x14ac:dyDescent="0.15">
      <c r="A42" s="33" t="s">
        <v>106</v>
      </c>
      <c r="B42">
        <f ca="1">SUMIF(tables_360010!C:C,input_360010!A42,tables_360010!O:O)</f>
        <v>41496</v>
      </c>
      <c r="C42" s="54">
        <f t="shared" ca="1" si="9"/>
        <v>1.0971183457985046E-2</v>
      </c>
      <c r="E42">
        <v>5</v>
      </c>
      <c r="F42">
        <f ca="1">SUMIF(tables_360010!J:J,input_360010!E42,tables_360010!O:O)</f>
        <v>422073.6000199999</v>
      </c>
      <c r="G42">
        <f ca="1">F42/A36</f>
        <v>7.1200000003373801E-2</v>
      </c>
    </row>
    <row r="43" spans="1:7" x14ac:dyDescent="0.15">
      <c r="A43" s="33" t="s">
        <v>109</v>
      </c>
      <c r="B43">
        <f>SUMIF(tables_360010!C:C,input_360010!A43,tables_360010!O:O)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SUMIF(tables_360010!C:C,input_360010!A44,tables_360010!O:O)</f>
        <v>186929.59999999989</v>
      </c>
      <c r="C44" s="54">
        <f t="shared" ca="1" si="9"/>
        <v>4.9422569291684988E-2</v>
      </c>
      <c r="E44" t="s">
        <v>54</v>
      </c>
      <c r="F44" s="55"/>
    </row>
    <row r="45" spans="1:7" x14ac:dyDescent="0.15">
      <c r="A45" s="33" t="s">
        <v>107</v>
      </c>
      <c r="B45">
        <f ca="1">SUMIF(tables_360010!C:C,input_360010!A45,tables_360010!O:O)</f>
        <v>2184</v>
      </c>
      <c r="C45" s="54">
        <f t="shared" ca="1" si="9"/>
        <v>5.7743070831500244E-4</v>
      </c>
      <c r="E45" t="s">
        <v>204</v>
      </c>
      <c r="F45" s="55">
        <f ca="1">SUMIF(tables_360010!I:I,input_360010!E45,tables_360010!P:P)</f>
        <v>0.24158785425101204</v>
      </c>
    </row>
    <row r="46" spans="1:7" x14ac:dyDescent="0.15">
      <c r="A46" s="33" t="s">
        <v>108</v>
      </c>
      <c r="B46">
        <f>SUMIF(tables_360010!C:C,input_360010!A46,tables_360010!O:O)</f>
        <v>0</v>
      </c>
      <c r="C46" s="54">
        <f t="shared" ca="1" si="9"/>
        <v>0</v>
      </c>
      <c r="E46" t="s">
        <v>205</v>
      </c>
      <c r="F46" s="55">
        <f ca="1">SUMIF(tables_360010!I:I,input_360010!E46,tables_360010!P:P)</f>
        <v>0.20696896086369757</v>
      </c>
    </row>
    <row r="47" spans="1:7" x14ac:dyDescent="0.15">
      <c r="A47" s="39" t="s">
        <v>59</v>
      </c>
      <c r="B47">
        <f ca="1">SUM(B40:B46)</f>
        <v>3782271.9999999986</v>
      </c>
      <c r="C47" s="55">
        <f ca="1">SUM(C40:C46)</f>
        <v>0.99999999999999989</v>
      </c>
      <c r="E47" t="s">
        <v>206</v>
      </c>
      <c r="F47" s="55">
        <f ca="1">SUMIF(tables_360010!I:I,input_360010!E47,tables_360010!P:P)</f>
        <v>0.52151956815114786</v>
      </c>
    </row>
    <row r="48" spans="1:7" x14ac:dyDescent="0.15">
      <c r="E48" t="s">
        <v>207</v>
      </c>
      <c r="F48" s="55">
        <f ca="1">SUMIF(tables_360010!I:I,input_360010!E48,tables_360010!P:P)</f>
        <v>2.8947368421052638E-2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9"/>
  <sheetViews>
    <sheetView showGridLines="0" zoomScale="75" zoomScaleNormal="75" zoomScalePageLayoutView="75" workbookViewId="0">
      <pane ySplit="1" topLeftCell="A270" activePane="bottomLeft" state="frozen"/>
      <selection activeCell="H276" sqref="H276"/>
      <selection pane="bottomLeft" activeCell="O287" sqref="O28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input_360010!A$2</f>
        <v>360010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IFERROR(VLOOKUP(B2,input_360010!L:R,7,FALSE),VLOOKUP(tables_360010!C2,input_360010!A:H,8,FALSE))</f>
        <v>54579.199999999997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input_360010!A$2</f>
        <v>360010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IFERROR(VLOOKUP(B3,input_360010!L:R,7,FALSE),VLOOKUP(tables_360010!C3,input_360010!A:H,8,FALSE))</f>
        <v>17316.8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input_360010!A$2</f>
        <v>360010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IFERROR(VLOOKUP(B4,input_360010!L:R,7,FALSE),VLOOKUP(tables_360010!C4,input_360010!A:H,8,FALSE))</f>
        <v>54579.199999999997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input_360010!A$2</f>
        <v>360010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IFERROR(VLOOKUP(B5,input_360010!L:R,7,FALSE),VLOOKUP(tables_360010!C5,input_360010!A:H,8,FALSE))</f>
        <v>17316.8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input_360010!A$2</f>
        <v>360010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IFERROR(VLOOKUP(B6,input_360010!L:R,7,FALSE),VLOOKUP(tables_360010!C6,input_360010!A:H,8,FALSE))</f>
        <v>54579.199999999997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input_360010!A$2</f>
        <v>360010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IFERROR(VLOOKUP(B7,input_360010!L:R,7,FALSE),VLOOKUP(tables_360010!C7,input_360010!A:H,8,FALSE))</f>
        <v>17316.8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input_360010!A$2</f>
        <v>360010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IFERROR(VLOOKUP(B8,input_360010!L:R,7,FALSE),VLOOKUP(tables_360010!C8,input_360010!A:H,8,FALSE))</f>
        <v>54579.199999999997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input_360010!A$2</f>
        <v>360010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IFERROR(VLOOKUP(B9,input_360010!L:R,7,FALSE),VLOOKUP(tables_360010!C9,input_360010!A:H,8,FALSE))</f>
        <v>17316.8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input_360010!A$2</f>
        <v>360010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IFERROR(VLOOKUP(B10,input_360010!L:R,7,FALSE),VLOOKUP(tables_360010!C10,input_360010!A:H,8,FALSE))</f>
        <v>54579.199999999997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input_360010!A$2</f>
        <v>360010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IFERROR(VLOOKUP(B11,input_360010!L:R,7,FALSE),VLOOKUP(tables_360010!C11,input_360010!A:H,8,FALSE))</f>
        <v>17316.8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input_360010!A$2</f>
        <v>360010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IFERROR(VLOOKUP(B12,input_360010!L:R,7,FALSE),VLOOKUP(tables_360010!C12,input_360010!A:H,8,FALSE))</f>
        <v>54579.199999999997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input_360010!A$2</f>
        <v>360010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IFERROR(VLOOKUP(B13,input_360010!L:R,7,FALSE),VLOOKUP(tables_360010!C13,input_360010!A:H,8,FALSE))</f>
        <v>17316.8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input_360010!A$2</f>
        <v>360010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IFERROR(VLOOKUP(B14,input_360010!L:R,7,FALSE),VLOOKUP(tables_360010!C14,input_360010!A:H,8,FALSE))</f>
        <v>54579.199999999997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input_360010!A$2</f>
        <v>360010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IFERROR(VLOOKUP(B15,input_360010!L:R,7,FALSE),VLOOKUP(tables_360010!C15,input_360010!A:H,8,FALSE))</f>
        <v>17316.8</v>
      </c>
      <c r="P15" s="46">
        <f t="shared" ref="P15:P78" ca="1" si="2">O15/SUM(O:O)</f>
        <v>2.9211875843454791E-3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input_360010!A$2</f>
        <v>360010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IFERROR(VLOOKUP(B16,input_360010!L:R,7,FALSE),VLOOKUP(tables_360010!C16,input_360010!A:H,8,FALSE))</f>
        <v>54579.199999999997</v>
      </c>
      <c r="P16" s="46">
        <f t="shared" ca="1" si="2"/>
        <v>9.2070175438596479E-3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input_360010!A$2</f>
        <v>360010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IFERROR(VLOOKUP(B17,input_360010!L:R,7,FALSE),VLOOKUP(tables_360010!C17,input_360010!A:H,8,FALSE))</f>
        <v>17316.8</v>
      </c>
      <c r="P17" s="46">
        <f t="shared" ca="1" si="2"/>
        <v>2.9211875843454791E-3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input_360010!A$2</f>
        <v>360010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IFERROR(VLOOKUP(B18,input_360010!L:R,7,FALSE),VLOOKUP(tables_360010!C18,input_360010!A:H,8,FALSE))</f>
        <v>54579.199999999997</v>
      </c>
      <c r="P18" s="46">
        <f t="shared" ca="1" si="2"/>
        <v>9.2070175438596479E-3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input_360010!A$2</f>
        <v>360010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IFERROR(VLOOKUP(B19,input_360010!L:R,7,FALSE),VLOOKUP(tables_360010!C19,input_360010!A:H,8,FALSE))</f>
        <v>17316.8</v>
      </c>
      <c r="P19" s="46">
        <f t="shared" ca="1" si="2"/>
        <v>2.9211875843454791E-3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input_360010!A$2</f>
        <v>360010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IFERROR(VLOOKUP(B20,input_360010!L:R,7,FALSE),VLOOKUP(tables_360010!C20,input_360010!A:H,8,FALSE))</f>
        <v>54579.199999999997</v>
      </c>
      <c r="P20" s="46">
        <f t="shared" ca="1" si="2"/>
        <v>9.2070175438596479E-3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input_360010!A$2</f>
        <v>360010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IFERROR(VLOOKUP(B21,input_360010!L:R,7,FALSE),VLOOKUP(tables_360010!C21,input_360010!A:H,8,FALSE))</f>
        <v>17316.8</v>
      </c>
      <c r="P21" s="46">
        <f t="shared" ca="1" si="2"/>
        <v>2.9211875843454791E-3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input_360010!A$2</f>
        <v>360010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IFERROR(VLOOKUP(B22,input_360010!L:R,7,FALSE),VLOOKUP(tables_360010!C22,input_360010!A:H,8,FALSE))</f>
        <v>54579.199999999997</v>
      </c>
      <c r="P22" s="46">
        <f t="shared" ca="1" si="2"/>
        <v>9.2070175438596479E-3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input_360010!A$2</f>
        <v>360010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IFERROR(VLOOKUP(B23,input_360010!L:R,7,FALSE),VLOOKUP(tables_360010!C23,input_360010!A:H,8,FALSE))</f>
        <v>17316.8</v>
      </c>
      <c r="P23" s="46">
        <f t="shared" ca="1" si="2"/>
        <v>2.9211875843454791E-3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input_360010!A$2</f>
        <v>360010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IFERROR(VLOOKUP(B24,input_360010!L:R,7,FALSE),VLOOKUP(tables_360010!C24,input_360010!A:H,8,FALSE))</f>
        <v>54579.199999999997</v>
      </c>
      <c r="P24" s="46">
        <f t="shared" ca="1" si="2"/>
        <v>9.2070175438596479E-3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input_360010!A$2</f>
        <v>360010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IFERROR(VLOOKUP(B25,input_360010!L:R,7,FALSE),VLOOKUP(tables_360010!C25,input_360010!A:H,8,FALSE))</f>
        <v>17316.8</v>
      </c>
      <c r="P25" s="46">
        <f t="shared" ca="1" si="2"/>
        <v>2.9211875843454791E-3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input_360010!A$2</f>
        <v>360010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IFERROR(VLOOKUP(B26,input_360010!L:R,7,FALSE),VLOOKUP(tables_360010!C26,input_360010!A:H,8,FALSE))</f>
        <v>54579.199999999997</v>
      </c>
      <c r="P26" s="46">
        <f t="shared" ca="1" si="2"/>
        <v>9.2070175438596479E-3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input_360010!A$2</f>
        <v>360010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IFERROR(VLOOKUP(B27,input_360010!L:R,7,FALSE),VLOOKUP(tables_360010!C27,input_360010!A:H,8,FALSE))</f>
        <v>17316.8</v>
      </c>
      <c r="P27" s="46">
        <f t="shared" ca="1" si="2"/>
        <v>2.9211875843454791E-3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input_360010!A$2</f>
        <v>360010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IFERROR(VLOOKUP(B28,input_360010!L:R,7,FALSE),VLOOKUP(tables_360010!C28,input_360010!A:H,8,FALSE))</f>
        <v>54579.199999999997</v>
      </c>
      <c r="P28" s="46">
        <f t="shared" ca="1" si="2"/>
        <v>9.2070175438596479E-3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input_360010!A$2</f>
        <v>360010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IFERROR(VLOOKUP(B29,input_360010!L:R,7,FALSE),VLOOKUP(tables_360010!C29,input_360010!A:H,8,FALSE))</f>
        <v>17316.8</v>
      </c>
      <c r="P29" s="46">
        <f t="shared" ca="1" si="2"/>
        <v>2.9211875843454791E-3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input_360010!A$2</f>
        <v>360010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IFERROR(VLOOKUP(B30,input_360010!L:R,7,FALSE),VLOOKUP(tables_360010!C30,input_360010!A:H,8,FALSE))</f>
        <v>54579.199999999997</v>
      </c>
      <c r="P30" s="46">
        <f t="shared" ca="1" si="2"/>
        <v>9.2070175438596479E-3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input_360010!A$2</f>
        <v>360010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IFERROR(VLOOKUP(B31,input_360010!L:R,7,FALSE),VLOOKUP(tables_360010!C31,input_360010!A:H,8,FALSE))</f>
        <v>17316.8</v>
      </c>
      <c r="P31" s="46">
        <f t="shared" ca="1" si="2"/>
        <v>2.9211875843454791E-3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input_360010!A$2</f>
        <v>360010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IFERROR(VLOOKUP(B32,input_360010!L:R,7,FALSE),VLOOKUP(tables_360010!C32,input_360010!A:H,8,FALSE))</f>
        <v>54579.199999999997</v>
      </c>
      <c r="P32" s="46">
        <f t="shared" ca="1" si="2"/>
        <v>9.2070175438596479E-3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input_360010!A$2</f>
        <v>360010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IFERROR(VLOOKUP(B33,input_360010!L:R,7,FALSE),VLOOKUP(tables_360010!C33,input_360010!A:H,8,FALSE))</f>
        <v>17316.8</v>
      </c>
      <c r="P33" s="46">
        <f t="shared" ca="1" si="2"/>
        <v>2.9211875843454791E-3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input_360010!A$2</f>
        <v>360010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IFERROR(VLOOKUP(B34,input_360010!L:R,7,FALSE),VLOOKUP(tables_360010!C34,input_360010!A:H,8,FALSE))</f>
        <v>54579.199999999997</v>
      </c>
      <c r="P34" s="46">
        <f t="shared" ca="1" si="2"/>
        <v>9.2070175438596479E-3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input_360010!A$2</f>
        <v>360010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IFERROR(VLOOKUP(B35,input_360010!L:R,7,FALSE),VLOOKUP(tables_360010!C35,input_360010!A:H,8,FALSE))</f>
        <v>17316.8</v>
      </c>
      <c r="P35" s="46">
        <f t="shared" ca="1" si="2"/>
        <v>2.9211875843454791E-3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input_360010!A$2</f>
        <v>360010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IFERROR(VLOOKUP(B36,input_360010!L:R,7,FALSE),VLOOKUP(tables_360010!C36,input_360010!A:H,8,FALSE))</f>
        <v>54579.199999999997</v>
      </c>
      <c r="P36" s="46">
        <f t="shared" ca="1" si="2"/>
        <v>9.2070175438596479E-3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input_360010!A$2</f>
        <v>360010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IFERROR(VLOOKUP(B37,input_360010!L:R,7,FALSE),VLOOKUP(tables_360010!C37,input_360010!A:H,8,FALSE))</f>
        <v>17316.8</v>
      </c>
      <c r="P37" s="46">
        <f t="shared" ca="1" si="2"/>
        <v>2.9211875843454791E-3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input_360010!A$2</f>
        <v>360010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IFERROR(VLOOKUP(B38,input_360010!L:R,7,FALSE),VLOOKUP(tables_360010!C38,input_360010!A:H,8,FALSE))</f>
        <v>54579.199999999997</v>
      </c>
      <c r="P38" s="46">
        <f t="shared" ca="1" si="2"/>
        <v>9.2070175438596479E-3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input_360010!A$2</f>
        <v>360010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IFERROR(VLOOKUP(B39,input_360010!L:R,7,FALSE),VLOOKUP(tables_360010!C39,input_360010!A:H,8,FALSE))</f>
        <v>17316.8</v>
      </c>
      <c r="P39" s="46">
        <f t="shared" ca="1" si="2"/>
        <v>2.9211875843454791E-3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input_360010!A$2</f>
        <v>360010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IFERROR(VLOOKUP(B40,input_360010!L:R,7,FALSE),VLOOKUP(tables_360010!C40,input_360010!A:H,8,FALSE))</f>
        <v>54579.199999999997</v>
      </c>
      <c r="P40" s="46">
        <f t="shared" ca="1" si="2"/>
        <v>9.2070175438596479E-3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input_360010!A$2</f>
        <v>360010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IFERROR(VLOOKUP(B41,input_360010!L:R,7,FALSE),VLOOKUP(tables_360010!C41,input_360010!A:H,8,FALSE))</f>
        <v>17316.8</v>
      </c>
      <c r="P41" s="46">
        <f t="shared" ca="1" si="2"/>
        <v>2.9211875843454791E-3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input_360010!A$2</f>
        <v>360010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IFERROR(VLOOKUP(B42,input_360010!L:R,7,FALSE),VLOOKUP(tables_360010!C42,input_360010!A:H,8,FALSE))</f>
        <v>780</v>
      </c>
      <c r="P42" s="46">
        <f t="shared" ca="1" si="2"/>
        <v>1.3157894736842105E-4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input_360010!A$2</f>
        <v>360010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IFERROR(VLOOKUP(B43,input_360010!L:R,7,FALSE),VLOOKUP(tables_360010!C43,input_360010!A:H,8,FALSE))</f>
        <v>702</v>
      </c>
      <c r="P43" s="46">
        <f t="shared" ca="1" si="2"/>
        <v>1.1842105263157894E-4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input_360010!A$2</f>
        <v>360010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IFERROR(VLOOKUP(B44,input_360010!L:R,7,FALSE),VLOOKUP(tables_360010!C44,input_360010!A:H,8,FALSE))</f>
        <v>78</v>
      </c>
      <c r="P44" s="46">
        <f t="shared" ca="1" si="2"/>
        <v>1.3157894736842106E-5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input_360010!A$2</f>
        <v>360010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IFERROR(VLOOKUP(B45,input_360010!L:R,7,FALSE),VLOOKUP(tables_360010!C45,input_360010!A:H,8,FALSE))</f>
        <v>780</v>
      </c>
      <c r="P45" s="46">
        <f t="shared" ca="1" si="2"/>
        <v>1.3157894736842105E-4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input_360010!A$2</f>
        <v>360010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IFERROR(VLOOKUP(B46,input_360010!L:R,7,FALSE),VLOOKUP(tables_360010!C46,input_360010!A:H,8,FALSE))</f>
        <v>702</v>
      </c>
      <c r="P46" s="46">
        <f t="shared" ca="1" si="2"/>
        <v>1.1842105263157894E-4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input_360010!A$2</f>
        <v>360010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IFERROR(VLOOKUP(B47,input_360010!L:R,7,FALSE),VLOOKUP(tables_360010!C47,input_360010!A:H,8,FALSE))</f>
        <v>78</v>
      </c>
      <c r="P47" s="46">
        <f t="shared" ca="1" si="2"/>
        <v>1.3157894736842106E-5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input_360010!A$2</f>
        <v>360010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IFERROR(VLOOKUP(B48,input_360010!L:R,7,FALSE),VLOOKUP(tables_360010!C48,input_360010!A:H,8,FALSE))</f>
        <v>780</v>
      </c>
      <c r="P48" s="46">
        <f t="shared" ca="1" si="2"/>
        <v>1.3157894736842105E-4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input_360010!A$2</f>
        <v>360010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IFERROR(VLOOKUP(B49,input_360010!L:R,7,FALSE),VLOOKUP(tables_360010!C49,input_360010!A:H,8,FALSE))</f>
        <v>702</v>
      </c>
      <c r="P49" s="46">
        <f t="shared" ca="1" si="2"/>
        <v>1.1842105263157894E-4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input_360010!A$2</f>
        <v>360010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IFERROR(VLOOKUP(B50,input_360010!L:R,7,FALSE),VLOOKUP(tables_360010!C50,input_360010!A:H,8,FALSE))</f>
        <v>78</v>
      </c>
      <c r="P50" s="46">
        <f t="shared" ca="1" si="2"/>
        <v>1.3157894736842106E-5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input_360010!A$2</f>
        <v>360010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IFERROR(VLOOKUP(B51,input_360010!L:R,7,FALSE),VLOOKUP(tables_360010!C51,input_360010!A:H,8,FALSE))</f>
        <v>35948</v>
      </c>
      <c r="P51" s="46">
        <f t="shared" ca="1" si="2"/>
        <v>6.0641025641025642E-3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input_360010!A$2</f>
        <v>360010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IFERROR(VLOOKUP(B52,input_360010!L:R,7,FALSE),VLOOKUP(tables_360010!C52,input_360010!A:H,8,FALSE))</f>
        <v>32353.200000000001</v>
      </c>
      <c r="P52" s="46">
        <f t="shared" ca="1" si="2"/>
        <v>5.4576923076923075E-3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input_360010!A$2</f>
        <v>360010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IFERROR(VLOOKUP(B53,input_360010!L:R,7,FALSE),VLOOKUP(tables_360010!C53,input_360010!A:H,8,FALSE))</f>
        <v>3594.8</v>
      </c>
      <c r="P53" s="46">
        <f t="shared" ca="1" si="2"/>
        <v>6.0641025641025646E-4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input_360010!A$2</f>
        <v>360010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IFERROR(VLOOKUP(B54,input_360010!L:R,7,FALSE),VLOOKUP(tables_360010!C54,input_360010!A:H,8,FALSE))</f>
        <v>35948</v>
      </c>
      <c r="P54" s="46">
        <f t="shared" ca="1" si="2"/>
        <v>6.0641025641025642E-3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input_360010!A$2</f>
        <v>360010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IFERROR(VLOOKUP(B55,input_360010!L:R,7,FALSE),VLOOKUP(tables_360010!C55,input_360010!A:H,8,FALSE))</f>
        <v>32353.200000000001</v>
      </c>
      <c r="P55" s="46">
        <f t="shared" ca="1" si="2"/>
        <v>5.4576923076923075E-3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input_360010!A$2</f>
        <v>360010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IFERROR(VLOOKUP(B56,input_360010!L:R,7,FALSE),VLOOKUP(tables_360010!C56,input_360010!A:H,8,FALSE))</f>
        <v>3594.8</v>
      </c>
      <c r="P56" s="46">
        <f t="shared" ca="1" si="2"/>
        <v>6.0641025641025646E-4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input_360010!A$2</f>
        <v>360010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IFERROR(VLOOKUP(B57,input_360010!L:R,7,FALSE),VLOOKUP(tables_360010!C57,input_360010!A:H,8,FALSE))</f>
        <v>35948</v>
      </c>
      <c r="P57" s="46">
        <f t="shared" ca="1" si="2"/>
        <v>6.0641025641025642E-3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input_360010!A$2</f>
        <v>360010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IFERROR(VLOOKUP(B58,input_360010!L:R,7,FALSE),VLOOKUP(tables_360010!C58,input_360010!A:H,8,FALSE))</f>
        <v>32353.200000000001</v>
      </c>
      <c r="P58" s="46">
        <f t="shared" ca="1" si="2"/>
        <v>5.4576923076923075E-3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input_360010!A$2</f>
        <v>360010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IFERROR(VLOOKUP(B59,input_360010!L:R,7,FALSE),VLOOKUP(tables_360010!C59,input_360010!A:H,8,FALSE))</f>
        <v>3594.8</v>
      </c>
      <c r="P59" s="46">
        <f t="shared" ca="1" si="2"/>
        <v>6.0641025641025646E-4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input_360010!A$2</f>
        <v>360010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IFERROR(VLOOKUP(B60,input_360010!L:R,7,FALSE),VLOOKUP(tables_360010!C60,input_360010!A:H,8,FALSE))</f>
        <v>35948</v>
      </c>
      <c r="P60" s="46">
        <f t="shared" ca="1" si="2"/>
        <v>6.0641025641025642E-3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input_360010!A$2</f>
        <v>360010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IFERROR(VLOOKUP(B61,input_360010!L:R,7,FALSE),VLOOKUP(tables_360010!C61,input_360010!A:H,8,FALSE))</f>
        <v>32353.200000000001</v>
      </c>
      <c r="P61" s="46">
        <f t="shared" ca="1" si="2"/>
        <v>5.4576923076923075E-3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input_360010!A$2</f>
        <v>360010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IFERROR(VLOOKUP(B62,input_360010!L:R,7,FALSE),VLOOKUP(tables_360010!C62,input_360010!A:H,8,FALSE))</f>
        <v>3594.8</v>
      </c>
      <c r="P62" s="46">
        <f t="shared" ca="1" si="2"/>
        <v>6.0641025641025646E-4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input_360010!A$2</f>
        <v>360010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IFERROR(VLOOKUP(B63,input_360010!L:R,7,FALSE),VLOOKUP(tables_360010!C63,input_360010!A:H,8,FALSE))</f>
        <v>35948</v>
      </c>
      <c r="P63" s="46">
        <f t="shared" ca="1" si="2"/>
        <v>6.0641025641025642E-3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input_360010!A$2</f>
        <v>360010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IFERROR(VLOOKUP(B64,input_360010!L:R,7,FALSE),VLOOKUP(tables_360010!C64,input_360010!A:H,8,FALSE))</f>
        <v>32353.200000000001</v>
      </c>
      <c r="P64" s="46">
        <f t="shared" ca="1" si="2"/>
        <v>5.4576923076923075E-3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input_360010!A$2</f>
        <v>360010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IFERROR(VLOOKUP(B65,input_360010!L:R,7,FALSE),VLOOKUP(tables_360010!C65,input_360010!A:H,8,FALSE))</f>
        <v>3594.8</v>
      </c>
      <c r="P65" s="46">
        <f t="shared" ca="1" si="2"/>
        <v>6.0641025641025646E-4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input_360010!A$2</f>
        <v>360010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IFERROR(VLOOKUP(B66,input_360010!L:R,7,FALSE),VLOOKUP(tables_360010!C66,input_360010!A:H,8,FALSE))</f>
        <v>35948</v>
      </c>
      <c r="P66" s="46">
        <f t="shared" ca="1" si="2"/>
        <v>6.0641025641025642E-3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input_360010!A$2</f>
        <v>360010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IFERROR(VLOOKUP(B67,input_360010!L:R,7,FALSE),VLOOKUP(tables_360010!C67,input_360010!A:H,8,FALSE))</f>
        <v>32353.200000000001</v>
      </c>
      <c r="P67" s="46">
        <f t="shared" ca="1" si="2"/>
        <v>5.4576923076923075E-3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input_360010!A$2</f>
        <v>360010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IFERROR(VLOOKUP(B68,input_360010!L:R,7,FALSE),VLOOKUP(tables_360010!C68,input_360010!A:H,8,FALSE))</f>
        <v>3594.8</v>
      </c>
      <c r="P68" s="46">
        <f t="shared" ca="1" si="2"/>
        <v>6.0641025641025646E-4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input_360010!A$2</f>
        <v>360010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IFERROR(VLOOKUP(B69,input_360010!L:R,7,FALSE),VLOOKUP(tables_360010!C69,input_360010!A:H,8,FALSE))</f>
        <v>35948</v>
      </c>
      <c r="P69" s="46">
        <f t="shared" ca="1" si="2"/>
        <v>6.0641025641025642E-3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input_360010!A$2</f>
        <v>360010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IFERROR(VLOOKUP(B70,input_360010!L:R,7,FALSE),VLOOKUP(tables_360010!C70,input_360010!A:H,8,FALSE))</f>
        <v>32353.200000000001</v>
      </c>
      <c r="P70" s="46">
        <f t="shared" ca="1" si="2"/>
        <v>5.4576923076923075E-3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input_360010!A$2</f>
        <v>360010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IFERROR(VLOOKUP(B71,input_360010!L:R,7,FALSE),VLOOKUP(tables_360010!C71,input_360010!A:H,8,FALSE))</f>
        <v>3594.8</v>
      </c>
      <c r="P71" s="46">
        <f t="shared" ca="1" si="2"/>
        <v>6.0641025641025646E-4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input_360010!A$2</f>
        <v>360010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IFERROR(VLOOKUP(B72,input_360010!L:R,7,FALSE),VLOOKUP(tables_360010!C72,input_360010!A:H,8,FALSE))</f>
        <v>35948</v>
      </c>
      <c r="P72" s="46">
        <f t="shared" ca="1" si="2"/>
        <v>6.0641025641025642E-3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input_360010!A$2</f>
        <v>360010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IFERROR(VLOOKUP(B73,input_360010!L:R,7,FALSE),VLOOKUP(tables_360010!C73,input_360010!A:H,8,FALSE))</f>
        <v>32353.200000000001</v>
      </c>
      <c r="P73" s="46">
        <f t="shared" ca="1" si="2"/>
        <v>5.4576923076923075E-3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input_360010!A$2</f>
        <v>360010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IFERROR(VLOOKUP(B74,input_360010!L:R,7,FALSE),VLOOKUP(tables_360010!C74,input_360010!A:H,8,FALSE))</f>
        <v>3594.8</v>
      </c>
      <c r="P74" s="46">
        <f t="shared" ca="1" si="2"/>
        <v>6.0641025641025646E-4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input_360010!A$2</f>
        <v>360010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IFERROR(VLOOKUP(B75,input_360010!L:R,7,FALSE),VLOOKUP(tables_360010!C75,input_360010!A:H,8,FALSE))</f>
        <v>35948</v>
      </c>
      <c r="P75" s="46">
        <f t="shared" ca="1" si="2"/>
        <v>6.0641025641025642E-3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input_360010!A$2</f>
        <v>360010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IFERROR(VLOOKUP(B76,input_360010!L:R,7,FALSE),VLOOKUP(tables_360010!C76,input_360010!A:H,8,FALSE))</f>
        <v>32353.200000000001</v>
      </c>
      <c r="P76" s="46">
        <f t="shared" ca="1" si="2"/>
        <v>5.4576923076923075E-3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input_360010!A$2</f>
        <v>360010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IFERROR(VLOOKUP(B77,input_360010!L:R,7,FALSE),VLOOKUP(tables_360010!C77,input_360010!A:H,8,FALSE))</f>
        <v>3594.8</v>
      </c>
      <c r="P77" s="46">
        <f t="shared" ca="1" si="2"/>
        <v>6.0641025641025646E-4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input_360010!A$2</f>
        <v>360010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IFERROR(VLOOKUP(B78,input_360010!L:R,7,FALSE),VLOOKUP(tables_360010!C78,input_360010!A:H,8,FALSE))</f>
        <v>35948</v>
      </c>
      <c r="P78" s="46">
        <f t="shared" ca="1" si="2"/>
        <v>6.0641025641025642E-3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input_360010!A$2</f>
        <v>360010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IFERROR(VLOOKUP(B79,input_360010!L:R,7,FALSE),VLOOKUP(tables_360010!C79,input_360010!A:H,8,FALSE))</f>
        <v>32353.200000000001</v>
      </c>
      <c r="P79" s="46">
        <f t="shared" ref="P79:P142" ca="1" si="5">O79/SUM(O:O)</f>
        <v>5.4576923076923075E-3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input_360010!A$2</f>
        <v>360010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IFERROR(VLOOKUP(B80,input_360010!L:R,7,FALSE),VLOOKUP(tables_360010!C80,input_360010!A:H,8,FALSE))</f>
        <v>3594.8</v>
      </c>
      <c r="P80" s="46">
        <f t="shared" ca="1" si="5"/>
        <v>6.0641025641025646E-4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input_360010!A$2</f>
        <v>360010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IFERROR(VLOOKUP(B81,input_360010!L:R,7,FALSE),VLOOKUP(tables_360010!C81,input_360010!A:H,8,FALSE))</f>
        <v>35948</v>
      </c>
      <c r="P81" s="46">
        <f t="shared" ca="1" si="5"/>
        <v>6.0641025641025642E-3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input_360010!A$2</f>
        <v>360010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IFERROR(VLOOKUP(B82,input_360010!L:R,7,FALSE),VLOOKUP(tables_360010!C82,input_360010!A:H,8,FALSE))</f>
        <v>32353.200000000001</v>
      </c>
      <c r="P82" s="46">
        <f t="shared" ca="1" si="5"/>
        <v>5.4576923076923075E-3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input_360010!A$2</f>
        <v>360010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IFERROR(VLOOKUP(B83,input_360010!L:R,7,FALSE),VLOOKUP(tables_360010!C83,input_360010!A:H,8,FALSE))</f>
        <v>3594.8</v>
      </c>
      <c r="P83" s="46">
        <f t="shared" ca="1" si="5"/>
        <v>6.0641025641025646E-4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input_360010!A$2</f>
        <v>360010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IFERROR(VLOOKUP(B84,input_360010!L:R,7,FALSE),VLOOKUP(tables_360010!C84,input_360010!A:H,8,FALSE))</f>
        <v>35948</v>
      </c>
      <c r="P84" s="46">
        <f t="shared" ca="1" si="5"/>
        <v>6.0641025641025642E-3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input_360010!A$2</f>
        <v>360010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IFERROR(VLOOKUP(B85,input_360010!L:R,7,FALSE),VLOOKUP(tables_360010!C85,input_360010!A:H,8,FALSE))</f>
        <v>32353.200000000001</v>
      </c>
      <c r="P85" s="46">
        <f t="shared" ca="1" si="5"/>
        <v>5.4576923076923075E-3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input_360010!A$2</f>
        <v>360010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IFERROR(VLOOKUP(B86,input_360010!L:R,7,FALSE),VLOOKUP(tables_360010!C86,input_360010!A:H,8,FALSE))</f>
        <v>3594.8</v>
      </c>
      <c r="P86" s="46">
        <f t="shared" ca="1" si="5"/>
        <v>6.0641025641025646E-4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input_360010!A$2</f>
        <v>360010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IFERROR(VLOOKUP(B87,input_360010!L:R,7,FALSE),VLOOKUP(tables_360010!C87,input_360010!A:H,8,FALSE))</f>
        <v>35948</v>
      </c>
      <c r="P87" s="46">
        <f t="shared" ca="1" si="5"/>
        <v>6.0641025641025642E-3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input_360010!A$2</f>
        <v>360010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IFERROR(VLOOKUP(B88,input_360010!L:R,7,FALSE),VLOOKUP(tables_360010!C88,input_360010!A:H,8,FALSE))</f>
        <v>32353.200000000001</v>
      </c>
      <c r="P88" s="46">
        <f t="shared" ca="1" si="5"/>
        <v>5.4576923076923075E-3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input_360010!A$2</f>
        <v>360010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IFERROR(VLOOKUP(B89,input_360010!L:R,7,FALSE),VLOOKUP(tables_360010!C89,input_360010!A:H,8,FALSE))</f>
        <v>3594.8</v>
      </c>
      <c r="P89" s="46">
        <f t="shared" ca="1" si="5"/>
        <v>6.0641025641025646E-4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input_360010!A$2</f>
        <v>360010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IFERROR(VLOOKUP(B90,input_360010!L:R,7,FALSE),VLOOKUP(tables_360010!C90,input_360010!A:H,8,FALSE))</f>
        <v>35948</v>
      </c>
      <c r="P90" s="46">
        <f t="shared" ca="1" si="5"/>
        <v>6.0641025641025642E-3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input_360010!A$2</f>
        <v>360010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IFERROR(VLOOKUP(B91,input_360010!L:R,7,FALSE),VLOOKUP(tables_360010!C91,input_360010!A:H,8,FALSE))</f>
        <v>32353.200000000001</v>
      </c>
      <c r="P91" s="46">
        <f t="shared" ca="1" si="5"/>
        <v>5.4576923076923075E-3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input_360010!A$2</f>
        <v>360010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IFERROR(VLOOKUP(B92,input_360010!L:R,7,FALSE),VLOOKUP(tables_360010!C92,input_360010!A:H,8,FALSE))</f>
        <v>3594.8</v>
      </c>
      <c r="P92" s="46">
        <f t="shared" ca="1" si="5"/>
        <v>6.0641025641025646E-4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input_360010!A$2</f>
        <v>360010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IFERROR(VLOOKUP(B93,input_360010!L:R,7,FALSE),VLOOKUP(tables_360010!C93,input_360010!A:H,8,FALSE))</f>
        <v>35948</v>
      </c>
      <c r="P93" s="46">
        <f t="shared" ca="1" si="5"/>
        <v>6.0641025641025642E-3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input_360010!A$2</f>
        <v>360010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IFERROR(VLOOKUP(B94,input_360010!L:R,7,FALSE),VLOOKUP(tables_360010!C94,input_360010!A:H,8,FALSE))</f>
        <v>32353.200000000001</v>
      </c>
      <c r="P94" s="46">
        <f t="shared" ca="1" si="5"/>
        <v>5.4576923076923075E-3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input_360010!A$2</f>
        <v>360010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IFERROR(VLOOKUP(B95,input_360010!L:R,7,FALSE),VLOOKUP(tables_360010!C95,input_360010!A:H,8,FALSE))</f>
        <v>3594.8</v>
      </c>
      <c r="P95" s="46">
        <f t="shared" ca="1" si="5"/>
        <v>6.0641025641025646E-4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input_360010!A$2</f>
        <v>360010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IFERROR(VLOOKUP(B96,input_360010!L:R,7,FALSE),VLOOKUP(tables_360010!C96,input_360010!A:H,8,FALSE))</f>
        <v>35948</v>
      </c>
      <c r="P96" s="46">
        <f t="shared" ca="1" si="5"/>
        <v>6.0641025641025642E-3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input_360010!A$2</f>
        <v>360010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IFERROR(VLOOKUP(B97,input_360010!L:R,7,FALSE),VLOOKUP(tables_360010!C97,input_360010!A:H,8,FALSE))</f>
        <v>32353.200000000001</v>
      </c>
      <c r="P97" s="46">
        <f t="shared" ca="1" si="5"/>
        <v>5.4576923076923075E-3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input_360010!A$2</f>
        <v>360010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IFERROR(VLOOKUP(B98,input_360010!L:R,7,FALSE),VLOOKUP(tables_360010!C98,input_360010!A:H,8,FALSE))</f>
        <v>3594.8</v>
      </c>
      <c r="P98" s="46">
        <f t="shared" ca="1" si="5"/>
        <v>6.0641025641025646E-4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input_360010!A$2</f>
        <v>360010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IFERROR(VLOOKUP(B99,input_360010!L:R,7,FALSE),VLOOKUP(tables_360010!C99,input_360010!A:H,8,FALSE))</f>
        <v>35948</v>
      </c>
      <c r="P99" s="46">
        <f t="shared" ca="1" si="5"/>
        <v>6.0641025641025642E-3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input_360010!A$2</f>
        <v>360010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IFERROR(VLOOKUP(B100,input_360010!L:R,7,FALSE),VLOOKUP(tables_360010!C100,input_360010!A:H,8,FALSE))</f>
        <v>32353.200000000001</v>
      </c>
      <c r="P100" s="46">
        <f t="shared" ca="1" si="5"/>
        <v>5.4576923076923075E-3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input_360010!A$2</f>
        <v>360010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IFERROR(VLOOKUP(B101,input_360010!L:R,7,FALSE),VLOOKUP(tables_360010!C101,input_360010!A:H,8,FALSE))</f>
        <v>3594.8</v>
      </c>
      <c r="P101" s="46">
        <f t="shared" ca="1" si="5"/>
        <v>6.0641025641025646E-4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input_360010!A$2</f>
        <v>360010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IFERROR(VLOOKUP(B102,input_360010!L:R,7,FALSE),VLOOKUP(tables_360010!C102,input_360010!A:H,8,FALSE))</f>
        <v>35948</v>
      </c>
      <c r="P102" s="46">
        <f t="shared" ca="1" si="5"/>
        <v>6.0641025641025642E-3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input_360010!A$2</f>
        <v>360010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IFERROR(VLOOKUP(B103,input_360010!L:R,7,FALSE),VLOOKUP(tables_360010!C103,input_360010!A:H,8,FALSE))</f>
        <v>32353.200000000001</v>
      </c>
      <c r="P103" s="46">
        <f t="shared" ca="1" si="5"/>
        <v>5.4576923076923075E-3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input_360010!A$2</f>
        <v>360010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IFERROR(VLOOKUP(B104,input_360010!L:R,7,FALSE),VLOOKUP(tables_360010!C104,input_360010!A:H,8,FALSE))</f>
        <v>3594.8</v>
      </c>
      <c r="P104" s="46">
        <f t="shared" ca="1" si="5"/>
        <v>6.0641025641025646E-4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input_360010!A$2</f>
        <v>360010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IFERROR(VLOOKUP(B105,input_360010!L:R,7,FALSE),VLOOKUP(tables_360010!C105,input_360010!A:H,8,FALSE))</f>
        <v>35948</v>
      </c>
      <c r="P105" s="46">
        <f t="shared" ca="1" si="5"/>
        <v>6.0641025641025642E-3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input_360010!A$2</f>
        <v>360010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IFERROR(VLOOKUP(B106,input_360010!L:R,7,FALSE),VLOOKUP(tables_360010!C106,input_360010!A:H,8,FALSE))</f>
        <v>32353.200000000001</v>
      </c>
      <c r="P106" s="46">
        <f t="shared" ca="1" si="5"/>
        <v>5.4576923076923075E-3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input_360010!A$2</f>
        <v>360010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IFERROR(VLOOKUP(B107,input_360010!L:R,7,FALSE),VLOOKUP(tables_360010!C107,input_360010!A:H,8,FALSE))</f>
        <v>3594.8</v>
      </c>
      <c r="P107" s="46">
        <f t="shared" ca="1" si="5"/>
        <v>6.0641025641025646E-4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input_360010!A$2</f>
        <v>360010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IFERROR(VLOOKUP(B108,input_360010!L:R,7,FALSE),VLOOKUP(tables_360010!C108,input_360010!A:H,8,FALSE))</f>
        <v>35948</v>
      </c>
      <c r="P108" s="46">
        <f t="shared" ca="1" si="5"/>
        <v>6.0641025641025642E-3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input_360010!A$2</f>
        <v>360010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IFERROR(VLOOKUP(B109,input_360010!L:R,7,FALSE),VLOOKUP(tables_360010!C109,input_360010!A:H,8,FALSE))</f>
        <v>32353.200000000001</v>
      </c>
      <c r="P109" s="46">
        <f t="shared" ca="1" si="5"/>
        <v>5.4576923076923075E-3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input_360010!A$2</f>
        <v>360010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IFERROR(VLOOKUP(B110,input_360010!L:R,7,FALSE),VLOOKUP(tables_360010!C110,input_360010!A:H,8,FALSE))</f>
        <v>3594.8</v>
      </c>
      <c r="P110" s="46">
        <f t="shared" ca="1" si="5"/>
        <v>6.0641025641025646E-4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input_360010!A$2</f>
        <v>360010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IFERROR(VLOOKUP(B111,input_360010!L:R,7,FALSE),VLOOKUP(tables_360010!C111,input_360010!A:H,8,FALSE))</f>
        <v>780</v>
      </c>
      <c r="P111" s="46">
        <f t="shared" ca="1" si="5"/>
        <v>1.3157894736842105E-4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input_360010!A$2</f>
        <v>360010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IFERROR(VLOOKUP(B112,input_360010!L:R,7,FALSE),VLOOKUP(tables_360010!C112,input_360010!A:H,8,FALSE))</f>
        <v>702</v>
      </c>
      <c r="P112" s="46">
        <f t="shared" ca="1" si="5"/>
        <v>1.1842105263157894E-4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input_360010!A$2</f>
        <v>360010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IFERROR(VLOOKUP(B113,input_360010!L:R,7,FALSE),VLOOKUP(tables_360010!C113,input_360010!A:H,8,FALSE))</f>
        <v>78</v>
      </c>
      <c r="P113" s="46">
        <f t="shared" ca="1" si="5"/>
        <v>1.3157894736842106E-5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input_360010!A$2</f>
        <v>360010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IFERROR(VLOOKUP(B114,input_360010!L:R,7,FALSE),VLOOKUP(tables_360010!C114,input_360010!A:H,8,FALSE))</f>
        <v>35948</v>
      </c>
      <c r="P114" s="46">
        <f t="shared" ca="1" si="5"/>
        <v>6.0641025641025642E-3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input_360010!A$2</f>
        <v>360010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IFERROR(VLOOKUP(B115,input_360010!L:R,7,FALSE),VLOOKUP(tables_360010!C115,input_360010!A:H,8,FALSE))</f>
        <v>32353.200000000001</v>
      </c>
      <c r="P115" s="46">
        <f t="shared" ca="1" si="5"/>
        <v>5.4576923076923075E-3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input_360010!A$2</f>
        <v>360010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IFERROR(VLOOKUP(B116,input_360010!L:R,7,FALSE),VLOOKUP(tables_360010!C116,input_360010!A:H,8,FALSE))</f>
        <v>3594.8</v>
      </c>
      <c r="P116" s="46">
        <f t="shared" ca="1" si="5"/>
        <v>6.0641025641025646E-4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input_360010!A$2</f>
        <v>360010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IFERROR(VLOOKUP(B117,input_360010!L:R,7,FALSE),VLOOKUP(tables_360010!C117,input_360010!A:H,8,FALSE))</f>
        <v>35948</v>
      </c>
      <c r="P117" s="46">
        <f t="shared" ca="1" si="5"/>
        <v>6.0641025641025642E-3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input_360010!A$2</f>
        <v>360010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IFERROR(VLOOKUP(B118,input_360010!L:R,7,FALSE),VLOOKUP(tables_360010!C118,input_360010!A:H,8,FALSE))</f>
        <v>32353.200000000001</v>
      </c>
      <c r="P118" s="46">
        <f t="shared" ca="1" si="5"/>
        <v>5.4576923076923075E-3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input_360010!A$2</f>
        <v>360010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IFERROR(VLOOKUP(B119,input_360010!L:R,7,FALSE),VLOOKUP(tables_360010!C119,input_360010!A:H,8,FALSE))</f>
        <v>3594.8</v>
      </c>
      <c r="P119" s="46">
        <f t="shared" ca="1" si="5"/>
        <v>6.0641025641025646E-4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input_360010!A$2</f>
        <v>360010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IFERROR(VLOOKUP(B120,input_360010!L:R,7,FALSE),VLOOKUP(tables_360010!C120,input_360010!A:H,8,FALSE))</f>
        <v>35948</v>
      </c>
      <c r="P120" s="46">
        <f t="shared" ca="1" si="5"/>
        <v>6.0641025641025642E-3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input_360010!A$2</f>
        <v>360010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IFERROR(VLOOKUP(B121,input_360010!L:R,7,FALSE),VLOOKUP(tables_360010!C121,input_360010!A:H,8,FALSE))</f>
        <v>32353.200000000001</v>
      </c>
      <c r="P121" s="46">
        <f t="shared" ca="1" si="5"/>
        <v>5.4576923076923075E-3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input_360010!A$2</f>
        <v>360010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IFERROR(VLOOKUP(B122,input_360010!L:R,7,FALSE),VLOOKUP(tables_360010!C122,input_360010!A:H,8,FALSE))</f>
        <v>3594.8</v>
      </c>
      <c r="P122" s="46">
        <f t="shared" ca="1" si="5"/>
        <v>6.0641025641025646E-4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input_360010!A$2</f>
        <v>360010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IFERROR(VLOOKUP(B123,input_360010!L:R,7,FALSE),VLOOKUP(tables_360010!C123,input_360010!A:H,8,FALSE))</f>
        <v>35948</v>
      </c>
      <c r="P123" s="46">
        <f t="shared" ca="1" si="5"/>
        <v>6.0641025641025642E-3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input_360010!A$2</f>
        <v>360010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IFERROR(VLOOKUP(B124,input_360010!L:R,7,FALSE),VLOOKUP(tables_360010!C124,input_360010!A:H,8,FALSE))</f>
        <v>32353.200000000001</v>
      </c>
      <c r="P124" s="46">
        <f t="shared" ca="1" si="5"/>
        <v>5.4576923076923075E-3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input_360010!A$2</f>
        <v>360010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IFERROR(VLOOKUP(B125,input_360010!L:R,7,FALSE),VLOOKUP(tables_360010!C125,input_360010!A:H,8,FALSE))</f>
        <v>3594.8</v>
      </c>
      <c r="P125" s="46">
        <f t="shared" ca="1" si="5"/>
        <v>6.0641025641025646E-4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input_360010!A$2</f>
        <v>360010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IFERROR(VLOOKUP(B126,input_360010!L:R,7,FALSE),VLOOKUP(tables_360010!C126,input_360010!A:H,8,FALSE))</f>
        <v>35948</v>
      </c>
      <c r="P126" s="46">
        <f t="shared" ca="1" si="5"/>
        <v>6.0641025641025642E-3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input_360010!A$2</f>
        <v>360010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IFERROR(VLOOKUP(B127,input_360010!L:R,7,FALSE),VLOOKUP(tables_360010!C127,input_360010!A:H,8,FALSE))</f>
        <v>32353.200000000001</v>
      </c>
      <c r="P127" s="46">
        <f t="shared" ca="1" si="5"/>
        <v>5.4576923076923075E-3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input_360010!A$2</f>
        <v>360010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IFERROR(VLOOKUP(B128,input_360010!L:R,7,FALSE),VLOOKUP(tables_360010!C128,input_360010!A:H,8,FALSE))</f>
        <v>3594.8</v>
      </c>
      <c r="P128" s="46">
        <f t="shared" ca="1" si="5"/>
        <v>6.0641025641025646E-4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input_360010!A$2</f>
        <v>360010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IFERROR(VLOOKUP(B129,input_360010!L:R,7,FALSE),VLOOKUP(tables_360010!C129,input_360010!A:H,8,FALSE))</f>
        <v>35948</v>
      </c>
      <c r="P129" s="46">
        <f t="shared" ca="1" si="5"/>
        <v>6.0641025641025642E-3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input_360010!A$2</f>
        <v>360010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IFERROR(VLOOKUP(B130,input_360010!L:R,7,FALSE),VLOOKUP(tables_360010!C130,input_360010!A:H,8,FALSE))</f>
        <v>32353.200000000001</v>
      </c>
      <c r="P130" s="46">
        <f t="shared" ca="1" si="5"/>
        <v>5.4576923076923075E-3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input_360010!A$2</f>
        <v>360010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IFERROR(VLOOKUP(B131,input_360010!L:R,7,FALSE),VLOOKUP(tables_360010!C131,input_360010!A:H,8,FALSE))</f>
        <v>3594.8</v>
      </c>
      <c r="P131" s="46">
        <f t="shared" ca="1" si="5"/>
        <v>6.0641025641025646E-4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input_360010!A$2</f>
        <v>360010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IFERROR(VLOOKUP(B132,input_360010!L:R,7,FALSE),VLOOKUP(tables_360010!C132,input_360010!A:H,8,FALSE))</f>
        <v>35948</v>
      </c>
      <c r="P132" s="46">
        <f t="shared" ca="1" si="5"/>
        <v>6.0641025641025642E-3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input_360010!A$2</f>
        <v>360010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IFERROR(VLOOKUP(B133,input_360010!L:R,7,FALSE),VLOOKUP(tables_360010!C133,input_360010!A:H,8,FALSE))</f>
        <v>32353.200000000001</v>
      </c>
      <c r="P133" s="46">
        <f t="shared" ca="1" si="5"/>
        <v>5.4576923076923075E-3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input_360010!A$2</f>
        <v>360010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IFERROR(VLOOKUP(B134,input_360010!L:R,7,FALSE),VLOOKUP(tables_360010!C134,input_360010!A:H,8,FALSE))</f>
        <v>3594.8</v>
      </c>
      <c r="P134" s="46">
        <f t="shared" ca="1" si="5"/>
        <v>6.0641025641025646E-4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input_360010!A$2</f>
        <v>360010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IFERROR(VLOOKUP(B135,input_360010!L:R,7,FALSE),VLOOKUP(tables_360010!C135,input_360010!A:H,8,FALSE))</f>
        <v>35948</v>
      </c>
      <c r="P135" s="46">
        <f t="shared" ca="1" si="5"/>
        <v>6.0641025641025642E-3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input_360010!A$2</f>
        <v>360010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IFERROR(VLOOKUP(B136,input_360010!L:R,7,FALSE),VLOOKUP(tables_360010!C136,input_360010!A:H,8,FALSE))</f>
        <v>32353.200000000001</v>
      </c>
      <c r="P136" s="46">
        <f t="shared" ca="1" si="5"/>
        <v>5.4576923076923075E-3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input_360010!A$2</f>
        <v>360010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IFERROR(VLOOKUP(B137,input_360010!L:R,7,FALSE),VLOOKUP(tables_360010!C137,input_360010!A:H,8,FALSE))</f>
        <v>3594.8</v>
      </c>
      <c r="P137" s="46">
        <f t="shared" ca="1" si="5"/>
        <v>6.0641025641025646E-4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input_360010!A$2</f>
        <v>360010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IFERROR(VLOOKUP(B138,input_360010!L:R,7,FALSE),VLOOKUP(tables_360010!C138,input_360010!A:H,8,FALSE))</f>
        <v>1482</v>
      </c>
      <c r="P138" s="46">
        <f t="shared" ca="1" si="5"/>
        <v>2.5000000000000001E-4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input_360010!A$2</f>
        <v>360010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IFERROR(VLOOKUP(B139,input_360010!L:R,7,FALSE),VLOOKUP(tables_360010!C139,input_360010!A:H,8,FALSE))</f>
        <v>78</v>
      </c>
      <c r="P139" s="46">
        <f t="shared" ca="1" si="5"/>
        <v>1.3157894736842106E-5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input_360010!A$2</f>
        <v>360010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IFERROR(VLOOKUP(B140,input_360010!L:R,7,FALSE),VLOOKUP(tables_360010!C140,input_360010!A:H,8,FALSE))</f>
        <v>1482</v>
      </c>
      <c r="P140" s="46">
        <f t="shared" ca="1" si="5"/>
        <v>2.5000000000000001E-4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input_360010!A$2</f>
        <v>360010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IFERROR(VLOOKUP(B141,input_360010!L:R,7,FALSE),VLOOKUP(tables_360010!C141,input_360010!A:H,8,FALSE))</f>
        <v>78</v>
      </c>
      <c r="P141" s="46">
        <f t="shared" ca="1" si="5"/>
        <v>1.3157894736842106E-5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input_360010!A$2</f>
        <v>360010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IFERROR(VLOOKUP(B142,input_360010!L:R,7,FALSE),VLOOKUP(tables_360010!C142,input_360010!A:H,8,FALSE))</f>
        <v>1482</v>
      </c>
      <c r="P142" s="46">
        <f t="shared" ca="1" si="5"/>
        <v>2.5000000000000001E-4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input_360010!A$2</f>
        <v>360010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IFERROR(VLOOKUP(B143,input_360010!L:R,7,FALSE),VLOOKUP(tables_360010!C143,input_360010!A:H,8,FALSE))</f>
        <v>78</v>
      </c>
      <c r="P143" s="46">
        <f t="shared" ref="P143:P206" ca="1" si="8">O143/SUM(O:O)</f>
        <v>1.3157894736842106E-5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input_360010!A$2</f>
        <v>360010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IFERROR(VLOOKUP(B144,input_360010!L:R,7,FALSE),VLOOKUP(tables_360010!C144,input_360010!A:H,8,FALSE))</f>
        <v>1482</v>
      </c>
      <c r="P144" s="46">
        <f t="shared" ca="1" si="8"/>
        <v>2.5000000000000001E-4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input_360010!A$2</f>
        <v>360010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IFERROR(VLOOKUP(B145,input_360010!L:R,7,FALSE),VLOOKUP(tables_360010!C145,input_360010!A:H,8,FALSE))</f>
        <v>78</v>
      </c>
      <c r="P145" s="46">
        <f t="shared" ca="1" si="8"/>
        <v>1.3157894736842106E-5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input_360010!A$2</f>
        <v>360010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IFERROR(VLOOKUP(B146,input_360010!L:R,7,FALSE),VLOOKUP(tables_360010!C146,input_360010!A:H,8,FALSE))</f>
        <v>35948</v>
      </c>
      <c r="P146" s="46">
        <f t="shared" ca="1" si="8"/>
        <v>6.0641025641025642E-3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input_360010!A$2</f>
        <v>360010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IFERROR(VLOOKUP(B147,input_360010!L:R,7,FALSE),VLOOKUP(tables_360010!C147,input_360010!A:H,8,FALSE))</f>
        <v>32353.200000000001</v>
      </c>
      <c r="P147" s="46">
        <f t="shared" ca="1" si="8"/>
        <v>5.4576923076923075E-3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input_360010!A$2</f>
        <v>360010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IFERROR(VLOOKUP(B148,input_360010!L:R,7,FALSE),VLOOKUP(tables_360010!C148,input_360010!A:H,8,FALSE))</f>
        <v>3594.8</v>
      </c>
      <c r="P148" s="46">
        <f t="shared" ca="1" si="8"/>
        <v>6.0641025641025646E-4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input_360010!A$2</f>
        <v>360010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IFERROR(VLOOKUP(B149,input_360010!L:R,7,FALSE),VLOOKUP(tables_360010!C149,input_360010!A:H,8,FALSE))</f>
        <v>1482</v>
      </c>
      <c r="P149" s="46">
        <f t="shared" ca="1" si="8"/>
        <v>2.5000000000000001E-4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input_360010!A$2</f>
        <v>360010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IFERROR(VLOOKUP(B150,input_360010!L:R,7,FALSE),VLOOKUP(tables_360010!C150,input_360010!A:H,8,FALSE))</f>
        <v>78</v>
      </c>
      <c r="P150" s="46">
        <f t="shared" ca="1" si="8"/>
        <v>1.3157894736842106E-5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input_360010!A$2</f>
        <v>360010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IFERROR(VLOOKUP(B151,input_360010!L:R,7,FALSE),VLOOKUP(tables_360010!C151,input_360010!A:H,8,FALSE))</f>
        <v>1482</v>
      </c>
      <c r="P151" s="46">
        <f t="shared" ca="1" si="8"/>
        <v>2.5000000000000001E-4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input_360010!A$2</f>
        <v>360010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IFERROR(VLOOKUP(B152,input_360010!L:R,7,FALSE),VLOOKUP(tables_360010!C152,input_360010!A:H,8,FALSE))</f>
        <v>78</v>
      </c>
      <c r="P152" s="46">
        <f t="shared" ca="1" si="8"/>
        <v>1.3157894736842106E-5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input_360010!A$2</f>
        <v>360010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IFERROR(VLOOKUP(B153,input_360010!L:R,7,FALSE),VLOOKUP(tables_360010!C153,input_360010!A:H,8,FALSE))</f>
        <v>35948</v>
      </c>
      <c r="P153" s="46">
        <f t="shared" ca="1" si="8"/>
        <v>6.0641025641025642E-3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input_360010!A$2</f>
        <v>360010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IFERROR(VLOOKUP(B154,input_360010!L:R,7,FALSE),VLOOKUP(tables_360010!C154,input_360010!A:H,8,FALSE))</f>
        <v>32353.200000000001</v>
      </c>
      <c r="P154" s="46">
        <f t="shared" ca="1" si="8"/>
        <v>5.4576923076923075E-3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input_360010!A$2</f>
        <v>360010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IFERROR(VLOOKUP(B155,input_360010!L:R,7,FALSE),VLOOKUP(tables_360010!C155,input_360010!A:H,8,FALSE))</f>
        <v>3594.8</v>
      </c>
      <c r="P155" s="46">
        <f t="shared" ca="1" si="8"/>
        <v>6.0641025641025646E-4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input_360010!A$2</f>
        <v>360010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IFERROR(VLOOKUP(B156,input_360010!L:R,7,FALSE),VLOOKUP(tables_360010!C156,input_360010!A:H,8,FALSE))</f>
        <v>1482</v>
      </c>
      <c r="P156" s="46">
        <f t="shared" ca="1" si="8"/>
        <v>2.5000000000000001E-4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input_360010!A$2</f>
        <v>360010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IFERROR(VLOOKUP(B157,input_360010!L:R,7,FALSE),VLOOKUP(tables_360010!C157,input_360010!A:H,8,FALSE))</f>
        <v>78</v>
      </c>
      <c r="P157" s="46">
        <f t="shared" ca="1" si="8"/>
        <v>1.3157894736842106E-5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input_360010!A$2</f>
        <v>360010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IFERROR(VLOOKUP(B158,input_360010!L:R,7,FALSE),VLOOKUP(tables_360010!C158,input_360010!A:H,8,FALSE))</f>
        <v>35948</v>
      </c>
      <c r="P158" s="46">
        <f t="shared" ca="1" si="8"/>
        <v>6.0641025641025642E-3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input_360010!A$2</f>
        <v>360010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IFERROR(VLOOKUP(B159,input_360010!L:R,7,FALSE),VLOOKUP(tables_360010!C159,input_360010!A:H,8,FALSE))</f>
        <v>32353.200000000001</v>
      </c>
      <c r="P159" s="46">
        <f t="shared" ca="1" si="8"/>
        <v>5.4576923076923075E-3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input_360010!A$2</f>
        <v>360010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IFERROR(VLOOKUP(B160,input_360010!L:R,7,FALSE),VLOOKUP(tables_360010!C160,input_360010!A:H,8,FALSE))</f>
        <v>3594.8</v>
      </c>
      <c r="P160" s="46">
        <f t="shared" ca="1" si="8"/>
        <v>6.0641025641025646E-4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input_360010!A$2</f>
        <v>360010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IFERROR(VLOOKUP(B161,input_360010!L:R,7,FALSE),VLOOKUP(tables_360010!C161,input_360010!A:H,8,FALSE))</f>
        <v>35948</v>
      </c>
      <c r="P161" s="46">
        <f t="shared" ca="1" si="8"/>
        <v>6.0641025641025642E-3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input_360010!A$2</f>
        <v>360010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IFERROR(VLOOKUP(B162,input_360010!L:R,7,FALSE),VLOOKUP(tables_360010!C162,input_360010!A:H,8,FALSE))</f>
        <v>32353.200000000001</v>
      </c>
      <c r="P162" s="46">
        <f t="shared" ca="1" si="8"/>
        <v>5.4576923076923075E-3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input_360010!A$2</f>
        <v>360010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IFERROR(VLOOKUP(B163,input_360010!L:R,7,FALSE),VLOOKUP(tables_360010!C163,input_360010!A:H,8,FALSE))</f>
        <v>3594.8</v>
      </c>
      <c r="P163" s="46">
        <f t="shared" ca="1" si="8"/>
        <v>6.0641025641025646E-4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input_360010!A$2</f>
        <v>360010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IFERROR(VLOOKUP(B164,input_360010!L:R,7,FALSE),VLOOKUP(tables_360010!C164,input_360010!A:H,8,FALSE))</f>
        <v>1482</v>
      </c>
      <c r="P164" s="46">
        <f t="shared" ca="1" si="8"/>
        <v>2.5000000000000001E-4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input_360010!A$2</f>
        <v>360010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IFERROR(VLOOKUP(B165,input_360010!L:R,7,FALSE),VLOOKUP(tables_360010!C165,input_360010!A:H,8,FALSE))</f>
        <v>78</v>
      </c>
      <c r="P165" s="46">
        <f t="shared" ca="1" si="8"/>
        <v>1.3157894736842106E-5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input_360010!A$2</f>
        <v>360010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IFERROR(VLOOKUP(B166,input_360010!L:R,7,FALSE),VLOOKUP(tables_360010!C166,input_360010!A:H,8,FALSE))</f>
        <v>35948</v>
      </c>
      <c r="P166" s="46">
        <f t="shared" ca="1" si="8"/>
        <v>6.0641025641025642E-3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input_360010!A$2</f>
        <v>360010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IFERROR(VLOOKUP(B167,input_360010!L:R,7,FALSE),VLOOKUP(tables_360010!C167,input_360010!A:H,8,FALSE))</f>
        <v>32353.200000000001</v>
      </c>
      <c r="P167" s="46">
        <f t="shared" ca="1" si="8"/>
        <v>5.4576923076923075E-3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input_360010!A$2</f>
        <v>360010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IFERROR(VLOOKUP(B168,input_360010!L:R,7,FALSE),VLOOKUP(tables_360010!C168,input_360010!A:H,8,FALSE))</f>
        <v>3594.8</v>
      </c>
      <c r="P168" s="46">
        <f t="shared" ca="1" si="8"/>
        <v>6.0641025641025646E-4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input_360010!A$2</f>
        <v>360010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IFERROR(VLOOKUP(B169,input_360010!L:R,7,FALSE),VLOOKUP(tables_360010!C169,input_360010!A:H,8,FALSE))</f>
        <v>1482</v>
      </c>
      <c r="P169" s="46">
        <f t="shared" ca="1" si="8"/>
        <v>2.5000000000000001E-4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input_360010!A$2</f>
        <v>360010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IFERROR(VLOOKUP(B170,input_360010!L:R,7,FALSE),VLOOKUP(tables_360010!C170,input_360010!A:H,8,FALSE))</f>
        <v>78</v>
      </c>
      <c r="P170" s="46">
        <f t="shared" ca="1" si="8"/>
        <v>1.3157894736842106E-5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input_360010!A$2</f>
        <v>360010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IFERROR(VLOOKUP(B171,input_360010!L:R,7,FALSE),VLOOKUP(tables_360010!C171,input_360010!A:H,8,FALSE))</f>
        <v>35948</v>
      </c>
      <c r="P171" s="46">
        <f t="shared" ca="1" si="8"/>
        <v>6.0641025641025642E-3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input_360010!A$2</f>
        <v>360010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IFERROR(VLOOKUP(B172,input_360010!L:R,7,FALSE),VLOOKUP(tables_360010!C172,input_360010!A:H,8,FALSE))</f>
        <v>32353.200000000001</v>
      </c>
      <c r="P172" s="46">
        <f t="shared" ca="1" si="8"/>
        <v>5.4576923076923075E-3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input_360010!A$2</f>
        <v>360010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IFERROR(VLOOKUP(B173,input_360010!L:R,7,FALSE),VLOOKUP(tables_360010!C173,input_360010!A:H,8,FALSE))</f>
        <v>3594.8</v>
      </c>
      <c r="P173" s="46">
        <f t="shared" ca="1" si="8"/>
        <v>6.0641025641025646E-4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input_360010!A$2</f>
        <v>360010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IFERROR(VLOOKUP(B174,input_360010!L:R,7,FALSE),VLOOKUP(tables_360010!C174,input_360010!A:H,8,FALSE))</f>
        <v>1482</v>
      </c>
      <c r="P174" s="46">
        <f t="shared" ca="1" si="8"/>
        <v>2.5000000000000001E-4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input_360010!A$2</f>
        <v>360010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IFERROR(VLOOKUP(B175,input_360010!L:R,7,FALSE),VLOOKUP(tables_360010!C175,input_360010!A:H,8,FALSE))</f>
        <v>78</v>
      </c>
      <c r="P175" s="46">
        <f t="shared" ca="1" si="8"/>
        <v>1.3157894736842106E-5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input_360010!A$2</f>
        <v>360010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IFERROR(VLOOKUP(B176,input_360010!L:R,7,FALSE),VLOOKUP(tables_360010!C176,input_360010!A:H,8,FALSE))</f>
        <v>1482</v>
      </c>
      <c r="P176" s="46">
        <f t="shared" ca="1" si="8"/>
        <v>2.5000000000000001E-4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input_360010!A$2</f>
        <v>360010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IFERROR(VLOOKUP(B177,input_360010!L:R,7,FALSE),VLOOKUP(tables_360010!C177,input_360010!A:H,8,FALSE))</f>
        <v>78</v>
      </c>
      <c r="P177" s="46">
        <f t="shared" ca="1" si="8"/>
        <v>1.3157894736842106E-5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input_360010!A$2</f>
        <v>360010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IFERROR(VLOOKUP(B178,input_360010!L:R,7,FALSE),VLOOKUP(tables_360010!C178,input_360010!A:H,8,FALSE))</f>
        <v>35948</v>
      </c>
      <c r="P178" s="46">
        <f t="shared" ca="1" si="8"/>
        <v>6.0641025641025642E-3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input_360010!A$2</f>
        <v>360010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IFERROR(VLOOKUP(B179,input_360010!L:R,7,FALSE),VLOOKUP(tables_360010!C179,input_360010!A:H,8,FALSE))</f>
        <v>32353.200000000001</v>
      </c>
      <c r="P179" s="46">
        <f t="shared" ca="1" si="8"/>
        <v>5.4576923076923075E-3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input_360010!A$2</f>
        <v>360010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IFERROR(VLOOKUP(B180,input_360010!L:R,7,FALSE),VLOOKUP(tables_360010!C180,input_360010!A:H,8,FALSE))</f>
        <v>3594.8</v>
      </c>
      <c r="P180" s="46">
        <f t="shared" ca="1" si="8"/>
        <v>6.0641025641025646E-4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input_360010!A$2</f>
        <v>360010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IFERROR(VLOOKUP(B181,input_360010!L:R,7,FALSE),VLOOKUP(tables_360010!C181,input_360010!A:H,8,FALSE))</f>
        <v>35948</v>
      </c>
      <c r="P181" s="46">
        <f t="shared" ca="1" si="8"/>
        <v>6.0641025641025642E-3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input_360010!A$2</f>
        <v>360010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IFERROR(VLOOKUP(B182,input_360010!L:R,7,FALSE),VLOOKUP(tables_360010!C182,input_360010!A:H,8,FALSE))</f>
        <v>32353.200000000001</v>
      </c>
      <c r="P182" s="46">
        <f t="shared" ca="1" si="8"/>
        <v>5.4576923076923075E-3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input_360010!A$2</f>
        <v>360010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IFERROR(VLOOKUP(B183,input_360010!L:R,7,FALSE),VLOOKUP(tables_360010!C183,input_360010!A:H,8,FALSE))</f>
        <v>3594.8</v>
      </c>
      <c r="P183" s="46">
        <f t="shared" ca="1" si="8"/>
        <v>6.0641025641025646E-4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input_360010!A$2</f>
        <v>360010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IFERROR(VLOOKUP(B184,input_360010!L:R,7,FALSE),VLOOKUP(tables_360010!C184,input_360010!A:H,8,FALSE))</f>
        <v>1482</v>
      </c>
      <c r="P184" s="46">
        <f t="shared" ca="1" si="8"/>
        <v>2.5000000000000001E-4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input_360010!A$2</f>
        <v>360010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IFERROR(VLOOKUP(B185,input_360010!L:R,7,FALSE),VLOOKUP(tables_360010!C185,input_360010!A:H,8,FALSE))</f>
        <v>78</v>
      </c>
      <c r="P185" s="46">
        <f t="shared" ca="1" si="8"/>
        <v>1.3157894736842106E-5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input_360010!A$2</f>
        <v>360010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IFERROR(VLOOKUP(B186,input_360010!L:R,7,FALSE),VLOOKUP(tables_360010!C186,input_360010!A:H,8,FALSE))</f>
        <v>35948</v>
      </c>
      <c r="P186" s="46">
        <f t="shared" ca="1" si="8"/>
        <v>6.0641025641025642E-3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input_360010!A$2</f>
        <v>360010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IFERROR(VLOOKUP(B187,input_360010!L:R,7,FALSE),VLOOKUP(tables_360010!C187,input_360010!A:H,8,FALSE))</f>
        <v>32353.200000000001</v>
      </c>
      <c r="P187" s="46">
        <f t="shared" ca="1" si="8"/>
        <v>5.4576923076923075E-3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input_360010!A$2</f>
        <v>360010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IFERROR(VLOOKUP(B188,input_360010!L:R,7,FALSE),VLOOKUP(tables_360010!C188,input_360010!A:H,8,FALSE))</f>
        <v>3594.8</v>
      </c>
      <c r="P188" s="46">
        <f t="shared" ca="1" si="8"/>
        <v>6.0641025641025646E-4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input_360010!A$2</f>
        <v>360010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IFERROR(VLOOKUP(B189,input_360010!L:R,7,FALSE),VLOOKUP(tables_360010!C189,input_360010!A:H,8,FALSE))</f>
        <v>1482</v>
      </c>
      <c r="P189" s="46">
        <f t="shared" ca="1" si="8"/>
        <v>2.5000000000000001E-4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input_360010!A$2</f>
        <v>360010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IFERROR(VLOOKUP(B190,input_360010!L:R,7,FALSE),VLOOKUP(tables_360010!C190,input_360010!A:H,8,FALSE))</f>
        <v>78</v>
      </c>
      <c r="P190" s="46">
        <f t="shared" ca="1" si="8"/>
        <v>1.3157894736842106E-5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input_360010!A$2</f>
        <v>360010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IFERROR(VLOOKUP(B191,input_360010!L:R,7,FALSE),VLOOKUP(tables_360010!C191,input_360010!A:H,8,FALSE))</f>
        <v>1482</v>
      </c>
      <c r="P191" s="46">
        <f t="shared" ca="1" si="8"/>
        <v>2.5000000000000001E-4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input_360010!A$2</f>
        <v>360010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IFERROR(VLOOKUP(B192,input_360010!L:R,7,FALSE),VLOOKUP(tables_360010!C192,input_360010!A:H,8,FALSE))</f>
        <v>78</v>
      </c>
      <c r="P192" s="46">
        <f t="shared" ca="1" si="8"/>
        <v>1.3157894736842106E-5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input_360010!A$2</f>
        <v>360010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IFERROR(VLOOKUP(B193,input_360010!L:R,7,FALSE),VLOOKUP(tables_360010!C193,input_360010!A:H,8,FALSE))</f>
        <v>35948</v>
      </c>
      <c r="P193" s="46">
        <f t="shared" ca="1" si="8"/>
        <v>6.0641025641025642E-3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input_360010!A$2</f>
        <v>360010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IFERROR(VLOOKUP(B194,input_360010!L:R,7,FALSE),VLOOKUP(tables_360010!C194,input_360010!A:H,8,FALSE))</f>
        <v>32353.200000000001</v>
      </c>
      <c r="P194" s="46">
        <f t="shared" ca="1" si="8"/>
        <v>5.4576923076923075E-3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input_360010!A$2</f>
        <v>360010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IFERROR(VLOOKUP(B195,input_360010!L:R,7,FALSE),VLOOKUP(tables_360010!C195,input_360010!A:H,8,FALSE))</f>
        <v>3594.8</v>
      </c>
      <c r="P195" s="46">
        <f t="shared" ca="1" si="8"/>
        <v>6.0641025641025646E-4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input_360010!A$2</f>
        <v>360010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IFERROR(VLOOKUP(B196,input_360010!L:R,7,FALSE),VLOOKUP(tables_360010!C196,input_360010!A:H,8,FALSE))</f>
        <v>1482</v>
      </c>
      <c r="P196" s="46">
        <f t="shared" ca="1" si="8"/>
        <v>2.5000000000000001E-4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input_360010!A$2</f>
        <v>360010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IFERROR(VLOOKUP(B197,input_360010!L:R,7,FALSE),VLOOKUP(tables_360010!C197,input_360010!A:H,8,FALSE))</f>
        <v>78</v>
      </c>
      <c r="P197" s="46">
        <f t="shared" ca="1" si="8"/>
        <v>1.3157894736842106E-5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input_360010!A$2</f>
        <v>360010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IFERROR(VLOOKUP(B198,input_360010!L:R,7,FALSE),VLOOKUP(tables_360010!C198,input_360010!A:H,8,FALSE))</f>
        <v>35948</v>
      </c>
      <c r="P198" s="46">
        <f t="shared" ca="1" si="8"/>
        <v>6.0641025641025642E-3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input_360010!A$2</f>
        <v>360010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IFERROR(VLOOKUP(B199,input_360010!L:R,7,FALSE),VLOOKUP(tables_360010!C199,input_360010!A:H,8,FALSE))</f>
        <v>32353.200000000001</v>
      </c>
      <c r="P199" s="46">
        <f t="shared" ca="1" si="8"/>
        <v>5.4576923076923075E-3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input_360010!A$2</f>
        <v>360010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IFERROR(VLOOKUP(B200,input_360010!L:R,7,FALSE),VLOOKUP(tables_360010!C200,input_360010!A:H,8,FALSE))</f>
        <v>3594.8</v>
      </c>
      <c r="P200" s="46">
        <f t="shared" ca="1" si="8"/>
        <v>6.0641025641025646E-4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input_360010!A$2</f>
        <v>360010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IFERROR(VLOOKUP(B201,input_360010!L:R,7,FALSE),VLOOKUP(tables_360010!C201,input_360010!A:H,8,FALSE))</f>
        <v>1482</v>
      </c>
      <c r="P201" s="46">
        <f t="shared" ca="1" si="8"/>
        <v>2.5000000000000001E-4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input_360010!A$2</f>
        <v>360010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IFERROR(VLOOKUP(B202,input_360010!L:R,7,FALSE),VLOOKUP(tables_360010!C202,input_360010!A:H,8,FALSE))</f>
        <v>78</v>
      </c>
      <c r="P202" s="46">
        <f t="shared" ca="1" si="8"/>
        <v>1.3157894736842106E-5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input_360010!A$2</f>
        <v>360010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IFERROR(VLOOKUP(B203,input_360010!L:R,7,FALSE),VLOOKUP(tables_360010!C203,input_360010!A:H,8,FALSE))</f>
        <v>35948</v>
      </c>
      <c r="P203" s="46">
        <f t="shared" ca="1" si="8"/>
        <v>6.0641025641025642E-3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input_360010!A$2</f>
        <v>360010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IFERROR(VLOOKUP(B204,input_360010!L:R,7,FALSE),VLOOKUP(tables_360010!C204,input_360010!A:H,8,FALSE))</f>
        <v>32353.200000000001</v>
      </c>
      <c r="P204" s="46">
        <f t="shared" ca="1" si="8"/>
        <v>5.4576923076923075E-3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input_360010!A$2</f>
        <v>360010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IFERROR(VLOOKUP(B205,input_360010!L:R,7,FALSE),VLOOKUP(tables_360010!C205,input_360010!A:H,8,FALSE))</f>
        <v>3594.8</v>
      </c>
      <c r="P205" s="46">
        <f t="shared" ca="1" si="8"/>
        <v>6.0641025641025646E-4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input_360010!A$2</f>
        <v>360010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IFERROR(VLOOKUP(B206,input_360010!L:R,7,FALSE),VLOOKUP(tables_360010!C206,input_360010!A:H,8,FALSE))</f>
        <v>1482</v>
      </c>
      <c r="P206" s="46">
        <f t="shared" ca="1" si="8"/>
        <v>2.5000000000000001E-4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input_360010!A$2</f>
        <v>360010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IFERROR(VLOOKUP(B207,input_360010!L:R,7,FALSE),VLOOKUP(tables_360010!C207,input_360010!A:H,8,FALSE))</f>
        <v>78</v>
      </c>
      <c r="P207" s="46">
        <f t="shared" ref="P207:P270" ca="1" si="11">O207/SUM(O:O)</f>
        <v>1.3157894736842106E-5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input_360010!A$2</f>
        <v>360010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IFERROR(VLOOKUP(B208,input_360010!L:R,7,FALSE),VLOOKUP(tables_360010!C208,input_360010!A:H,8,FALSE))</f>
        <v>1482</v>
      </c>
      <c r="P208" s="46">
        <f t="shared" ca="1" si="11"/>
        <v>2.5000000000000001E-4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input_360010!A$2</f>
        <v>360010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IFERROR(VLOOKUP(B209,input_360010!L:R,7,FALSE),VLOOKUP(tables_360010!C209,input_360010!A:H,8,FALSE))</f>
        <v>78</v>
      </c>
      <c r="P209" s="46">
        <f t="shared" ca="1" si="11"/>
        <v>1.3157894736842106E-5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input_360010!A$2</f>
        <v>360010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IFERROR(VLOOKUP(B210,input_360010!L:R,7,FALSE),VLOOKUP(tables_360010!C210,input_360010!A:H,8,FALSE))</f>
        <v>35948</v>
      </c>
      <c r="P210" s="46">
        <f t="shared" ca="1" si="11"/>
        <v>6.0641025641025642E-3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input_360010!A$2</f>
        <v>360010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IFERROR(VLOOKUP(B211,input_360010!L:R,7,FALSE),VLOOKUP(tables_360010!C211,input_360010!A:H,8,FALSE))</f>
        <v>32353.200000000001</v>
      </c>
      <c r="P211" s="46">
        <f t="shared" ca="1" si="11"/>
        <v>5.4576923076923075E-3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input_360010!A$2</f>
        <v>360010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IFERROR(VLOOKUP(B212,input_360010!L:R,7,FALSE),VLOOKUP(tables_360010!C212,input_360010!A:H,8,FALSE))</f>
        <v>3594.8</v>
      </c>
      <c r="P212" s="46">
        <f t="shared" ca="1" si="11"/>
        <v>6.0641025641025646E-4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input_360010!A$2</f>
        <v>360010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IFERROR(VLOOKUP(B213,input_360010!L:R,7,FALSE),VLOOKUP(tables_360010!C213,input_360010!A:H,8,FALSE))</f>
        <v>1482</v>
      </c>
      <c r="P213" s="46">
        <f t="shared" ca="1" si="11"/>
        <v>2.5000000000000001E-4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input_360010!A$2</f>
        <v>360010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IFERROR(VLOOKUP(B214,input_360010!L:R,7,FALSE),VLOOKUP(tables_360010!C214,input_360010!A:H,8,FALSE))</f>
        <v>78</v>
      </c>
      <c r="P214" s="46">
        <f t="shared" ca="1" si="11"/>
        <v>1.3157894736842106E-5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input_360010!A$2</f>
        <v>360010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IFERROR(VLOOKUP(B215,input_360010!L:R,7,FALSE),VLOOKUP(tables_360010!C215,input_360010!A:H,8,FALSE))</f>
        <v>1482</v>
      </c>
      <c r="P215" s="46">
        <f t="shared" ca="1" si="11"/>
        <v>2.5000000000000001E-4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input_360010!A$2</f>
        <v>360010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IFERROR(VLOOKUP(B216,input_360010!L:R,7,FALSE),VLOOKUP(tables_360010!C216,input_360010!A:H,8,FALSE))</f>
        <v>78</v>
      </c>
      <c r="P216" s="46">
        <f t="shared" ca="1" si="11"/>
        <v>1.3157894736842106E-5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input_360010!A$2</f>
        <v>360010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IFERROR(VLOOKUP(B217,input_360010!L:R,7,FALSE),VLOOKUP(tables_360010!C217,input_360010!A:H,8,FALSE))</f>
        <v>35948</v>
      </c>
      <c r="P217" s="46">
        <f t="shared" ca="1" si="11"/>
        <v>6.0641025641025642E-3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input_360010!A$2</f>
        <v>360010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IFERROR(VLOOKUP(B218,input_360010!L:R,7,FALSE),VLOOKUP(tables_360010!C218,input_360010!A:H,8,FALSE))</f>
        <v>32353.200000000001</v>
      </c>
      <c r="P218" s="46">
        <f t="shared" ca="1" si="11"/>
        <v>5.4576923076923075E-3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input_360010!A$2</f>
        <v>360010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IFERROR(VLOOKUP(B219,input_360010!L:R,7,FALSE),VLOOKUP(tables_360010!C219,input_360010!A:H,8,FALSE))</f>
        <v>3594.8</v>
      </c>
      <c r="P219" s="46">
        <f t="shared" ca="1" si="11"/>
        <v>6.0641025641025646E-4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input_360010!A$2</f>
        <v>360010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IFERROR(VLOOKUP(B220,input_360010!L:R,7,FALSE),VLOOKUP(tables_360010!C220,input_360010!A:H,8,FALSE))</f>
        <v>35948</v>
      </c>
      <c r="P220" s="46">
        <f t="shared" ca="1" si="11"/>
        <v>6.0641025641025642E-3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input_360010!A$2</f>
        <v>360010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IFERROR(VLOOKUP(B221,input_360010!L:R,7,FALSE),VLOOKUP(tables_360010!C221,input_360010!A:H,8,FALSE))</f>
        <v>32353.200000000001</v>
      </c>
      <c r="P221" s="46">
        <f t="shared" ca="1" si="11"/>
        <v>5.4576923076923075E-3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input_360010!A$2</f>
        <v>360010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IFERROR(VLOOKUP(B222,input_360010!L:R,7,FALSE),VLOOKUP(tables_360010!C222,input_360010!A:H,8,FALSE))</f>
        <v>3594.8</v>
      </c>
      <c r="P222" s="46">
        <f t="shared" ca="1" si="11"/>
        <v>6.0641025641025646E-4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input_360010!A$2</f>
        <v>360010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IFERROR(VLOOKUP(B223,input_360010!L:R,7,FALSE),VLOOKUP(tables_360010!C223,input_360010!A:H,8,FALSE))</f>
        <v>1482</v>
      </c>
      <c r="P223" s="46">
        <f t="shared" ca="1" si="11"/>
        <v>2.5000000000000001E-4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input_360010!A$2</f>
        <v>360010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IFERROR(VLOOKUP(B224,input_360010!L:R,7,FALSE),VLOOKUP(tables_360010!C224,input_360010!A:H,8,FALSE))</f>
        <v>78</v>
      </c>
      <c r="P224" s="46">
        <f t="shared" ca="1" si="11"/>
        <v>1.3157894736842106E-5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input_360010!A$2</f>
        <v>360010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IFERROR(VLOOKUP(B225,input_360010!L:R,7,FALSE),VLOOKUP(tables_360010!C225,input_360010!A:H,8,FALSE))</f>
        <v>35948</v>
      </c>
      <c r="P225" s="46">
        <f t="shared" ca="1" si="11"/>
        <v>6.0641025641025642E-3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input_360010!A$2</f>
        <v>360010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IFERROR(VLOOKUP(B226,input_360010!L:R,7,FALSE),VLOOKUP(tables_360010!C226,input_360010!A:H,8,FALSE))</f>
        <v>32353.200000000001</v>
      </c>
      <c r="P226" s="46">
        <f t="shared" ca="1" si="11"/>
        <v>5.4576923076923075E-3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input_360010!A$2</f>
        <v>360010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IFERROR(VLOOKUP(B227,input_360010!L:R,7,FALSE),VLOOKUP(tables_360010!C227,input_360010!A:H,8,FALSE))</f>
        <v>3594.8</v>
      </c>
      <c r="P227" s="46">
        <f t="shared" ca="1" si="11"/>
        <v>6.0641025641025646E-4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input_360010!A$2</f>
        <v>360010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IFERROR(VLOOKUP(B228,input_360010!L:R,7,FALSE),VLOOKUP(tables_360010!C228,input_360010!A:H,8,FALSE))</f>
        <v>35948</v>
      </c>
      <c r="P228" s="46">
        <f t="shared" ca="1" si="11"/>
        <v>6.0641025641025642E-3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input_360010!A$2</f>
        <v>360010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IFERROR(VLOOKUP(B229,input_360010!L:R,7,FALSE),VLOOKUP(tables_360010!C229,input_360010!A:H,8,FALSE))</f>
        <v>32353.200000000001</v>
      </c>
      <c r="P229" s="46">
        <f t="shared" ca="1" si="11"/>
        <v>5.4576923076923075E-3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input_360010!A$2</f>
        <v>360010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IFERROR(VLOOKUP(B230,input_360010!L:R,7,FALSE),VLOOKUP(tables_360010!C230,input_360010!A:H,8,FALSE))</f>
        <v>3594.8</v>
      </c>
      <c r="P230" s="46">
        <f t="shared" ca="1" si="11"/>
        <v>6.0641025641025646E-4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input_360010!A$2</f>
        <v>360010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IFERROR(VLOOKUP(B231,input_360010!L:R,7,FALSE),VLOOKUP(tables_360010!C231,input_360010!A:H,8,FALSE))</f>
        <v>1482</v>
      </c>
      <c r="P231" s="46">
        <f t="shared" ca="1" si="11"/>
        <v>2.5000000000000001E-4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input_360010!A$2</f>
        <v>360010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IFERROR(VLOOKUP(B232,input_360010!L:R,7,FALSE),VLOOKUP(tables_360010!C232,input_360010!A:H,8,FALSE))</f>
        <v>78</v>
      </c>
      <c r="P232" s="46">
        <f t="shared" ca="1" si="11"/>
        <v>1.3157894736842106E-5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input_360010!A$2</f>
        <v>360010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IFERROR(VLOOKUP(B233,input_360010!L:R,7,FALSE),VLOOKUP(tables_360010!C233,input_360010!A:H,8,FALSE))</f>
        <v>35948</v>
      </c>
      <c r="P233" s="46">
        <f t="shared" ca="1" si="11"/>
        <v>6.0641025641025642E-3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input_360010!A$2</f>
        <v>360010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IFERROR(VLOOKUP(B234,input_360010!L:R,7,FALSE),VLOOKUP(tables_360010!C234,input_360010!A:H,8,FALSE))</f>
        <v>32353.200000000001</v>
      </c>
      <c r="P234" s="46">
        <f t="shared" ca="1" si="11"/>
        <v>5.4576923076923075E-3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input_360010!A$2</f>
        <v>360010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IFERROR(VLOOKUP(B235,input_360010!L:R,7,FALSE),VLOOKUP(tables_360010!C235,input_360010!A:H,8,FALSE))</f>
        <v>3594.8</v>
      </c>
      <c r="P235" s="46">
        <f t="shared" ca="1" si="11"/>
        <v>6.0641025641025646E-4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input_360010!A$2</f>
        <v>360010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IFERROR(VLOOKUP(B236,input_360010!L:R,7,FALSE),VLOOKUP(tables_360010!C236,input_360010!A:H,8,FALSE))</f>
        <v>1482</v>
      </c>
      <c r="P236" s="46">
        <f t="shared" ca="1" si="11"/>
        <v>2.5000000000000001E-4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input_360010!A$2</f>
        <v>360010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IFERROR(VLOOKUP(B237,input_360010!L:R,7,FALSE),VLOOKUP(tables_360010!C237,input_360010!A:H,8,FALSE))</f>
        <v>78</v>
      </c>
      <c r="P237" s="46">
        <f t="shared" ca="1" si="11"/>
        <v>1.3157894736842106E-5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input_360010!A$2</f>
        <v>360010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IFERROR(VLOOKUP(B238,input_360010!L:R,7,FALSE),VLOOKUP(tables_360010!C238,input_360010!A:H,8,FALSE))</f>
        <v>1482</v>
      </c>
      <c r="P238" s="46">
        <f t="shared" ca="1" si="11"/>
        <v>2.5000000000000001E-4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input_360010!A$2</f>
        <v>360010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IFERROR(VLOOKUP(B239,input_360010!L:R,7,FALSE),VLOOKUP(tables_360010!C239,input_360010!A:H,8,FALSE))</f>
        <v>78</v>
      </c>
      <c r="P239" s="46">
        <f t="shared" ca="1" si="11"/>
        <v>1.3157894736842106E-5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input_360010!A$2</f>
        <v>360010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IFERROR(VLOOKUP(B240,input_360010!L:R,7,FALSE),VLOOKUP(tables_360010!C240,input_360010!A:H,8,FALSE))</f>
        <v>35948</v>
      </c>
      <c r="P240" s="46">
        <f t="shared" ca="1" si="11"/>
        <v>6.0641025641025642E-3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input_360010!A$2</f>
        <v>360010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IFERROR(VLOOKUP(B241,input_360010!L:R,7,FALSE),VLOOKUP(tables_360010!C241,input_360010!A:H,8,FALSE))</f>
        <v>32353.200000000001</v>
      </c>
      <c r="P241" s="46">
        <f t="shared" ca="1" si="11"/>
        <v>5.4576923076923075E-3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input_360010!A$2</f>
        <v>360010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IFERROR(VLOOKUP(B242,input_360010!L:R,7,FALSE),VLOOKUP(tables_360010!C242,input_360010!A:H,8,FALSE))</f>
        <v>3594.8</v>
      </c>
      <c r="P242" s="46">
        <f t="shared" ca="1" si="11"/>
        <v>6.0641025641025646E-4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input_360010!A$2</f>
        <v>360010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IFERROR(VLOOKUP(B243,input_360010!L:R,7,FALSE),VLOOKUP(tables_360010!C243,input_360010!A:H,8,FALSE))</f>
        <v>35948</v>
      </c>
      <c r="P243" s="46">
        <f t="shared" ca="1" si="11"/>
        <v>6.0641025641025642E-3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input_360010!A$2</f>
        <v>360010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IFERROR(VLOOKUP(B244,input_360010!L:R,7,FALSE),VLOOKUP(tables_360010!C244,input_360010!A:H,8,FALSE))</f>
        <v>32353.200000000001</v>
      </c>
      <c r="P244" s="46">
        <f t="shared" ca="1" si="11"/>
        <v>5.4576923076923075E-3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input_360010!A$2</f>
        <v>360010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IFERROR(VLOOKUP(B245,input_360010!L:R,7,FALSE),VLOOKUP(tables_360010!C245,input_360010!A:H,8,FALSE))</f>
        <v>3594.8</v>
      </c>
      <c r="P245" s="46">
        <f t="shared" ca="1" si="11"/>
        <v>6.0641025641025646E-4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input_360010!A$2</f>
        <v>360010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IFERROR(VLOOKUP(B246,input_360010!L:R,7,FALSE),VLOOKUP(tables_360010!C246,input_360010!A:H,8,FALSE))</f>
        <v>35948</v>
      </c>
      <c r="P246" s="46">
        <f t="shared" ca="1" si="11"/>
        <v>6.0641025641025642E-3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input_360010!A$2</f>
        <v>360010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IFERROR(VLOOKUP(B247,input_360010!L:R,7,FALSE),VLOOKUP(tables_360010!C247,input_360010!A:H,8,FALSE))</f>
        <v>32353.200000000001</v>
      </c>
      <c r="P247" s="46">
        <f t="shared" ca="1" si="11"/>
        <v>5.4576923076923075E-3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input_360010!A$2</f>
        <v>360010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IFERROR(VLOOKUP(B248,input_360010!L:R,7,FALSE),VLOOKUP(tables_360010!C248,input_360010!A:H,8,FALSE))</f>
        <v>3594.8</v>
      </c>
      <c r="P248" s="46">
        <f t="shared" ca="1" si="11"/>
        <v>6.0641025641025646E-4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input_360010!A$2</f>
        <v>360010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IFERROR(VLOOKUP(B249,input_360010!L:R,7,FALSE),VLOOKUP(tables_360010!C249,input_360010!A:H,8,FALSE))</f>
        <v>35948</v>
      </c>
      <c r="P249" s="46">
        <f t="shared" ca="1" si="11"/>
        <v>6.0641025641025642E-3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input_360010!A$2</f>
        <v>360010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IFERROR(VLOOKUP(B250,input_360010!L:R,7,FALSE),VLOOKUP(tables_360010!C250,input_360010!A:H,8,FALSE))</f>
        <v>32353.200000000001</v>
      </c>
      <c r="P250" s="46">
        <f t="shared" ca="1" si="11"/>
        <v>5.4576923076923075E-3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input_360010!A$2</f>
        <v>360010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IFERROR(VLOOKUP(B251,input_360010!L:R,7,FALSE),VLOOKUP(tables_360010!C251,input_360010!A:H,8,FALSE))</f>
        <v>3594.8</v>
      </c>
      <c r="P251" s="46">
        <f t="shared" ca="1" si="11"/>
        <v>6.0641025641025646E-4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input_360010!A$2</f>
        <v>360010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IFERROR(VLOOKUP(B252,input_360010!L:R,7,FALSE),VLOOKUP(tables_360010!C252,input_360010!A:H,8,FALSE))</f>
        <v>1482</v>
      </c>
      <c r="P252" s="46">
        <f t="shared" ca="1" si="11"/>
        <v>2.5000000000000001E-4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input_360010!A$2</f>
        <v>360010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IFERROR(VLOOKUP(B253,input_360010!L:R,7,FALSE),VLOOKUP(tables_360010!C253,input_360010!A:H,8,FALSE))</f>
        <v>78</v>
      </c>
      <c r="P253" s="46">
        <f t="shared" ca="1" si="11"/>
        <v>1.3157894736842106E-5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input_360010!A$2</f>
        <v>360010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IFERROR(VLOOKUP(B254,input_360010!L:R,7,FALSE),VLOOKUP(tables_360010!C254,input_360010!A:H,8,FALSE))</f>
        <v>1482</v>
      </c>
      <c r="P254" s="46">
        <f t="shared" ca="1" si="11"/>
        <v>2.5000000000000001E-4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input_360010!A$2</f>
        <v>360010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IFERROR(VLOOKUP(B255,input_360010!L:R,7,FALSE),VLOOKUP(tables_360010!C255,input_360010!A:H,8,FALSE))</f>
        <v>78</v>
      </c>
      <c r="P255" s="46">
        <f t="shared" ca="1" si="11"/>
        <v>1.3157894736842106E-5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input_360010!A$2</f>
        <v>360010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IFERROR(VLOOKUP(B256,input_360010!L:R,7,FALSE),VLOOKUP(tables_360010!C256,input_360010!A:H,8,FALSE))</f>
        <v>55626.93333</v>
      </c>
      <c r="P256" s="46">
        <f t="shared" ca="1" si="11"/>
        <v>9.3837606831983812E-3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input_360010!A$2</f>
        <v>360010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IFERROR(VLOOKUP(B257,input_360010!L:R,7,FALSE),VLOOKUP(tables_360010!C257,input_360010!A:H,8,FALSE))</f>
        <v>16269.06667</v>
      </c>
      <c r="P257" s="46">
        <f t="shared" ca="1" si="11"/>
        <v>2.7444444450067476E-3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input_360010!A$2</f>
        <v>360010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IFERROR(VLOOKUP(B258,input_360010!L:R,7,FALSE),VLOOKUP(tables_360010!C258,input_360010!A:H,8,FALSE))</f>
        <v>55626.93333</v>
      </c>
      <c r="P258" s="46">
        <f t="shared" ca="1" si="11"/>
        <v>9.3837606831983812E-3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input_360010!A$2</f>
        <v>360010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IFERROR(VLOOKUP(B259,input_360010!L:R,7,FALSE),VLOOKUP(tables_360010!C259,input_360010!A:H,8,FALSE))</f>
        <v>16269.06667</v>
      </c>
      <c r="P259" s="46">
        <f t="shared" ca="1" si="11"/>
        <v>2.7444444450067476E-3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input_360010!A$2</f>
        <v>360010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IFERROR(VLOOKUP(B260,input_360010!L:R,7,FALSE),VLOOKUP(tables_360010!C260,input_360010!A:H,8,FALSE))</f>
        <v>1560</v>
      </c>
      <c r="P260" s="46">
        <f t="shared" ca="1" si="11"/>
        <v>2.631578947368421E-4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input_360010!A$2</f>
        <v>360010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IFERROR(VLOOKUP(B261,input_360010!L:R,7,FALSE),VLOOKUP(tables_360010!C261,input_360010!A:H,8,FALSE))</f>
        <v>1560</v>
      </c>
      <c r="P261" s="46">
        <f t="shared" ca="1" si="11"/>
        <v>2.631578947368421E-4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input_360010!A$2</f>
        <v>360010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IFERROR(VLOOKUP(B262,input_360010!L:R,7,FALSE),VLOOKUP(tables_360010!C262,input_360010!A:H,8,FALSE))</f>
        <v>1482</v>
      </c>
      <c r="P262" s="46">
        <f t="shared" ca="1" si="11"/>
        <v>2.5000000000000001E-4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input_360010!A$2</f>
        <v>360010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IFERROR(VLOOKUP(B263,input_360010!L:R,7,FALSE),VLOOKUP(tables_360010!C263,input_360010!A:H,8,FALSE))</f>
        <v>78</v>
      </c>
      <c r="P263" s="46">
        <f t="shared" ca="1" si="11"/>
        <v>1.3157894736842106E-5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input_360010!A$2</f>
        <v>360010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IFERROR(VLOOKUP(B264,input_360010!L:R,7,FALSE),VLOOKUP(tables_360010!C264,input_360010!A:H,8,FALSE))</f>
        <v>1482</v>
      </c>
      <c r="P264" s="46">
        <f t="shared" ca="1" si="11"/>
        <v>2.5000000000000001E-4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input_360010!A$2</f>
        <v>360010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IFERROR(VLOOKUP(B265,input_360010!L:R,7,FALSE),VLOOKUP(tables_360010!C265,input_360010!A:H,8,FALSE))</f>
        <v>78</v>
      </c>
      <c r="P265" s="46">
        <f t="shared" ca="1" si="11"/>
        <v>1.3157894736842106E-5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input_360010!A$2</f>
        <v>360010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IFERROR(VLOOKUP(B266,input_360010!L:R,7,FALSE),VLOOKUP(tables_360010!C266,input_360010!A:H,8,FALSE))</f>
        <v>35948</v>
      </c>
      <c r="P266" s="46">
        <f t="shared" ca="1" si="11"/>
        <v>6.0641025641025642E-3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input_360010!A$2</f>
        <v>360010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IFERROR(VLOOKUP(B267,input_360010!L:R,7,FALSE),VLOOKUP(tables_360010!C267,input_360010!A:H,8,FALSE))</f>
        <v>32353.200000000001</v>
      </c>
      <c r="P267" s="46">
        <f t="shared" ca="1" si="11"/>
        <v>5.4576923076923075E-3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input_360010!A$2</f>
        <v>360010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IFERROR(VLOOKUP(B268,input_360010!L:R,7,FALSE),VLOOKUP(tables_360010!C268,input_360010!A:H,8,FALSE))</f>
        <v>3594.8</v>
      </c>
      <c r="P268" s="46">
        <f t="shared" ca="1" si="11"/>
        <v>6.0641025641025646E-4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input_360010!A$2</f>
        <v>360010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IFERROR(VLOOKUP(B269,input_360010!L:R,7,FALSE),VLOOKUP(tables_360010!C269,input_360010!A:H,8,FALSE))</f>
        <v>35948</v>
      </c>
      <c r="P269" s="46">
        <f t="shared" ca="1" si="11"/>
        <v>6.0641025641025642E-3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input_360010!A$2</f>
        <v>360010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IFERROR(VLOOKUP(B270,input_360010!L:R,7,FALSE),VLOOKUP(tables_360010!C270,input_360010!A:H,8,FALSE))</f>
        <v>32353.200000000001</v>
      </c>
      <c r="P270" s="46">
        <f t="shared" ca="1" si="11"/>
        <v>5.4576923076923075E-3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input_360010!A$2</f>
        <v>360010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IFERROR(VLOOKUP(B271,input_360010!L:R,7,FALSE),VLOOKUP(tables_360010!C271,input_360010!A:H,8,FALSE))</f>
        <v>3594.8</v>
      </c>
      <c r="P271" s="46">
        <f t="shared" ref="P271:P284" ca="1" si="14">O271/SUM(O:O)</f>
        <v>6.0641025641025646E-4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input_360010!A$2</f>
        <v>360010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IFERROR(VLOOKUP(B272,input_360010!L:R,7,FALSE),VLOOKUP(tables_360010!C272,input_360010!A:H,8,FALSE))</f>
        <v>1560</v>
      </c>
      <c r="P272" s="46">
        <f t="shared" ca="1" si="14"/>
        <v>2.631578947368421E-4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input_360010!A$2</f>
        <v>360010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IFERROR(VLOOKUP(B273,input_360010!L:R,7,FALSE),VLOOKUP(tables_360010!C273,input_360010!A:H,8,FALSE))</f>
        <v>1560</v>
      </c>
      <c r="P273" s="46">
        <f t="shared" ca="1" si="14"/>
        <v>2.631578947368421E-4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input_360010!A$2</f>
        <v>360010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IFERROR(VLOOKUP(B274,input_360010!L:R,7,FALSE),VLOOKUP(tables_360010!C274,input_360010!A:H,8,FALSE))</f>
        <v>55626.93333</v>
      </c>
      <c r="P274" s="46">
        <f t="shared" ca="1" si="14"/>
        <v>9.3837606831983812E-3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input_360010!A$2</f>
        <v>360010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IFERROR(VLOOKUP(B275,input_360010!L:R,7,FALSE),VLOOKUP(tables_360010!C275,input_360010!A:H,8,FALSE))</f>
        <v>16269.06667</v>
      </c>
      <c r="P275" s="46">
        <f t="shared" ca="1" si="14"/>
        <v>2.7444444450067476E-3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input_360010!A$2</f>
        <v>360010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IFERROR(VLOOKUP(B276,input_360010!L:R,7,FALSE),VLOOKUP(tables_360010!C276,input_360010!A:H,8,FALSE))</f>
        <v>55626.93333</v>
      </c>
      <c r="P276" s="46">
        <f t="shared" ca="1" si="14"/>
        <v>9.3837606831983812E-3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input_360010!A$2</f>
        <v>360010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IFERROR(VLOOKUP(B277,input_360010!L:R,7,FALSE),VLOOKUP(tables_360010!C277,input_360010!A:H,8,FALSE))</f>
        <v>16269.06667</v>
      </c>
      <c r="P277" s="46">
        <f t="shared" ca="1" si="14"/>
        <v>2.7444444450067476E-3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input_360010!A$2</f>
        <v>360010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IFERROR(VLOOKUP(B278,input_360010!L:R,7,FALSE),VLOOKUP(tables_360010!C278,input_360010!A:H,8,FALSE))</f>
        <v>55626.93333</v>
      </c>
      <c r="P278" s="46">
        <f t="shared" ca="1" si="14"/>
        <v>9.3837606831983812E-3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input_360010!A$2</f>
        <v>360010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IFERROR(VLOOKUP(B279,input_360010!L:R,7,FALSE),VLOOKUP(tables_360010!C279,input_360010!A:H,8,FALSE))</f>
        <v>16269.06667</v>
      </c>
      <c r="P279" s="46">
        <f t="shared" ca="1" si="14"/>
        <v>2.7444444450067476E-3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input_360010!A$2</f>
        <v>360010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IFERROR(VLOOKUP(B280,input_360010!L:R,7,FALSE),VLOOKUP(tables_360010!C280,input_360010!A:H,8,FALSE))</f>
        <v>55626.93333</v>
      </c>
      <c r="P280" s="46">
        <f t="shared" ca="1" si="14"/>
        <v>9.3837606831983812E-3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input_360010!A$2</f>
        <v>360010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IFERROR(VLOOKUP(B281,input_360010!L:R,7,FALSE),VLOOKUP(tables_360010!C281,input_360010!A:H,8,FALSE))</f>
        <v>16269.06667</v>
      </c>
      <c r="P281" s="46">
        <f t="shared" ca="1" si="14"/>
        <v>2.7444444450067476E-3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input_360010!A$2</f>
        <v>360010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IFERROR(VLOOKUP(B282,input_360010!L:R,7,FALSE),VLOOKUP(tables_360010!C282,input_360010!A:H,8,FALSE))</f>
        <v>1560</v>
      </c>
      <c r="P282" s="46">
        <f t="shared" ca="1" si="14"/>
        <v>2.631578947368421E-4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input_360010!A$2</f>
        <v>360010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IFERROR(VLOOKUP(B283,input_360010!L:R,7,FALSE),VLOOKUP(tables_360010!C283,input_360010!A:H,8,FALSE))</f>
        <v>1560</v>
      </c>
      <c r="P283" s="46">
        <f t="shared" ca="1" si="14"/>
        <v>2.631578947368421E-4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input_360010!A$2</f>
        <v>360010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IFERROR(VLOOKUP(B284,input_360010!L:R,7,FALSE),VLOOKUP(tables_360010!C284,input_360010!A:H,8,FALSE))</f>
        <v>59280</v>
      </c>
      <c r="P284" s="46">
        <f t="shared" ca="1" si="14"/>
        <v>0.01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input_360010!A$2</f>
        <v>360010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IFERROR(VLOOKUP(B285,input_360010!L:R,7,FALSE),VLOOKUP(tables_360010!C285,input_360010!A:H,8,FALSE))</f>
        <v>59280</v>
      </c>
      <c r="P285" s="46">
        <f t="shared" ref="P285:P289" ca="1" si="17">O285/SUM(O:O)</f>
        <v>0.01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input_360010!A$2</f>
        <v>360010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IFERROR(VLOOKUP(B286,input_360010!L:R,7,FALSE),VLOOKUP(tables_360010!C286,input_360010!A:H,8,FALSE))</f>
        <v>67579.199999999997</v>
      </c>
      <c r="P286" s="46">
        <f t="shared" ca="1" si="17"/>
        <v>1.1399999999999999E-2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input_360010!A$2</f>
        <v>360010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IFERROR(VLOOKUP(B287,input_360010!L:R,7,FALSE),VLOOKUP(tables_360010!C287,input_360010!A:H,8,FALSE))</f>
        <v>3556.8</v>
      </c>
      <c r="P287" s="46">
        <f t="shared" ca="1" si="17"/>
        <v>6.0000000000000006E-4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input_360010!A$2</f>
        <v>360010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IFERROR(VLOOKUP(B288,input_360010!L:R,7,FALSE),VLOOKUP(tables_360010!C288,input_360010!A:H,8,FALSE))</f>
        <v>67579.199999999997</v>
      </c>
      <c r="P288" s="46">
        <f t="shared" ca="1" si="17"/>
        <v>1.1399999999999999E-2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input_360010!A$2</f>
        <v>360010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IFERROR(VLOOKUP(B289,input_360010!L:R,7,FALSE),VLOOKUP(tables_360010!C289,input_360010!A:H,8,FALSE))</f>
        <v>3556.8</v>
      </c>
      <c r="P289" s="46">
        <f t="shared" ca="1" si="17"/>
        <v>6.0000000000000006E-4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3" workbookViewId="0">
      <selection activeCell="N9" sqref="N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742</v>
      </c>
      <c r="M3" s="37" t="str">
        <f>VLOOKUP(L3,[1]characters!$A:$C,3,FALSE)</f>
        <v>アポロン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VLOOKUP(L3,tables_360100!B:C,2,FALSE)</f>
        <v>PremiumSS5R5only</v>
      </c>
      <c r="R3" s="62">
        <f t="shared" ref="R3:R20" si="1">N3*A$36</f>
        <v>59280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744</v>
      </c>
      <c r="M4" s="37" t="str">
        <f>VLOOKUP(L4,[1]characters!$A:$C,3,FALSE)</f>
        <v>ヘルメス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VLOOKUP(L4,tables_360100!B:C,2,FALSE)</f>
        <v>PremiumSS5R5only</v>
      </c>
      <c r="R4" s="62">
        <f t="shared" si="1"/>
        <v>59280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2.6315789473684205E-4</v>
      </c>
      <c r="F5">
        <f>(COUNTIF(tables_360100!C:C,input_360100!A26)+COUNTIF(tables_360100!C:C,input_360100!A28)+COUNTIF(tables_360100!C:C,input_360100!A29))</f>
        <v>40</v>
      </c>
      <c r="H5" s="85">
        <v>0.02</v>
      </c>
      <c r="I5" s="31">
        <v>2</v>
      </c>
      <c r="L5" s="60">
        <v>746</v>
      </c>
      <c r="M5" s="37" t="str">
        <f>VLOOKUP(L5,[1]characters!$A:$C,3,FALSE)</f>
        <v>ノルン</v>
      </c>
      <c r="N5" s="63">
        <f>0.012*0.95</f>
        <v>1.14E-2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VLOOKUP(L5,tables_360100!B:C,2,FALSE)</f>
        <v>Premium4R3less</v>
      </c>
      <c r="R5" s="62">
        <f t="shared" si="1"/>
        <v>67579.199999999997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1.2128205128205128E-2</v>
      </c>
      <c r="F6">
        <f>(COUNTIF(tables_360100!C:C,input_360100!A18)+COUNTIF(tables_360100!C:C,input_360100!A20)+COUNTIF(tables_360100!C:C,input_360100!A22))</f>
        <v>80</v>
      </c>
      <c r="H6" s="94">
        <v>2.4E-2</v>
      </c>
      <c r="I6" s="31">
        <v>2</v>
      </c>
      <c r="L6" s="60">
        <v>747</v>
      </c>
      <c r="M6" s="37" t="str">
        <f>VLOOKUP(L6,[1]characters!$A:$C,3,FALSE)</f>
        <v>潔碧の巡励神 ノルン</v>
      </c>
      <c r="N6" s="63">
        <f>0.012-N5</f>
        <v>5.9999999999999984E-4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VLOOKUP(L6,tables_360100!B:C,2,FALSE)</f>
        <v>Premium5R3less</v>
      </c>
      <c r="R6" s="62">
        <f t="shared" si="1"/>
        <v>3556.7999999999993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748</v>
      </c>
      <c r="M7" s="37" t="str">
        <f>VLOOKUP(L7,[1]characters!$A:$C,3,FALSE)</f>
        <v>パーン</v>
      </c>
      <c r="N7" s="63">
        <f>0.012*0.95</f>
        <v>1.14E-2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VLOOKUP(L7,tables_360100!B:C,2,FALSE)</f>
        <v>Premium4R3less</v>
      </c>
      <c r="R7" s="62">
        <f t="shared" si="1"/>
        <v>67579.199999999997</v>
      </c>
      <c r="S7">
        <v>597</v>
      </c>
      <c r="U7" s="33" t="s">
        <v>196</v>
      </c>
      <c r="V7" s="54">
        <f t="shared" si="0"/>
        <v>2.2800000000000001E-2</v>
      </c>
    </row>
    <row r="8" spans="1:22" x14ac:dyDescent="0.15">
      <c r="A8" s="57"/>
      <c r="B8" s="71"/>
      <c r="E8" s="76"/>
      <c r="L8" s="60">
        <v>749</v>
      </c>
      <c r="M8" s="37" t="str">
        <f>VLOOKUP(L8,[1]characters!$A:$C,3,FALSE)</f>
        <v>光喜の牧童 パーン</v>
      </c>
      <c r="N8" s="63">
        <f>0.012-N7</f>
        <v>5.9999999999999984E-4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VLOOKUP(L8,tables_360100!B:C,2,FALSE)</f>
        <v>Premium5R3less</v>
      </c>
      <c r="R8" s="62">
        <f t="shared" si="1"/>
        <v>3556.7999999999993</v>
      </c>
      <c r="S8">
        <v>598</v>
      </c>
      <c r="U8" s="33" t="s">
        <v>197</v>
      </c>
      <c r="V8" s="54">
        <f t="shared" si="0"/>
        <v>1.1999999999999997E-3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261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COUNTIF(tables_360100!C:C,input_360100!A17)-COUNTIF(Q:Q,A17)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0.24256410256410257</v>
      </c>
      <c r="C18" s="86">
        <f t="shared" si="2"/>
        <v>0</v>
      </c>
      <c r="D18" s="74">
        <f t="shared" si="3"/>
        <v>0.24256410256410257</v>
      </c>
      <c r="E18">
        <f>COUNTIF(tables_360100!C:C,input_360100!A18)-COUNTIF(Q:Q,A18)</f>
        <v>20</v>
      </c>
      <c r="F18" s="43">
        <f>IFERROR(B18/E18,0)</f>
        <v>1.2128205128205128E-2</v>
      </c>
      <c r="G18">
        <f t="shared" si="4"/>
        <v>1437920</v>
      </c>
      <c r="H18">
        <f t="shared" si="5"/>
        <v>71896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COUNTIF(tables_360100!C:C,input_360100!A19)-COUNTIF(Q:Q,A19)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0.5991333333333333</v>
      </c>
      <c r="C20" s="86">
        <f t="shared" si="2"/>
        <v>0</v>
      </c>
      <c r="D20" s="74">
        <f t="shared" si="3"/>
        <v>0.5991333333333333</v>
      </c>
      <c r="E20">
        <f>COUNTIF(tables_360100!C:C,input_360100!A20)-COUNTIF(Q:Q,A20)</f>
        <v>52</v>
      </c>
      <c r="F20" s="43">
        <f t="shared" si="8"/>
        <v>1.1521794871794871E-2</v>
      </c>
      <c r="G20">
        <f t="shared" si="4"/>
        <v>3551662.4</v>
      </c>
      <c r="H20">
        <f t="shared" si="5"/>
        <v>68301.2</v>
      </c>
      <c r="I20">
        <f t="shared" si="6"/>
        <v>0.19999999999708962</v>
      </c>
      <c r="J20">
        <f t="shared" si="7"/>
        <v>5.0000000000727596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3.1533333333333337E-2</v>
      </c>
      <c r="C21" s="86">
        <f t="shared" si="2"/>
        <v>0</v>
      </c>
      <c r="D21" s="74">
        <f t="shared" si="3"/>
        <v>3.1533333333333337E-2</v>
      </c>
      <c r="E21">
        <f>COUNTIF(tables_360100!C:C,input_360100!A21)-COUNTIF(Q:Q,A21)</f>
        <v>52</v>
      </c>
      <c r="F21" s="43">
        <f t="shared" si="8"/>
        <v>6.0641025641025646E-4</v>
      </c>
      <c r="G21">
        <f t="shared" si="4"/>
        <v>186929.60000000003</v>
      </c>
      <c r="H21">
        <f t="shared" si="5"/>
        <v>3594.8</v>
      </c>
      <c r="I21">
        <f t="shared" si="6"/>
        <v>0.8000000000001819</v>
      </c>
      <c r="J21">
        <f t="shared" si="7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5.6302564102564102E-2</v>
      </c>
      <c r="C22" s="86">
        <f t="shared" si="2"/>
        <v>2.2800000000000001E-2</v>
      </c>
      <c r="D22" s="74">
        <f t="shared" si="3"/>
        <v>3.3502564102564102E-2</v>
      </c>
      <c r="E22">
        <f>COUNTIF(tables_360100!C:C,input_360100!A22)-COUNTIF(Q:Q,A22)</f>
        <v>6</v>
      </c>
      <c r="F22" s="43">
        <f t="shared" si="8"/>
        <v>9.3837606837606832E-3</v>
      </c>
      <c r="G22">
        <f t="shared" si="4"/>
        <v>333761.59999999998</v>
      </c>
      <c r="H22">
        <f t="shared" si="5"/>
        <v>55626.93333</v>
      </c>
      <c r="I22">
        <f t="shared" si="6"/>
        <v>0.93332999999984168</v>
      </c>
      <c r="J22">
        <f t="shared" si="7"/>
        <v>1.0714323979730316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1.6466666666666664E-2</v>
      </c>
      <c r="C23" s="86">
        <f t="shared" si="2"/>
        <v>1.1999999999999997E-3</v>
      </c>
      <c r="D23" s="74">
        <f t="shared" si="3"/>
        <v>1.5266666666666664E-2</v>
      </c>
      <c r="E23">
        <f>COUNTIF(tables_360100!C:C,input_360100!A23)-COUNTIF(Q:Q,A23)</f>
        <v>6</v>
      </c>
      <c r="F23" s="43">
        <f t="shared" si="8"/>
        <v>2.7444444444444439E-3</v>
      </c>
      <c r="G23">
        <f t="shared" si="4"/>
        <v>97614.39999999998</v>
      </c>
      <c r="H23">
        <f t="shared" si="5"/>
        <v>16269.06667</v>
      </c>
      <c r="I23">
        <f t="shared" si="6"/>
        <v>6.6670000000158325E-2</v>
      </c>
      <c r="J23">
        <f t="shared" si="7"/>
        <v>14.999250037462506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6">
        <f t="shared" si="2"/>
        <v>0</v>
      </c>
      <c r="D24" s="74">
        <f t="shared" si="3"/>
        <v>0</v>
      </c>
      <c r="E24">
        <f>COUNTIF(tables_360100!C:C,input_360100!A24)-COUNTIF(Q:Q,A24)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9.999999999999998E-4</v>
      </c>
      <c r="C25" s="86">
        <f t="shared" si="2"/>
        <v>0</v>
      </c>
      <c r="D25" s="74">
        <f t="shared" si="3"/>
        <v>9.999999999999998E-4</v>
      </c>
      <c r="E25">
        <f>COUNTIF(tables_360100!C:C,input_360100!A25)-COUNTIF(Q:Q,A25)</f>
        <v>4</v>
      </c>
      <c r="F25" s="43">
        <f t="shared" si="8"/>
        <v>2.4999999999999995E-4</v>
      </c>
      <c r="G25">
        <f t="shared" si="4"/>
        <v>5927.9999999999991</v>
      </c>
      <c r="H25">
        <f t="shared" si="5"/>
        <v>1482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5.263157894736841E-5</v>
      </c>
      <c r="C26" s="86">
        <f t="shared" si="2"/>
        <v>0</v>
      </c>
      <c r="D26" s="74">
        <f t="shared" si="3"/>
        <v>5.263157894736841E-5</v>
      </c>
      <c r="E26">
        <f>COUNTIF(tables_360100!C:C,input_360100!A26)-COUNTIF(Q:Q,A26)</f>
        <v>4</v>
      </c>
      <c r="F26" s="43">
        <f t="shared" si="8"/>
        <v>1.3157894736842103E-5</v>
      </c>
      <c r="G26">
        <f t="shared" si="4"/>
        <v>311.99999999999994</v>
      </c>
      <c r="H26">
        <f t="shared" si="5"/>
        <v>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6.9999999999999975E-3</v>
      </c>
      <c r="C27" s="86">
        <f t="shared" si="2"/>
        <v>0</v>
      </c>
      <c r="D27" s="74">
        <f t="shared" si="3"/>
        <v>6.9999999999999975E-3</v>
      </c>
      <c r="E27">
        <f>COUNTIF(tables_360100!C:C,input_360100!A27)-COUNTIF(Q:Q,A27)</f>
        <v>28</v>
      </c>
      <c r="F27" s="43">
        <f>IFERROR(B27/E27,0)</f>
        <v>2.499999999999999E-4</v>
      </c>
      <c r="G27">
        <f t="shared" si="4"/>
        <v>41495.999999999985</v>
      </c>
      <c r="H27">
        <f t="shared" si="5"/>
        <v>1482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3.6842105263157885E-4</v>
      </c>
      <c r="C28" s="86">
        <f t="shared" si="2"/>
        <v>0</v>
      </c>
      <c r="D28" s="74">
        <f t="shared" si="3"/>
        <v>3.6842105263157885E-4</v>
      </c>
      <c r="E28">
        <f>COUNTIF(tables_360100!C:C,input_360100!A28)-COUNTIF(Q:Q,A28)</f>
        <v>28</v>
      </c>
      <c r="F28" s="43">
        <f t="shared" si="8"/>
        <v>1.3157894736842103E-5</v>
      </c>
      <c r="G28">
        <f t="shared" si="4"/>
        <v>2183.9999999999995</v>
      </c>
      <c r="H28">
        <f t="shared" si="5"/>
        <v>78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1.5789473684210522E-3</v>
      </c>
      <c r="C29" s="86">
        <f t="shared" si="2"/>
        <v>0.02</v>
      </c>
      <c r="D29" s="74">
        <f t="shared" si="3"/>
        <v>-1.8421052631578949E-2</v>
      </c>
      <c r="E29">
        <f>COUNTIF(tables_360100!C:C,input_360100!A29)-COUNTIF(Q:Q,A29)</f>
        <v>6</v>
      </c>
      <c r="F29" s="43">
        <f t="shared" si="8"/>
        <v>2.6315789473684205E-4</v>
      </c>
      <c r="G29">
        <f t="shared" si="4"/>
        <v>9359.9999999999964</v>
      </c>
      <c r="H29">
        <f t="shared" si="5"/>
        <v>1560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COUNTIF(tables_360100!C:C,input_360100!A30)-COUNTIF(Q:Q,A30)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COUNTIF(tables_360100!C:C,input_360100!A31)-COUNTIF(Q:Q,A31)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0.95599999999999985</v>
      </c>
      <c r="C32" s="41">
        <f>SUM(C19:C31)</f>
        <v>4.3999999999999997E-2</v>
      </c>
      <c r="D32" s="42">
        <f t="shared" si="3"/>
        <v>0.91199999999999981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SUMIF(tables_360100!C:C,input_360100!A40,tables_360100!O:O)</f>
        <v>0</v>
      </c>
      <c r="C40" s="54">
        <f t="shared" ref="C40:C46" ca="1" si="9">B40/B$47</f>
        <v>0</v>
      </c>
      <c r="E40">
        <v>3</v>
      </c>
      <c r="F40">
        <f ca="1">SUMIF(tables_360100!J:J,input_360100!E40,tables_360100!O:O)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SUMIF(tables_360100!C:C,input_360100!A41,tables_360100!O:O)</f>
        <v>3551662.4000000032</v>
      </c>
      <c r="C41" s="54">
        <f t="shared" ca="1" si="9"/>
        <v>0.93902881654201498</v>
      </c>
      <c r="E41">
        <v>4</v>
      </c>
      <c r="F41">
        <f ca="1">SUMIF(tables_360100!J:J,input_360100!E41,tables_360100!O:O)</f>
        <v>5505926.3999800095</v>
      </c>
      <c r="G41">
        <f ca="1">F41/A36</f>
        <v>0.92879999999662777</v>
      </c>
    </row>
    <row r="42" spans="1:7" x14ac:dyDescent="0.15">
      <c r="A42" s="33" t="s">
        <v>106</v>
      </c>
      <c r="B42">
        <f ca="1">SUMIF(tables_360100!C:C,input_360100!A42,tables_360100!O:O)</f>
        <v>41496</v>
      </c>
      <c r="C42" s="54">
        <f t="shared" ca="1" si="9"/>
        <v>1.0971183457985033E-2</v>
      </c>
      <c r="E42">
        <v>5</v>
      </c>
      <c r="F42">
        <f ca="1">SUMIF(tables_360100!J:J,input_360100!E42,tables_360100!O:O)</f>
        <v>422073.6000199999</v>
      </c>
      <c r="G42">
        <f ca="1">F42/A36</f>
        <v>7.1200000003373801E-2</v>
      </c>
    </row>
    <row r="43" spans="1:7" x14ac:dyDescent="0.15">
      <c r="A43" s="33" t="s">
        <v>109</v>
      </c>
      <c r="B43">
        <f>SUMIF(tables_360100!C:C,input_360100!A43,tables_360100!O:O)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SUMIF(tables_360100!C:C,input_360100!A44,tables_360100!O:O)</f>
        <v>186929.59999999989</v>
      </c>
      <c r="C44" s="54">
        <f t="shared" ca="1" si="9"/>
        <v>4.9422569291684926E-2</v>
      </c>
      <c r="E44" t="s">
        <v>54</v>
      </c>
      <c r="F44" s="55"/>
    </row>
    <row r="45" spans="1:7" x14ac:dyDescent="0.15">
      <c r="A45" s="33" t="s">
        <v>107</v>
      </c>
      <c r="B45">
        <f ca="1">SUMIF(tables_360100!C:C,input_360100!A45,tables_360100!O:O)</f>
        <v>2184</v>
      </c>
      <c r="C45" s="54">
        <f t="shared" ca="1" si="9"/>
        <v>5.7743070831500168E-4</v>
      </c>
      <c r="E45" t="s">
        <v>204</v>
      </c>
      <c r="F45" s="55">
        <f ca="1">SUMIF(tables_360100!I:I,input_360100!E45,tables_360100!P:P)</f>
        <v>0.2507948717948717</v>
      </c>
    </row>
    <row r="46" spans="1:7" x14ac:dyDescent="0.15">
      <c r="A46" s="33" t="s">
        <v>108</v>
      </c>
      <c r="B46">
        <f>SUMIF(tables_360100!C:C,input_360100!A46,tables_360100!O:O)</f>
        <v>0</v>
      </c>
      <c r="C46" s="54">
        <f t="shared" ca="1" si="9"/>
        <v>0</v>
      </c>
      <c r="E46" t="s">
        <v>205</v>
      </c>
      <c r="F46" s="55">
        <f ca="1">SUMIF(tables_360100!I:I,input_360100!E46,tables_360100!P:P)</f>
        <v>0.20696896086369765</v>
      </c>
    </row>
    <row r="47" spans="1:7" x14ac:dyDescent="0.15">
      <c r="A47" s="39" t="s">
        <v>59</v>
      </c>
      <c r="B47">
        <f ca="1">SUM(B40:B46)</f>
        <v>3782272.0000000033</v>
      </c>
      <c r="C47" s="55">
        <f ca="1">SUM(C40:C46)</f>
        <v>0.99999999999999989</v>
      </c>
      <c r="E47" t="s">
        <v>206</v>
      </c>
      <c r="F47" s="55">
        <f ca="1">SUMIF(tables_360100!I:I,input_360100!E47,tables_360100!P:P)</f>
        <v>0.52151956815114797</v>
      </c>
    </row>
    <row r="48" spans="1:7" x14ac:dyDescent="0.15">
      <c r="E48" t="s">
        <v>207</v>
      </c>
      <c r="F48" s="55">
        <f ca="1">SUMIF(tables_360100!I:I,input_360100!E48,tables_360100!P:P)</f>
        <v>2.8947368421052638E-2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9"/>
  <sheetViews>
    <sheetView showGridLines="0" zoomScale="75" zoomScaleNormal="75" zoomScalePageLayoutView="75" workbookViewId="0">
      <pane ySplit="1" topLeftCell="A264" activePane="bottomLeft" state="frozen"/>
      <selection activeCell="D34" sqref="D34"/>
      <selection pane="bottomLeft" activeCell="O288" sqref="O28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input_360100!A$2</f>
        <v>360100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IFERROR(VLOOKUP(B2,input_360100!L:R,7,FALSE),VLOOKUP(tables_360100!C2,input_360100!A:H,8,FALSE))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input_360100!A$2</f>
        <v>360100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IFERROR(VLOOKUP(B3,input_360100!L:R,7,FALSE),VLOOKUP(tables_360100!C3,input_360100!A:H,8,FALSE))</f>
        <v>71896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input_360100!A$2</f>
        <v>360100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IFERROR(VLOOKUP(B4,input_360100!L:R,7,FALSE),VLOOKUP(tables_360100!C4,input_360100!A:H,8,FALSE))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input_360100!A$2</f>
        <v>360100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IFERROR(VLOOKUP(B5,input_360100!L:R,7,FALSE),VLOOKUP(tables_360100!C5,input_360100!A:H,8,FALSE))</f>
        <v>71896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input_360100!A$2</f>
        <v>360100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IFERROR(VLOOKUP(B6,input_360100!L:R,7,FALSE),VLOOKUP(tables_360100!C6,input_360100!A:H,8,FALSE))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input_360100!A$2</f>
        <v>360100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IFERROR(VLOOKUP(B7,input_360100!L:R,7,FALSE),VLOOKUP(tables_360100!C7,input_360100!A:H,8,FALSE))</f>
        <v>71896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input_360100!A$2</f>
        <v>360100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IFERROR(VLOOKUP(B8,input_360100!L:R,7,FALSE),VLOOKUP(tables_360100!C8,input_360100!A:H,8,FALSE))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input_360100!A$2</f>
        <v>360100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IFERROR(VLOOKUP(B9,input_360100!L:R,7,FALSE),VLOOKUP(tables_360100!C9,input_360100!A:H,8,FALSE))</f>
        <v>71896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input_360100!A$2</f>
        <v>360100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IFERROR(VLOOKUP(B10,input_360100!L:R,7,FALSE),VLOOKUP(tables_360100!C10,input_360100!A:H,8,FALSE))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input_360100!A$2</f>
        <v>360100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IFERROR(VLOOKUP(B11,input_360100!L:R,7,FALSE),VLOOKUP(tables_360100!C11,input_360100!A:H,8,FALSE))</f>
        <v>71896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input_360100!A$2</f>
        <v>360100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IFERROR(VLOOKUP(B12,input_360100!L:R,7,FALSE),VLOOKUP(tables_360100!C12,input_360100!A:H,8,FALSE))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input_360100!A$2</f>
        <v>360100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IFERROR(VLOOKUP(B13,input_360100!L:R,7,FALSE),VLOOKUP(tables_360100!C13,input_360100!A:H,8,FALSE))</f>
        <v>71896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input_360100!A$2</f>
        <v>360100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IFERROR(VLOOKUP(B14,input_360100!L:R,7,FALSE),VLOOKUP(tables_360100!C14,input_360100!A:H,8,FALSE))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input_360100!A$2</f>
        <v>360100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IFERROR(VLOOKUP(B15,input_360100!L:R,7,FALSE),VLOOKUP(tables_360100!C15,input_360100!A:H,8,FALSE))</f>
        <v>71896</v>
      </c>
      <c r="P15" s="46">
        <f t="shared" ref="P15:P78" ca="1" si="2">O15/SUM(O:O)</f>
        <v>1.2128205128205128E-2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input_360100!A$2</f>
        <v>360100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IFERROR(VLOOKUP(B16,input_360100!L:R,7,FALSE),VLOOKUP(tables_360100!C16,input_360100!A:H,8,FALSE))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input_360100!A$2</f>
        <v>360100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IFERROR(VLOOKUP(B17,input_360100!L:R,7,FALSE),VLOOKUP(tables_360100!C17,input_360100!A:H,8,FALSE))</f>
        <v>71896</v>
      </c>
      <c r="P17" s="46">
        <f t="shared" ca="1" si="2"/>
        <v>1.2128205128205128E-2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input_360100!A$2</f>
        <v>360100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IFERROR(VLOOKUP(B18,input_360100!L:R,7,FALSE),VLOOKUP(tables_360100!C18,input_360100!A:H,8,FALSE))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input_360100!A$2</f>
        <v>360100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IFERROR(VLOOKUP(B19,input_360100!L:R,7,FALSE),VLOOKUP(tables_360100!C19,input_360100!A:H,8,FALSE))</f>
        <v>71896</v>
      </c>
      <c r="P19" s="46">
        <f t="shared" ca="1" si="2"/>
        <v>1.2128205128205128E-2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input_360100!A$2</f>
        <v>360100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IFERROR(VLOOKUP(B20,input_360100!L:R,7,FALSE),VLOOKUP(tables_360100!C20,input_360100!A:H,8,FALSE))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input_360100!A$2</f>
        <v>360100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IFERROR(VLOOKUP(B21,input_360100!L:R,7,FALSE),VLOOKUP(tables_360100!C21,input_360100!A:H,8,FALSE))</f>
        <v>71896</v>
      </c>
      <c r="P21" s="46">
        <f t="shared" ca="1" si="2"/>
        <v>1.2128205128205128E-2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input_360100!A$2</f>
        <v>360100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IFERROR(VLOOKUP(B22,input_360100!L:R,7,FALSE),VLOOKUP(tables_360100!C22,input_360100!A:H,8,FALSE))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input_360100!A$2</f>
        <v>360100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IFERROR(VLOOKUP(B23,input_360100!L:R,7,FALSE),VLOOKUP(tables_360100!C23,input_360100!A:H,8,FALSE))</f>
        <v>71896</v>
      </c>
      <c r="P23" s="46">
        <f t="shared" ca="1" si="2"/>
        <v>1.2128205128205128E-2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input_360100!A$2</f>
        <v>360100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IFERROR(VLOOKUP(B24,input_360100!L:R,7,FALSE),VLOOKUP(tables_360100!C24,input_360100!A:H,8,FALSE))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input_360100!A$2</f>
        <v>360100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IFERROR(VLOOKUP(B25,input_360100!L:R,7,FALSE),VLOOKUP(tables_360100!C25,input_360100!A:H,8,FALSE))</f>
        <v>71896</v>
      </c>
      <c r="P25" s="46">
        <f t="shared" ca="1" si="2"/>
        <v>1.2128205128205128E-2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input_360100!A$2</f>
        <v>360100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IFERROR(VLOOKUP(B26,input_360100!L:R,7,FALSE),VLOOKUP(tables_360100!C26,input_360100!A:H,8,FALSE))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input_360100!A$2</f>
        <v>360100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IFERROR(VLOOKUP(B27,input_360100!L:R,7,FALSE),VLOOKUP(tables_360100!C27,input_360100!A:H,8,FALSE))</f>
        <v>71896</v>
      </c>
      <c r="P27" s="46">
        <f t="shared" ca="1" si="2"/>
        <v>1.2128205128205128E-2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input_360100!A$2</f>
        <v>360100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IFERROR(VLOOKUP(B28,input_360100!L:R,7,FALSE),VLOOKUP(tables_360100!C28,input_360100!A:H,8,FALSE))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input_360100!A$2</f>
        <v>360100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IFERROR(VLOOKUP(B29,input_360100!L:R,7,FALSE),VLOOKUP(tables_360100!C29,input_360100!A:H,8,FALSE))</f>
        <v>71896</v>
      </c>
      <c r="P29" s="46">
        <f t="shared" ca="1" si="2"/>
        <v>1.2128205128205128E-2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input_360100!A$2</f>
        <v>360100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IFERROR(VLOOKUP(B30,input_360100!L:R,7,FALSE),VLOOKUP(tables_360100!C30,input_360100!A:H,8,FALSE))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input_360100!A$2</f>
        <v>360100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IFERROR(VLOOKUP(B31,input_360100!L:R,7,FALSE),VLOOKUP(tables_360100!C31,input_360100!A:H,8,FALSE))</f>
        <v>71896</v>
      </c>
      <c r="P31" s="46">
        <f t="shared" ca="1" si="2"/>
        <v>1.2128205128205128E-2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input_360100!A$2</f>
        <v>360100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IFERROR(VLOOKUP(B32,input_360100!L:R,7,FALSE),VLOOKUP(tables_360100!C32,input_360100!A:H,8,FALSE))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input_360100!A$2</f>
        <v>360100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IFERROR(VLOOKUP(B33,input_360100!L:R,7,FALSE),VLOOKUP(tables_360100!C33,input_360100!A:H,8,FALSE))</f>
        <v>71896</v>
      </c>
      <c r="P33" s="46">
        <f t="shared" ca="1" si="2"/>
        <v>1.2128205128205128E-2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input_360100!A$2</f>
        <v>360100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IFERROR(VLOOKUP(B34,input_360100!L:R,7,FALSE),VLOOKUP(tables_360100!C34,input_360100!A:H,8,FALSE))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input_360100!A$2</f>
        <v>360100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IFERROR(VLOOKUP(B35,input_360100!L:R,7,FALSE),VLOOKUP(tables_360100!C35,input_360100!A:H,8,FALSE))</f>
        <v>71896</v>
      </c>
      <c r="P35" s="46">
        <f t="shared" ca="1" si="2"/>
        <v>1.2128205128205128E-2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input_360100!A$2</f>
        <v>360100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IFERROR(VLOOKUP(B36,input_360100!L:R,7,FALSE),VLOOKUP(tables_360100!C36,input_360100!A:H,8,FALSE))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input_360100!A$2</f>
        <v>360100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IFERROR(VLOOKUP(B37,input_360100!L:R,7,FALSE),VLOOKUP(tables_360100!C37,input_360100!A:H,8,FALSE))</f>
        <v>71896</v>
      </c>
      <c r="P37" s="46">
        <f t="shared" ca="1" si="2"/>
        <v>1.2128205128205128E-2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input_360100!A$2</f>
        <v>360100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IFERROR(VLOOKUP(B38,input_360100!L:R,7,FALSE),VLOOKUP(tables_360100!C38,input_360100!A:H,8,FALSE))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input_360100!A$2</f>
        <v>360100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IFERROR(VLOOKUP(B39,input_360100!L:R,7,FALSE),VLOOKUP(tables_360100!C39,input_360100!A:H,8,FALSE))</f>
        <v>71896</v>
      </c>
      <c r="P39" s="46">
        <f t="shared" ca="1" si="2"/>
        <v>1.2128205128205128E-2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input_360100!A$2</f>
        <v>360100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IFERROR(VLOOKUP(B40,input_360100!L:R,7,FALSE),VLOOKUP(tables_360100!C40,input_360100!A:H,8,FALSE))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input_360100!A$2</f>
        <v>360100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IFERROR(VLOOKUP(B41,input_360100!L:R,7,FALSE),VLOOKUP(tables_360100!C41,input_360100!A:H,8,FALSE))</f>
        <v>71896</v>
      </c>
      <c r="P41" s="46">
        <f t="shared" ca="1" si="2"/>
        <v>1.2128205128205128E-2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input_360100!A$2</f>
        <v>360100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IFERROR(VLOOKUP(B42,input_360100!L:R,7,FALSE),VLOOKUP(tables_360100!C42,input_360100!A:H,8,FALSE))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input_360100!A$2</f>
        <v>360100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IFERROR(VLOOKUP(B43,input_360100!L:R,7,FALSE),VLOOKUP(tables_360100!C43,input_360100!A:H,8,FALSE))</f>
        <v>1482</v>
      </c>
      <c r="P43" s="46">
        <f t="shared" ca="1" si="2"/>
        <v>2.5000000000000001E-4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input_360100!A$2</f>
        <v>360100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IFERROR(VLOOKUP(B44,input_360100!L:R,7,FALSE),VLOOKUP(tables_360100!C44,input_360100!A:H,8,FALSE))</f>
        <v>78</v>
      </c>
      <c r="P44" s="46">
        <f t="shared" ca="1" si="2"/>
        <v>1.3157894736842106E-5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input_360100!A$2</f>
        <v>360100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IFERROR(VLOOKUP(B45,input_360100!L:R,7,FALSE),VLOOKUP(tables_360100!C45,input_360100!A:H,8,FALSE))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input_360100!A$2</f>
        <v>360100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IFERROR(VLOOKUP(B46,input_360100!L:R,7,FALSE),VLOOKUP(tables_360100!C46,input_360100!A:H,8,FALSE))</f>
        <v>1482</v>
      </c>
      <c r="P46" s="46">
        <f t="shared" ca="1" si="2"/>
        <v>2.5000000000000001E-4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input_360100!A$2</f>
        <v>360100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IFERROR(VLOOKUP(B47,input_360100!L:R,7,FALSE),VLOOKUP(tables_360100!C47,input_360100!A:H,8,FALSE))</f>
        <v>78</v>
      </c>
      <c r="P47" s="46">
        <f t="shared" ca="1" si="2"/>
        <v>1.3157894736842106E-5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input_360100!A$2</f>
        <v>360100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IFERROR(VLOOKUP(B48,input_360100!L:R,7,FALSE),VLOOKUP(tables_360100!C48,input_360100!A:H,8,FALSE))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input_360100!A$2</f>
        <v>360100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IFERROR(VLOOKUP(B49,input_360100!L:R,7,FALSE),VLOOKUP(tables_360100!C49,input_360100!A:H,8,FALSE))</f>
        <v>1482</v>
      </c>
      <c r="P49" s="46">
        <f t="shared" ca="1" si="2"/>
        <v>2.5000000000000001E-4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input_360100!A$2</f>
        <v>360100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IFERROR(VLOOKUP(B50,input_360100!L:R,7,FALSE),VLOOKUP(tables_360100!C50,input_360100!A:H,8,FALSE))</f>
        <v>78</v>
      </c>
      <c r="P50" s="46">
        <f t="shared" ca="1" si="2"/>
        <v>1.3157894736842106E-5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input_360100!A$2</f>
        <v>360100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IFERROR(VLOOKUP(B51,input_360100!L:R,7,FALSE),VLOOKUP(tables_360100!C51,input_360100!A:H,8,FALSE))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input_360100!A$2</f>
        <v>360100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IFERROR(VLOOKUP(B52,input_360100!L:R,7,FALSE),VLOOKUP(tables_360100!C52,input_360100!A:H,8,FALSE))</f>
        <v>68301.2</v>
      </c>
      <c r="P52" s="46">
        <f t="shared" ca="1" si="2"/>
        <v>1.1521794871794871E-2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input_360100!A$2</f>
        <v>360100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IFERROR(VLOOKUP(B53,input_360100!L:R,7,FALSE),VLOOKUP(tables_360100!C53,input_360100!A:H,8,FALSE))</f>
        <v>3594.8</v>
      </c>
      <c r="P53" s="46">
        <f t="shared" ca="1" si="2"/>
        <v>6.0641025641025646E-4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input_360100!A$2</f>
        <v>360100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IFERROR(VLOOKUP(B54,input_360100!L:R,7,FALSE),VLOOKUP(tables_360100!C54,input_360100!A:H,8,FALSE))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input_360100!A$2</f>
        <v>360100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IFERROR(VLOOKUP(B55,input_360100!L:R,7,FALSE),VLOOKUP(tables_360100!C55,input_360100!A:H,8,FALSE))</f>
        <v>68301.2</v>
      </c>
      <c r="P55" s="46">
        <f t="shared" ca="1" si="2"/>
        <v>1.1521794871794871E-2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input_360100!A$2</f>
        <v>360100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IFERROR(VLOOKUP(B56,input_360100!L:R,7,FALSE),VLOOKUP(tables_360100!C56,input_360100!A:H,8,FALSE))</f>
        <v>3594.8</v>
      </c>
      <c r="P56" s="46">
        <f t="shared" ca="1" si="2"/>
        <v>6.0641025641025646E-4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input_360100!A$2</f>
        <v>360100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IFERROR(VLOOKUP(B57,input_360100!L:R,7,FALSE),VLOOKUP(tables_360100!C57,input_360100!A:H,8,FALSE))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input_360100!A$2</f>
        <v>360100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IFERROR(VLOOKUP(B58,input_360100!L:R,7,FALSE),VLOOKUP(tables_360100!C58,input_360100!A:H,8,FALSE))</f>
        <v>68301.2</v>
      </c>
      <c r="P58" s="46">
        <f t="shared" ca="1" si="2"/>
        <v>1.1521794871794871E-2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input_360100!A$2</f>
        <v>360100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IFERROR(VLOOKUP(B59,input_360100!L:R,7,FALSE),VLOOKUP(tables_360100!C59,input_360100!A:H,8,FALSE))</f>
        <v>3594.8</v>
      </c>
      <c r="P59" s="46">
        <f t="shared" ca="1" si="2"/>
        <v>6.0641025641025646E-4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input_360100!A$2</f>
        <v>360100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IFERROR(VLOOKUP(B60,input_360100!L:R,7,FALSE),VLOOKUP(tables_360100!C60,input_360100!A:H,8,FALSE))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input_360100!A$2</f>
        <v>360100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IFERROR(VLOOKUP(B61,input_360100!L:R,7,FALSE),VLOOKUP(tables_360100!C61,input_360100!A:H,8,FALSE))</f>
        <v>68301.2</v>
      </c>
      <c r="P61" s="46">
        <f t="shared" ca="1" si="2"/>
        <v>1.1521794871794871E-2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input_360100!A$2</f>
        <v>360100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IFERROR(VLOOKUP(B62,input_360100!L:R,7,FALSE),VLOOKUP(tables_360100!C62,input_360100!A:H,8,FALSE))</f>
        <v>3594.8</v>
      </c>
      <c r="P62" s="46">
        <f t="shared" ca="1" si="2"/>
        <v>6.0641025641025646E-4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input_360100!A$2</f>
        <v>360100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IFERROR(VLOOKUP(B63,input_360100!L:R,7,FALSE),VLOOKUP(tables_360100!C63,input_360100!A:H,8,FALSE))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input_360100!A$2</f>
        <v>360100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IFERROR(VLOOKUP(B64,input_360100!L:R,7,FALSE),VLOOKUP(tables_360100!C64,input_360100!A:H,8,FALSE))</f>
        <v>68301.2</v>
      </c>
      <c r="P64" s="46">
        <f t="shared" ca="1" si="2"/>
        <v>1.1521794871794871E-2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input_360100!A$2</f>
        <v>360100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IFERROR(VLOOKUP(B65,input_360100!L:R,7,FALSE),VLOOKUP(tables_360100!C65,input_360100!A:H,8,FALSE))</f>
        <v>3594.8</v>
      </c>
      <c r="P65" s="46">
        <f t="shared" ca="1" si="2"/>
        <v>6.0641025641025646E-4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input_360100!A$2</f>
        <v>360100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IFERROR(VLOOKUP(B66,input_360100!L:R,7,FALSE),VLOOKUP(tables_360100!C66,input_360100!A:H,8,FALSE))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input_360100!A$2</f>
        <v>360100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IFERROR(VLOOKUP(B67,input_360100!L:R,7,FALSE),VLOOKUP(tables_360100!C67,input_360100!A:H,8,FALSE))</f>
        <v>68301.2</v>
      </c>
      <c r="P67" s="46">
        <f t="shared" ca="1" si="2"/>
        <v>1.1521794871794871E-2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input_360100!A$2</f>
        <v>360100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IFERROR(VLOOKUP(B68,input_360100!L:R,7,FALSE),VLOOKUP(tables_360100!C68,input_360100!A:H,8,FALSE))</f>
        <v>3594.8</v>
      </c>
      <c r="P68" s="46">
        <f t="shared" ca="1" si="2"/>
        <v>6.0641025641025646E-4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input_360100!A$2</f>
        <v>360100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IFERROR(VLOOKUP(B69,input_360100!L:R,7,FALSE),VLOOKUP(tables_360100!C69,input_360100!A:H,8,FALSE))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input_360100!A$2</f>
        <v>360100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IFERROR(VLOOKUP(B70,input_360100!L:R,7,FALSE),VLOOKUP(tables_360100!C70,input_360100!A:H,8,FALSE))</f>
        <v>68301.2</v>
      </c>
      <c r="P70" s="46">
        <f t="shared" ca="1" si="2"/>
        <v>1.1521794871794871E-2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input_360100!A$2</f>
        <v>360100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IFERROR(VLOOKUP(B71,input_360100!L:R,7,FALSE),VLOOKUP(tables_360100!C71,input_360100!A:H,8,FALSE))</f>
        <v>3594.8</v>
      </c>
      <c r="P71" s="46">
        <f t="shared" ca="1" si="2"/>
        <v>6.0641025641025646E-4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input_360100!A$2</f>
        <v>360100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IFERROR(VLOOKUP(B72,input_360100!L:R,7,FALSE),VLOOKUP(tables_360100!C72,input_360100!A:H,8,FALSE))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input_360100!A$2</f>
        <v>360100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IFERROR(VLOOKUP(B73,input_360100!L:R,7,FALSE),VLOOKUP(tables_360100!C73,input_360100!A:H,8,FALSE))</f>
        <v>68301.2</v>
      </c>
      <c r="P73" s="46">
        <f t="shared" ca="1" si="2"/>
        <v>1.1521794871794871E-2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input_360100!A$2</f>
        <v>360100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IFERROR(VLOOKUP(B74,input_360100!L:R,7,FALSE),VLOOKUP(tables_360100!C74,input_360100!A:H,8,FALSE))</f>
        <v>3594.8</v>
      </c>
      <c r="P74" s="46">
        <f t="shared" ca="1" si="2"/>
        <v>6.0641025641025646E-4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input_360100!A$2</f>
        <v>360100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IFERROR(VLOOKUP(B75,input_360100!L:R,7,FALSE),VLOOKUP(tables_360100!C75,input_360100!A:H,8,FALSE))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input_360100!A$2</f>
        <v>360100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IFERROR(VLOOKUP(B76,input_360100!L:R,7,FALSE),VLOOKUP(tables_360100!C76,input_360100!A:H,8,FALSE))</f>
        <v>68301.2</v>
      </c>
      <c r="P76" s="46">
        <f t="shared" ca="1" si="2"/>
        <v>1.1521794871794871E-2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input_360100!A$2</f>
        <v>360100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IFERROR(VLOOKUP(B77,input_360100!L:R,7,FALSE),VLOOKUP(tables_360100!C77,input_360100!A:H,8,FALSE))</f>
        <v>3594.8</v>
      </c>
      <c r="P77" s="46">
        <f t="shared" ca="1" si="2"/>
        <v>6.0641025641025646E-4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input_360100!A$2</f>
        <v>360100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IFERROR(VLOOKUP(B78,input_360100!L:R,7,FALSE),VLOOKUP(tables_360100!C78,input_360100!A:H,8,FALSE))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input_360100!A$2</f>
        <v>360100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IFERROR(VLOOKUP(B79,input_360100!L:R,7,FALSE),VLOOKUP(tables_360100!C79,input_360100!A:H,8,FALSE))</f>
        <v>68301.2</v>
      </c>
      <c r="P79" s="46">
        <f t="shared" ref="P79:P142" ca="1" si="5">O79/SUM(O:O)</f>
        <v>1.1521794871794871E-2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input_360100!A$2</f>
        <v>360100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IFERROR(VLOOKUP(B80,input_360100!L:R,7,FALSE),VLOOKUP(tables_360100!C80,input_360100!A:H,8,FALSE))</f>
        <v>3594.8</v>
      </c>
      <c r="P80" s="46">
        <f t="shared" ca="1" si="5"/>
        <v>6.0641025641025646E-4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input_360100!A$2</f>
        <v>360100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IFERROR(VLOOKUP(B81,input_360100!L:R,7,FALSE),VLOOKUP(tables_360100!C81,input_360100!A:H,8,FALSE))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input_360100!A$2</f>
        <v>360100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IFERROR(VLOOKUP(B82,input_360100!L:R,7,FALSE),VLOOKUP(tables_360100!C82,input_360100!A:H,8,FALSE))</f>
        <v>68301.2</v>
      </c>
      <c r="P82" s="46">
        <f t="shared" ca="1" si="5"/>
        <v>1.1521794871794871E-2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input_360100!A$2</f>
        <v>360100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IFERROR(VLOOKUP(B83,input_360100!L:R,7,FALSE),VLOOKUP(tables_360100!C83,input_360100!A:H,8,FALSE))</f>
        <v>3594.8</v>
      </c>
      <c r="P83" s="46">
        <f t="shared" ca="1" si="5"/>
        <v>6.0641025641025646E-4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input_360100!A$2</f>
        <v>360100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IFERROR(VLOOKUP(B84,input_360100!L:R,7,FALSE),VLOOKUP(tables_360100!C84,input_360100!A:H,8,FALSE))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input_360100!A$2</f>
        <v>360100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IFERROR(VLOOKUP(B85,input_360100!L:R,7,FALSE),VLOOKUP(tables_360100!C85,input_360100!A:H,8,FALSE))</f>
        <v>68301.2</v>
      </c>
      <c r="P85" s="46">
        <f t="shared" ca="1" si="5"/>
        <v>1.1521794871794871E-2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input_360100!A$2</f>
        <v>360100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IFERROR(VLOOKUP(B86,input_360100!L:R,7,FALSE),VLOOKUP(tables_360100!C86,input_360100!A:H,8,FALSE))</f>
        <v>3594.8</v>
      </c>
      <c r="P86" s="46">
        <f t="shared" ca="1" si="5"/>
        <v>6.0641025641025646E-4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input_360100!A$2</f>
        <v>360100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IFERROR(VLOOKUP(B87,input_360100!L:R,7,FALSE),VLOOKUP(tables_360100!C87,input_360100!A:H,8,FALSE))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input_360100!A$2</f>
        <v>360100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IFERROR(VLOOKUP(B88,input_360100!L:R,7,FALSE),VLOOKUP(tables_360100!C88,input_360100!A:H,8,FALSE))</f>
        <v>68301.2</v>
      </c>
      <c r="P88" s="46">
        <f t="shared" ca="1" si="5"/>
        <v>1.1521794871794871E-2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input_360100!A$2</f>
        <v>360100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IFERROR(VLOOKUP(B89,input_360100!L:R,7,FALSE),VLOOKUP(tables_360100!C89,input_360100!A:H,8,FALSE))</f>
        <v>3594.8</v>
      </c>
      <c r="P89" s="46">
        <f t="shared" ca="1" si="5"/>
        <v>6.0641025641025646E-4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input_360100!A$2</f>
        <v>360100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IFERROR(VLOOKUP(B90,input_360100!L:R,7,FALSE),VLOOKUP(tables_360100!C90,input_360100!A:H,8,FALSE))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input_360100!A$2</f>
        <v>360100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IFERROR(VLOOKUP(B91,input_360100!L:R,7,FALSE),VLOOKUP(tables_360100!C91,input_360100!A:H,8,FALSE))</f>
        <v>68301.2</v>
      </c>
      <c r="P91" s="46">
        <f t="shared" ca="1" si="5"/>
        <v>1.1521794871794871E-2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input_360100!A$2</f>
        <v>360100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IFERROR(VLOOKUP(B92,input_360100!L:R,7,FALSE),VLOOKUP(tables_360100!C92,input_360100!A:H,8,FALSE))</f>
        <v>3594.8</v>
      </c>
      <c r="P92" s="46">
        <f t="shared" ca="1" si="5"/>
        <v>6.0641025641025646E-4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input_360100!A$2</f>
        <v>360100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IFERROR(VLOOKUP(B93,input_360100!L:R,7,FALSE),VLOOKUP(tables_360100!C93,input_360100!A:H,8,FALSE))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input_360100!A$2</f>
        <v>360100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IFERROR(VLOOKUP(B94,input_360100!L:R,7,FALSE),VLOOKUP(tables_360100!C94,input_360100!A:H,8,FALSE))</f>
        <v>68301.2</v>
      </c>
      <c r="P94" s="46">
        <f t="shared" ca="1" si="5"/>
        <v>1.1521794871794871E-2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input_360100!A$2</f>
        <v>360100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IFERROR(VLOOKUP(B95,input_360100!L:R,7,FALSE),VLOOKUP(tables_360100!C95,input_360100!A:H,8,FALSE))</f>
        <v>3594.8</v>
      </c>
      <c r="P95" s="46">
        <f t="shared" ca="1" si="5"/>
        <v>6.0641025641025646E-4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input_360100!A$2</f>
        <v>360100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IFERROR(VLOOKUP(B96,input_360100!L:R,7,FALSE),VLOOKUP(tables_360100!C96,input_360100!A:H,8,FALSE))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input_360100!A$2</f>
        <v>360100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IFERROR(VLOOKUP(B97,input_360100!L:R,7,FALSE),VLOOKUP(tables_360100!C97,input_360100!A:H,8,FALSE))</f>
        <v>68301.2</v>
      </c>
      <c r="P97" s="46">
        <f t="shared" ca="1" si="5"/>
        <v>1.1521794871794871E-2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input_360100!A$2</f>
        <v>360100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IFERROR(VLOOKUP(B98,input_360100!L:R,7,FALSE),VLOOKUP(tables_360100!C98,input_360100!A:H,8,FALSE))</f>
        <v>3594.8</v>
      </c>
      <c r="P98" s="46">
        <f t="shared" ca="1" si="5"/>
        <v>6.0641025641025646E-4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input_360100!A$2</f>
        <v>360100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IFERROR(VLOOKUP(B99,input_360100!L:R,7,FALSE),VLOOKUP(tables_360100!C99,input_360100!A:H,8,FALSE))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input_360100!A$2</f>
        <v>360100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IFERROR(VLOOKUP(B100,input_360100!L:R,7,FALSE),VLOOKUP(tables_360100!C100,input_360100!A:H,8,FALSE))</f>
        <v>68301.2</v>
      </c>
      <c r="P100" s="46">
        <f t="shared" ca="1" si="5"/>
        <v>1.1521794871794871E-2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input_360100!A$2</f>
        <v>360100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IFERROR(VLOOKUP(B101,input_360100!L:R,7,FALSE),VLOOKUP(tables_360100!C101,input_360100!A:H,8,FALSE))</f>
        <v>3594.8</v>
      </c>
      <c r="P101" s="46">
        <f t="shared" ca="1" si="5"/>
        <v>6.0641025641025646E-4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input_360100!A$2</f>
        <v>360100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IFERROR(VLOOKUP(B102,input_360100!L:R,7,FALSE),VLOOKUP(tables_360100!C102,input_360100!A:H,8,FALSE))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input_360100!A$2</f>
        <v>360100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IFERROR(VLOOKUP(B103,input_360100!L:R,7,FALSE),VLOOKUP(tables_360100!C103,input_360100!A:H,8,FALSE))</f>
        <v>68301.2</v>
      </c>
      <c r="P103" s="46">
        <f t="shared" ca="1" si="5"/>
        <v>1.1521794871794871E-2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input_360100!A$2</f>
        <v>360100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IFERROR(VLOOKUP(B104,input_360100!L:R,7,FALSE),VLOOKUP(tables_360100!C104,input_360100!A:H,8,FALSE))</f>
        <v>3594.8</v>
      </c>
      <c r="P104" s="46">
        <f t="shared" ca="1" si="5"/>
        <v>6.0641025641025646E-4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input_360100!A$2</f>
        <v>360100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IFERROR(VLOOKUP(B105,input_360100!L:R,7,FALSE),VLOOKUP(tables_360100!C105,input_360100!A:H,8,FALSE))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input_360100!A$2</f>
        <v>360100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IFERROR(VLOOKUP(B106,input_360100!L:R,7,FALSE),VLOOKUP(tables_360100!C106,input_360100!A:H,8,FALSE))</f>
        <v>68301.2</v>
      </c>
      <c r="P106" s="46">
        <f t="shared" ca="1" si="5"/>
        <v>1.1521794871794871E-2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input_360100!A$2</f>
        <v>360100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IFERROR(VLOOKUP(B107,input_360100!L:R,7,FALSE),VLOOKUP(tables_360100!C107,input_360100!A:H,8,FALSE))</f>
        <v>3594.8</v>
      </c>
      <c r="P107" s="46">
        <f t="shared" ca="1" si="5"/>
        <v>6.0641025641025646E-4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input_360100!A$2</f>
        <v>360100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IFERROR(VLOOKUP(B108,input_360100!L:R,7,FALSE),VLOOKUP(tables_360100!C108,input_360100!A:H,8,FALSE))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input_360100!A$2</f>
        <v>360100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IFERROR(VLOOKUP(B109,input_360100!L:R,7,FALSE),VLOOKUP(tables_360100!C109,input_360100!A:H,8,FALSE))</f>
        <v>68301.2</v>
      </c>
      <c r="P109" s="46">
        <f t="shared" ca="1" si="5"/>
        <v>1.1521794871794871E-2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input_360100!A$2</f>
        <v>360100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IFERROR(VLOOKUP(B110,input_360100!L:R,7,FALSE),VLOOKUP(tables_360100!C110,input_360100!A:H,8,FALSE))</f>
        <v>3594.8</v>
      </c>
      <c r="P110" s="46">
        <f t="shared" ca="1" si="5"/>
        <v>6.0641025641025646E-4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input_360100!A$2</f>
        <v>360100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IFERROR(VLOOKUP(B111,input_360100!L:R,7,FALSE),VLOOKUP(tables_360100!C111,input_360100!A:H,8,FALSE))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input_360100!A$2</f>
        <v>360100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IFERROR(VLOOKUP(B112,input_360100!L:R,7,FALSE),VLOOKUP(tables_360100!C112,input_360100!A:H,8,FALSE))</f>
        <v>1482</v>
      </c>
      <c r="P112" s="46">
        <f t="shared" ca="1" si="5"/>
        <v>2.5000000000000001E-4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input_360100!A$2</f>
        <v>360100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IFERROR(VLOOKUP(B113,input_360100!L:R,7,FALSE),VLOOKUP(tables_360100!C113,input_360100!A:H,8,FALSE))</f>
        <v>78</v>
      </c>
      <c r="P113" s="46">
        <f t="shared" ca="1" si="5"/>
        <v>1.3157894736842106E-5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input_360100!A$2</f>
        <v>360100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IFERROR(VLOOKUP(B114,input_360100!L:R,7,FALSE),VLOOKUP(tables_360100!C114,input_360100!A:H,8,FALSE))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input_360100!A$2</f>
        <v>360100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IFERROR(VLOOKUP(B115,input_360100!L:R,7,FALSE),VLOOKUP(tables_360100!C115,input_360100!A:H,8,FALSE))</f>
        <v>68301.2</v>
      </c>
      <c r="P115" s="46">
        <f t="shared" ca="1" si="5"/>
        <v>1.1521794871794871E-2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input_360100!A$2</f>
        <v>360100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IFERROR(VLOOKUP(B116,input_360100!L:R,7,FALSE),VLOOKUP(tables_360100!C116,input_360100!A:H,8,FALSE))</f>
        <v>3594.8</v>
      </c>
      <c r="P116" s="46">
        <f t="shared" ca="1" si="5"/>
        <v>6.0641025641025646E-4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input_360100!A$2</f>
        <v>360100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IFERROR(VLOOKUP(B117,input_360100!L:R,7,FALSE),VLOOKUP(tables_360100!C117,input_360100!A:H,8,FALSE))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input_360100!A$2</f>
        <v>360100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IFERROR(VLOOKUP(B118,input_360100!L:R,7,FALSE),VLOOKUP(tables_360100!C118,input_360100!A:H,8,FALSE))</f>
        <v>68301.2</v>
      </c>
      <c r="P118" s="46">
        <f t="shared" ca="1" si="5"/>
        <v>1.1521794871794871E-2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input_360100!A$2</f>
        <v>360100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IFERROR(VLOOKUP(B119,input_360100!L:R,7,FALSE),VLOOKUP(tables_360100!C119,input_360100!A:H,8,FALSE))</f>
        <v>3594.8</v>
      </c>
      <c r="P119" s="46">
        <f t="shared" ca="1" si="5"/>
        <v>6.0641025641025646E-4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input_360100!A$2</f>
        <v>360100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IFERROR(VLOOKUP(B120,input_360100!L:R,7,FALSE),VLOOKUP(tables_360100!C120,input_360100!A:H,8,FALSE))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input_360100!A$2</f>
        <v>360100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IFERROR(VLOOKUP(B121,input_360100!L:R,7,FALSE),VLOOKUP(tables_360100!C121,input_360100!A:H,8,FALSE))</f>
        <v>68301.2</v>
      </c>
      <c r="P121" s="46">
        <f t="shared" ca="1" si="5"/>
        <v>1.1521794871794871E-2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input_360100!A$2</f>
        <v>360100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IFERROR(VLOOKUP(B122,input_360100!L:R,7,FALSE),VLOOKUP(tables_360100!C122,input_360100!A:H,8,FALSE))</f>
        <v>3594.8</v>
      </c>
      <c r="P122" s="46">
        <f t="shared" ca="1" si="5"/>
        <v>6.0641025641025646E-4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input_360100!A$2</f>
        <v>360100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IFERROR(VLOOKUP(B123,input_360100!L:R,7,FALSE),VLOOKUP(tables_360100!C123,input_360100!A:H,8,FALSE))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input_360100!A$2</f>
        <v>360100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IFERROR(VLOOKUP(B124,input_360100!L:R,7,FALSE),VLOOKUP(tables_360100!C124,input_360100!A:H,8,FALSE))</f>
        <v>68301.2</v>
      </c>
      <c r="P124" s="46">
        <f t="shared" ca="1" si="5"/>
        <v>1.1521794871794871E-2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input_360100!A$2</f>
        <v>360100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IFERROR(VLOOKUP(B125,input_360100!L:R,7,FALSE),VLOOKUP(tables_360100!C125,input_360100!A:H,8,FALSE))</f>
        <v>3594.8</v>
      </c>
      <c r="P125" s="46">
        <f t="shared" ca="1" si="5"/>
        <v>6.0641025641025646E-4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input_360100!A$2</f>
        <v>360100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IFERROR(VLOOKUP(B126,input_360100!L:R,7,FALSE),VLOOKUP(tables_360100!C126,input_360100!A:H,8,FALSE))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input_360100!A$2</f>
        <v>360100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IFERROR(VLOOKUP(B127,input_360100!L:R,7,FALSE),VLOOKUP(tables_360100!C127,input_360100!A:H,8,FALSE))</f>
        <v>68301.2</v>
      </c>
      <c r="P127" s="46">
        <f t="shared" ca="1" si="5"/>
        <v>1.1521794871794871E-2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input_360100!A$2</f>
        <v>360100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IFERROR(VLOOKUP(B128,input_360100!L:R,7,FALSE),VLOOKUP(tables_360100!C128,input_360100!A:H,8,FALSE))</f>
        <v>3594.8</v>
      </c>
      <c r="P128" s="46">
        <f t="shared" ca="1" si="5"/>
        <v>6.0641025641025646E-4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input_360100!A$2</f>
        <v>360100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IFERROR(VLOOKUP(B129,input_360100!L:R,7,FALSE),VLOOKUP(tables_360100!C129,input_360100!A:H,8,FALSE))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input_360100!A$2</f>
        <v>360100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IFERROR(VLOOKUP(B130,input_360100!L:R,7,FALSE),VLOOKUP(tables_360100!C130,input_360100!A:H,8,FALSE))</f>
        <v>68301.2</v>
      </c>
      <c r="P130" s="46">
        <f t="shared" ca="1" si="5"/>
        <v>1.1521794871794871E-2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input_360100!A$2</f>
        <v>360100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IFERROR(VLOOKUP(B131,input_360100!L:R,7,FALSE),VLOOKUP(tables_360100!C131,input_360100!A:H,8,FALSE))</f>
        <v>3594.8</v>
      </c>
      <c r="P131" s="46">
        <f t="shared" ca="1" si="5"/>
        <v>6.0641025641025646E-4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input_360100!A$2</f>
        <v>360100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IFERROR(VLOOKUP(B132,input_360100!L:R,7,FALSE),VLOOKUP(tables_360100!C132,input_360100!A:H,8,FALSE))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input_360100!A$2</f>
        <v>360100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IFERROR(VLOOKUP(B133,input_360100!L:R,7,FALSE),VLOOKUP(tables_360100!C133,input_360100!A:H,8,FALSE))</f>
        <v>68301.2</v>
      </c>
      <c r="P133" s="46">
        <f t="shared" ca="1" si="5"/>
        <v>1.1521794871794871E-2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input_360100!A$2</f>
        <v>360100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IFERROR(VLOOKUP(B134,input_360100!L:R,7,FALSE),VLOOKUP(tables_360100!C134,input_360100!A:H,8,FALSE))</f>
        <v>3594.8</v>
      </c>
      <c r="P134" s="46">
        <f t="shared" ca="1" si="5"/>
        <v>6.0641025641025646E-4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input_360100!A$2</f>
        <v>360100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IFERROR(VLOOKUP(B135,input_360100!L:R,7,FALSE),VLOOKUP(tables_360100!C135,input_360100!A:H,8,FALSE))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input_360100!A$2</f>
        <v>360100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IFERROR(VLOOKUP(B136,input_360100!L:R,7,FALSE),VLOOKUP(tables_360100!C136,input_360100!A:H,8,FALSE))</f>
        <v>68301.2</v>
      </c>
      <c r="P136" s="46">
        <f t="shared" ca="1" si="5"/>
        <v>1.1521794871794871E-2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input_360100!A$2</f>
        <v>360100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IFERROR(VLOOKUP(B137,input_360100!L:R,7,FALSE),VLOOKUP(tables_360100!C137,input_360100!A:H,8,FALSE))</f>
        <v>3594.8</v>
      </c>
      <c r="P137" s="46">
        <f t="shared" ca="1" si="5"/>
        <v>6.0641025641025646E-4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input_360100!A$2</f>
        <v>360100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IFERROR(VLOOKUP(B138,input_360100!L:R,7,FALSE),VLOOKUP(tables_360100!C138,input_360100!A:H,8,FALSE))</f>
        <v>1482</v>
      </c>
      <c r="P138" s="46">
        <f t="shared" ca="1" si="5"/>
        <v>2.5000000000000001E-4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input_360100!A$2</f>
        <v>360100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IFERROR(VLOOKUP(B139,input_360100!L:R,7,FALSE),VLOOKUP(tables_360100!C139,input_360100!A:H,8,FALSE))</f>
        <v>78</v>
      </c>
      <c r="P139" s="46">
        <f t="shared" ca="1" si="5"/>
        <v>1.3157894736842106E-5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input_360100!A$2</f>
        <v>360100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IFERROR(VLOOKUP(B140,input_360100!L:R,7,FALSE),VLOOKUP(tables_360100!C140,input_360100!A:H,8,FALSE))</f>
        <v>1482</v>
      </c>
      <c r="P140" s="46">
        <f t="shared" ca="1" si="5"/>
        <v>2.5000000000000001E-4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input_360100!A$2</f>
        <v>360100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IFERROR(VLOOKUP(B141,input_360100!L:R,7,FALSE),VLOOKUP(tables_360100!C141,input_360100!A:H,8,FALSE))</f>
        <v>78</v>
      </c>
      <c r="P141" s="46">
        <f t="shared" ca="1" si="5"/>
        <v>1.3157894736842106E-5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input_360100!A$2</f>
        <v>360100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IFERROR(VLOOKUP(B142,input_360100!L:R,7,FALSE),VLOOKUP(tables_360100!C142,input_360100!A:H,8,FALSE))</f>
        <v>1482</v>
      </c>
      <c r="P142" s="46">
        <f t="shared" ca="1" si="5"/>
        <v>2.5000000000000001E-4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input_360100!A$2</f>
        <v>360100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IFERROR(VLOOKUP(B143,input_360100!L:R,7,FALSE),VLOOKUP(tables_360100!C143,input_360100!A:H,8,FALSE))</f>
        <v>78</v>
      </c>
      <c r="P143" s="46">
        <f t="shared" ref="P143:P206" ca="1" si="8">O143/SUM(O:O)</f>
        <v>1.3157894736842106E-5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input_360100!A$2</f>
        <v>360100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IFERROR(VLOOKUP(B144,input_360100!L:R,7,FALSE),VLOOKUP(tables_360100!C144,input_360100!A:H,8,FALSE))</f>
        <v>1482</v>
      </c>
      <c r="P144" s="46">
        <f t="shared" ca="1" si="8"/>
        <v>2.5000000000000001E-4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input_360100!A$2</f>
        <v>360100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IFERROR(VLOOKUP(B145,input_360100!L:R,7,FALSE),VLOOKUP(tables_360100!C145,input_360100!A:H,8,FALSE))</f>
        <v>78</v>
      </c>
      <c r="P145" s="46">
        <f t="shared" ca="1" si="8"/>
        <v>1.3157894736842106E-5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input_360100!A$2</f>
        <v>360100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IFERROR(VLOOKUP(B146,input_360100!L:R,7,FALSE),VLOOKUP(tables_360100!C146,input_360100!A:H,8,FALSE))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input_360100!A$2</f>
        <v>360100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IFERROR(VLOOKUP(B147,input_360100!L:R,7,FALSE),VLOOKUP(tables_360100!C147,input_360100!A:H,8,FALSE))</f>
        <v>68301.2</v>
      </c>
      <c r="P147" s="46">
        <f t="shared" ca="1" si="8"/>
        <v>1.1521794871794871E-2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input_360100!A$2</f>
        <v>360100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IFERROR(VLOOKUP(B148,input_360100!L:R,7,FALSE),VLOOKUP(tables_360100!C148,input_360100!A:H,8,FALSE))</f>
        <v>3594.8</v>
      </c>
      <c r="P148" s="46">
        <f t="shared" ca="1" si="8"/>
        <v>6.0641025641025646E-4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input_360100!A$2</f>
        <v>360100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IFERROR(VLOOKUP(B149,input_360100!L:R,7,FALSE),VLOOKUP(tables_360100!C149,input_360100!A:H,8,FALSE))</f>
        <v>1482</v>
      </c>
      <c r="P149" s="46">
        <f t="shared" ca="1" si="8"/>
        <v>2.5000000000000001E-4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input_360100!A$2</f>
        <v>360100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IFERROR(VLOOKUP(B150,input_360100!L:R,7,FALSE),VLOOKUP(tables_360100!C150,input_360100!A:H,8,FALSE))</f>
        <v>78</v>
      </c>
      <c r="P150" s="46">
        <f t="shared" ca="1" si="8"/>
        <v>1.3157894736842106E-5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input_360100!A$2</f>
        <v>360100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IFERROR(VLOOKUP(B151,input_360100!L:R,7,FALSE),VLOOKUP(tables_360100!C151,input_360100!A:H,8,FALSE))</f>
        <v>1482</v>
      </c>
      <c r="P151" s="46">
        <f t="shared" ca="1" si="8"/>
        <v>2.5000000000000001E-4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input_360100!A$2</f>
        <v>360100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IFERROR(VLOOKUP(B152,input_360100!L:R,7,FALSE),VLOOKUP(tables_360100!C152,input_360100!A:H,8,FALSE))</f>
        <v>78</v>
      </c>
      <c r="P152" s="46">
        <f t="shared" ca="1" si="8"/>
        <v>1.3157894736842106E-5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input_360100!A$2</f>
        <v>360100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IFERROR(VLOOKUP(B153,input_360100!L:R,7,FALSE),VLOOKUP(tables_360100!C153,input_360100!A:H,8,FALSE))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input_360100!A$2</f>
        <v>360100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IFERROR(VLOOKUP(B154,input_360100!L:R,7,FALSE),VLOOKUP(tables_360100!C154,input_360100!A:H,8,FALSE))</f>
        <v>68301.2</v>
      </c>
      <c r="P154" s="46">
        <f t="shared" ca="1" si="8"/>
        <v>1.1521794871794871E-2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input_360100!A$2</f>
        <v>360100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IFERROR(VLOOKUP(B155,input_360100!L:R,7,FALSE),VLOOKUP(tables_360100!C155,input_360100!A:H,8,FALSE))</f>
        <v>3594.8</v>
      </c>
      <c r="P155" s="46">
        <f t="shared" ca="1" si="8"/>
        <v>6.0641025641025646E-4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input_360100!A$2</f>
        <v>360100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IFERROR(VLOOKUP(B156,input_360100!L:R,7,FALSE),VLOOKUP(tables_360100!C156,input_360100!A:H,8,FALSE))</f>
        <v>1482</v>
      </c>
      <c r="P156" s="46">
        <f t="shared" ca="1" si="8"/>
        <v>2.5000000000000001E-4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input_360100!A$2</f>
        <v>360100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IFERROR(VLOOKUP(B157,input_360100!L:R,7,FALSE),VLOOKUP(tables_360100!C157,input_360100!A:H,8,FALSE))</f>
        <v>78</v>
      </c>
      <c r="P157" s="46">
        <f t="shared" ca="1" si="8"/>
        <v>1.3157894736842106E-5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input_360100!A$2</f>
        <v>360100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IFERROR(VLOOKUP(B158,input_360100!L:R,7,FALSE),VLOOKUP(tables_360100!C158,input_360100!A:H,8,FALSE))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input_360100!A$2</f>
        <v>360100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IFERROR(VLOOKUP(B159,input_360100!L:R,7,FALSE),VLOOKUP(tables_360100!C159,input_360100!A:H,8,FALSE))</f>
        <v>68301.2</v>
      </c>
      <c r="P159" s="46">
        <f t="shared" ca="1" si="8"/>
        <v>1.1521794871794871E-2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input_360100!A$2</f>
        <v>360100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IFERROR(VLOOKUP(B160,input_360100!L:R,7,FALSE),VLOOKUP(tables_360100!C160,input_360100!A:H,8,FALSE))</f>
        <v>3594.8</v>
      </c>
      <c r="P160" s="46">
        <f t="shared" ca="1" si="8"/>
        <v>6.0641025641025646E-4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input_360100!A$2</f>
        <v>360100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IFERROR(VLOOKUP(B161,input_360100!L:R,7,FALSE),VLOOKUP(tables_360100!C161,input_360100!A:H,8,FALSE))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input_360100!A$2</f>
        <v>360100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IFERROR(VLOOKUP(B162,input_360100!L:R,7,FALSE),VLOOKUP(tables_360100!C162,input_360100!A:H,8,FALSE))</f>
        <v>68301.2</v>
      </c>
      <c r="P162" s="46">
        <f t="shared" ca="1" si="8"/>
        <v>1.1521794871794871E-2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input_360100!A$2</f>
        <v>360100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IFERROR(VLOOKUP(B163,input_360100!L:R,7,FALSE),VLOOKUP(tables_360100!C163,input_360100!A:H,8,FALSE))</f>
        <v>3594.8</v>
      </c>
      <c r="P163" s="46">
        <f t="shared" ca="1" si="8"/>
        <v>6.0641025641025646E-4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input_360100!A$2</f>
        <v>360100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IFERROR(VLOOKUP(B164,input_360100!L:R,7,FALSE),VLOOKUP(tables_360100!C164,input_360100!A:H,8,FALSE))</f>
        <v>1482</v>
      </c>
      <c r="P164" s="46">
        <f t="shared" ca="1" si="8"/>
        <v>2.5000000000000001E-4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input_360100!A$2</f>
        <v>360100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IFERROR(VLOOKUP(B165,input_360100!L:R,7,FALSE),VLOOKUP(tables_360100!C165,input_360100!A:H,8,FALSE))</f>
        <v>78</v>
      </c>
      <c r="P165" s="46">
        <f t="shared" ca="1" si="8"/>
        <v>1.3157894736842106E-5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input_360100!A$2</f>
        <v>360100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IFERROR(VLOOKUP(B166,input_360100!L:R,7,FALSE),VLOOKUP(tables_360100!C166,input_360100!A:H,8,FALSE))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input_360100!A$2</f>
        <v>360100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IFERROR(VLOOKUP(B167,input_360100!L:R,7,FALSE),VLOOKUP(tables_360100!C167,input_360100!A:H,8,FALSE))</f>
        <v>68301.2</v>
      </c>
      <c r="P167" s="46">
        <f t="shared" ca="1" si="8"/>
        <v>1.1521794871794871E-2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input_360100!A$2</f>
        <v>360100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IFERROR(VLOOKUP(B168,input_360100!L:R,7,FALSE),VLOOKUP(tables_360100!C168,input_360100!A:H,8,FALSE))</f>
        <v>3594.8</v>
      </c>
      <c r="P168" s="46">
        <f t="shared" ca="1" si="8"/>
        <v>6.0641025641025646E-4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input_360100!A$2</f>
        <v>360100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IFERROR(VLOOKUP(B169,input_360100!L:R,7,FALSE),VLOOKUP(tables_360100!C169,input_360100!A:H,8,FALSE))</f>
        <v>1482</v>
      </c>
      <c r="P169" s="46">
        <f t="shared" ca="1" si="8"/>
        <v>2.5000000000000001E-4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input_360100!A$2</f>
        <v>360100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IFERROR(VLOOKUP(B170,input_360100!L:R,7,FALSE),VLOOKUP(tables_360100!C170,input_360100!A:H,8,FALSE))</f>
        <v>78</v>
      </c>
      <c r="P170" s="46">
        <f t="shared" ca="1" si="8"/>
        <v>1.3157894736842106E-5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input_360100!A$2</f>
        <v>360100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IFERROR(VLOOKUP(B171,input_360100!L:R,7,FALSE),VLOOKUP(tables_360100!C171,input_360100!A:H,8,FALSE))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input_360100!A$2</f>
        <v>360100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IFERROR(VLOOKUP(B172,input_360100!L:R,7,FALSE),VLOOKUP(tables_360100!C172,input_360100!A:H,8,FALSE))</f>
        <v>68301.2</v>
      </c>
      <c r="P172" s="46">
        <f t="shared" ca="1" si="8"/>
        <v>1.1521794871794871E-2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input_360100!A$2</f>
        <v>360100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IFERROR(VLOOKUP(B173,input_360100!L:R,7,FALSE),VLOOKUP(tables_360100!C173,input_360100!A:H,8,FALSE))</f>
        <v>3594.8</v>
      </c>
      <c r="P173" s="46">
        <f t="shared" ca="1" si="8"/>
        <v>6.0641025641025646E-4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input_360100!A$2</f>
        <v>360100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IFERROR(VLOOKUP(B174,input_360100!L:R,7,FALSE),VLOOKUP(tables_360100!C174,input_360100!A:H,8,FALSE))</f>
        <v>1482</v>
      </c>
      <c r="P174" s="46">
        <f t="shared" ca="1" si="8"/>
        <v>2.5000000000000001E-4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input_360100!A$2</f>
        <v>360100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IFERROR(VLOOKUP(B175,input_360100!L:R,7,FALSE),VLOOKUP(tables_360100!C175,input_360100!A:H,8,FALSE))</f>
        <v>78</v>
      </c>
      <c r="P175" s="46">
        <f t="shared" ca="1" si="8"/>
        <v>1.3157894736842106E-5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input_360100!A$2</f>
        <v>360100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IFERROR(VLOOKUP(B176,input_360100!L:R,7,FALSE),VLOOKUP(tables_360100!C176,input_360100!A:H,8,FALSE))</f>
        <v>1482</v>
      </c>
      <c r="P176" s="46">
        <f t="shared" ca="1" si="8"/>
        <v>2.5000000000000001E-4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input_360100!A$2</f>
        <v>360100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IFERROR(VLOOKUP(B177,input_360100!L:R,7,FALSE),VLOOKUP(tables_360100!C177,input_360100!A:H,8,FALSE))</f>
        <v>78</v>
      </c>
      <c r="P177" s="46">
        <f t="shared" ca="1" si="8"/>
        <v>1.3157894736842106E-5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input_360100!A$2</f>
        <v>360100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IFERROR(VLOOKUP(B178,input_360100!L:R,7,FALSE),VLOOKUP(tables_360100!C178,input_360100!A:H,8,FALSE))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input_360100!A$2</f>
        <v>360100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IFERROR(VLOOKUP(B179,input_360100!L:R,7,FALSE),VLOOKUP(tables_360100!C179,input_360100!A:H,8,FALSE))</f>
        <v>68301.2</v>
      </c>
      <c r="P179" s="46">
        <f t="shared" ca="1" si="8"/>
        <v>1.1521794871794871E-2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input_360100!A$2</f>
        <v>360100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IFERROR(VLOOKUP(B180,input_360100!L:R,7,FALSE),VLOOKUP(tables_360100!C180,input_360100!A:H,8,FALSE))</f>
        <v>3594.8</v>
      </c>
      <c r="P180" s="46">
        <f t="shared" ca="1" si="8"/>
        <v>6.0641025641025646E-4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input_360100!A$2</f>
        <v>360100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IFERROR(VLOOKUP(B181,input_360100!L:R,7,FALSE),VLOOKUP(tables_360100!C181,input_360100!A:H,8,FALSE))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input_360100!A$2</f>
        <v>360100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IFERROR(VLOOKUP(B182,input_360100!L:R,7,FALSE),VLOOKUP(tables_360100!C182,input_360100!A:H,8,FALSE))</f>
        <v>68301.2</v>
      </c>
      <c r="P182" s="46">
        <f t="shared" ca="1" si="8"/>
        <v>1.1521794871794871E-2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input_360100!A$2</f>
        <v>360100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IFERROR(VLOOKUP(B183,input_360100!L:R,7,FALSE),VLOOKUP(tables_360100!C183,input_360100!A:H,8,FALSE))</f>
        <v>3594.8</v>
      </c>
      <c r="P183" s="46">
        <f t="shared" ca="1" si="8"/>
        <v>6.0641025641025646E-4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input_360100!A$2</f>
        <v>360100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IFERROR(VLOOKUP(B184,input_360100!L:R,7,FALSE),VLOOKUP(tables_360100!C184,input_360100!A:H,8,FALSE))</f>
        <v>1482</v>
      </c>
      <c r="P184" s="46">
        <f t="shared" ca="1" si="8"/>
        <v>2.5000000000000001E-4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input_360100!A$2</f>
        <v>360100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IFERROR(VLOOKUP(B185,input_360100!L:R,7,FALSE),VLOOKUP(tables_360100!C185,input_360100!A:H,8,FALSE))</f>
        <v>78</v>
      </c>
      <c r="P185" s="46">
        <f t="shared" ca="1" si="8"/>
        <v>1.3157894736842106E-5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input_360100!A$2</f>
        <v>360100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IFERROR(VLOOKUP(B186,input_360100!L:R,7,FALSE),VLOOKUP(tables_360100!C186,input_360100!A:H,8,FALSE))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input_360100!A$2</f>
        <v>360100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IFERROR(VLOOKUP(B187,input_360100!L:R,7,FALSE),VLOOKUP(tables_360100!C187,input_360100!A:H,8,FALSE))</f>
        <v>68301.2</v>
      </c>
      <c r="P187" s="46">
        <f t="shared" ca="1" si="8"/>
        <v>1.1521794871794871E-2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input_360100!A$2</f>
        <v>360100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IFERROR(VLOOKUP(B188,input_360100!L:R,7,FALSE),VLOOKUP(tables_360100!C188,input_360100!A:H,8,FALSE))</f>
        <v>3594.8</v>
      </c>
      <c r="P188" s="46">
        <f t="shared" ca="1" si="8"/>
        <v>6.0641025641025646E-4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input_360100!A$2</f>
        <v>360100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IFERROR(VLOOKUP(B189,input_360100!L:R,7,FALSE),VLOOKUP(tables_360100!C189,input_360100!A:H,8,FALSE))</f>
        <v>1482</v>
      </c>
      <c r="P189" s="46">
        <f t="shared" ca="1" si="8"/>
        <v>2.5000000000000001E-4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input_360100!A$2</f>
        <v>360100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IFERROR(VLOOKUP(B190,input_360100!L:R,7,FALSE),VLOOKUP(tables_360100!C190,input_360100!A:H,8,FALSE))</f>
        <v>78</v>
      </c>
      <c r="P190" s="46">
        <f t="shared" ca="1" si="8"/>
        <v>1.3157894736842106E-5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input_360100!A$2</f>
        <v>360100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IFERROR(VLOOKUP(B191,input_360100!L:R,7,FALSE),VLOOKUP(tables_360100!C191,input_360100!A:H,8,FALSE))</f>
        <v>1482</v>
      </c>
      <c r="P191" s="46">
        <f t="shared" ca="1" si="8"/>
        <v>2.5000000000000001E-4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input_360100!A$2</f>
        <v>360100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IFERROR(VLOOKUP(B192,input_360100!L:R,7,FALSE),VLOOKUP(tables_360100!C192,input_360100!A:H,8,FALSE))</f>
        <v>78</v>
      </c>
      <c r="P192" s="46">
        <f t="shared" ca="1" si="8"/>
        <v>1.3157894736842106E-5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input_360100!A$2</f>
        <v>360100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IFERROR(VLOOKUP(B193,input_360100!L:R,7,FALSE),VLOOKUP(tables_360100!C193,input_360100!A:H,8,FALSE))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input_360100!A$2</f>
        <v>360100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IFERROR(VLOOKUP(B194,input_360100!L:R,7,FALSE),VLOOKUP(tables_360100!C194,input_360100!A:H,8,FALSE))</f>
        <v>68301.2</v>
      </c>
      <c r="P194" s="46">
        <f t="shared" ca="1" si="8"/>
        <v>1.1521794871794871E-2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input_360100!A$2</f>
        <v>360100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IFERROR(VLOOKUP(B195,input_360100!L:R,7,FALSE),VLOOKUP(tables_360100!C195,input_360100!A:H,8,FALSE))</f>
        <v>3594.8</v>
      </c>
      <c r="P195" s="46">
        <f t="shared" ca="1" si="8"/>
        <v>6.0641025641025646E-4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input_360100!A$2</f>
        <v>360100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IFERROR(VLOOKUP(B196,input_360100!L:R,7,FALSE),VLOOKUP(tables_360100!C196,input_360100!A:H,8,FALSE))</f>
        <v>1482</v>
      </c>
      <c r="P196" s="46">
        <f t="shared" ca="1" si="8"/>
        <v>2.5000000000000001E-4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input_360100!A$2</f>
        <v>360100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IFERROR(VLOOKUP(B197,input_360100!L:R,7,FALSE),VLOOKUP(tables_360100!C197,input_360100!A:H,8,FALSE))</f>
        <v>78</v>
      </c>
      <c r="P197" s="46">
        <f t="shared" ca="1" si="8"/>
        <v>1.3157894736842106E-5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input_360100!A$2</f>
        <v>360100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IFERROR(VLOOKUP(B198,input_360100!L:R,7,FALSE),VLOOKUP(tables_360100!C198,input_360100!A:H,8,FALSE))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input_360100!A$2</f>
        <v>360100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IFERROR(VLOOKUP(B199,input_360100!L:R,7,FALSE),VLOOKUP(tables_360100!C199,input_360100!A:H,8,FALSE))</f>
        <v>68301.2</v>
      </c>
      <c r="P199" s="46">
        <f t="shared" ca="1" si="8"/>
        <v>1.1521794871794871E-2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input_360100!A$2</f>
        <v>360100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IFERROR(VLOOKUP(B200,input_360100!L:R,7,FALSE),VLOOKUP(tables_360100!C200,input_360100!A:H,8,FALSE))</f>
        <v>3594.8</v>
      </c>
      <c r="P200" s="46">
        <f t="shared" ca="1" si="8"/>
        <v>6.0641025641025646E-4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input_360100!A$2</f>
        <v>360100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IFERROR(VLOOKUP(B201,input_360100!L:R,7,FALSE),VLOOKUP(tables_360100!C201,input_360100!A:H,8,FALSE))</f>
        <v>1482</v>
      </c>
      <c r="P201" s="46">
        <f t="shared" ca="1" si="8"/>
        <v>2.5000000000000001E-4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input_360100!A$2</f>
        <v>360100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IFERROR(VLOOKUP(B202,input_360100!L:R,7,FALSE),VLOOKUP(tables_360100!C202,input_360100!A:H,8,FALSE))</f>
        <v>78</v>
      </c>
      <c r="P202" s="46">
        <f t="shared" ca="1" si="8"/>
        <v>1.3157894736842106E-5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input_360100!A$2</f>
        <v>360100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IFERROR(VLOOKUP(B203,input_360100!L:R,7,FALSE),VLOOKUP(tables_360100!C203,input_360100!A:H,8,FALSE))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input_360100!A$2</f>
        <v>360100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IFERROR(VLOOKUP(B204,input_360100!L:R,7,FALSE),VLOOKUP(tables_360100!C204,input_360100!A:H,8,FALSE))</f>
        <v>68301.2</v>
      </c>
      <c r="P204" s="46">
        <f t="shared" ca="1" si="8"/>
        <v>1.1521794871794871E-2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input_360100!A$2</f>
        <v>360100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IFERROR(VLOOKUP(B205,input_360100!L:R,7,FALSE),VLOOKUP(tables_360100!C205,input_360100!A:H,8,FALSE))</f>
        <v>3594.8</v>
      </c>
      <c r="P205" s="46">
        <f t="shared" ca="1" si="8"/>
        <v>6.0641025641025646E-4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input_360100!A$2</f>
        <v>360100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IFERROR(VLOOKUP(B206,input_360100!L:R,7,FALSE),VLOOKUP(tables_360100!C206,input_360100!A:H,8,FALSE))</f>
        <v>1482</v>
      </c>
      <c r="P206" s="46">
        <f t="shared" ca="1" si="8"/>
        <v>2.5000000000000001E-4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input_360100!A$2</f>
        <v>360100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IFERROR(VLOOKUP(B207,input_360100!L:R,7,FALSE),VLOOKUP(tables_360100!C207,input_360100!A:H,8,FALSE))</f>
        <v>78</v>
      </c>
      <c r="P207" s="46">
        <f t="shared" ref="P207:P270" ca="1" si="11">O207/SUM(O:O)</f>
        <v>1.3157894736842106E-5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input_360100!A$2</f>
        <v>360100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IFERROR(VLOOKUP(B208,input_360100!L:R,7,FALSE),VLOOKUP(tables_360100!C208,input_360100!A:H,8,FALSE))</f>
        <v>1482</v>
      </c>
      <c r="P208" s="46">
        <f t="shared" ca="1" si="11"/>
        <v>2.5000000000000001E-4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input_360100!A$2</f>
        <v>360100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IFERROR(VLOOKUP(B209,input_360100!L:R,7,FALSE),VLOOKUP(tables_360100!C209,input_360100!A:H,8,FALSE))</f>
        <v>78</v>
      </c>
      <c r="P209" s="46">
        <f t="shared" ca="1" si="11"/>
        <v>1.3157894736842106E-5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input_360100!A$2</f>
        <v>360100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IFERROR(VLOOKUP(B210,input_360100!L:R,7,FALSE),VLOOKUP(tables_360100!C210,input_360100!A:H,8,FALSE))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input_360100!A$2</f>
        <v>360100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IFERROR(VLOOKUP(B211,input_360100!L:R,7,FALSE),VLOOKUP(tables_360100!C211,input_360100!A:H,8,FALSE))</f>
        <v>68301.2</v>
      </c>
      <c r="P211" s="46">
        <f t="shared" ca="1" si="11"/>
        <v>1.1521794871794871E-2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input_360100!A$2</f>
        <v>360100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IFERROR(VLOOKUP(B212,input_360100!L:R,7,FALSE),VLOOKUP(tables_360100!C212,input_360100!A:H,8,FALSE))</f>
        <v>3594.8</v>
      </c>
      <c r="P212" s="46">
        <f t="shared" ca="1" si="11"/>
        <v>6.0641025641025646E-4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input_360100!A$2</f>
        <v>360100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IFERROR(VLOOKUP(B213,input_360100!L:R,7,FALSE),VLOOKUP(tables_360100!C213,input_360100!A:H,8,FALSE))</f>
        <v>1482</v>
      </c>
      <c r="P213" s="46">
        <f t="shared" ca="1" si="11"/>
        <v>2.5000000000000001E-4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input_360100!A$2</f>
        <v>360100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IFERROR(VLOOKUP(B214,input_360100!L:R,7,FALSE),VLOOKUP(tables_360100!C214,input_360100!A:H,8,FALSE))</f>
        <v>78</v>
      </c>
      <c r="P214" s="46">
        <f t="shared" ca="1" si="11"/>
        <v>1.3157894736842106E-5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input_360100!A$2</f>
        <v>360100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IFERROR(VLOOKUP(B215,input_360100!L:R,7,FALSE),VLOOKUP(tables_360100!C215,input_360100!A:H,8,FALSE))</f>
        <v>1482</v>
      </c>
      <c r="P215" s="46">
        <f t="shared" ca="1" si="11"/>
        <v>2.5000000000000001E-4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input_360100!A$2</f>
        <v>360100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IFERROR(VLOOKUP(B216,input_360100!L:R,7,FALSE),VLOOKUP(tables_360100!C216,input_360100!A:H,8,FALSE))</f>
        <v>78</v>
      </c>
      <c r="P216" s="46">
        <f t="shared" ca="1" si="11"/>
        <v>1.3157894736842106E-5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input_360100!A$2</f>
        <v>360100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IFERROR(VLOOKUP(B217,input_360100!L:R,7,FALSE),VLOOKUP(tables_360100!C217,input_360100!A:H,8,FALSE))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input_360100!A$2</f>
        <v>360100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IFERROR(VLOOKUP(B218,input_360100!L:R,7,FALSE),VLOOKUP(tables_360100!C218,input_360100!A:H,8,FALSE))</f>
        <v>68301.2</v>
      </c>
      <c r="P218" s="46">
        <f t="shared" ca="1" si="11"/>
        <v>1.1521794871794871E-2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input_360100!A$2</f>
        <v>360100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IFERROR(VLOOKUP(B219,input_360100!L:R,7,FALSE),VLOOKUP(tables_360100!C219,input_360100!A:H,8,FALSE))</f>
        <v>3594.8</v>
      </c>
      <c r="P219" s="46">
        <f t="shared" ca="1" si="11"/>
        <v>6.0641025641025646E-4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input_360100!A$2</f>
        <v>360100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IFERROR(VLOOKUP(B220,input_360100!L:R,7,FALSE),VLOOKUP(tables_360100!C220,input_360100!A:H,8,FALSE))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input_360100!A$2</f>
        <v>360100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IFERROR(VLOOKUP(B221,input_360100!L:R,7,FALSE),VLOOKUP(tables_360100!C221,input_360100!A:H,8,FALSE))</f>
        <v>68301.2</v>
      </c>
      <c r="P221" s="46">
        <f t="shared" ca="1" si="11"/>
        <v>1.1521794871794871E-2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input_360100!A$2</f>
        <v>360100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IFERROR(VLOOKUP(B222,input_360100!L:R,7,FALSE),VLOOKUP(tables_360100!C222,input_360100!A:H,8,FALSE))</f>
        <v>3594.8</v>
      </c>
      <c r="P222" s="46">
        <f t="shared" ca="1" si="11"/>
        <v>6.0641025641025646E-4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input_360100!A$2</f>
        <v>360100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IFERROR(VLOOKUP(B223,input_360100!L:R,7,FALSE),VLOOKUP(tables_360100!C223,input_360100!A:H,8,FALSE))</f>
        <v>1482</v>
      </c>
      <c r="P223" s="46">
        <f t="shared" ca="1" si="11"/>
        <v>2.5000000000000001E-4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input_360100!A$2</f>
        <v>360100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IFERROR(VLOOKUP(B224,input_360100!L:R,7,FALSE),VLOOKUP(tables_360100!C224,input_360100!A:H,8,FALSE))</f>
        <v>78</v>
      </c>
      <c r="P224" s="46">
        <f t="shared" ca="1" si="11"/>
        <v>1.3157894736842106E-5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input_360100!A$2</f>
        <v>360100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IFERROR(VLOOKUP(B225,input_360100!L:R,7,FALSE),VLOOKUP(tables_360100!C225,input_360100!A:H,8,FALSE))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input_360100!A$2</f>
        <v>360100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IFERROR(VLOOKUP(B226,input_360100!L:R,7,FALSE),VLOOKUP(tables_360100!C226,input_360100!A:H,8,FALSE))</f>
        <v>68301.2</v>
      </c>
      <c r="P226" s="46">
        <f t="shared" ca="1" si="11"/>
        <v>1.1521794871794871E-2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input_360100!A$2</f>
        <v>360100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IFERROR(VLOOKUP(B227,input_360100!L:R,7,FALSE),VLOOKUP(tables_360100!C227,input_360100!A:H,8,FALSE))</f>
        <v>3594.8</v>
      </c>
      <c r="P227" s="46">
        <f t="shared" ca="1" si="11"/>
        <v>6.0641025641025646E-4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input_360100!A$2</f>
        <v>360100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IFERROR(VLOOKUP(B228,input_360100!L:R,7,FALSE),VLOOKUP(tables_360100!C228,input_360100!A:H,8,FALSE))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input_360100!A$2</f>
        <v>360100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IFERROR(VLOOKUP(B229,input_360100!L:R,7,FALSE),VLOOKUP(tables_360100!C229,input_360100!A:H,8,FALSE))</f>
        <v>68301.2</v>
      </c>
      <c r="P229" s="46">
        <f t="shared" ca="1" si="11"/>
        <v>1.1521794871794871E-2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input_360100!A$2</f>
        <v>360100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IFERROR(VLOOKUP(B230,input_360100!L:R,7,FALSE),VLOOKUP(tables_360100!C230,input_360100!A:H,8,FALSE))</f>
        <v>3594.8</v>
      </c>
      <c r="P230" s="46">
        <f t="shared" ca="1" si="11"/>
        <v>6.0641025641025646E-4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input_360100!A$2</f>
        <v>360100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IFERROR(VLOOKUP(B231,input_360100!L:R,7,FALSE),VLOOKUP(tables_360100!C231,input_360100!A:H,8,FALSE))</f>
        <v>1482</v>
      </c>
      <c r="P231" s="46">
        <f t="shared" ca="1" si="11"/>
        <v>2.5000000000000001E-4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input_360100!A$2</f>
        <v>360100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IFERROR(VLOOKUP(B232,input_360100!L:R,7,FALSE),VLOOKUP(tables_360100!C232,input_360100!A:H,8,FALSE))</f>
        <v>78</v>
      </c>
      <c r="P232" s="46">
        <f t="shared" ca="1" si="11"/>
        <v>1.3157894736842106E-5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input_360100!A$2</f>
        <v>360100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IFERROR(VLOOKUP(B233,input_360100!L:R,7,FALSE),VLOOKUP(tables_360100!C233,input_360100!A:H,8,FALSE))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input_360100!A$2</f>
        <v>360100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IFERROR(VLOOKUP(B234,input_360100!L:R,7,FALSE),VLOOKUP(tables_360100!C234,input_360100!A:H,8,FALSE))</f>
        <v>68301.2</v>
      </c>
      <c r="P234" s="46">
        <f t="shared" ca="1" si="11"/>
        <v>1.1521794871794871E-2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input_360100!A$2</f>
        <v>360100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IFERROR(VLOOKUP(B235,input_360100!L:R,7,FALSE),VLOOKUP(tables_360100!C235,input_360100!A:H,8,FALSE))</f>
        <v>3594.8</v>
      </c>
      <c r="P235" s="46">
        <f t="shared" ca="1" si="11"/>
        <v>6.0641025641025646E-4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input_360100!A$2</f>
        <v>360100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IFERROR(VLOOKUP(B236,input_360100!L:R,7,FALSE),VLOOKUP(tables_360100!C236,input_360100!A:H,8,FALSE))</f>
        <v>1482</v>
      </c>
      <c r="P236" s="46">
        <f t="shared" ca="1" si="11"/>
        <v>2.5000000000000001E-4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input_360100!A$2</f>
        <v>360100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IFERROR(VLOOKUP(B237,input_360100!L:R,7,FALSE),VLOOKUP(tables_360100!C237,input_360100!A:H,8,FALSE))</f>
        <v>78</v>
      </c>
      <c r="P237" s="46">
        <f t="shared" ca="1" si="11"/>
        <v>1.3157894736842106E-5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input_360100!A$2</f>
        <v>360100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IFERROR(VLOOKUP(B238,input_360100!L:R,7,FALSE),VLOOKUP(tables_360100!C238,input_360100!A:H,8,FALSE))</f>
        <v>1482</v>
      </c>
      <c r="P238" s="46">
        <f t="shared" ca="1" si="11"/>
        <v>2.5000000000000001E-4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input_360100!A$2</f>
        <v>360100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IFERROR(VLOOKUP(B239,input_360100!L:R,7,FALSE),VLOOKUP(tables_360100!C239,input_360100!A:H,8,FALSE))</f>
        <v>78</v>
      </c>
      <c r="P239" s="46">
        <f t="shared" ca="1" si="11"/>
        <v>1.3157894736842106E-5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input_360100!A$2</f>
        <v>360100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IFERROR(VLOOKUP(B240,input_360100!L:R,7,FALSE),VLOOKUP(tables_360100!C240,input_360100!A:H,8,FALSE))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input_360100!A$2</f>
        <v>360100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IFERROR(VLOOKUP(B241,input_360100!L:R,7,FALSE),VLOOKUP(tables_360100!C241,input_360100!A:H,8,FALSE))</f>
        <v>68301.2</v>
      </c>
      <c r="P241" s="46">
        <f t="shared" ca="1" si="11"/>
        <v>1.1521794871794871E-2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input_360100!A$2</f>
        <v>360100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IFERROR(VLOOKUP(B242,input_360100!L:R,7,FALSE),VLOOKUP(tables_360100!C242,input_360100!A:H,8,FALSE))</f>
        <v>3594.8</v>
      </c>
      <c r="P242" s="46">
        <f t="shared" ca="1" si="11"/>
        <v>6.0641025641025646E-4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input_360100!A$2</f>
        <v>360100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IFERROR(VLOOKUP(B243,input_360100!L:R,7,FALSE),VLOOKUP(tables_360100!C243,input_360100!A:H,8,FALSE))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input_360100!A$2</f>
        <v>360100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IFERROR(VLOOKUP(B244,input_360100!L:R,7,FALSE),VLOOKUP(tables_360100!C244,input_360100!A:H,8,FALSE))</f>
        <v>68301.2</v>
      </c>
      <c r="P244" s="46">
        <f t="shared" ca="1" si="11"/>
        <v>1.1521794871794871E-2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input_360100!A$2</f>
        <v>360100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IFERROR(VLOOKUP(B245,input_360100!L:R,7,FALSE),VLOOKUP(tables_360100!C245,input_360100!A:H,8,FALSE))</f>
        <v>3594.8</v>
      </c>
      <c r="P245" s="46">
        <f t="shared" ca="1" si="11"/>
        <v>6.0641025641025646E-4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input_360100!A$2</f>
        <v>360100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IFERROR(VLOOKUP(B246,input_360100!L:R,7,FALSE),VLOOKUP(tables_360100!C246,input_360100!A:H,8,FALSE))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input_360100!A$2</f>
        <v>360100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IFERROR(VLOOKUP(B247,input_360100!L:R,7,FALSE),VLOOKUP(tables_360100!C247,input_360100!A:H,8,FALSE))</f>
        <v>68301.2</v>
      </c>
      <c r="P247" s="46">
        <f t="shared" ca="1" si="11"/>
        <v>1.1521794871794871E-2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input_360100!A$2</f>
        <v>360100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IFERROR(VLOOKUP(B248,input_360100!L:R,7,FALSE),VLOOKUP(tables_360100!C248,input_360100!A:H,8,FALSE))</f>
        <v>3594.8</v>
      </c>
      <c r="P248" s="46">
        <f t="shared" ca="1" si="11"/>
        <v>6.0641025641025646E-4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input_360100!A$2</f>
        <v>360100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IFERROR(VLOOKUP(B249,input_360100!L:R,7,FALSE),VLOOKUP(tables_360100!C249,input_360100!A:H,8,FALSE))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input_360100!A$2</f>
        <v>360100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IFERROR(VLOOKUP(B250,input_360100!L:R,7,FALSE),VLOOKUP(tables_360100!C250,input_360100!A:H,8,FALSE))</f>
        <v>68301.2</v>
      </c>
      <c r="P250" s="46">
        <f t="shared" ca="1" si="11"/>
        <v>1.1521794871794871E-2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input_360100!A$2</f>
        <v>360100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IFERROR(VLOOKUP(B251,input_360100!L:R,7,FALSE),VLOOKUP(tables_360100!C251,input_360100!A:H,8,FALSE))</f>
        <v>3594.8</v>
      </c>
      <c r="P251" s="46">
        <f t="shared" ca="1" si="11"/>
        <v>6.0641025641025646E-4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input_360100!A$2</f>
        <v>360100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IFERROR(VLOOKUP(B252,input_360100!L:R,7,FALSE),VLOOKUP(tables_360100!C252,input_360100!A:H,8,FALSE))</f>
        <v>1482</v>
      </c>
      <c r="P252" s="46">
        <f t="shared" ca="1" si="11"/>
        <v>2.5000000000000001E-4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input_360100!A$2</f>
        <v>360100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IFERROR(VLOOKUP(B253,input_360100!L:R,7,FALSE),VLOOKUP(tables_360100!C253,input_360100!A:H,8,FALSE))</f>
        <v>78</v>
      </c>
      <c r="P253" s="46">
        <f t="shared" ca="1" si="11"/>
        <v>1.3157894736842106E-5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input_360100!A$2</f>
        <v>360100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IFERROR(VLOOKUP(B254,input_360100!L:R,7,FALSE),VLOOKUP(tables_360100!C254,input_360100!A:H,8,FALSE))</f>
        <v>1482</v>
      </c>
      <c r="P254" s="46">
        <f t="shared" ca="1" si="11"/>
        <v>2.5000000000000001E-4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input_360100!A$2</f>
        <v>360100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IFERROR(VLOOKUP(B255,input_360100!L:R,7,FALSE),VLOOKUP(tables_360100!C255,input_360100!A:H,8,FALSE))</f>
        <v>78</v>
      </c>
      <c r="P255" s="46">
        <f t="shared" ca="1" si="11"/>
        <v>1.3157894736842106E-5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input_360100!A$2</f>
        <v>360100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IFERROR(VLOOKUP(B256,input_360100!L:R,7,FALSE),VLOOKUP(tables_360100!C256,input_360100!A:H,8,FALSE))</f>
        <v>55626.93333</v>
      </c>
      <c r="P256" s="46">
        <f t="shared" ca="1" si="11"/>
        <v>9.3837606831983812E-3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input_360100!A$2</f>
        <v>360100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IFERROR(VLOOKUP(B257,input_360100!L:R,7,FALSE),VLOOKUP(tables_360100!C257,input_360100!A:H,8,FALSE))</f>
        <v>16269.06667</v>
      </c>
      <c r="P257" s="46">
        <f t="shared" ca="1" si="11"/>
        <v>2.7444444450067476E-3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input_360100!A$2</f>
        <v>360100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IFERROR(VLOOKUP(B258,input_360100!L:R,7,FALSE),VLOOKUP(tables_360100!C258,input_360100!A:H,8,FALSE))</f>
        <v>55626.93333</v>
      </c>
      <c r="P258" s="46">
        <f t="shared" ca="1" si="11"/>
        <v>9.3837606831983812E-3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input_360100!A$2</f>
        <v>360100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IFERROR(VLOOKUP(B259,input_360100!L:R,7,FALSE),VLOOKUP(tables_360100!C259,input_360100!A:H,8,FALSE))</f>
        <v>16269.06667</v>
      </c>
      <c r="P259" s="46">
        <f t="shared" ca="1" si="11"/>
        <v>2.7444444450067476E-3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input_360100!A$2</f>
        <v>360100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IFERROR(VLOOKUP(B260,input_360100!L:R,7,FALSE),VLOOKUP(tables_360100!C260,input_360100!A:H,8,FALSE))</f>
        <v>1560</v>
      </c>
      <c r="P260" s="46">
        <f t="shared" ca="1" si="11"/>
        <v>2.631578947368421E-4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input_360100!A$2</f>
        <v>360100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IFERROR(VLOOKUP(B261,input_360100!L:R,7,FALSE),VLOOKUP(tables_360100!C261,input_360100!A:H,8,FALSE))</f>
        <v>1560</v>
      </c>
      <c r="P261" s="46">
        <f t="shared" ca="1" si="11"/>
        <v>2.631578947368421E-4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input_360100!A$2</f>
        <v>360100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IFERROR(VLOOKUP(B262,input_360100!L:R,7,FALSE),VLOOKUP(tables_360100!C262,input_360100!A:H,8,FALSE))</f>
        <v>1482</v>
      </c>
      <c r="P262" s="46">
        <f t="shared" ca="1" si="11"/>
        <v>2.5000000000000001E-4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input_360100!A$2</f>
        <v>360100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IFERROR(VLOOKUP(B263,input_360100!L:R,7,FALSE),VLOOKUP(tables_360100!C263,input_360100!A:H,8,FALSE))</f>
        <v>78</v>
      </c>
      <c r="P263" s="46">
        <f t="shared" ca="1" si="11"/>
        <v>1.3157894736842106E-5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input_360100!A$2</f>
        <v>360100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IFERROR(VLOOKUP(B264,input_360100!L:R,7,FALSE),VLOOKUP(tables_360100!C264,input_360100!A:H,8,FALSE))</f>
        <v>1482</v>
      </c>
      <c r="P264" s="46">
        <f t="shared" ca="1" si="11"/>
        <v>2.5000000000000001E-4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input_360100!A$2</f>
        <v>360100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IFERROR(VLOOKUP(B265,input_360100!L:R,7,FALSE),VLOOKUP(tables_360100!C265,input_360100!A:H,8,FALSE))</f>
        <v>78</v>
      </c>
      <c r="P265" s="46">
        <f t="shared" ca="1" si="11"/>
        <v>1.3157894736842106E-5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input_360100!A$2</f>
        <v>360100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IFERROR(VLOOKUP(B266,input_360100!L:R,7,FALSE),VLOOKUP(tables_360100!C266,input_360100!A:H,8,FALSE))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input_360100!A$2</f>
        <v>360100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IFERROR(VLOOKUP(B267,input_360100!L:R,7,FALSE),VLOOKUP(tables_360100!C267,input_360100!A:H,8,FALSE))</f>
        <v>68301.2</v>
      </c>
      <c r="P267" s="46">
        <f t="shared" ca="1" si="11"/>
        <v>1.1521794871794871E-2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input_360100!A$2</f>
        <v>360100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IFERROR(VLOOKUP(B268,input_360100!L:R,7,FALSE),VLOOKUP(tables_360100!C268,input_360100!A:H,8,FALSE))</f>
        <v>3594.8</v>
      </c>
      <c r="P268" s="46">
        <f t="shared" ca="1" si="11"/>
        <v>6.0641025641025646E-4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input_360100!A$2</f>
        <v>360100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IFERROR(VLOOKUP(B269,input_360100!L:R,7,FALSE),VLOOKUP(tables_360100!C269,input_360100!A:H,8,FALSE))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input_360100!A$2</f>
        <v>360100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IFERROR(VLOOKUP(B270,input_360100!L:R,7,FALSE),VLOOKUP(tables_360100!C270,input_360100!A:H,8,FALSE))</f>
        <v>68301.2</v>
      </c>
      <c r="P270" s="46">
        <f t="shared" ca="1" si="11"/>
        <v>1.1521794871794871E-2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input_360100!A$2</f>
        <v>360100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IFERROR(VLOOKUP(B271,input_360100!L:R,7,FALSE),VLOOKUP(tables_360100!C271,input_360100!A:H,8,FALSE))</f>
        <v>3594.8</v>
      </c>
      <c r="P271" s="46">
        <f t="shared" ref="P271:P286" ca="1" si="14">O271/SUM(O:O)</f>
        <v>6.0641025641025646E-4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input_360100!A$2</f>
        <v>360100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IFERROR(VLOOKUP(B272,input_360100!L:R,7,FALSE),VLOOKUP(tables_360100!C272,input_360100!A:H,8,FALSE))</f>
        <v>1560</v>
      </c>
      <c r="P272" s="46">
        <f t="shared" ca="1" si="14"/>
        <v>2.631578947368421E-4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input_360100!A$2</f>
        <v>360100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IFERROR(VLOOKUP(B273,input_360100!L:R,7,FALSE),VLOOKUP(tables_360100!C273,input_360100!A:H,8,FALSE))</f>
        <v>1560</v>
      </c>
      <c r="P273" s="46">
        <f t="shared" ca="1" si="14"/>
        <v>2.631578947368421E-4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input_360100!A$2</f>
        <v>360100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IFERROR(VLOOKUP(B274,input_360100!L:R,7,FALSE),VLOOKUP(tables_360100!C274,input_360100!A:H,8,FALSE))</f>
        <v>55626.93333</v>
      </c>
      <c r="P274" s="46">
        <f t="shared" ca="1" si="14"/>
        <v>9.3837606831983812E-3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input_360100!A$2</f>
        <v>360100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IFERROR(VLOOKUP(B275,input_360100!L:R,7,FALSE),VLOOKUP(tables_360100!C275,input_360100!A:H,8,FALSE))</f>
        <v>16269.06667</v>
      </c>
      <c r="P275" s="46">
        <f t="shared" ca="1" si="14"/>
        <v>2.7444444450067476E-3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input_360100!A$2</f>
        <v>360100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IFERROR(VLOOKUP(B276,input_360100!L:R,7,FALSE),VLOOKUP(tables_360100!C276,input_360100!A:H,8,FALSE))</f>
        <v>55626.93333</v>
      </c>
      <c r="P276" s="46">
        <f t="shared" ca="1" si="14"/>
        <v>9.3837606831983812E-3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input_360100!A$2</f>
        <v>360100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IFERROR(VLOOKUP(B277,input_360100!L:R,7,FALSE),VLOOKUP(tables_360100!C277,input_360100!A:H,8,FALSE))</f>
        <v>16269.06667</v>
      </c>
      <c r="P277" s="46">
        <f t="shared" ca="1" si="14"/>
        <v>2.7444444450067476E-3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input_360100!A$2</f>
        <v>360100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IFERROR(VLOOKUP(B278,input_360100!L:R,7,FALSE),VLOOKUP(tables_360100!C278,input_360100!A:H,8,FALSE))</f>
        <v>55626.93333</v>
      </c>
      <c r="P278" s="46">
        <f t="shared" ca="1" si="14"/>
        <v>9.3837606831983812E-3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input_360100!A$2</f>
        <v>360100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IFERROR(VLOOKUP(B279,input_360100!L:R,7,FALSE),VLOOKUP(tables_360100!C279,input_360100!A:H,8,FALSE))</f>
        <v>16269.06667</v>
      </c>
      <c r="P279" s="46">
        <f t="shared" ca="1" si="14"/>
        <v>2.7444444450067476E-3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input_360100!A$2</f>
        <v>360100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IFERROR(VLOOKUP(B280,input_360100!L:R,7,FALSE),VLOOKUP(tables_360100!C280,input_360100!A:H,8,FALSE))</f>
        <v>55626.93333</v>
      </c>
      <c r="P280" s="46">
        <f t="shared" ca="1" si="14"/>
        <v>9.3837606831983812E-3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input_360100!A$2</f>
        <v>360100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IFERROR(VLOOKUP(B281,input_360100!L:R,7,FALSE),VLOOKUP(tables_360100!C281,input_360100!A:H,8,FALSE))</f>
        <v>16269.06667</v>
      </c>
      <c r="P281" s="46">
        <f t="shared" ca="1" si="14"/>
        <v>2.7444444450067476E-3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input_360100!A$2</f>
        <v>360100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IFERROR(VLOOKUP(B282,input_360100!L:R,7,FALSE),VLOOKUP(tables_360100!C282,input_360100!A:H,8,FALSE))</f>
        <v>1560</v>
      </c>
      <c r="P282" s="46">
        <f t="shared" ca="1" si="14"/>
        <v>2.631578947368421E-4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input_360100!A$2</f>
        <v>360100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IFERROR(VLOOKUP(B283,input_360100!L:R,7,FALSE),VLOOKUP(tables_360100!C283,input_360100!A:H,8,FALSE))</f>
        <v>1560</v>
      </c>
      <c r="P283" s="46">
        <f t="shared" ca="1" si="14"/>
        <v>2.631578947368421E-4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input_360100!A$2</f>
        <v>360100</v>
      </c>
      <c r="B284" s="5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IFERROR(VLOOKUP(B284,input_360100!L:R,7,FALSE),VLOOKUP(tables_360100!C284,input_360100!A:H,8,FALSE))</f>
        <v>59280</v>
      </c>
      <c r="P284" s="46">
        <f t="shared" ca="1" si="14"/>
        <v>0.01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input_360100!A$2</f>
        <v>360100</v>
      </c>
      <c r="B285" s="5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IFERROR(VLOOKUP(B285,input_360100!L:R,7,FALSE),VLOOKUP(tables_360100!C285,input_360100!A:H,8,FALSE))</f>
        <v>59280</v>
      </c>
      <c r="P285" s="46">
        <f t="shared" ca="1" si="14"/>
        <v>0.01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input_360100!A$2</f>
        <v>360100</v>
      </c>
      <c r="B286" s="5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IFERROR(VLOOKUP(B286,input_360100!L:R,7,FALSE),VLOOKUP(tables_360100!C286,input_360100!A:H,8,FALSE))</f>
        <v>67579.199999999997</v>
      </c>
      <c r="P286" s="46">
        <f t="shared" ca="1" si="14"/>
        <v>1.1399999999999999E-2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input_360100!A$2</f>
        <v>360100</v>
      </c>
      <c r="B287" s="5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IFERROR(VLOOKUP(B287,input_360100!L:R,7,FALSE),VLOOKUP(tables_360100!C287,input_360100!A:H,8,FALSE))</f>
        <v>3556.7999999999993</v>
      </c>
      <c r="P287" s="46">
        <f t="shared" ref="P287:P289" ca="1" si="21">O287/SUM(O:O)</f>
        <v>5.9999999999999984E-4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input_360100!A$2</f>
        <v>360100</v>
      </c>
      <c r="B288" s="5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IFERROR(VLOOKUP(B288,input_360100!L:R,7,FALSE),VLOOKUP(tables_360100!C288,input_360100!A:H,8,FALSE))</f>
        <v>67579.199999999997</v>
      </c>
      <c r="P288" s="46">
        <f t="shared" ca="1" si="21"/>
        <v>1.1399999999999999E-2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input_360100!A$2</f>
        <v>360100</v>
      </c>
      <c r="B289" s="5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IFERROR(VLOOKUP(B289,input_360100!L:R,7,FALSE),VLOOKUP(tables_360100!C289,input_360100!A:H,8,FALSE))</f>
        <v>3556.7999999999993</v>
      </c>
      <c r="P289" s="46">
        <f t="shared" ca="1" si="21"/>
        <v>5.9999999999999984E-4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7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7" sqref="O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263</v>
      </c>
      <c r="B2" s="60">
        <v>742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アポロン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50</f>
        <v>50</v>
      </c>
      <c r="P2" s="46">
        <f t="shared" ref="P2:P7" si="2">O2/SUM(O:O)</f>
        <v>0.05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263</v>
      </c>
      <c r="B3" s="60">
        <v>744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IF(COUNTIF('R6追加前'!A:A,B3)=0,IF(I3="PremiumSS","R5only","R3less"),"")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ヘルメス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technical</v>
      </c>
      <c r="M3" s="7" t="str">
        <f>VLOOKUP(B3,[1]characters!$A:$M,13,FALSE)</f>
        <v>god</v>
      </c>
      <c r="N3" s="7" t="str">
        <f>VLOOKUP(B3,[1]characters!$A:$G,7,FALSE)</f>
        <v>男性</v>
      </c>
      <c r="O3" s="45">
        <f>100</f>
        <v>100</v>
      </c>
      <c r="P3" s="46">
        <f t="shared" si="2"/>
        <v>0.1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263</v>
      </c>
      <c r="B4" s="60">
        <v>746</v>
      </c>
      <c r="C4" s="7" t="str">
        <f t="shared" ref="C4:C7" si="3">D4&amp;J4&amp;E4&amp;F4&amp;G4</f>
        <v>Premium4R3less</v>
      </c>
      <c r="D4" s="7" t="str">
        <f t="shared" ref="D4:D7" si="4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ノルン</v>
      </c>
      <c r="I4" s="7" t="str">
        <f>VLOOKUP(B4,[1]characters!$A:$J,10,FALSE)</f>
        <v>PremiumS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f>420*0.5</f>
        <v>210</v>
      </c>
      <c r="P4" s="46">
        <f t="shared" si="2"/>
        <v>0.21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263</v>
      </c>
      <c r="B5" s="92">
        <v>747</v>
      </c>
      <c r="C5" s="7" t="str">
        <f t="shared" si="3"/>
        <v>Premium5R3less</v>
      </c>
      <c r="D5" s="7" t="str">
        <f t="shared" si="4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潔碧の巡励神 ノルン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f>420*0.5</f>
        <v>210</v>
      </c>
      <c r="P5" s="46">
        <f t="shared" si="2"/>
        <v>0.21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263</v>
      </c>
      <c r="B6" s="92">
        <v>748</v>
      </c>
      <c r="C6" s="7" t="str">
        <f t="shared" si="3"/>
        <v>Premium4R3less</v>
      </c>
      <c r="D6" s="7" t="str">
        <f t="shared" si="4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パーン</v>
      </c>
      <c r="I6" s="7" t="str">
        <f>VLOOKUP(B6,[1]characters!$A:$J,10,FALSE)</f>
        <v>PremiumS</v>
      </c>
      <c r="J6" s="7">
        <f>VLOOKUP(B6,[1]characters!$A:$I,9,FALSE)</f>
        <v>4</v>
      </c>
      <c r="K6" s="7" t="str">
        <f>VLOOKUP(B6,[1]characters!$A:$H,8,FALSE)</f>
        <v>yellow</v>
      </c>
      <c r="L6" s="7" t="str">
        <f>VLOOKUP(B6,[1]characters!$A:$K,11,FALSE)</f>
        <v>heal</v>
      </c>
      <c r="M6" s="7" t="str">
        <f>VLOOKUP(B6,[1]characters!$A:$M,13,FALSE)</f>
        <v>animal</v>
      </c>
      <c r="N6" s="7" t="str">
        <f>VLOOKUP(B6,[1]characters!$A:$G,7,FALSE)</f>
        <v>男性</v>
      </c>
      <c r="O6" s="45">
        <f>430*0.5</f>
        <v>215</v>
      </c>
      <c r="P6" s="46">
        <f t="shared" si="2"/>
        <v>0.215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8" t="s">
        <v>263</v>
      </c>
      <c r="B7" s="92">
        <v>749</v>
      </c>
      <c r="C7" s="7" t="str">
        <f t="shared" si="3"/>
        <v>Premium5R3less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光喜の牧童 パーン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heal</v>
      </c>
      <c r="M7" s="7" t="str">
        <f>VLOOKUP(B7,[1]characters!$A:$M,13,FALSE)</f>
        <v>animal</v>
      </c>
      <c r="N7" s="7" t="str">
        <f>VLOOKUP(B7,[1]characters!$A:$G,7,FALSE)</f>
        <v>男性</v>
      </c>
      <c r="O7" s="45">
        <f>430*0.5</f>
        <v>215</v>
      </c>
      <c r="P7" s="46">
        <f t="shared" si="2"/>
        <v>0.215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</sheetData>
  <autoFilter ref="A1:V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20" sqref="H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251</v>
      </c>
      <c r="B2" s="79" t="s">
        <v>252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250</v>
      </c>
      <c r="Q2" s="81" t="s">
        <v>254</v>
      </c>
    </row>
    <row r="3" spans="1:17" ht="21" customHeight="1" x14ac:dyDescent="0.15">
      <c r="A3" s="79" t="s">
        <v>256</v>
      </c>
      <c r="B3" s="79" t="s">
        <v>253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250</v>
      </c>
      <c r="Q3" s="81" t="s">
        <v>255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input_360010</vt:lpstr>
      <vt:lpstr>tables_360010</vt:lpstr>
      <vt:lpstr>input_360100</vt:lpstr>
      <vt:lpstr>tables_360100</vt:lpstr>
      <vt:lpstr>tables_settle_360100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2016-06-21T07:56:05Z</dcterms:modified>
</cp:coreProperties>
</file>