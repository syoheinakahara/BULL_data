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0" yWindow="460" windowWidth="25600" windowHeight="15460" tabRatio="943" activeTab="2"/>
  </bookViews>
  <sheets>
    <sheet name="確率の考え方" sheetId="110" r:id="rId1"/>
    <sheet name="Sheet1" sheetId="107" r:id="rId2"/>
    <sheet name="output" sheetId="103" r:id="rId3"/>
    <sheet name="tables_7313010" sheetId="131" r:id="rId4"/>
    <sheet name="tables_7331010" sheetId="136" r:id="rId5"/>
    <sheet name="tables_7332010" sheetId="137" r:id="rId6"/>
    <sheet name="tables_7333010" sheetId="13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3" hidden="1">tables_7313010!$A$1:$V$19</definedName>
    <definedName name="_xlnm._FilterDatabase" localSheetId="4" hidden="1">tables_7331010!$A$1:$V$17</definedName>
    <definedName name="_xlnm._FilterDatabase" localSheetId="5" hidden="1">tables_7332010!$A$1:$V$19</definedName>
    <definedName name="_xlnm._FilterDatabase" localSheetId="6" hidden="1">tables_7333010!$A$1:$V$20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1" i="138" l="1"/>
  <c r="D21" i="138"/>
  <c r="J21" i="138"/>
  <c r="E21" i="138"/>
  <c r="F21" i="138"/>
  <c r="C21" i="138"/>
  <c r="H21" i="138"/>
  <c r="K21" i="138"/>
  <c r="L21" i="138"/>
  <c r="M21" i="138"/>
  <c r="N21" i="138"/>
  <c r="P21" i="138"/>
  <c r="I20" i="137"/>
  <c r="D20" i="137"/>
  <c r="J20" i="137"/>
  <c r="E20" i="137"/>
  <c r="F20" i="137"/>
  <c r="C20" i="137"/>
  <c r="H20" i="137"/>
  <c r="K20" i="137"/>
  <c r="L20" i="137"/>
  <c r="M20" i="137"/>
  <c r="N20" i="137"/>
  <c r="P20" i="137"/>
  <c r="I19" i="136"/>
  <c r="D19" i="136"/>
  <c r="J19" i="136"/>
  <c r="E19" i="136"/>
  <c r="F19" i="136"/>
  <c r="C19" i="136"/>
  <c r="H19" i="136"/>
  <c r="K19" i="136"/>
  <c r="L19" i="136"/>
  <c r="M19" i="136"/>
  <c r="N19" i="136"/>
  <c r="P19" i="136"/>
  <c r="P18" i="136"/>
  <c r="N18" i="136"/>
  <c r="M18" i="136"/>
  <c r="L18" i="136"/>
  <c r="K18" i="136"/>
  <c r="J18" i="136"/>
  <c r="I18" i="136"/>
  <c r="H18" i="136"/>
  <c r="F18" i="136"/>
  <c r="E18" i="136"/>
  <c r="D18" i="136"/>
  <c r="C18" i="136"/>
  <c r="P20" i="138"/>
  <c r="N20" i="138"/>
  <c r="M20" i="138"/>
  <c r="L20" i="138"/>
  <c r="K20" i="138"/>
  <c r="J20" i="138"/>
  <c r="I20" i="138"/>
  <c r="H20" i="138"/>
  <c r="F20" i="138"/>
  <c r="E20" i="138"/>
  <c r="D20" i="138"/>
  <c r="C20" i="138"/>
  <c r="P19" i="138"/>
  <c r="N19" i="138"/>
  <c r="M19" i="138"/>
  <c r="L19" i="138"/>
  <c r="K19" i="138"/>
  <c r="J19" i="138"/>
  <c r="I19" i="138"/>
  <c r="H19" i="138"/>
  <c r="F19" i="138"/>
  <c r="E19" i="138"/>
  <c r="D19" i="138"/>
  <c r="C19" i="138"/>
  <c r="P18" i="138"/>
  <c r="N18" i="138"/>
  <c r="M18" i="138"/>
  <c r="L18" i="138"/>
  <c r="K18" i="138"/>
  <c r="J18" i="138"/>
  <c r="I18" i="138"/>
  <c r="H18" i="138"/>
  <c r="F18" i="138"/>
  <c r="E18" i="138"/>
  <c r="D18" i="138"/>
  <c r="C18" i="138"/>
  <c r="P17" i="138"/>
  <c r="N17" i="138"/>
  <c r="M17" i="138"/>
  <c r="L17" i="138"/>
  <c r="K17" i="138"/>
  <c r="J17" i="138"/>
  <c r="I17" i="138"/>
  <c r="H17" i="138"/>
  <c r="F17" i="138"/>
  <c r="E17" i="138"/>
  <c r="D17" i="138"/>
  <c r="C17" i="138"/>
  <c r="P16" i="138"/>
  <c r="N16" i="138"/>
  <c r="M16" i="138"/>
  <c r="L16" i="138"/>
  <c r="K16" i="138"/>
  <c r="J16" i="138"/>
  <c r="I16" i="138"/>
  <c r="H16" i="138"/>
  <c r="F16" i="138"/>
  <c r="E16" i="138"/>
  <c r="D16" i="138"/>
  <c r="C16" i="138"/>
  <c r="P15" i="138"/>
  <c r="N15" i="138"/>
  <c r="M15" i="138"/>
  <c r="L15" i="138"/>
  <c r="K15" i="138"/>
  <c r="J15" i="138"/>
  <c r="I15" i="138"/>
  <c r="H15" i="138"/>
  <c r="F15" i="138"/>
  <c r="E15" i="138"/>
  <c r="D15" i="138"/>
  <c r="C15" i="138"/>
  <c r="P14" i="138"/>
  <c r="N14" i="138"/>
  <c r="M14" i="138"/>
  <c r="L14" i="138"/>
  <c r="K14" i="138"/>
  <c r="J14" i="138"/>
  <c r="I14" i="138"/>
  <c r="H14" i="138"/>
  <c r="F14" i="138"/>
  <c r="E14" i="138"/>
  <c r="D14" i="138"/>
  <c r="C14" i="138"/>
  <c r="P13" i="138"/>
  <c r="N13" i="138"/>
  <c r="M13" i="138"/>
  <c r="L13" i="138"/>
  <c r="K13" i="138"/>
  <c r="J13" i="138"/>
  <c r="I13" i="138"/>
  <c r="H13" i="138"/>
  <c r="F13" i="138"/>
  <c r="E13" i="138"/>
  <c r="D13" i="138"/>
  <c r="C13" i="138"/>
  <c r="P12" i="138"/>
  <c r="N12" i="138"/>
  <c r="M12" i="138"/>
  <c r="L12" i="138"/>
  <c r="K12" i="138"/>
  <c r="J12" i="138"/>
  <c r="I12" i="138"/>
  <c r="H12" i="138"/>
  <c r="F12" i="138"/>
  <c r="E12" i="138"/>
  <c r="D12" i="138"/>
  <c r="C12" i="138"/>
  <c r="P11" i="138"/>
  <c r="N11" i="138"/>
  <c r="M11" i="138"/>
  <c r="L11" i="138"/>
  <c r="K11" i="138"/>
  <c r="J11" i="138"/>
  <c r="I11" i="138"/>
  <c r="H11" i="138"/>
  <c r="F11" i="138"/>
  <c r="E11" i="138"/>
  <c r="D11" i="138"/>
  <c r="C11" i="138"/>
  <c r="P10" i="138"/>
  <c r="N10" i="138"/>
  <c r="M10" i="138"/>
  <c r="L10" i="138"/>
  <c r="K10" i="138"/>
  <c r="J10" i="138"/>
  <c r="I10" i="138"/>
  <c r="H10" i="138"/>
  <c r="F10" i="138"/>
  <c r="E10" i="138"/>
  <c r="D10" i="138"/>
  <c r="C10" i="138"/>
  <c r="P9" i="138"/>
  <c r="N9" i="138"/>
  <c r="M9" i="138"/>
  <c r="L9" i="138"/>
  <c r="K9" i="138"/>
  <c r="J9" i="138"/>
  <c r="I9" i="138"/>
  <c r="H9" i="138"/>
  <c r="F9" i="138"/>
  <c r="E9" i="138"/>
  <c r="D9" i="138"/>
  <c r="C9" i="138"/>
  <c r="P8" i="138"/>
  <c r="N8" i="138"/>
  <c r="M8" i="138"/>
  <c r="L8" i="138"/>
  <c r="K8" i="138"/>
  <c r="J8" i="138"/>
  <c r="I8" i="138"/>
  <c r="H8" i="138"/>
  <c r="F8" i="138"/>
  <c r="E8" i="138"/>
  <c r="D8" i="138"/>
  <c r="C8" i="138"/>
  <c r="P7" i="138"/>
  <c r="N7" i="138"/>
  <c r="M7" i="138"/>
  <c r="L7" i="138"/>
  <c r="K7" i="138"/>
  <c r="J7" i="138"/>
  <c r="I7" i="138"/>
  <c r="H7" i="138"/>
  <c r="F7" i="138"/>
  <c r="E7" i="138"/>
  <c r="D7" i="138"/>
  <c r="C7" i="138"/>
  <c r="P6" i="138"/>
  <c r="N6" i="138"/>
  <c r="M6" i="138"/>
  <c r="L6" i="138"/>
  <c r="K6" i="138"/>
  <c r="J6" i="138"/>
  <c r="I6" i="138"/>
  <c r="H6" i="138"/>
  <c r="F6" i="138"/>
  <c r="E6" i="138"/>
  <c r="D6" i="138"/>
  <c r="C6" i="138"/>
  <c r="P5" i="138"/>
  <c r="N5" i="138"/>
  <c r="M5" i="138"/>
  <c r="L5" i="138"/>
  <c r="K5" i="138"/>
  <c r="J5" i="138"/>
  <c r="I5" i="138"/>
  <c r="H5" i="138"/>
  <c r="F5" i="138"/>
  <c r="E5" i="138"/>
  <c r="D5" i="138"/>
  <c r="C5" i="138"/>
  <c r="P4" i="138"/>
  <c r="N4" i="138"/>
  <c r="M4" i="138"/>
  <c r="L4" i="138"/>
  <c r="K4" i="138"/>
  <c r="J4" i="138"/>
  <c r="I4" i="138"/>
  <c r="H4" i="138"/>
  <c r="F4" i="138"/>
  <c r="E4" i="138"/>
  <c r="D4" i="138"/>
  <c r="C4" i="138"/>
  <c r="P3" i="138"/>
  <c r="N3" i="138"/>
  <c r="M3" i="138"/>
  <c r="L3" i="138"/>
  <c r="K3" i="138"/>
  <c r="J3" i="138"/>
  <c r="I3" i="138"/>
  <c r="H3" i="138"/>
  <c r="F3" i="138"/>
  <c r="E3" i="138"/>
  <c r="D3" i="138"/>
  <c r="C3" i="138"/>
  <c r="P2" i="138"/>
  <c r="N2" i="138"/>
  <c r="M2" i="138"/>
  <c r="L2" i="138"/>
  <c r="K2" i="138"/>
  <c r="J2" i="138"/>
  <c r="I2" i="138"/>
  <c r="H2" i="138"/>
  <c r="F2" i="138"/>
  <c r="E2" i="138"/>
  <c r="D2" i="138"/>
  <c r="C2" i="138"/>
  <c r="P19" i="137"/>
  <c r="N19" i="137"/>
  <c r="M19" i="137"/>
  <c r="L19" i="137"/>
  <c r="K19" i="137"/>
  <c r="J19" i="137"/>
  <c r="I19" i="137"/>
  <c r="H19" i="137"/>
  <c r="F19" i="137"/>
  <c r="E19" i="137"/>
  <c r="D19" i="137"/>
  <c r="C19" i="137"/>
  <c r="P18" i="137"/>
  <c r="N18" i="137"/>
  <c r="M18" i="137"/>
  <c r="L18" i="137"/>
  <c r="K18" i="137"/>
  <c r="J18" i="137"/>
  <c r="I18" i="137"/>
  <c r="H18" i="137"/>
  <c r="F18" i="137"/>
  <c r="E18" i="137"/>
  <c r="D18" i="137"/>
  <c r="C18" i="137"/>
  <c r="P17" i="137"/>
  <c r="N17" i="137"/>
  <c r="M17" i="137"/>
  <c r="L17" i="137"/>
  <c r="K17" i="137"/>
  <c r="J17" i="137"/>
  <c r="I17" i="137"/>
  <c r="H17" i="137"/>
  <c r="F17" i="137"/>
  <c r="E17" i="137"/>
  <c r="D17" i="137"/>
  <c r="C17" i="137"/>
  <c r="P16" i="137"/>
  <c r="N16" i="137"/>
  <c r="M16" i="137"/>
  <c r="L16" i="137"/>
  <c r="K16" i="137"/>
  <c r="J16" i="137"/>
  <c r="I16" i="137"/>
  <c r="H16" i="137"/>
  <c r="F16" i="137"/>
  <c r="E16" i="137"/>
  <c r="D16" i="137"/>
  <c r="C16" i="137"/>
  <c r="P15" i="137"/>
  <c r="N15" i="137"/>
  <c r="M15" i="137"/>
  <c r="L15" i="137"/>
  <c r="K15" i="137"/>
  <c r="J15" i="137"/>
  <c r="I15" i="137"/>
  <c r="H15" i="137"/>
  <c r="F15" i="137"/>
  <c r="E15" i="137"/>
  <c r="D15" i="137"/>
  <c r="C15" i="137"/>
  <c r="P14" i="137"/>
  <c r="N14" i="137"/>
  <c r="M14" i="137"/>
  <c r="L14" i="137"/>
  <c r="K14" i="137"/>
  <c r="J14" i="137"/>
  <c r="I14" i="137"/>
  <c r="H14" i="137"/>
  <c r="F14" i="137"/>
  <c r="E14" i="137"/>
  <c r="D14" i="137"/>
  <c r="C14" i="137"/>
  <c r="P13" i="137"/>
  <c r="N13" i="137"/>
  <c r="M13" i="137"/>
  <c r="L13" i="137"/>
  <c r="K13" i="137"/>
  <c r="J13" i="137"/>
  <c r="I13" i="137"/>
  <c r="H13" i="137"/>
  <c r="F13" i="137"/>
  <c r="E13" i="137"/>
  <c r="D13" i="137"/>
  <c r="C13" i="137"/>
  <c r="P12" i="137"/>
  <c r="N12" i="137"/>
  <c r="M12" i="137"/>
  <c r="L12" i="137"/>
  <c r="K12" i="137"/>
  <c r="J12" i="137"/>
  <c r="I12" i="137"/>
  <c r="H12" i="137"/>
  <c r="F12" i="137"/>
  <c r="E12" i="137"/>
  <c r="D12" i="137"/>
  <c r="C12" i="137"/>
  <c r="P11" i="137"/>
  <c r="N11" i="137"/>
  <c r="M11" i="137"/>
  <c r="L11" i="137"/>
  <c r="K11" i="137"/>
  <c r="J11" i="137"/>
  <c r="I11" i="137"/>
  <c r="H11" i="137"/>
  <c r="F11" i="137"/>
  <c r="E11" i="137"/>
  <c r="D11" i="137"/>
  <c r="C11" i="137"/>
  <c r="P10" i="137"/>
  <c r="N10" i="137"/>
  <c r="M10" i="137"/>
  <c r="L10" i="137"/>
  <c r="K10" i="137"/>
  <c r="J10" i="137"/>
  <c r="I10" i="137"/>
  <c r="H10" i="137"/>
  <c r="F10" i="137"/>
  <c r="E10" i="137"/>
  <c r="D10" i="137"/>
  <c r="C10" i="137"/>
  <c r="P9" i="137"/>
  <c r="N9" i="137"/>
  <c r="M9" i="137"/>
  <c r="L9" i="137"/>
  <c r="K9" i="137"/>
  <c r="J9" i="137"/>
  <c r="I9" i="137"/>
  <c r="H9" i="137"/>
  <c r="F9" i="137"/>
  <c r="E9" i="137"/>
  <c r="D9" i="137"/>
  <c r="C9" i="137"/>
  <c r="P8" i="137"/>
  <c r="N8" i="137"/>
  <c r="M8" i="137"/>
  <c r="L8" i="137"/>
  <c r="K8" i="137"/>
  <c r="J8" i="137"/>
  <c r="I8" i="137"/>
  <c r="H8" i="137"/>
  <c r="F8" i="137"/>
  <c r="E8" i="137"/>
  <c r="D8" i="137"/>
  <c r="C8" i="137"/>
  <c r="P7" i="137"/>
  <c r="N7" i="137"/>
  <c r="M7" i="137"/>
  <c r="L7" i="137"/>
  <c r="K7" i="137"/>
  <c r="J7" i="137"/>
  <c r="I7" i="137"/>
  <c r="H7" i="137"/>
  <c r="F7" i="137"/>
  <c r="E7" i="137"/>
  <c r="D7" i="137"/>
  <c r="C7" i="137"/>
  <c r="P6" i="137"/>
  <c r="N6" i="137"/>
  <c r="M6" i="137"/>
  <c r="L6" i="137"/>
  <c r="K6" i="137"/>
  <c r="J6" i="137"/>
  <c r="I6" i="137"/>
  <c r="H6" i="137"/>
  <c r="F6" i="137"/>
  <c r="E6" i="137"/>
  <c r="D6" i="137"/>
  <c r="C6" i="137"/>
  <c r="P5" i="137"/>
  <c r="N5" i="137"/>
  <c r="M5" i="137"/>
  <c r="L5" i="137"/>
  <c r="K5" i="137"/>
  <c r="J5" i="137"/>
  <c r="I5" i="137"/>
  <c r="H5" i="137"/>
  <c r="F5" i="137"/>
  <c r="E5" i="137"/>
  <c r="D5" i="137"/>
  <c r="C5" i="137"/>
  <c r="P4" i="137"/>
  <c r="N4" i="137"/>
  <c r="M4" i="137"/>
  <c r="L4" i="137"/>
  <c r="K4" i="137"/>
  <c r="J4" i="137"/>
  <c r="I4" i="137"/>
  <c r="H4" i="137"/>
  <c r="F4" i="137"/>
  <c r="E4" i="137"/>
  <c r="D4" i="137"/>
  <c r="C4" i="137"/>
  <c r="P3" i="137"/>
  <c r="N3" i="137"/>
  <c r="M3" i="137"/>
  <c r="L3" i="137"/>
  <c r="K3" i="137"/>
  <c r="J3" i="137"/>
  <c r="I3" i="137"/>
  <c r="H3" i="137"/>
  <c r="F3" i="137"/>
  <c r="E3" i="137"/>
  <c r="D3" i="137"/>
  <c r="C3" i="137"/>
  <c r="P2" i="137"/>
  <c r="N2" i="137"/>
  <c r="M2" i="137"/>
  <c r="L2" i="137"/>
  <c r="K2" i="137"/>
  <c r="J2" i="137"/>
  <c r="I2" i="137"/>
  <c r="H2" i="137"/>
  <c r="F2" i="137"/>
  <c r="E2" i="137"/>
  <c r="D2" i="137"/>
  <c r="C2" i="137"/>
  <c r="P17" i="136"/>
  <c r="N17" i="136"/>
  <c r="M17" i="136"/>
  <c r="L17" i="136"/>
  <c r="K17" i="136"/>
  <c r="J17" i="136"/>
  <c r="I17" i="136"/>
  <c r="H17" i="136"/>
  <c r="F17" i="136"/>
  <c r="E17" i="136"/>
  <c r="D17" i="136"/>
  <c r="C17" i="136"/>
  <c r="P16" i="136"/>
  <c r="N16" i="136"/>
  <c r="M16" i="136"/>
  <c r="L16" i="136"/>
  <c r="K16" i="136"/>
  <c r="J16" i="136"/>
  <c r="I16" i="136"/>
  <c r="H16" i="136"/>
  <c r="F16" i="136"/>
  <c r="E16" i="136"/>
  <c r="D16" i="136"/>
  <c r="C16" i="136"/>
  <c r="P15" i="136"/>
  <c r="N15" i="136"/>
  <c r="M15" i="136"/>
  <c r="L15" i="136"/>
  <c r="K15" i="136"/>
  <c r="J15" i="136"/>
  <c r="I15" i="136"/>
  <c r="H15" i="136"/>
  <c r="F15" i="136"/>
  <c r="E15" i="136"/>
  <c r="D15" i="136"/>
  <c r="C15" i="136"/>
  <c r="P14" i="136"/>
  <c r="N14" i="136"/>
  <c r="M14" i="136"/>
  <c r="L14" i="136"/>
  <c r="K14" i="136"/>
  <c r="J14" i="136"/>
  <c r="I14" i="136"/>
  <c r="H14" i="136"/>
  <c r="F14" i="136"/>
  <c r="E14" i="136"/>
  <c r="D14" i="136"/>
  <c r="C14" i="136"/>
  <c r="P13" i="136"/>
  <c r="N13" i="136"/>
  <c r="M13" i="136"/>
  <c r="L13" i="136"/>
  <c r="K13" i="136"/>
  <c r="J13" i="136"/>
  <c r="I13" i="136"/>
  <c r="H13" i="136"/>
  <c r="F13" i="136"/>
  <c r="E13" i="136"/>
  <c r="D13" i="136"/>
  <c r="C13" i="136"/>
  <c r="P12" i="136"/>
  <c r="N12" i="136"/>
  <c r="M12" i="136"/>
  <c r="L12" i="136"/>
  <c r="K12" i="136"/>
  <c r="J12" i="136"/>
  <c r="I12" i="136"/>
  <c r="H12" i="136"/>
  <c r="F12" i="136"/>
  <c r="E12" i="136"/>
  <c r="D12" i="136"/>
  <c r="C12" i="136"/>
  <c r="P11" i="136"/>
  <c r="N11" i="136"/>
  <c r="M11" i="136"/>
  <c r="L11" i="136"/>
  <c r="K11" i="136"/>
  <c r="J11" i="136"/>
  <c r="I11" i="136"/>
  <c r="H11" i="136"/>
  <c r="F11" i="136"/>
  <c r="E11" i="136"/>
  <c r="D11" i="136"/>
  <c r="C11" i="136"/>
  <c r="P10" i="136"/>
  <c r="N10" i="136"/>
  <c r="M10" i="136"/>
  <c r="L10" i="136"/>
  <c r="K10" i="136"/>
  <c r="J10" i="136"/>
  <c r="I10" i="136"/>
  <c r="H10" i="136"/>
  <c r="F10" i="136"/>
  <c r="E10" i="136"/>
  <c r="D10" i="136"/>
  <c r="C10" i="136"/>
  <c r="P9" i="136"/>
  <c r="N9" i="136"/>
  <c r="M9" i="136"/>
  <c r="L9" i="136"/>
  <c r="K9" i="136"/>
  <c r="J9" i="136"/>
  <c r="I9" i="136"/>
  <c r="H9" i="136"/>
  <c r="F9" i="136"/>
  <c r="E9" i="136"/>
  <c r="D9" i="136"/>
  <c r="C9" i="136"/>
  <c r="P8" i="136"/>
  <c r="N8" i="136"/>
  <c r="M8" i="136"/>
  <c r="L8" i="136"/>
  <c r="K8" i="136"/>
  <c r="J8" i="136"/>
  <c r="I8" i="136"/>
  <c r="H8" i="136"/>
  <c r="F8" i="136"/>
  <c r="E8" i="136"/>
  <c r="D8" i="136"/>
  <c r="C8" i="136"/>
  <c r="P7" i="136"/>
  <c r="N7" i="136"/>
  <c r="M7" i="136"/>
  <c r="L7" i="136"/>
  <c r="K7" i="136"/>
  <c r="J7" i="136"/>
  <c r="I7" i="136"/>
  <c r="H7" i="136"/>
  <c r="F7" i="136"/>
  <c r="E7" i="136"/>
  <c r="D7" i="136"/>
  <c r="C7" i="136"/>
  <c r="P6" i="136"/>
  <c r="N6" i="136"/>
  <c r="M6" i="136"/>
  <c r="L6" i="136"/>
  <c r="K6" i="136"/>
  <c r="J6" i="136"/>
  <c r="I6" i="136"/>
  <c r="H6" i="136"/>
  <c r="F6" i="136"/>
  <c r="E6" i="136"/>
  <c r="D6" i="136"/>
  <c r="C6" i="136"/>
  <c r="P5" i="136"/>
  <c r="N5" i="136"/>
  <c r="M5" i="136"/>
  <c r="L5" i="136"/>
  <c r="K5" i="136"/>
  <c r="J5" i="136"/>
  <c r="I5" i="136"/>
  <c r="H5" i="136"/>
  <c r="F5" i="136"/>
  <c r="E5" i="136"/>
  <c r="D5" i="136"/>
  <c r="C5" i="136"/>
  <c r="P4" i="136"/>
  <c r="N4" i="136"/>
  <c r="M4" i="136"/>
  <c r="L4" i="136"/>
  <c r="K4" i="136"/>
  <c r="J4" i="136"/>
  <c r="I4" i="136"/>
  <c r="H4" i="136"/>
  <c r="F4" i="136"/>
  <c r="E4" i="136"/>
  <c r="D4" i="136"/>
  <c r="C4" i="136"/>
  <c r="P3" i="136"/>
  <c r="N3" i="136"/>
  <c r="M3" i="136"/>
  <c r="L3" i="136"/>
  <c r="K3" i="136"/>
  <c r="J3" i="136"/>
  <c r="I3" i="136"/>
  <c r="H3" i="136"/>
  <c r="F3" i="136"/>
  <c r="E3" i="136"/>
  <c r="D3" i="136"/>
  <c r="C3" i="136"/>
  <c r="P2" i="136"/>
  <c r="N2" i="136"/>
  <c r="M2" i="136"/>
  <c r="L2" i="136"/>
  <c r="K2" i="136"/>
  <c r="J2" i="136"/>
  <c r="I2" i="136"/>
  <c r="H2" i="136"/>
  <c r="F2" i="136"/>
  <c r="E2" i="136"/>
  <c r="D2" i="136"/>
  <c r="C2" i="136"/>
  <c r="I19" i="131"/>
  <c r="D19" i="131"/>
  <c r="J19" i="131"/>
  <c r="E19" i="131"/>
  <c r="F19" i="131"/>
  <c r="C19" i="131"/>
  <c r="H19" i="131"/>
  <c r="K19" i="131"/>
  <c r="L19" i="131"/>
  <c r="M19" i="131"/>
  <c r="N19" i="131"/>
  <c r="P19" i="131"/>
  <c r="I18" i="131"/>
  <c r="D18" i="131"/>
  <c r="J18" i="131"/>
  <c r="E18" i="131"/>
  <c r="F18" i="131"/>
  <c r="C18" i="131"/>
  <c r="H18" i="131"/>
  <c r="K18" i="131"/>
  <c r="L18" i="131"/>
  <c r="M18" i="131"/>
  <c r="N18" i="131"/>
  <c r="P18" i="131"/>
  <c r="B257" i="111"/>
  <c r="B157" i="111"/>
  <c r="B57" i="111"/>
  <c r="B248" i="111"/>
  <c r="B247" i="111"/>
  <c r="B246" i="111"/>
  <c r="B245" i="111"/>
  <c r="B244" i="111"/>
  <c r="B243" i="111"/>
  <c r="B242" i="111"/>
  <c r="B241" i="111"/>
  <c r="B240" i="111"/>
  <c r="B234" i="111"/>
  <c r="B224" i="111"/>
  <c r="B214" i="111"/>
  <c r="B204" i="111"/>
  <c r="B194" i="111"/>
  <c r="B184" i="111"/>
  <c r="B174" i="111"/>
  <c r="B164" i="111"/>
  <c r="B154" i="111"/>
  <c r="B149" i="111"/>
  <c r="B148" i="111"/>
  <c r="B147" i="111"/>
  <c r="B146" i="111"/>
  <c r="B145" i="111"/>
  <c r="B144" i="111"/>
  <c r="B143" i="111"/>
  <c r="B142" i="111"/>
  <c r="B141" i="111"/>
  <c r="B140" i="111"/>
  <c r="B134" i="111"/>
  <c r="B124" i="111"/>
  <c r="B114" i="111"/>
  <c r="B104" i="111"/>
  <c r="B94" i="111"/>
  <c r="B84" i="111"/>
  <c r="B74" i="111"/>
  <c r="B64" i="111"/>
  <c r="B54" i="111"/>
  <c r="B49" i="111"/>
  <c r="B48" i="111"/>
  <c r="B47" i="111"/>
  <c r="B46" i="111"/>
  <c r="B45" i="111"/>
  <c r="B44" i="111"/>
  <c r="B43" i="111"/>
  <c r="B42" i="111"/>
  <c r="B41" i="111"/>
  <c r="B40" i="111"/>
  <c r="B34" i="111"/>
  <c r="B24" i="111"/>
  <c r="B14" i="111"/>
  <c r="B4" i="111"/>
  <c r="P13" i="131"/>
  <c r="N13" i="131"/>
  <c r="M13" i="131"/>
  <c r="L13" i="131"/>
  <c r="K13" i="131"/>
  <c r="J13" i="131"/>
  <c r="I13" i="131"/>
  <c r="H13" i="131"/>
  <c r="F13" i="131"/>
  <c r="E13" i="131"/>
  <c r="D13" i="131"/>
  <c r="C13" i="131"/>
  <c r="P11" i="131"/>
  <c r="N11" i="131"/>
  <c r="M11" i="131"/>
  <c r="L11" i="131"/>
  <c r="K11" i="131"/>
  <c r="J11" i="131"/>
  <c r="I11" i="131"/>
  <c r="H11" i="131"/>
  <c r="F11" i="131"/>
  <c r="E11" i="131"/>
  <c r="D11" i="131"/>
  <c r="C11" i="131"/>
  <c r="P2" i="131"/>
  <c r="N2" i="131"/>
  <c r="M2" i="131"/>
  <c r="L2" i="131"/>
  <c r="K2" i="131"/>
  <c r="J2" i="131"/>
  <c r="I2" i="131"/>
  <c r="H2" i="131"/>
  <c r="F2" i="131"/>
  <c r="E2" i="131"/>
  <c r="D2" i="131"/>
  <c r="C2" i="131"/>
  <c r="C4" i="103"/>
  <c r="E4" i="103"/>
  <c r="B264" i="111"/>
  <c r="B254" i="111"/>
  <c r="B249" i="111"/>
  <c r="B14" i="112"/>
  <c r="B4" i="112"/>
  <c r="I7" i="131"/>
  <c r="E7" i="131"/>
  <c r="F7" i="131"/>
  <c r="I17" i="131"/>
  <c r="D17" i="131"/>
  <c r="J17" i="131"/>
  <c r="E17" i="131"/>
  <c r="F17" i="131"/>
  <c r="C17" i="131"/>
  <c r="H17" i="131"/>
  <c r="K17" i="131"/>
  <c r="L17" i="131"/>
  <c r="M17" i="131"/>
  <c r="N17" i="131"/>
  <c r="P17" i="131"/>
  <c r="I12" i="131"/>
  <c r="D12" i="131"/>
  <c r="J12" i="131"/>
  <c r="E12" i="131"/>
  <c r="F12" i="131"/>
  <c r="C12" i="131"/>
  <c r="H12" i="131"/>
  <c r="K12" i="131"/>
  <c r="L12" i="131"/>
  <c r="M12" i="131"/>
  <c r="N12" i="131"/>
  <c r="P12" i="131"/>
  <c r="I3" i="131"/>
  <c r="D3" i="131"/>
  <c r="J3" i="131"/>
  <c r="E3" i="131"/>
  <c r="F3" i="131"/>
  <c r="C3" i="131"/>
  <c r="H3" i="131"/>
  <c r="K3" i="131"/>
  <c r="L3" i="131"/>
  <c r="M3" i="131"/>
  <c r="N3" i="131"/>
  <c r="P3" i="131"/>
  <c r="I4" i="131"/>
  <c r="D4" i="131"/>
  <c r="J4" i="131"/>
  <c r="E4" i="131"/>
  <c r="F4" i="131"/>
  <c r="C4" i="131"/>
  <c r="H4" i="131"/>
  <c r="K4" i="131"/>
  <c r="L4" i="131"/>
  <c r="M4" i="131"/>
  <c r="N4" i="131"/>
  <c r="P4" i="131"/>
  <c r="I5" i="131"/>
  <c r="D5" i="131"/>
  <c r="J5" i="131"/>
  <c r="E5" i="131"/>
  <c r="F5" i="131"/>
  <c r="C5" i="131"/>
  <c r="H5" i="131"/>
  <c r="K5" i="131"/>
  <c r="L5" i="131"/>
  <c r="M5" i="131"/>
  <c r="N5" i="131"/>
  <c r="P5" i="131"/>
  <c r="I6" i="131"/>
  <c r="D6" i="131"/>
  <c r="J6" i="131"/>
  <c r="E6" i="131"/>
  <c r="F6" i="131"/>
  <c r="C6" i="131"/>
  <c r="H6" i="131"/>
  <c r="K6" i="131"/>
  <c r="L6" i="131"/>
  <c r="M6" i="131"/>
  <c r="N6" i="131"/>
  <c r="P6" i="131"/>
  <c r="D7" i="131"/>
  <c r="J7" i="131"/>
  <c r="C7" i="131"/>
  <c r="H7" i="131"/>
  <c r="K7" i="131"/>
  <c r="L7" i="131"/>
  <c r="M7" i="131"/>
  <c r="N7" i="131"/>
  <c r="P7" i="131"/>
  <c r="I8" i="131"/>
  <c r="D8" i="131"/>
  <c r="J8" i="131"/>
  <c r="E8" i="131"/>
  <c r="F8" i="131"/>
  <c r="C8" i="131"/>
  <c r="H8" i="131"/>
  <c r="K8" i="131"/>
  <c r="L8" i="131"/>
  <c r="M8" i="131"/>
  <c r="N8" i="131"/>
  <c r="P8" i="131"/>
  <c r="I9" i="131"/>
  <c r="D9" i="131"/>
  <c r="J9" i="131"/>
  <c r="E9" i="131"/>
  <c r="F9" i="131"/>
  <c r="C9" i="131"/>
  <c r="H9" i="131"/>
  <c r="K9" i="131"/>
  <c r="L9" i="131"/>
  <c r="M9" i="131"/>
  <c r="N9" i="131"/>
  <c r="P9" i="131"/>
  <c r="I10" i="131"/>
  <c r="D10" i="131"/>
  <c r="J10" i="131"/>
  <c r="E10" i="131"/>
  <c r="F10" i="131"/>
  <c r="C10" i="131"/>
  <c r="H10" i="131"/>
  <c r="K10" i="131"/>
  <c r="L10" i="131"/>
  <c r="M10" i="131"/>
  <c r="N10" i="131"/>
  <c r="P10" i="131"/>
  <c r="I14" i="131"/>
  <c r="D14" i="131"/>
  <c r="J14" i="131"/>
  <c r="E14" i="131"/>
  <c r="F14" i="131"/>
  <c r="C14" i="131"/>
  <c r="H14" i="131"/>
  <c r="K14" i="131"/>
  <c r="L14" i="131"/>
  <c r="M14" i="131"/>
  <c r="N14" i="131"/>
  <c r="P14" i="131"/>
  <c r="I15" i="131"/>
  <c r="D15" i="131"/>
  <c r="J15" i="131"/>
  <c r="E15" i="131"/>
  <c r="F15" i="131"/>
  <c r="C15" i="131"/>
  <c r="H15" i="131"/>
  <c r="K15" i="131"/>
  <c r="L15" i="131"/>
  <c r="M15" i="131"/>
  <c r="N15" i="131"/>
  <c r="P15" i="131"/>
  <c r="I16" i="131"/>
  <c r="D16" i="131"/>
  <c r="J16" i="131"/>
  <c r="E16" i="131"/>
  <c r="F16" i="131"/>
  <c r="C16" i="131"/>
  <c r="H16" i="131"/>
  <c r="K16" i="131"/>
  <c r="L16" i="131"/>
  <c r="M16" i="131"/>
  <c r="N16" i="131"/>
  <c r="P16" i="131"/>
  <c r="C5" i="103"/>
  <c r="E5" i="103"/>
  <c r="C2" i="103"/>
  <c r="E2" i="103"/>
  <c r="C3" i="103"/>
  <c r="E3" i="103"/>
  <c r="B13" i="112"/>
  <c r="B12" i="112"/>
  <c r="B11" i="112"/>
  <c r="B10" i="112"/>
  <c r="B9" i="112"/>
  <c r="B8" i="112"/>
  <c r="B7" i="112"/>
  <c r="B6" i="112"/>
  <c r="B5" i="112"/>
  <c r="B3" i="112"/>
  <c r="B266" i="111"/>
  <c r="B265" i="111"/>
  <c r="B263" i="111"/>
  <c r="B262" i="111"/>
  <c r="B261" i="111"/>
  <c r="B260" i="111"/>
  <c r="B259" i="111"/>
  <c r="B258" i="111"/>
  <c r="B256" i="111"/>
  <c r="B255" i="111"/>
  <c r="B253" i="111"/>
  <c r="B252" i="111"/>
  <c r="B251" i="111"/>
  <c r="B250" i="111"/>
  <c r="B239" i="111"/>
  <c r="B238" i="111"/>
  <c r="B237" i="111"/>
  <c r="B236" i="111"/>
  <c r="B235" i="111"/>
  <c r="B233" i="111"/>
  <c r="B232" i="111"/>
  <c r="B231" i="111"/>
  <c r="B230" i="111"/>
  <c r="B229" i="111"/>
  <c r="B228" i="111"/>
  <c r="B227" i="111"/>
  <c r="B226" i="111"/>
  <c r="B225" i="111"/>
  <c r="B223" i="111"/>
  <c r="B222" i="111"/>
  <c r="B221" i="111"/>
  <c r="B220" i="111"/>
  <c r="B219" i="111"/>
  <c r="B218" i="111"/>
  <c r="B217" i="111"/>
  <c r="B216" i="111"/>
  <c r="B215" i="111"/>
  <c r="B213" i="111"/>
  <c r="B212" i="111"/>
  <c r="B211" i="111"/>
  <c r="B210" i="111"/>
  <c r="B209" i="111"/>
  <c r="B208" i="111"/>
  <c r="B207" i="111"/>
  <c r="B206" i="111"/>
  <c r="B205" i="111"/>
  <c r="B203" i="111"/>
  <c r="B202" i="111"/>
  <c r="B201" i="111"/>
  <c r="B200" i="111"/>
  <c r="B199" i="111"/>
  <c r="B198" i="111"/>
  <c r="B197" i="111"/>
  <c r="B196" i="111"/>
  <c r="B195" i="111"/>
  <c r="B193" i="111"/>
  <c r="B192" i="111"/>
  <c r="B191" i="111"/>
  <c r="B190" i="111"/>
  <c r="B189" i="111"/>
  <c r="B188" i="111"/>
  <c r="B187" i="111"/>
  <c r="B186" i="111"/>
  <c r="B185" i="111"/>
  <c r="B183" i="111"/>
  <c r="B182" i="111"/>
  <c r="B181" i="111"/>
  <c r="B180" i="111"/>
  <c r="B179" i="111"/>
  <c r="B178" i="111"/>
  <c r="B177" i="111"/>
  <c r="B176" i="111"/>
  <c r="B175" i="111"/>
  <c r="B173" i="111"/>
  <c r="B172" i="111"/>
  <c r="B171" i="111"/>
  <c r="B170" i="111"/>
  <c r="B169" i="111"/>
  <c r="B168" i="111"/>
  <c r="B167" i="111"/>
  <c r="B166" i="111"/>
  <c r="B165" i="111"/>
  <c r="B163" i="111"/>
  <c r="B162" i="111"/>
  <c r="B161" i="111"/>
  <c r="B160" i="111"/>
  <c r="B159" i="111"/>
  <c r="B158" i="111"/>
  <c r="B156" i="111"/>
  <c r="B155" i="111"/>
  <c r="B153" i="111"/>
  <c r="B152" i="111"/>
  <c r="B151" i="111"/>
  <c r="B150" i="111"/>
  <c r="B139" i="111"/>
  <c r="B138" i="111"/>
  <c r="B137" i="111"/>
  <c r="B136" i="111"/>
  <c r="B135" i="111"/>
  <c r="B133" i="111"/>
  <c r="B132" i="111"/>
  <c r="B131" i="111"/>
  <c r="B130" i="111"/>
  <c r="B129" i="111"/>
  <c r="B128" i="111"/>
  <c r="B127" i="111"/>
  <c r="B126" i="111"/>
  <c r="B125" i="111"/>
  <c r="B123" i="111"/>
  <c r="B122" i="111"/>
  <c r="B121" i="111"/>
  <c r="B120" i="111"/>
  <c r="B119" i="111"/>
  <c r="B118" i="111"/>
  <c r="B117" i="111"/>
  <c r="B116" i="111"/>
  <c r="B115" i="111"/>
  <c r="B113" i="111"/>
  <c r="B112" i="111"/>
  <c r="B111" i="111"/>
  <c r="B110" i="111"/>
  <c r="B109" i="111"/>
  <c r="B108" i="111"/>
  <c r="B107" i="111"/>
  <c r="B106" i="111"/>
  <c r="B105" i="111"/>
  <c r="B103" i="111"/>
  <c r="B102" i="111"/>
  <c r="B101" i="111"/>
  <c r="B100" i="111"/>
  <c r="B99" i="111"/>
  <c r="B98" i="111"/>
  <c r="B97" i="111"/>
  <c r="B96" i="111"/>
  <c r="B95" i="111"/>
  <c r="B93" i="111"/>
  <c r="B92" i="111"/>
  <c r="B91" i="111"/>
  <c r="B90" i="111"/>
  <c r="B89" i="111"/>
  <c r="B88" i="111"/>
  <c r="B87" i="111"/>
  <c r="B86" i="111"/>
  <c r="B85" i="111"/>
  <c r="B83" i="111"/>
  <c r="B82" i="111"/>
  <c r="B81" i="111"/>
  <c r="B80" i="111"/>
  <c r="B79" i="111"/>
  <c r="B78" i="111"/>
  <c r="B77" i="111"/>
  <c r="B76" i="111"/>
  <c r="B75" i="111"/>
  <c r="B73" i="111"/>
  <c r="B72" i="111"/>
  <c r="B71" i="111"/>
  <c r="B70" i="111"/>
  <c r="B69" i="111"/>
  <c r="B68" i="111"/>
  <c r="B67" i="111"/>
  <c r="B66" i="111"/>
  <c r="B65" i="111"/>
  <c r="B63" i="111"/>
  <c r="B62" i="111"/>
  <c r="B61" i="111"/>
  <c r="B60" i="111"/>
  <c r="B59" i="111"/>
  <c r="B58" i="111"/>
  <c r="B56" i="111"/>
  <c r="B55" i="111"/>
  <c r="B53" i="111"/>
  <c r="B52" i="111"/>
  <c r="B51" i="111"/>
  <c r="B50" i="111"/>
  <c r="B39" i="111"/>
  <c r="B38" i="111"/>
  <c r="B37" i="111"/>
  <c r="B36" i="111"/>
  <c r="B35" i="111"/>
  <c r="B33" i="111"/>
  <c r="B32" i="111"/>
  <c r="B31" i="111"/>
  <c r="B30" i="111"/>
  <c r="B29" i="111"/>
  <c r="B28" i="111"/>
  <c r="B27" i="111"/>
  <c r="B26" i="111"/>
  <c r="B25" i="111"/>
  <c r="B23" i="111"/>
  <c r="B22" i="111"/>
  <c r="B21" i="111"/>
  <c r="B20" i="111"/>
  <c r="B19" i="111"/>
  <c r="B18" i="111"/>
  <c r="B17" i="111"/>
  <c r="B16" i="111"/>
  <c r="B15" i="111"/>
  <c r="B13" i="111"/>
  <c r="B12" i="111"/>
  <c r="B11" i="111"/>
  <c r="B10" i="111"/>
  <c r="B9" i="111"/>
  <c r="B8" i="111"/>
  <c r="B7" i="111"/>
  <c r="B6" i="111"/>
  <c r="B5" i="111"/>
  <c r="B3" i="111"/>
  <c r="B2" i="111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<sst xmlns="http://schemas.openxmlformats.org/spreadsheetml/2006/main" count="267" uniqueCount="127">
  <si>
    <t>character_id</t>
  </si>
  <si>
    <t>character_id</t>
    <phoneticPr fontId="10"/>
  </si>
  <si>
    <t>unit_level</t>
  </si>
  <si>
    <t>weight</t>
  </si>
  <si>
    <t>hp_plus</t>
  </si>
  <si>
    <t>attack_plus</t>
  </si>
  <si>
    <t>defense_plus</t>
  </si>
  <si>
    <t>heal_plus</t>
  </si>
  <si>
    <t>bug</t>
  </si>
  <si>
    <t>備考</t>
    <rPh sb="0" eb="2">
      <t>ビコウ</t>
    </rPh>
    <phoneticPr fontId="10"/>
  </si>
  <si>
    <t>character_id</t>
    <phoneticPr fontId="10"/>
  </si>
  <si>
    <t>name</t>
    <phoneticPr fontId="10"/>
  </si>
  <si>
    <t>接頭語</t>
    <rPh sb="0" eb="3">
      <t>セットウゴ</t>
    </rPh>
    <phoneticPr fontId="43"/>
  </si>
  <si>
    <t>識別子</t>
    <rPh sb="0" eb="3">
      <t>シキベツシ</t>
    </rPh>
    <phoneticPr fontId="43"/>
  </si>
  <si>
    <t>形式</t>
    <rPh sb="0" eb="2">
      <t>ケイシキ</t>
    </rPh>
    <phoneticPr fontId="43"/>
  </si>
  <si>
    <t>出力ファイル名</t>
    <rPh sb="0" eb="2">
      <t>シュツリョク</t>
    </rPh>
    <rPh sb="6" eb="7">
      <t>メイ</t>
    </rPh>
    <phoneticPr fontId="43"/>
  </si>
  <si>
    <t>入力シート名</t>
    <rPh sb="0" eb="2">
      <t>ニュウリョク</t>
    </rPh>
    <rPh sb="5" eb="6">
      <t>メイ</t>
    </rPh>
    <phoneticPr fontId="43"/>
  </si>
  <si>
    <t>出力データ</t>
    <rPh sb="0" eb="2">
      <t>シュツリョク</t>
    </rPh>
    <phoneticPr fontId="43"/>
  </si>
  <si>
    <t>.tmp</t>
    <phoneticPr fontId="43"/>
  </si>
  <si>
    <t>出力flg</t>
    <rPh sb="0" eb="2">
      <t>シュツリョク</t>
    </rPh>
    <phoneticPr fontId="43"/>
  </si>
  <si>
    <t>性別</t>
    <rPh sb="0" eb="2">
      <t>セイベツ</t>
    </rPh>
    <phoneticPr fontId="10"/>
  </si>
  <si>
    <t>ピックアップ確率</t>
    <rPh sb="6" eb="8">
      <t>カクリツ</t>
    </rPh>
    <phoneticPr fontId="10"/>
  </si>
  <si>
    <t>確率</t>
    <rPh sb="0" eb="2">
      <t>カクリツ</t>
    </rPh>
    <phoneticPr fontId="10"/>
  </si>
  <si>
    <t>名前</t>
    <rPh sb="0" eb="2">
      <t>ナマエ</t>
    </rPh>
    <phoneticPr fontId="10"/>
  </si>
  <si>
    <t>テーブルを増やしたい場合</t>
    <rPh sb="5" eb="6">
      <t>フ</t>
    </rPh>
    <rPh sb="10" eb="12">
      <t>バアイ</t>
    </rPh>
    <phoneticPr fontId="1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</si>
  <si>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</si>
  <si>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0"/>
  </si>
  <si>
    <t>３．outputシートで２で作ったtablesを指定する</t>
    <rPh sb="14" eb="15">
      <t>ツク</t>
    </rPh>
    <rPh sb="24" eb="26">
      <t>シテイ</t>
    </rPh>
    <phoneticPr fontId="10"/>
  </si>
  <si>
    <t>table_no</t>
    <phoneticPr fontId="10"/>
  </si>
  <si>
    <t>ラベル確率で考えましょう</t>
    <rPh sb="6" eb="7">
      <t>カンガエマショウ</t>
    </rPh>
    <phoneticPr fontId="43"/>
  </si>
  <si>
    <t>ラベル</t>
    <phoneticPr fontId="43"/>
  </si>
  <si>
    <t>レアリティ</t>
    <phoneticPr fontId="43"/>
  </si>
  <si>
    <t>{W}</t>
    <phoneticPr fontId="43"/>
  </si>
  <si>
    <t>{N,S}</t>
    <phoneticPr fontId="43"/>
  </si>
  <si>
    <t>{N,S}R3less</t>
    <phoneticPr fontId="43"/>
  </si>
  <si>
    <t>{N,S}R6release</t>
    <phoneticPr fontId="43"/>
  </si>
  <si>
    <t>{SS}</t>
    <phoneticPr fontId="43"/>
  </si>
  <si>
    <t>{SS}R6only</t>
    <phoneticPr fontId="43"/>
  </si>
  <si>
    <t>小計</t>
    <rPh sb="0" eb="2">
      <t>ショウケイ</t>
    </rPh>
    <phoneticPr fontId="43"/>
  </si>
  <si>
    <t>A</t>
    <phoneticPr fontId="43"/>
  </si>
  <si>
    <t>C</t>
    <phoneticPr fontId="43"/>
  </si>
  <si>
    <t>H</t>
    <phoneticPr fontId="43"/>
  </si>
  <si>
    <t>B</t>
    <phoneticPr fontId="43"/>
  </si>
  <si>
    <t>D</t>
    <phoneticPr fontId="43"/>
  </si>
  <si>
    <t>F</t>
    <phoneticPr fontId="43"/>
  </si>
  <si>
    <t>I</t>
    <phoneticPr fontId="43"/>
  </si>
  <si>
    <t>K</t>
    <phoneticPr fontId="43"/>
  </si>
  <si>
    <t>E</t>
    <phoneticPr fontId="43"/>
  </si>
  <si>
    <t>G</t>
    <phoneticPr fontId="43"/>
  </si>
  <si>
    <t>J</t>
    <phoneticPr fontId="43"/>
  </si>
  <si>
    <t>L</t>
    <phoneticPr fontId="43"/>
  </si>
  <si>
    <t>M</t>
    <phoneticPr fontId="43"/>
  </si>
  <si>
    <t>→</t>
    <phoneticPr fontId="43"/>
  </si>
  <si>
    <t>1-SS率</t>
    <rPh sb="4" eb="5">
      <t>リツ</t>
    </rPh>
    <phoneticPr fontId="43"/>
  </si>
  <si>
    <t>SS率</t>
    <rPh sb="2" eb="3">
      <t>リツ</t>
    </rPh>
    <phoneticPr fontId="43"/>
  </si>
  <si>
    <t>考え方を変える</t>
    <rPh sb="0" eb="1">
      <t>カンガエカタ</t>
    </rPh>
    <rPh sb="4" eb="5">
      <t>カエル</t>
    </rPh>
    <phoneticPr fontId="43"/>
  </si>
  <si>
    <t>SS4%は確定事項</t>
    <rPh sb="5" eb="7">
      <t>カクテイ</t>
    </rPh>
    <rPh sb="7" eb="9">
      <t>ジコウ</t>
    </rPh>
    <phoneticPr fontId="43"/>
  </si>
  <si>
    <t>当たりは分配</t>
    <rPh sb="0" eb="1">
      <t>アタリ</t>
    </rPh>
    <rPh sb="4" eb="6">
      <t>ブンパイ</t>
    </rPh>
    <phoneticPr fontId="4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</si>
  <si>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3"/>
  </si>
  <si>
    <t>=</t>
    <phoneticPr fontId="43"/>
  </si>
  <si>
    <t>X*{SS R5only}</t>
    <phoneticPr fontId="43"/>
  </si>
  <si>
    <t>K</t>
    <phoneticPr fontId="43"/>
  </si>
  <si>
    <t>=</t>
    <phoneticPr fontId="43"/>
  </si>
  <si>
    <t>X*{SS}*(R3率+R4率)</t>
    <rPh sb="10" eb="11">
      <t>リツ</t>
    </rPh>
    <rPh sb="14" eb="15">
      <t>リツ</t>
    </rPh>
    <phoneticPr fontId="43"/>
  </si>
  <si>
    <t>L</t>
    <phoneticPr fontId="43"/>
  </si>
  <si>
    <t>X*{SS}*R5率</t>
    <rPh sb="9" eb="10">
      <t>リツ</t>
    </rPh>
    <phoneticPr fontId="43"/>
  </si>
  <si>
    <t>X*{R6release}*R3率</t>
    <rPh sb="16" eb="17">
      <t>リツ</t>
    </rPh>
    <phoneticPr fontId="43"/>
  </si>
  <si>
    <t>X*{R6release}*R4率</t>
    <rPh sb="16" eb="17">
      <t>リツ</t>
    </rPh>
    <phoneticPr fontId="43"/>
  </si>
  <si>
    <t>J</t>
    <phoneticPr fontId="43"/>
  </si>
  <si>
    <t>X*{R6release}*R5率</t>
    <rPh sb="16" eb="17">
      <t>リツ</t>
    </rPh>
    <phoneticPr fontId="43"/>
  </si>
  <si>
    <t>ハズレで確率を整える</t>
    <rPh sb="4" eb="6">
      <t>カクリツ</t>
    </rPh>
    <rPh sb="7" eb="8">
      <t>トトノエル</t>
    </rPh>
    <phoneticPr fontId="4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</si>
  <si>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3"/>
  </si>
  <si>
    <t>A + C</t>
    <phoneticPr fontId="43"/>
  </si>
  <si>
    <t>=</t>
    <phoneticPr fontId="43"/>
  </si>
  <si>
    <t>50%-H</t>
    <phoneticPr fontId="43"/>
  </si>
  <si>
    <t>①</t>
    <phoneticPr fontId="43"/>
  </si>
  <si>
    <t>B + D + F</t>
    <phoneticPr fontId="43"/>
  </si>
  <si>
    <t>45%-I-K</t>
    <phoneticPr fontId="43"/>
  </si>
  <si>
    <t>②</t>
    <phoneticPr fontId="43"/>
  </si>
  <si>
    <t>E+G</t>
    <phoneticPr fontId="43"/>
  </si>
  <si>
    <t>5%-J-L-M</t>
    <phoneticPr fontId="43"/>
  </si>
  <si>
    <t>③</t>
    <phoneticPr fontId="43"/>
  </si>
  <si>
    <t>A+B</t>
    <phoneticPr fontId="43"/>
  </si>
  <si>
    <t>Y*{W}</t>
    <phoneticPr fontId="43"/>
  </si>
  <si>
    <t>④</t>
    <phoneticPr fontId="43"/>
  </si>
  <si>
    <t>C+D+E</t>
    <phoneticPr fontId="43"/>
  </si>
  <si>
    <t>Y*{N,S}</t>
    <phoneticPr fontId="43"/>
  </si>
  <si>
    <t>⑤</t>
    <phoneticPr fontId="43"/>
  </si>
  <si>
    <t>F+G</t>
    <phoneticPr fontId="43"/>
  </si>
  <si>
    <t>Y*{N,S R3less}</t>
    <phoneticPr fontId="43"/>
  </si>
  <si>
    <t>⑥</t>
    <phoneticPr fontId="43"/>
  </si>
  <si>
    <t>A+B+C+D+E+F+G</t>
    <phoneticPr fontId="43"/>
  </si>
  <si>
    <t>⑦</t>
    <phoneticPr fontId="43"/>
  </si>
  <si>
    <t>←これは4,5,6で作れるのでダメだわ</t>
    <rPh sb="10" eb="11">
      <t>ツクレル</t>
    </rPh>
    <phoneticPr fontId="43"/>
  </si>
  <si>
    <t>E*R3率/R5率</t>
    <rPh sb="4" eb="5">
      <t>リツ</t>
    </rPh>
    <rPh sb="8" eb="9">
      <t>リツ</t>
    </rPh>
    <phoneticPr fontId="4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</si>
  <si>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3"/>
  </si>
  <si>
    <t>E*R4率/R5率</t>
    <rPh sb="4" eb="5">
      <t>リツ</t>
    </rPh>
    <rPh sb="8" eb="9">
      <t>リツ</t>
    </rPh>
    <phoneticPr fontId="43"/>
  </si>
  <si>
    <t>∴</t>
    <phoneticPr fontId="43"/>
  </si>
  <si>
    <t>E</t>
    <phoneticPr fontId="43"/>
  </si>
  <si>
    <t>Y*{N,S}*R5率</t>
    <rPh sb="10" eb="11">
      <t>リツ</t>
    </rPh>
    <phoneticPr fontId="43"/>
  </si>
  <si>
    <t>Y*{N,S}*R4率</t>
    <rPh sb="10" eb="11">
      <t>リツ</t>
    </rPh>
    <phoneticPr fontId="43"/>
  </si>
  <si>
    <t>Y*{N,S}*R3率</t>
    <rPh sb="10" eb="11">
      <t>リツ</t>
    </rPh>
    <phoneticPr fontId="43"/>
  </si>
  <si>
    <t>50%-H-C</t>
    <phoneticPr fontId="43"/>
  </si>
  <si>
    <t>Y*{W}-A</t>
    <phoneticPr fontId="43"/>
  </si>
  <si>
    <t>5%-J-L-M-E</t>
    <phoneticPr fontId="43"/>
  </si>
  <si>
    <t>Y*{N,S R3less} - G</t>
    <phoneticPr fontId="43"/>
  </si>
  <si>
    <t>R6境界前後</t>
    <rPh sb="2" eb="4">
      <t>キョウカイ</t>
    </rPh>
    <rPh sb="4" eb="6">
      <t>ゼンゴ</t>
    </rPh>
    <phoneticPr fontId="10"/>
  </si>
  <si>
    <t>R6事後開放N,S</t>
    <rPh sb="2" eb="6">
      <t>ジゴカイホウ</t>
    </rPh>
    <phoneticPr fontId="10"/>
  </si>
  <si>
    <t>table_no</t>
    <phoneticPr fontId="10"/>
  </si>
  <si>
    <t>character_id</t>
    <phoneticPr fontId="10"/>
  </si>
  <si>
    <t>drop_label2</t>
    <phoneticPr fontId="10"/>
  </si>
  <si>
    <t>color2</t>
    <phoneticPr fontId="10"/>
  </si>
  <si>
    <t>name</t>
    <phoneticPr fontId="10"/>
  </si>
  <si>
    <t>drop_label</t>
    <phoneticPr fontId="10"/>
  </si>
  <si>
    <t>rare</t>
    <phoneticPr fontId="10"/>
  </si>
  <si>
    <t>color</t>
    <phoneticPr fontId="10"/>
  </si>
  <si>
    <t>character_type_id</t>
    <phoneticPr fontId="10"/>
  </si>
  <si>
    <t>character_tribe_id</t>
    <phoneticPr fontId="10"/>
  </si>
  <si>
    <t>weight</t>
    <phoneticPr fontId="10"/>
  </si>
  <si>
    <t>unit_level</t>
    <phoneticPr fontId="10"/>
  </si>
  <si>
    <t>old</t>
    <phoneticPr fontId="10"/>
  </si>
  <si>
    <t>gacha_select_tables_</t>
    <phoneticPr fontId="10"/>
  </si>
  <si>
    <t>tables_7313010</t>
    <phoneticPr fontId="10"/>
  </si>
  <si>
    <t>tables_7331010</t>
    <phoneticPr fontId="10"/>
  </si>
  <si>
    <t>tables_7332010</t>
    <phoneticPr fontId="10"/>
  </si>
  <si>
    <t>tables_7333010</t>
    <phoneticPr fontId="10"/>
  </si>
  <si>
    <t>skip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</si>
</sst>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4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3665">
    <xf numFmtId="0" fontId="0" fillId="0" borderId="0"/>
    <xf numFmtId="0" fontId="9" fillId="0" borderId="0"/>
    <xf numFmtId="0" fontId="13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8" fillId="0" borderId="0"/>
    <xf numFmtId="0" fontId="20" fillId="5" borderId="2" applyNumberFormat="0" applyAlignment="0" applyProtection="0"/>
    <xf numFmtId="0" fontId="21" fillId="6" borderId="0" applyNumberFormat="0" applyBorder="0" applyAlignment="0" applyProtection="0"/>
    <xf numFmtId="0" fontId="22" fillId="7" borderId="3" applyNumberFormat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0" fontId="25" fillId="9" borderId="4" applyNumberFormat="0" applyAlignment="0" applyProtection="0"/>
    <xf numFmtId="0" fontId="26" fillId="0" borderId="0" applyNumberFormat="0" applyFill="0" applyBorder="0" applyAlignment="0" applyProtection="0"/>
    <xf numFmtId="0" fontId="27" fillId="0" borderId="5" applyNumberFormat="0" applyFill="0" applyAlignment="0" applyProtection="0"/>
    <xf numFmtId="0" fontId="28" fillId="0" borderId="6" applyNumberFormat="0" applyFill="0" applyAlignment="0" applyProtection="0"/>
    <xf numFmtId="0" fontId="29" fillId="0" borderId="7" applyNumberFormat="0" applyFill="0" applyAlignment="0" applyProtection="0"/>
    <xf numFmtId="0" fontId="29" fillId="0" borderId="0" applyNumberFormat="0" applyFill="0" applyBorder="0" applyAlignment="0" applyProtection="0"/>
    <xf numFmtId="0" fontId="30" fillId="7" borderId="0" applyNumberFormat="0" applyBorder="0" applyAlignment="0" applyProtection="0"/>
    <xf numFmtId="0" fontId="30" fillId="6" borderId="0" applyNumberFormat="0" applyBorder="0" applyAlignment="0" applyProtection="0"/>
    <xf numFmtId="0" fontId="30" fillId="10" borderId="0" applyNumberFormat="0" applyBorder="0" applyAlignment="0" applyProtection="0"/>
    <xf numFmtId="0" fontId="30" fillId="7" borderId="0" applyNumberFormat="0" applyBorder="0" applyAlignment="0" applyProtection="0"/>
    <xf numFmtId="0" fontId="30" fillId="11" borderId="0" applyNumberFormat="0" applyBorder="0" applyAlignment="0" applyProtection="0"/>
    <xf numFmtId="0" fontId="30" fillId="5" borderId="0" applyNumberFormat="0" applyBorder="0" applyAlignment="0" applyProtection="0"/>
    <xf numFmtId="0" fontId="30" fillId="7" borderId="0" applyNumberFormat="0" applyBorder="0" applyAlignment="0" applyProtection="0"/>
    <xf numFmtId="0" fontId="30" fillId="12" borderId="0" applyNumberFormat="0" applyBorder="0" applyAlignment="0" applyProtection="0"/>
    <xf numFmtId="0" fontId="30" fillId="10" borderId="0" applyNumberFormat="0" applyBorder="0" applyAlignment="0" applyProtection="0"/>
    <xf numFmtId="0" fontId="30" fillId="7" borderId="0" applyNumberFormat="0" applyBorder="0" applyAlignment="0" applyProtection="0"/>
    <xf numFmtId="0" fontId="30" fillId="13" borderId="0" applyNumberFormat="0" applyBorder="0" applyAlignment="0" applyProtection="0"/>
    <xf numFmtId="0" fontId="30" fillId="6" borderId="0" applyNumberFormat="0" applyBorder="0" applyAlignment="0" applyProtection="0"/>
    <xf numFmtId="0" fontId="31" fillId="14" borderId="0" applyNumberFormat="0" applyBorder="0" applyAlignment="0" applyProtection="0"/>
    <xf numFmtId="0" fontId="31" fillId="12" borderId="0" applyNumberFormat="0" applyBorder="0" applyAlignment="0" applyProtection="0"/>
    <xf numFmtId="0" fontId="31" fillId="10" borderId="0" applyNumberFormat="0" applyBorder="0" applyAlignment="0" applyProtection="0"/>
    <xf numFmtId="0" fontId="31" fillId="7" borderId="0" applyNumberFormat="0" applyBorder="0" applyAlignment="0" applyProtection="0"/>
    <xf numFmtId="0" fontId="31" fillId="14" borderId="0" applyNumberFormat="0" applyBorder="0" applyAlignment="0" applyProtection="0"/>
    <xf numFmtId="0" fontId="31" fillId="6" borderId="0" applyNumberFormat="0" applyBorder="0" applyAlignment="0" applyProtection="0"/>
    <xf numFmtId="0" fontId="23" fillId="0" borderId="0" applyNumberFormat="0" applyFill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0" borderId="0" applyNumberFormat="0" applyBorder="0" applyAlignment="0" applyProtection="0"/>
    <xf numFmtId="0" fontId="31" fillId="16" borderId="0" applyNumberFormat="0" applyBorder="0" applyAlignment="0" applyProtection="0"/>
    <xf numFmtId="0" fontId="31" fillId="14" borderId="0" applyNumberFormat="0" applyBorder="0" applyAlignment="0" applyProtection="0"/>
    <xf numFmtId="0" fontId="31" fillId="12" borderId="0" applyNumberFormat="0" applyBorder="0" applyAlignment="0" applyProtection="0"/>
    <xf numFmtId="0" fontId="32" fillId="17" borderId="0" applyNumberFormat="0" applyBorder="0" applyAlignment="0" applyProtection="0"/>
    <xf numFmtId="0" fontId="21" fillId="6" borderId="0" applyNumberFormat="0" applyBorder="0" applyAlignment="0" applyProtection="0"/>
    <xf numFmtId="0" fontId="33" fillId="0" borderId="8" applyNumberFormat="0" applyFill="0" applyAlignment="0" applyProtection="0"/>
    <xf numFmtId="0" fontId="34" fillId="7" borderId="9" applyNumberFormat="0" applyAlignment="0" applyProtection="0"/>
    <xf numFmtId="0" fontId="34" fillId="18" borderId="9" applyNumberFormat="0" applyAlignment="0" applyProtection="0"/>
    <xf numFmtId="0" fontId="22" fillId="6" borderId="3" applyNumberFormat="0" applyAlignment="0" applyProtection="0"/>
    <xf numFmtId="0" fontId="35" fillId="0" borderId="10" applyNumberFormat="0" applyFill="0" applyAlignment="0" applyProtection="0"/>
    <xf numFmtId="0" fontId="36" fillId="18" borderId="3" applyNumberFormat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11" applyNumberFormat="0" applyFill="0" applyAlignment="0" applyProtection="0"/>
    <xf numFmtId="38" fontId="8" fillId="0" borderId="0" applyFont="0" applyFill="0" applyBorder="0" applyAlignment="0" applyProtection="0">
      <alignment vertical="center"/>
    </xf>
    <xf numFmtId="0" fontId="39" fillId="19" borderId="0" applyNumberFormat="0" applyBorder="0" applyAlignment="0" applyProtection="0"/>
    <xf numFmtId="0" fontId="40" fillId="20" borderId="0" applyNumberFormat="0" applyBorder="0" applyAlignment="0" applyProtection="0"/>
    <xf numFmtId="0" fontId="8" fillId="0" borderId="0"/>
    <xf numFmtId="0" fontId="41" fillId="20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7" fillId="0" borderId="0"/>
    <xf numFmtId="0" fontId="44" fillId="0" borderId="0">
      <alignment vertical="center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9" fontId="4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4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3">
    <xf numFmtId="0" fontId="0" fillId="0" borderId="0" xfId="0"/>
    <xf numFmtId="0" fontId="15" fillId="0" borderId="0" xfId="2" applyFont="1" applyAlignment="1">
      <alignment vertical="center"/>
    </xf>
    <xf numFmtId="0" fontId="15" fillId="0" borderId="1" xfId="2" applyFont="1" applyBorder="1" applyAlignment="1">
      <alignment vertical="center"/>
    </xf>
    <xf numFmtId="0" fontId="15" fillId="3" borderId="1" xfId="2" applyFont="1" applyFill="1" applyBorder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15" fillId="4" borderId="1" xfId="2" applyFont="1" applyFill="1" applyBorder="1" applyAlignment="1">
      <alignment vertical="center"/>
    </xf>
    <xf numFmtId="0" fontId="14" fillId="4" borderId="1" xfId="0" applyFont="1" applyFill="1" applyBorder="1" applyAlignment="1">
      <alignment horizontal="right" vertical="center"/>
    </xf>
    <xf numFmtId="0" fontId="15" fillId="3" borderId="1" xfId="2" applyFont="1" applyFill="1" applyBorder="1" applyAlignment="1">
      <alignment vertical="center"/>
    </xf>
    <xf numFmtId="0" fontId="16" fillId="4" borderId="1" xfId="0" applyFont="1" applyFill="1" applyBorder="1" applyAlignment="1">
      <alignment vertical="center"/>
    </xf>
    <xf numFmtId="0" fontId="15" fillId="0" borderId="13" xfId="2" applyFont="1" applyBorder="1" applyAlignment="1">
      <alignment vertical="center"/>
    </xf>
    <xf numFmtId="0" fontId="14" fillId="4" borderId="12" xfId="0" applyFont="1" applyFill="1" applyBorder="1" applyAlignment="1">
      <alignment horizontal="right" vertical="center"/>
    </xf>
    <xf numFmtId="0" fontId="14" fillId="4" borderId="14" xfId="0" applyFont="1" applyFill="1" applyBorder="1" applyAlignment="1">
      <alignment horizontal="right" vertical="center"/>
    </xf>
    <xf numFmtId="0" fontId="15" fillId="0" borderId="15" xfId="2" applyFont="1" applyBorder="1" applyAlignment="1">
      <alignment vertical="center"/>
    </xf>
    <xf numFmtId="0" fontId="15" fillId="2" borderId="1" xfId="2" applyFont="1" applyFill="1" applyBorder="1" applyAlignment="1">
      <alignment horizontal="left" vertical="center"/>
    </xf>
    <xf numFmtId="0" fontId="15" fillId="2" borderId="1" xfId="2" applyFont="1" applyFill="1" applyBorder="1" applyAlignment="1">
      <alignment horizontal="center" vertical="center"/>
    </xf>
    <xf numFmtId="0" fontId="17" fillId="21" borderId="1" xfId="2978" applyFont="1" applyFill="1" applyBorder="1"/>
    <xf numFmtId="0" fontId="7" fillId="21" borderId="1" xfId="2978" applyFill="1" applyBorder="1"/>
    <xf numFmtId="0" fontId="7" fillId="0" borderId="0" xfId="2978"/>
    <xf numFmtId="0" fontId="7" fillId="0" borderId="1" xfId="2978" applyBorder="1"/>
    <xf numFmtId="0" fontId="8" fillId="2" borderId="1" xfId="19" applyFill="1" applyBorder="1"/>
    <xf numFmtId="0" fontId="17" fillId="21" borderId="1" xfId="0" applyFont="1" applyFill="1" applyBorder="1"/>
    <xf numFmtId="0" fontId="42" fillId="22" borderId="1" xfId="0" applyFont="1" applyFill="1" applyBorder="1" applyAlignment="1">
      <alignment horizontal="center" vertical="center"/>
    </xf>
    <xf numFmtId="0" fontId="42" fillId="3" borderId="1" xfId="0" applyFont="1" applyFill="1" applyBorder="1" applyAlignment="1">
      <alignment vertical="center"/>
    </xf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5" fillId="2" borderId="1" xfId="19" applyFont="1" applyFill="1" applyBorder="1"/>
    <xf numFmtId="0" fontId="5" fillId="4" borderId="1" xfId="2978" applyFont="1" applyFill="1" applyBorder="1"/>
    <xf numFmtId="0" fontId="0" fillId="2" borderId="0" xfId="0" applyFill="1"/>
    <xf numFmtId="0" fontId="14" fillId="23" borderId="1" xfId="0" applyFont="1" applyFill="1" applyBorder="1" applyAlignment="1">
      <alignment horizontal="right" vertical="center"/>
    </xf>
    <xf numFmtId="0" fontId="4" fillId="0" borderId="0" xfId="3662"/>
    <xf numFmtId="0" fontId="4" fillId="4" borderId="0" xfId="3662" applyFill="1"/>
    <xf numFmtId="9" fontId="4" fillId="0" borderId="0" xfId="3662" applyNumberFormat="1"/>
    <xf numFmtId="0" fontId="4" fillId="0" borderId="0" xfId="3662" applyFill="1"/>
    <xf numFmtId="9" fontId="4" fillId="0" borderId="0" xfId="3662" applyNumberFormat="1" applyAlignment="1"/>
    <xf numFmtId="0" fontId="4" fillId="0" borderId="0" xfId="3662" applyNumberFormat="1"/>
    <xf numFmtId="0" fontId="3" fillId="0" borderId="1" xfId="3036" applyFont="1" applyBorder="1"/>
    <xf numFmtId="0" fontId="15" fillId="0" borderId="0" xfId="2" applyFont="1" applyFill="1" applyBorder="1" applyAlignment="1">
      <alignment vertical="center"/>
    </xf>
    <xf numFmtId="0" fontId="14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176" fontId="0" fillId="0" borderId="0" xfId="3575" applyNumberFormat="1" applyFont="1" applyFill="1" applyBorder="1"/>
    <xf numFmtId="0" fontId="42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5" fillId="0" borderId="0" xfId="2" applyFont="1" applyBorder="1" applyAlignment="1">
      <alignment vertical="center"/>
    </xf>
    <xf numFmtId="0" fontId="15" fillId="0" borderId="1" xfId="2" applyFont="1" applyFill="1" applyBorder="1" applyAlignment="1">
      <alignment vertical="center"/>
    </xf>
    <xf numFmtId="0" fontId="14" fillId="0" borderId="1" xfId="0" applyFont="1" applyFill="1" applyBorder="1" applyAlignment="1">
      <alignment horizontal="right" vertical="center"/>
    </xf>
    <xf numFmtId="0" fontId="15" fillId="0" borderId="0" xfId="2" applyFont="1" applyFill="1" applyAlignment="1">
      <alignment vertical="center"/>
    </xf>
    <xf numFmtId="0" fontId="2" fillId="0" borderId="1" xfId="2978" applyFont="1" applyBorder="1"/>
    <xf numFmtId="0" fontId="1" fillId="4" borderId="1" xfId="2978" applyFont="1" applyFill="1" applyBorder="1"/>
    <xf numFmtId="0" fontId="1" fillId="0" borderId="1" xfId="3036" applyFont="1" applyBorder="1"/>
    <xf numFmtId="0" fontId="14" fillId="4" borderId="0" xfId="0" applyFont="1" applyFill="1" applyBorder="1" applyAlignment="1">
      <alignment horizontal="right" vertical="center"/>
    </xf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光輝する美翼聖鳥 ガルーダ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深淵翠緑 ナーガ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荷咲く九天 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天真浪漫 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8111</v>
          </cell>
          <cell r="B1694" t="str">
            <v>ja</v>
          </cell>
          <cell r="C1694" t="str">
            <v>福德正神</v>
          </cell>
          <cell r="H1694" t="str">
            <v>blue</v>
          </cell>
          <cell r="I1694">
            <v>5</v>
          </cell>
          <cell r="J1694" t="str">
            <v>Drop2N</v>
          </cell>
          <cell r="K1694" t="str">
            <v>heal</v>
          </cell>
          <cell r="L1694" t="str">
            <v>回復タイプ</v>
          </cell>
          <cell r="M1694" t="str">
            <v>god</v>
          </cell>
        </row>
        <row r="1695">
          <cell r="A1695">
            <v>8112</v>
          </cell>
          <cell r="B1695" t="str">
            <v>ja</v>
          </cell>
          <cell r="C1695" t="str">
            <v>福德正神★６</v>
          </cell>
          <cell r="H1695" t="str">
            <v>blue</v>
          </cell>
          <cell r="I1695">
            <v>6</v>
          </cell>
          <cell r="J1695" t="str">
            <v>Drop2N</v>
          </cell>
          <cell r="K1695" t="str">
            <v>heal</v>
          </cell>
          <cell r="L1695" t="str">
            <v>回復タイプ</v>
          </cell>
          <cell r="M1695" t="str">
            <v>god</v>
          </cell>
        </row>
        <row r="1696">
          <cell r="A1696">
            <v>8113</v>
          </cell>
          <cell r="B1696" t="str">
            <v>ja</v>
          </cell>
          <cell r="C1696" t="str">
            <v>孔子</v>
          </cell>
          <cell r="H1696" t="str">
            <v>yellow</v>
          </cell>
          <cell r="I1696">
            <v>5</v>
          </cell>
          <cell r="J1696" t="str">
            <v>PremiumSSS</v>
          </cell>
          <cell r="K1696" t="str">
            <v>attack</v>
          </cell>
          <cell r="L1696" t="str">
            <v>攻撃タイプ</v>
          </cell>
          <cell r="M1696" t="str">
            <v>academia</v>
          </cell>
        </row>
        <row r="1697">
          <cell r="A1697">
            <v>8114</v>
          </cell>
          <cell r="B1697" t="str">
            <v>ja</v>
          </cell>
          <cell r="C1697" t="str">
            <v>孔子★６</v>
          </cell>
          <cell r="H1697" t="str">
            <v>yellow</v>
          </cell>
          <cell r="I1697">
            <v>6</v>
          </cell>
          <cell r="J1697" t="str">
            <v>PremiumSSS</v>
          </cell>
          <cell r="K1697" t="str">
            <v>attack</v>
          </cell>
          <cell r="L1697" t="str">
            <v>攻撃タイプ</v>
          </cell>
          <cell r="M1697" t="str">
            <v>academia</v>
          </cell>
        </row>
        <row r="1698">
          <cell r="A1698">
            <v>8115</v>
          </cell>
          <cell r="B1698" t="str">
            <v>ja</v>
          </cell>
          <cell r="C1698" t="str">
            <v>贏政</v>
          </cell>
          <cell r="H1698" t="str">
            <v>blue</v>
          </cell>
          <cell r="I1698">
            <v>5</v>
          </cell>
          <cell r="J1698" t="str">
            <v>DropWizSS</v>
          </cell>
          <cell r="K1698" t="str">
            <v>attack</v>
          </cell>
          <cell r="L1698" t="str">
            <v>攻撃タイプ</v>
          </cell>
          <cell r="M1698" t="str">
            <v>human</v>
          </cell>
        </row>
        <row r="1699">
          <cell r="A1699">
            <v>8116</v>
          </cell>
          <cell r="B1699" t="str">
            <v>ja</v>
          </cell>
          <cell r="C1699" t="str">
            <v>贏政★６</v>
          </cell>
          <cell r="H1699" t="str">
            <v>blue</v>
          </cell>
          <cell r="I1699">
            <v>6</v>
          </cell>
          <cell r="J1699" t="str">
            <v>DropWizSS</v>
          </cell>
          <cell r="K1699" t="str">
            <v>attack</v>
          </cell>
          <cell r="L1699" t="str">
            <v>攻撃タイプ</v>
          </cell>
          <cell r="M1699" t="str">
            <v>human</v>
          </cell>
        </row>
        <row r="1700">
          <cell r="A1700">
            <v>8117</v>
          </cell>
          <cell r="B1700" t="str">
            <v>ja</v>
          </cell>
          <cell r="C1700" t="str">
            <v>白娘子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PremiumSSw</v>
          </cell>
          <cell r="K1700" t="str">
            <v>heal</v>
          </cell>
          <cell r="L1700" t="str">
            <v>回復タイプ</v>
          </cell>
          <cell r="M1700" t="str">
            <v>dragon</v>
          </cell>
        </row>
        <row r="1701">
          <cell r="A1701">
            <v>8118</v>
          </cell>
          <cell r="B1701" t="str">
            <v>ja</v>
          </cell>
          <cell r="C1701" t="str">
            <v>白娘子★６</v>
          </cell>
          <cell r="D1701" t="str">
            <v>ポムポムプリン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6</v>
          </cell>
          <cell r="J1701" t="str">
            <v>PremiumSSw</v>
          </cell>
          <cell r="K1701" t="str">
            <v>heal</v>
          </cell>
          <cell r="L1701" t="str">
            <v>回復タイプ</v>
          </cell>
          <cell r="M1701" t="str">
            <v>dragon</v>
          </cell>
        </row>
        <row r="1702">
          <cell r="A1702">
            <v>8119</v>
          </cell>
          <cell r="B1702" t="str">
            <v>ja</v>
          </cell>
          <cell r="C1702" t="str">
            <v>小青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5</v>
          </cell>
          <cell r="J1702" t="str">
            <v>PremiumSSw</v>
          </cell>
          <cell r="K1702" t="str">
            <v>attack</v>
          </cell>
          <cell r="L1702" t="str">
            <v>攻撃タイプ</v>
          </cell>
          <cell r="M1702" t="str">
            <v>dragon</v>
          </cell>
        </row>
        <row r="1703">
          <cell r="A1703">
            <v>8120</v>
          </cell>
          <cell r="B1703" t="str">
            <v>ja</v>
          </cell>
          <cell r="C1703" t="str">
            <v>小青★６</v>
          </cell>
          <cell r="D1703" t="str">
            <v>ポムポムプリン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green</v>
          </cell>
          <cell r="I1703">
            <v>6</v>
          </cell>
          <cell r="J1703" t="str">
            <v>PremiumSSw</v>
          </cell>
          <cell r="K1703" t="str">
            <v>attack</v>
          </cell>
          <cell r="L1703" t="str">
            <v>攻撃タイプ</v>
          </cell>
          <cell r="M1703" t="str">
            <v>dragon</v>
          </cell>
        </row>
        <row r="1704">
          <cell r="A1704">
            <v>8121</v>
          </cell>
          <cell r="B1704" t="str">
            <v>ja</v>
          </cell>
          <cell r="C1704" t="str">
            <v>法海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yellow</v>
          </cell>
          <cell r="I1704">
            <v>5</v>
          </cell>
          <cell r="J1704" t="str">
            <v>DropWizS</v>
          </cell>
          <cell r="K1704" t="str">
            <v>attack</v>
          </cell>
          <cell r="L1704" t="str">
            <v>攻撃タイプ</v>
          </cell>
          <cell r="M1704" t="str">
            <v>human</v>
          </cell>
        </row>
        <row r="1705">
          <cell r="A1705">
            <v>8122</v>
          </cell>
          <cell r="B1705" t="str">
            <v>ja</v>
          </cell>
          <cell r="C1705" t="str">
            <v>法海★６</v>
          </cell>
          <cell r="D1705" t="str">
            <v>各属性相性良3・黄・R455</v>
          </cell>
          <cell r="E1705" t="str">
            <v>執行者</v>
          </cell>
          <cell r="F1705" t="str">
            <v>格好いい</v>
          </cell>
          <cell r="G1705" t="str">
            <v>男性</v>
          </cell>
          <cell r="H1705" t="str">
            <v>yellow</v>
          </cell>
          <cell r="I1705">
            <v>6</v>
          </cell>
          <cell r="J1705" t="str">
            <v>DropWizS</v>
          </cell>
          <cell r="K1705" t="str">
            <v>attack</v>
          </cell>
          <cell r="L1705" t="str">
            <v>攻撃タイプ</v>
          </cell>
          <cell r="M1705" t="str">
            <v>human</v>
          </cell>
        </row>
        <row r="1706">
          <cell r="A1706">
            <v>9001</v>
          </cell>
          <cell r="B1706" t="str">
            <v>ja</v>
          </cell>
          <cell r="C1706" t="str">
            <v>春香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red</v>
          </cell>
          <cell r="I1706">
            <v>5</v>
          </cell>
          <cell r="J1706" t="str">
            <v>PremiumSSw</v>
          </cell>
          <cell r="K1706" t="str">
            <v>attack</v>
          </cell>
          <cell r="L1706" t="str">
            <v>攻撃タイプ</v>
          </cell>
          <cell r="M1706" t="str">
            <v>human</v>
          </cell>
        </row>
        <row r="1707">
          <cell r="A1707">
            <v>9002</v>
          </cell>
          <cell r="B1707" t="str">
            <v>ja</v>
          </cell>
          <cell r="C1707" t="str">
            <v>春香★６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red</v>
          </cell>
          <cell r="I1707">
            <v>6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human</v>
          </cell>
        </row>
        <row r="1708">
          <cell r="A1708">
            <v>9003</v>
          </cell>
          <cell r="B1708" t="str">
            <v>ja</v>
          </cell>
          <cell r="C1708" t="str">
            <v>夢龍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DropWizS</v>
          </cell>
          <cell r="K1708" t="str">
            <v>heal</v>
          </cell>
          <cell r="L1708" t="str">
            <v>回復タイプ</v>
          </cell>
          <cell r="M1708" t="str">
            <v>dragon</v>
          </cell>
        </row>
        <row r="1709">
          <cell r="A1709">
            <v>9004</v>
          </cell>
          <cell r="B1709" t="str">
            <v>ja</v>
          </cell>
          <cell r="C1709" t="str">
            <v>夢龍★６</v>
          </cell>
          <cell r="D1709" t="str">
            <v>各属性相性良3・黄・R455</v>
          </cell>
          <cell r="E1709" t="str">
            <v>執行者</v>
          </cell>
          <cell r="F1709" t="str">
            <v>格好いい</v>
          </cell>
          <cell r="G1709" t="str">
            <v>男性</v>
          </cell>
          <cell r="H1709" t="str">
            <v>green</v>
          </cell>
          <cell r="I1709">
            <v>6</v>
          </cell>
          <cell r="J1709" t="str">
            <v>DropWizS</v>
          </cell>
          <cell r="K1709" t="str">
            <v>heal</v>
          </cell>
          <cell r="L1709" t="str">
            <v>回復タイプ</v>
          </cell>
          <cell r="M1709" t="str">
            <v>dragon</v>
          </cell>
        </row>
        <row r="1710">
          <cell r="A1710">
            <v>9005</v>
          </cell>
          <cell r="B1710" t="str">
            <v>ja</v>
          </cell>
          <cell r="C1710" t="str">
            <v>降臨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blue</v>
          </cell>
          <cell r="I1710">
            <v>5</v>
          </cell>
          <cell r="J1710" t="str">
            <v>PremiumSSw</v>
          </cell>
          <cell r="K1710" t="str">
            <v>hp</v>
          </cell>
          <cell r="L1710" t="str">
            <v>体力タイプ</v>
          </cell>
          <cell r="M1710" t="str">
            <v>demon</v>
          </cell>
        </row>
        <row r="1711">
          <cell r="A1711">
            <v>9006</v>
          </cell>
          <cell r="B1711" t="str">
            <v>ja</v>
          </cell>
          <cell r="C1711" t="str">
            <v>降臨★６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blue</v>
          </cell>
          <cell r="I1711">
            <v>6</v>
          </cell>
          <cell r="J1711" t="str">
            <v>PremiumSSw</v>
          </cell>
          <cell r="K1711" t="str">
            <v>hp</v>
          </cell>
          <cell r="L1711" t="str">
            <v>体力タイプ</v>
          </cell>
          <cell r="M1711" t="str">
            <v>demon</v>
          </cell>
        </row>
        <row r="1712">
          <cell r="A1712">
            <v>9007</v>
          </cell>
          <cell r="B1712" t="str">
            <v>ja</v>
          </cell>
          <cell r="C1712" t="str">
            <v>田禹治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DropWizS</v>
          </cell>
          <cell r="K1712" t="str">
            <v>technical</v>
          </cell>
          <cell r="L1712" t="str">
            <v>テクニカルタイプ</v>
          </cell>
          <cell r="M1712" t="str">
            <v>hero</v>
          </cell>
        </row>
        <row r="1713">
          <cell r="A1713">
            <v>9008</v>
          </cell>
          <cell r="B1713" t="str">
            <v>ja</v>
          </cell>
          <cell r="C1713" t="str">
            <v>田禹治★６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DropWizS</v>
          </cell>
          <cell r="K1713" t="str">
            <v>technical</v>
          </cell>
          <cell r="L1713" t="str">
            <v>テクニカルタイプ</v>
          </cell>
          <cell r="M1713" t="str">
            <v>hero</v>
          </cell>
        </row>
        <row r="1714">
          <cell r="A1714">
            <v>10001</v>
          </cell>
          <cell r="B1714" t="str">
            <v>ja</v>
          </cell>
          <cell r="C1714" t="str">
            <v>テストユニット01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heal</v>
          </cell>
          <cell r="L1714" t="str">
            <v>回復タイプ</v>
          </cell>
          <cell r="M1714" t="str">
            <v>human</v>
          </cell>
        </row>
        <row r="1715">
          <cell r="A1715">
            <v>10002</v>
          </cell>
          <cell r="B1715" t="str">
            <v>ja</v>
          </cell>
          <cell r="C1715" t="str">
            <v>テストユニット02</v>
          </cell>
          <cell r="H1715" t="str">
            <v>yellow</v>
          </cell>
          <cell r="I1715">
            <v>6</v>
          </cell>
          <cell r="J1715" t="str">
            <v>PremiumSS</v>
          </cell>
          <cell r="K1715" t="str">
            <v>technical</v>
          </cell>
          <cell r="L1715" t="str">
            <v>テクニカルタイプ</v>
          </cell>
          <cell r="M1715" t="str">
            <v>animal</v>
          </cell>
        </row>
        <row r="1716">
          <cell r="A1716">
            <v>10003</v>
          </cell>
          <cell r="B1716" t="str">
            <v>ja</v>
          </cell>
          <cell r="C1716" t="str">
            <v>テストユニット03</v>
          </cell>
          <cell r="H1716" t="str">
            <v>red</v>
          </cell>
          <cell r="I1716">
            <v>5</v>
          </cell>
          <cell r="J1716" t="str">
            <v>PremiumSSS</v>
          </cell>
          <cell r="K1716" t="str">
            <v>technical</v>
          </cell>
          <cell r="L1716" t="str">
            <v>テクニカルタイプ</v>
          </cell>
          <cell r="M1716" t="str">
            <v>academia</v>
          </cell>
        </row>
        <row r="1717">
          <cell r="A1717">
            <v>10004</v>
          </cell>
          <cell r="B1717" t="str">
            <v>ja</v>
          </cell>
          <cell r="C1717" t="str">
            <v>テストユニット04</v>
          </cell>
          <cell r="H1717" t="str">
            <v>red</v>
          </cell>
          <cell r="I1717">
            <v>6</v>
          </cell>
          <cell r="J1717" t="str">
            <v>PremiumSSS</v>
          </cell>
          <cell r="K1717" t="str">
            <v>technical</v>
          </cell>
          <cell r="L1717" t="str">
            <v>テクニカルタイプ</v>
          </cell>
          <cell r="M1717" t="str">
            <v>academia</v>
          </cell>
        </row>
        <row r="1718">
          <cell r="A1718">
            <v>10005</v>
          </cell>
          <cell r="B1718" t="str">
            <v>ja</v>
          </cell>
          <cell r="C1718" t="str">
            <v>テストユニット05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technical</v>
          </cell>
          <cell r="L1718" t="str">
            <v>テクニカルタイプ</v>
          </cell>
          <cell r="M1718" t="str">
            <v>human</v>
          </cell>
        </row>
        <row r="1719">
          <cell r="A1719">
            <v>10006</v>
          </cell>
          <cell r="B1719" t="str">
            <v>ja</v>
          </cell>
          <cell r="C1719" t="str">
            <v>テストユニット06</v>
          </cell>
          <cell r="H1719" t="str">
            <v>yellow</v>
          </cell>
          <cell r="I1719">
            <v>6</v>
          </cell>
          <cell r="J1719" t="str">
            <v>PremiumSS</v>
          </cell>
          <cell r="K1719" t="str">
            <v>attack</v>
          </cell>
          <cell r="L1719" t="str">
            <v>攻撃タイプ</v>
          </cell>
          <cell r="M1719" t="str">
            <v>animal</v>
          </cell>
        </row>
        <row r="1720">
          <cell r="A1720">
            <v>10007</v>
          </cell>
          <cell r="B1720" t="str">
            <v>ja</v>
          </cell>
          <cell r="C1720" t="str">
            <v>テストユニット07</v>
          </cell>
          <cell r="H1720" t="str">
            <v>yellow</v>
          </cell>
          <cell r="I1720">
            <v>5</v>
          </cell>
          <cell r="J1720" t="str">
            <v>PremiumSSS</v>
          </cell>
          <cell r="K1720" t="str">
            <v>technical</v>
          </cell>
          <cell r="L1720" t="str">
            <v>テクニカルタイプ</v>
          </cell>
          <cell r="M1720" t="str">
            <v>machine</v>
          </cell>
        </row>
        <row r="1721">
          <cell r="A1721">
            <v>10008</v>
          </cell>
          <cell r="B1721" t="str">
            <v>ja</v>
          </cell>
          <cell r="C1721" t="str">
            <v>テストユニット08</v>
          </cell>
          <cell r="H1721" t="str">
            <v>yellow</v>
          </cell>
          <cell r="I1721">
            <v>6</v>
          </cell>
          <cell r="J1721" t="str">
            <v>PremiumSSS</v>
          </cell>
          <cell r="K1721" t="str">
            <v>technical</v>
          </cell>
          <cell r="L1721" t="str">
            <v>テクニカルタイプ</v>
          </cell>
          <cell r="M1721" t="str">
            <v>machine</v>
          </cell>
        </row>
        <row r="1722">
          <cell r="A1722">
            <v>10009</v>
          </cell>
          <cell r="B1722" t="str">
            <v>ja</v>
          </cell>
          <cell r="C1722" t="str">
            <v>青テスト01</v>
          </cell>
          <cell r="H1722" t="str">
            <v>blue</v>
          </cell>
          <cell r="I1722">
            <v>6</v>
          </cell>
          <cell r="J1722" t="str">
            <v>DropWizS</v>
          </cell>
          <cell r="K1722" t="str">
            <v>heal</v>
          </cell>
          <cell r="L1722" t="str">
            <v>回復タイプ</v>
          </cell>
          <cell r="M1722" t="str">
            <v>human</v>
          </cell>
        </row>
        <row r="1723">
          <cell r="A1723">
            <v>10010</v>
          </cell>
          <cell r="B1723" t="str">
            <v>ja</v>
          </cell>
          <cell r="C1723" t="str">
            <v>赤テスト01</v>
          </cell>
          <cell r="H1723" t="str">
            <v>red</v>
          </cell>
          <cell r="I1723">
            <v>6</v>
          </cell>
          <cell r="J1723" t="str">
            <v>PremiumSSS</v>
          </cell>
          <cell r="K1723" t="str">
            <v>technical</v>
          </cell>
          <cell r="L1723" t="str">
            <v>テクニカルタイプ</v>
          </cell>
          <cell r="M1723" t="str">
            <v>human</v>
          </cell>
        </row>
        <row r="1724">
          <cell r="A1724">
            <v>10011</v>
          </cell>
          <cell r="B1724" t="str">
            <v>ja</v>
          </cell>
          <cell r="C1724" t="str">
            <v>テストユニット11</v>
          </cell>
          <cell r="H1724" t="str">
            <v>yellow</v>
          </cell>
          <cell r="I1724">
            <v>5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human</v>
          </cell>
        </row>
        <row r="1725">
          <cell r="A1725">
            <v>10012</v>
          </cell>
          <cell r="B1725" t="str">
            <v>ja</v>
          </cell>
          <cell r="C1725" t="str">
            <v>テストユニット12</v>
          </cell>
          <cell r="H1725" t="str">
            <v>yellow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</row>
        <row r="1726">
          <cell r="A1726">
            <v>10013</v>
          </cell>
          <cell r="B1726" t="str">
            <v>ja</v>
          </cell>
          <cell r="C1726" t="str">
            <v>テストユニット13</v>
          </cell>
          <cell r="H1726" t="str">
            <v>yellow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10014</v>
          </cell>
          <cell r="B1727" t="str">
            <v>ja</v>
          </cell>
          <cell r="C1727" t="str">
            <v>テストユニット14</v>
          </cell>
          <cell r="H1727" t="str">
            <v>yellow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10015</v>
          </cell>
          <cell r="B1728" t="str">
            <v>ja</v>
          </cell>
          <cell r="C1728" t="str">
            <v>テストユニット15</v>
          </cell>
          <cell r="H1728" t="str">
            <v>green</v>
          </cell>
          <cell r="I1728">
            <v>5</v>
          </cell>
          <cell r="J1728" t="str">
            <v>DropWizS</v>
          </cell>
          <cell r="K1728" t="str">
            <v>heal</v>
          </cell>
          <cell r="L1728" t="str">
            <v>回復タイプ</v>
          </cell>
          <cell r="M1728" t="str">
            <v>human</v>
          </cell>
        </row>
        <row r="1729">
          <cell r="A1729">
            <v>10016</v>
          </cell>
          <cell r="B1729" t="str">
            <v>ja</v>
          </cell>
          <cell r="C1729" t="str">
            <v>テストユニット16</v>
          </cell>
          <cell r="H1729" t="str">
            <v>green</v>
          </cell>
          <cell r="I1729">
            <v>6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human</v>
          </cell>
        </row>
        <row r="1730">
          <cell r="A1730">
            <v>10017</v>
          </cell>
          <cell r="B1730" t="str">
            <v>ja</v>
          </cell>
          <cell r="C1730" t="str">
            <v>テストユニット17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10018</v>
          </cell>
          <cell r="B1731" t="str">
            <v>ja</v>
          </cell>
          <cell r="C1731" t="str">
            <v>テストユニット18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10019</v>
          </cell>
          <cell r="B1732" t="str">
            <v>ja</v>
          </cell>
          <cell r="C1732" t="str">
            <v>テストユニット19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10020</v>
          </cell>
          <cell r="B1733" t="str">
            <v>ja</v>
          </cell>
          <cell r="C1733" t="str">
            <v>テストユニット20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10021</v>
          </cell>
          <cell r="B1734" t="str">
            <v>ja</v>
          </cell>
          <cell r="C1734" t="str">
            <v>テストユニット21</v>
          </cell>
          <cell r="H1734" t="str">
            <v>blue</v>
          </cell>
          <cell r="I1734">
            <v>5</v>
          </cell>
          <cell r="J1734" t="str">
            <v>PremiumSSw</v>
          </cell>
          <cell r="K1734" t="str">
            <v>hp</v>
          </cell>
          <cell r="L1734" t="str">
            <v>体力タイプ</v>
          </cell>
          <cell r="M1734" t="str">
            <v>demon</v>
          </cell>
        </row>
        <row r="1735">
          <cell r="A1735">
            <v>10022</v>
          </cell>
          <cell r="B1735" t="str">
            <v>ja</v>
          </cell>
          <cell r="C1735" t="str">
            <v>テストユニット22</v>
          </cell>
          <cell r="H1735" t="str">
            <v>blue</v>
          </cell>
          <cell r="I1735">
            <v>6</v>
          </cell>
          <cell r="J1735" t="str">
            <v>PremiumSSw</v>
          </cell>
          <cell r="K1735" t="str">
            <v>hp</v>
          </cell>
          <cell r="L1735" t="str">
            <v>体力タイプ</v>
          </cell>
          <cell r="M1735" t="str">
            <v>demon</v>
          </cell>
        </row>
        <row r="1736">
          <cell r="A1736">
            <v>10023</v>
          </cell>
          <cell r="B1736" t="str">
            <v>ja</v>
          </cell>
          <cell r="C1736" t="str">
            <v>テストユニット23</v>
          </cell>
          <cell r="H1736" t="str">
            <v>green</v>
          </cell>
          <cell r="I1736">
            <v>5</v>
          </cell>
          <cell r="J1736" t="str">
            <v>PremiumSSw</v>
          </cell>
          <cell r="K1736" t="str">
            <v>heal</v>
          </cell>
          <cell r="L1736" t="str">
            <v>回復タイプ</v>
          </cell>
          <cell r="M1736" t="str">
            <v>dragon</v>
          </cell>
        </row>
        <row r="1737">
          <cell r="A1737">
            <v>10024</v>
          </cell>
          <cell r="B1737" t="str">
            <v>ja</v>
          </cell>
          <cell r="C1737" t="str">
            <v>テストユニット24</v>
          </cell>
          <cell r="H1737" t="str">
            <v>green</v>
          </cell>
          <cell r="I1737">
            <v>6</v>
          </cell>
          <cell r="J1737" t="str">
            <v>PremiumSSw</v>
          </cell>
          <cell r="K1737" t="str">
            <v>hp</v>
          </cell>
          <cell r="L1737" t="str">
            <v>体力タイプ</v>
          </cell>
          <cell r="M1737" t="str">
            <v>dragon</v>
          </cell>
        </row>
        <row r="1738">
          <cell r="A1738">
            <v>10025</v>
          </cell>
          <cell r="B1738" t="str">
            <v>ja</v>
          </cell>
          <cell r="C1738" t="str">
            <v>テストユニット25</v>
          </cell>
          <cell r="H1738" t="str">
            <v>red</v>
          </cell>
          <cell r="I1738">
            <v>5</v>
          </cell>
          <cell r="J1738" t="str">
            <v>PremiumSSw</v>
          </cell>
          <cell r="K1738" t="str">
            <v>hp</v>
          </cell>
          <cell r="L1738" t="str">
            <v>体力タイプ</v>
          </cell>
          <cell r="M1738" t="str">
            <v>dragon</v>
          </cell>
        </row>
        <row r="1739">
          <cell r="A1739">
            <v>10026</v>
          </cell>
          <cell r="B1739" t="str">
            <v>ja</v>
          </cell>
          <cell r="C1739" t="str">
            <v>テストユニット26</v>
          </cell>
          <cell r="H1739" t="str">
            <v>red</v>
          </cell>
          <cell r="I1739">
            <v>6</v>
          </cell>
          <cell r="J1739" t="str">
            <v>PremiumSSw</v>
          </cell>
          <cell r="K1739" t="str">
            <v>hp</v>
          </cell>
          <cell r="L1739" t="str">
            <v>体力タイプ</v>
          </cell>
          <cell r="M1739" t="str">
            <v>dragon</v>
          </cell>
        </row>
        <row r="1740">
          <cell r="A1740">
            <v>10027</v>
          </cell>
          <cell r="B1740" t="str">
            <v>ja</v>
          </cell>
          <cell r="C1740" t="str">
            <v>テストユニット27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10028</v>
          </cell>
          <cell r="B1741" t="str">
            <v>ja</v>
          </cell>
          <cell r="C1741" t="str">
            <v>テストユニット28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10029</v>
          </cell>
          <cell r="B1742" t="str">
            <v>ja</v>
          </cell>
          <cell r="C1742" t="str">
            <v>テストユニット29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10030</v>
          </cell>
          <cell r="B1743" t="str">
            <v>ja</v>
          </cell>
          <cell r="C1743" t="str">
            <v>テストユニット30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10031</v>
          </cell>
          <cell r="B1744" t="str">
            <v>ja</v>
          </cell>
          <cell r="C1744" t="str">
            <v>テストユニット31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10032</v>
          </cell>
          <cell r="B1745" t="str">
            <v>ja</v>
          </cell>
          <cell r="C1745" t="str">
            <v>テストユニット32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10033</v>
          </cell>
          <cell r="B1746" t="str">
            <v>ja</v>
          </cell>
          <cell r="C1746" t="str">
            <v>テストユニット33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10034</v>
          </cell>
          <cell r="B1747" t="str">
            <v>ja</v>
          </cell>
          <cell r="C1747" t="str">
            <v>テストユニット34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10035</v>
          </cell>
          <cell r="B1748" t="str">
            <v>ja</v>
          </cell>
          <cell r="C1748" t="str">
            <v>テストユニット35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10036</v>
          </cell>
          <cell r="B1749" t="str">
            <v>ja</v>
          </cell>
          <cell r="C1749" t="str">
            <v>テストユニット36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10037</v>
          </cell>
          <cell r="B1750" t="str">
            <v>ja</v>
          </cell>
          <cell r="C1750" t="str">
            <v>テストユニット37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10038</v>
          </cell>
          <cell r="B1751" t="str">
            <v>ja</v>
          </cell>
          <cell r="C1751" t="str">
            <v>テストユニット38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10039</v>
          </cell>
          <cell r="B1752" t="str">
            <v>ja</v>
          </cell>
          <cell r="C1752" t="str">
            <v>テストユニット39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10040</v>
          </cell>
          <cell r="B1753" t="str">
            <v>ja</v>
          </cell>
          <cell r="C1753" t="str">
            <v>テストユニット40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10041</v>
          </cell>
          <cell r="B1754" t="str">
            <v>ja</v>
          </cell>
          <cell r="C1754" t="str">
            <v>テストユニット41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10042</v>
          </cell>
          <cell r="B1755" t="str">
            <v>ja</v>
          </cell>
          <cell r="C1755" t="str">
            <v>テストユニット42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10043</v>
          </cell>
          <cell r="B1756" t="str">
            <v>ja</v>
          </cell>
          <cell r="C1756" t="str">
            <v>テストユニット43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10044</v>
          </cell>
          <cell r="B1757" t="str">
            <v>ja</v>
          </cell>
          <cell r="C1757" t="str">
            <v>テストユニット44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10045</v>
          </cell>
          <cell r="B1758" t="str">
            <v>ja</v>
          </cell>
          <cell r="C1758" t="str">
            <v>テストユニット45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10046</v>
          </cell>
          <cell r="B1759" t="str">
            <v>ja</v>
          </cell>
          <cell r="C1759" t="str">
            <v>テストユニット46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10047</v>
          </cell>
          <cell r="B1760" t="str">
            <v>ja</v>
          </cell>
          <cell r="C1760" t="str">
            <v>テストユニット47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10048</v>
          </cell>
          <cell r="B1761" t="str">
            <v>ja</v>
          </cell>
          <cell r="C1761" t="str">
            <v>テストユニット48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10049</v>
          </cell>
          <cell r="B1762" t="str">
            <v>ja</v>
          </cell>
          <cell r="C1762" t="str">
            <v>テストユニット49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10050</v>
          </cell>
          <cell r="B1763" t="str">
            <v>ja</v>
          </cell>
          <cell r="C1763" t="str">
            <v>テストユニット50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10051</v>
          </cell>
          <cell r="B1764" t="str">
            <v>ja</v>
          </cell>
          <cell r="C1764" t="str">
            <v>テストユニット51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10052</v>
          </cell>
          <cell r="B1765" t="str">
            <v>ja</v>
          </cell>
          <cell r="C1765" t="str">
            <v>テストユニット52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10053</v>
          </cell>
          <cell r="B1766" t="str">
            <v>ja</v>
          </cell>
          <cell r="C1766" t="str">
            <v>テストユニット53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10054</v>
          </cell>
          <cell r="B1767" t="str">
            <v>ja</v>
          </cell>
          <cell r="C1767" t="str">
            <v>テストユニット54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10055</v>
          </cell>
          <cell r="B1768" t="str">
            <v>ja</v>
          </cell>
          <cell r="C1768" t="str">
            <v>テストユニット55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10056</v>
          </cell>
          <cell r="B1769" t="str">
            <v>ja</v>
          </cell>
          <cell r="C1769" t="str">
            <v>テストユニット56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10057</v>
          </cell>
          <cell r="B1770" t="str">
            <v>ja</v>
          </cell>
          <cell r="C1770" t="str">
            <v>テストユニット57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10058</v>
          </cell>
          <cell r="B1771" t="str">
            <v>ja</v>
          </cell>
          <cell r="C1771" t="str">
            <v>テストユニット58</v>
          </cell>
          <cell r="H1771" t="str">
            <v>blue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10059</v>
          </cell>
          <cell r="B1772" t="str">
            <v>ja</v>
          </cell>
          <cell r="C1772" t="str">
            <v>テストユニット59</v>
          </cell>
          <cell r="H1772" t="str">
            <v>green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10060</v>
          </cell>
          <cell r="B1773" t="str">
            <v>ja</v>
          </cell>
          <cell r="C1773" t="str">
            <v>テストユニット60</v>
          </cell>
          <cell r="H1773" t="str">
            <v>yellow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10061</v>
          </cell>
          <cell r="B1774" t="str">
            <v>ja</v>
          </cell>
          <cell r="C1774" t="str">
            <v>テストユニット61</v>
          </cell>
          <cell r="H1774" t="str">
            <v>red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10062</v>
          </cell>
          <cell r="B1775" t="str">
            <v>ja</v>
          </cell>
          <cell r="C1775" t="str">
            <v>テストユニット62</v>
          </cell>
          <cell r="H1775" t="str">
            <v>blue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10063</v>
          </cell>
          <cell r="B1776" t="str">
            <v>ja</v>
          </cell>
          <cell r="C1776" t="str">
            <v>テストユニット63</v>
          </cell>
          <cell r="H1776" t="str">
            <v>green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10064</v>
          </cell>
          <cell r="B1777" t="str">
            <v>ja</v>
          </cell>
          <cell r="C1777" t="str">
            <v>テストユニット64</v>
          </cell>
          <cell r="H1777" t="str">
            <v>yellow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10065</v>
          </cell>
          <cell r="B1778" t="str">
            <v>ja</v>
          </cell>
          <cell r="C1778" t="str">
            <v>テストユニット65</v>
          </cell>
          <cell r="H1778" t="str">
            <v>red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10066</v>
          </cell>
          <cell r="B1779" t="str">
            <v>ja</v>
          </cell>
          <cell r="C1779" t="str">
            <v>テストユニット66</v>
          </cell>
          <cell r="H1779" t="str">
            <v>blue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10067</v>
          </cell>
          <cell r="B1780" t="str">
            <v>ja</v>
          </cell>
          <cell r="C1780" t="str">
            <v>テストユニット67</v>
          </cell>
          <cell r="H1780" t="str">
            <v>green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10068</v>
          </cell>
          <cell r="B1781" t="str">
            <v>ja</v>
          </cell>
          <cell r="C1781" t="str">
            <v>テストユニット68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10069</v>
          </cell>
          <cell r="B1782" t="str">
            <v>ja</v>
          </cell>
          <cell r="C1782" t="str">
            <v>テストユニット69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10070</v>
          </cell>
          <cell r="B1783" t="str">
            <v>ja</v>
          </cell>
          <cell r="C1783" t="str">
            <v>覚醒元(R5)</v>
          </cell>
          <cell r="H1783" t="str">
            <v>blue</v>
          </cell>
          <cell r="I1783">
            <v>5</v>
          </cell>
          <cell r="J1783" t="str">
            <v>Drop2N</v>
          </cell>
          <cell r="K1783" t="str">
            <v>technical</v>
          </cell>
          <cell r="L1783" t="str">
            <v>テクニカルタイプ</v>
          </cell>
          <cell r="M1783" t="str">
            <v>human</v>
          </cell>
        </row>
        <row r="1784">
          <cell r="A1784">
            <v>10071</v>
          </cell>
          <cell r="B1784" t="str">
            <v>ja</v>
          </cell>
          <cell r="C1784" t="str">
            <v>通常覚醒(R6)</v>
          </cell>
          <cell r="H1784" t="str">
            <v>red</v>
          </cell>
          <cell r="I1784">
            <v>6</v>
          </cell>
          <cell r="J1784" t="str">
            <v>PremiumSSS</v>
          </cell>
          <cell r="K1784" t="str">
            <v>hp</v>
          </cell>
          <cell r="L1784" t="str">
            <v>体力タイプ</v>
          </cell>
          <cell r="M1784" t="str">
            <v>demon</v>
          </cell>
        </row>
        <row r="1785">
          <cell r="A1785">
            <v>10072</v>
          </cell>
          <cell r="B1785" t="str">
            <v>ja</v>
          </cell>
          <cell r="C1785" t="str">
            <v>超覚醒A(R6)</v>
          </cell>
          <cell r="H1785" t="str">
            <v>green</v>
          </cell>
          <cell r="I1785">
            <v>6</v>
          </cell>
          <cell r="J1785" t="str">
            <v>PremiumSSS</v>
          </cell>
          <cell r="K1785" t="str">
            <v>heal</v>
          </cell>
          <cell r="L1785" t="str">
            <v>回復タイプ</v>
          </cell>
          <cell r="M1785" t="str">
            <v>unknown</v>
          </cell>
        </row>
        <row r="1786">
          <cell r="A1786">
            <v>10073</v>
          </cell>
          <cell r="B1786" t="str">
            <v>ja</v>
          </cell>
          <cell r="C1786" t="str">
            <v>超覚醒B(R6)</v>
          </cell>
          <cell r="H1786" t="str">
            <v>green</v>
          </cell>
          <cell r="I1786">
            <v>6</v>
          </cell>
          <cell r="J1786" t="str">
            <v>PremiumSSS</v>
          </cell>
          <cell r="K1786" t="str">
            <v>attack</v>
          </cell>
          <cell r="L1786" t="str">
            <v>攻撃タイプ</v>
          </cell>
          <cell r="M1786" t="str">
            <v>samurai</v>
          </cell>
        </row>
        <row r="1787">
          <cell r="A1787">
            <v>10074</v>
          </cell>
          <cell r="B1787" t="str">
            <v>ja</v>
          </cell>
          <cell r="C1787" t="str">
            <v>超覚醒C(R6)</v>
          </cell>
          <cell r="H1787" t="str">
            <v>blue</v>
          </cell>
          <cell r="I1787">
            <v>6</v>
          </cell>
          <cell r="J1787" t="str">
            <v>PremiumSSS</v>
          </cell>
          <cell r="K1787" t="str">
            <v>balance</v>
          </cell>
          <cell r="L1787" t="str">
            <v>バランスタイプ</v>
          </cell>
          <cell r="M1787" t="str">
            <v>fantasy</v>
          </cell>
        </row>
        <row r="1788">
          <cell r="A1788">
            <v>10075</v>
          </cell>
          <cell r="B1788" t="str">
            <v>ja</v>
          </cell>
          <cell r="C1788" t="str">
            <v>テストユニット75</v>
          </cell>
          <cell r="H1788" t="str">
            <v>blue</v>
          </cell>
          <cell r="I1788">
            <v>6</v>
          </cell>
          <cell r="J1788" t="str">
            <v>PremiumSSS</v>
          </cell>
          <cell r="K1788" t="str">
            <v>balance</v>
          </cell>
          <cell r="L1788" t="str">
            <v>バランスタイプ</v>
          </cell>
          <cell r="M1788" t="str">
            <v>human</v>
          </cell>
        </row>
        <row r="1789">
          <cell r="A1789">
            <v>10076</v>
          </cell>
          <cell r="B1789" t="str">
            <v>ja</v>
          </cell>
          <cell r="C1789" t="str">
            <v>テストユニット76</v>
          </cell>
          <cell r="H1789" t="str">
            <v>red</v>
          </cell>
          <cell r="I1789">
            <v>6</v>
          </cell>
          <cell r="J1789" t="str">
            <v>DropWizSS</v>
          </cell>
          <cell r="K1789" t="str">
            <v>hp</v>
          </cell>
          <cell r="L1789" t="str">
            <v>体力タイプ</v>
          </cell>
          <cell r="M1789" t="str">
            <v>hero</v>
          </cell>
        </row>
        <row r="1790">
          <cell r="A1790">
            <v>10077</v>
          </cell>
          <cell r="B1790" t="str">
            <v>ja</v>
          </cell>
          <cell r="C1790" t="str">
            <v>テストユニット77</v>
          </cell>
          <cell r="H1790" t="str">
            <v>red</v>
          </cell>
          <cell r="I1790">
            <v>6</v>
          </cell>
          <cell r="J1790" t="str">
            <v>DropWizSS</v>
          </cell>
          <cell r="K1790" t="str">
            <v>hp</v>
          </cell>
          <cell r="L1790" t="str">
            <v>体力タイプ</v>
          </cell>
          <cell r="M1790" t="str">
            <v>hero</v>
          </cell>
        </row>
        <row r="1791">
          <cell r="A1791">
            <v>10078</v>
          </cell>
          <cell r="B1791" t="str">
            <v>ja</v>
          </cell>
          <cell r="C1791" t="str">
            <v>テストユニット78</v>
          </cell>
          <cell r="H1791" t="str">
            <v>red</v>
          </cell>
          <cell r="I1791">
            <v>6</v>
          </cell>
          <cell r="J1791" t="str">
            <v>DropWizSS</v>
          </cell>
          <cell r="K1791" t="str">
            <v>hp</v>
          </cell>
          <cell r="L1791" t="str">
            <v>体力タイプ</v>
          </cell>
          <cell r="M1791" t="str">
            <v>hero</v>
          </cell>
        </row>
        <row r="1792">
          <cell r="A1792">
            <v>10079</v>
          </cell>
          <cell r="B1792" t="str">
            <v>ja</v>
          </cell>
          <cell r="C1792" t="str">
            <v>テストユニット79</v>
          </cell>
          <cell r="H1792" t="str">
            <v>red</v>
          </cell>
          <cell r="I1792">
            <v>6</v>
          </cell>
          <cell r="J1792" t="str">
            <v>DropWizSS</v>
          </cell>
          <cell r="K1792" t="str">
            <v>hp</v>
          </cell>
          <cell r="L1792" t="str">
            <v>体力タイプ</v>
          </cell>
          <cell r="M1792" t="str">
            <v>hero</v>
          </cell>
        </row>
        <row r="1793">
          <cell r="A1793">
            <v>10080</v>
          </cell>
          <cell r="B1793" t="str">
            <v>ja</v>
          </cell>
          <cell r="C1793" t="str">
            <v>テストユニット80</v>
          </cell>
          <cell r="H1793" t="str">
            <v>yellow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10081</v>
          </cell>
          <cell r="B1794" t="str">
            <v>ja</v>
          </cell>
          <cell r="C1794" t="str">
            <v>テストユニット81</v>
          </cell>
          <cell r="H1794" t="str">
            <v>red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10082</v>
          </cell>
          <cell r="B1795" t="str">
            <v>ja</v>
          </cell>
          <cell r="C1795" t="str">
            <v>テストユニット82</v>
          </cell>
          <cell r="H1795" t="str">
            <v>blue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10083</v>
          </cell>
          <cell r="B1796" t="str">
            <v>ja</v>
          </cell>
          <cell r="C1796" t="str">
            <v>テストユニット83</v>
          </cell>
          <cell r="H1796" t="str">
            <v>green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10084</v>
          </cell>
          <cell r="B1797" t="str">
            <v>ja</v>
          </cell>
          <cell r="C1797" t="str">
            <v>テストユニット84</v>
          </cell>
          <cell r="H1797" t="str">
            <v>yellow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10085</v>
          </cell>
          <cell r="B1798" t="str">
            <v>ja</v>
          </cell>
          <cell r="C1798" t="str">
            <v>テストユニット85</v>
          </cell>
          <cell r="H1798" t="str">
            <v>red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10086</v>
          </cell>
          <cell r="B1799" t="str">
            <v>ja</v>
          </cell>
          <cell r="C1799" t="str">
            <v>テストユニット86</v>
          </cell>
          <cell r="H1799" t="str">
            <v>blue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10087</v>
          </cell>
          <cell r="B1800" t="str">
            <v>ja</v>
          </cell>
          <cell r="C1800" t="str">
            <v>テストユニット87</v>
          </cell>
          <cell r="H1800" t="str">
            <v>green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10088</v>
          </cell>
          <cell r="B1801" t="str">
            <v>ja</v>
          </cell>
          <cell r="C1801" t="str">
            <v>テストユニット88</v>
          </cell>
          <cell r="H1801" t="str">
            <v>yellow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10089</v>
          </cell>
          <cell r="B1802" t="str">
            <v>ja</v>
          </cell>
          <cell r="C1802" t="str">
            <v>テストユニット89</v>
          </cell>
          <cell r="H1802" t="str">
            <v>red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10090</v>
          </cell>
          <cell r="B1803" t="str">
            <v>ja</v>
          </cell>
          <cell r="C1803" t="str">
            <v>テストユニット90</v>
          </cell>
          <cell r="H1803" t="str">
            <v>blue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10101</v>
          </cell>
          <cell r="B1804" t="str">
            <v>ja</v>
          </cell>
          <cell r="C1804" t="str">
            <v>Usagi-kun</v>
          </cell>
          <cell r="H1804" t="str">
            <v>blue</v>
          </cell>
          <cell r="I1804">
            <v>6</v>
          </cell>
          <cell r="J1804" t="str">
            <v>DropWizS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10102</v>
          </cell>
          <cell r="B1805" t="str">
            <v>ja</v>
          </cell>
          <cell r="C1805" t="str">
            <v>ローズ</v>
          </cell>
          <cell r="D1805" t="str">
            <v>未定</v>
          </cell>
          <cell r="E1805" t="str">
            <v>執行者</v>
          </cell>
          <cell r="F1805" t="str">
            <v>格好いい</v>
          </cell>
          <cell r="G1805" t="str">
            <v>不明</v>
          </cell>
          <cell r="H1805" t="str">
            <v>red</v>
          </cell>
          <cell r="I1805">
            <v>3</v>
          </cell>
          <cell r="J1805" t="str">
            <v>DropWizSSS</v>
          </cell>
          <cell r="K1805" t="str">
            <v>attack</v>
          </cell>
          <cell r="L1805" t="str">
            <v>攻撃タイプ</v>
          </cell>
          <cell r="M1805" t="str">
            <v>queen</v>
          </cell>
        </row>
        <row r="1806">
          <cell r="A1806">
            <v>10103</v>
          </cell>
          <cell r="B1806" t="str">
            <v>ja</v>
          </cell>
          <cell r="C1806" t="str">
            <v>ローズ</v>
          </cell>
          <cell r="D1806" t="str">
            <v>未定</v>
          </cell>
          <cell r="E1806" t="str">
            <v>執行者</v>
          </cell>
          <cell r="F1806" t="str">
            <v>格好いい</v>
          </cell>
          <cell r="G1806" t="str">
            <v>不明</v>
          </cell>
          <cell r="H1806" t="str">
            <v>red</v>
          </cell>
          <cell r="I1806">
            <v>4</v>
          </cell>
          <cell r="J1806" t="str">
            <v>DropWizSSS</v>
          </cell>
          <cell r="K1806" t="str">
            <v>attack</v>
          </cell>
          <cell r="L1806" t="str">
            <v>攻撃タイプ</v>
          </cell>
          <cell r="M1806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/>
  </sheetViews>
  <sheetFormatPr baseColWidth="12" defaultRowHeight="15" x14ac:dyDescent="0.15"/>
  <cols>
    <col min="1" max="1" width="45" style="32" customWidth="1"/>
    <col min="2" max="16384" width="13" style="32"/>
  </cols>
  <sheetData>
    <row r="1" spans="1:13" x14ac:dyDescent="0.15">
      <c r="A1" s="32" t="s">
        <v>29</v>
      </c>
      <c r="B1" s="32" t="s">
        <v>30</v>
      </c>
    </row>
    <row r="2" spans="1:13" x14ac:dyDescent="0.15">
      <c r="A2" s="32" t="s">
        <v>31</v>
      </c>
      <c r="B2" s="32" t="s">
        <v>32</v>
      </c>
      <c r="C2" s="32" t="s">
        <v>33</v>
      </c>
      <c r="D2" s="32" t="s">
        <v>34</v>
      </c>
      <c r="E2" s="32" t="s">
        <v>35</v>
      </c>
      <c r="F2" s="32" t="s">
        <v>36</v>
      </c>
      <c r="G2" s="32" t="s">
        <v>37</v>
      </c>
      <c r="H2" s="32" t="s">
        <v>38</v>
      </c>
    </row>
    <row r="3" spans="1:13" x14ac:dyDescent="0.15">
      <c r="A3" s="32">
        <v>3</v>
      </c>
      <c r="B3" s="33" t="s">
        <v>39</v>
      </c>
      <c r="C3" s="33" t="s">
        <v>40</v>
      </c>
      <c r="D3" s="32">
        <v>0</v>
      </c>
      <c r="E3" s="33" t="s">
        <v>41</v>
      </c>
      <c r="F3" s="32">
        <v>0</v>
      </c>
      <c r="G3" s="32">
        <v>0</v>
      </c>
      <c r="H3" s="34">
        <v>0.5</v>
      </c>
    </row>
    <row r="4" spans="1:13" x14ac:dyDescent="0.15">
      <c r="A4" s="32">
        <v>4</v>
      </c>
      <c r="B4" s="33" t="s">
        <v>42</v>
      </c>
      <c r="C4" s="33" t="s">
        <v>43</v>
      </c>
      <c r="D4" s="33" t="s">
        <v>44</v>
      </c>
      <c r="E4" s="33" t="s">
        <v>45</v>
      </c>
      <c r="F4" s="33" t="s">
        <v>46</v>
      </c>
      <c r="G4" s="32">
        <v>0</v>
      </c>
      <c r="H4" s="34">
        <v>0.45</v>
      </c>
    </row>
    <row r="5" spans="1:13" x14ac:dyDescent="0.15">
      <c r="A5" s="32">
        <v>5</v>
      </c>
      <c r="B5" s="35">
        <v>0</v>
      </c>
      <c r="C5" s="33" t="s">
        <v>47</v>
      </c>
      <c r="D5" s="33" t="s">
        <v>48</v>
      </c>
      <c r="E5" s="33" t="s">
        <v>49</v>
      </c>
      <c r="F5" s="33" t="s">
        <v>50</v>
      </c>
      <c r="G5" s="33" t="s">
        <v>51</v>
      </c>
      <c r="H5" s="34">
        <v>0.05</v>
      </c>
    </row>
    <row r="6" spans="1:13" x14ac:dyDescent="0.15">
      <c r="B6" s="34" t="s">
        <v>52</v>
      </c>
      <c r="C6" s="34" t="s">
        <v>52</v>
      </c>
      <c r="D6" s="34" t="s">
        <v>53</v>
      </c>
      <c r="E6" s="34" t="s">
        <v>52</v>
      </c>
      <c r="F6" s="34" t="s">
        <v>52</v>
      </c>
      <c r="G6" s="36" t="s">
        <v>54</v>
      </c>
      <c r="H6" s="34">
        <v>1</v>
      </c>
    </row>
    <row r="7" spans="1:13" x14ac:dyDescent="0.15">
      <c r="B7" s="34"/>
      <c r="C7" s="34"/>
      <c r="D7" s="34"/>
      <c r="E7" s="34"/>
      <c r="F7" s="34"/>
      <c r="G7" s="36"/>
      <c r="H7" s="34"/>
    </row>
    <row r="8" spans="1:13" x14ac:dyDescent="0.15">
      <c r="A8" s="32" t="s">
        <v>55</v>
      </c>
      <c r="B8" s="34"/>
      <c r="C8" s="34"/>
      <c r="D8" s="34"/>
      <c r="E8" s="34"/>
      <c r="F8" s="34"/>
      <c r="G8" s="36"/>
      <c r="H8" s="34"/>
    </row>
    <row r="9" spans="1:13" x14ac:dyDescent="0.15">
      <c r="A9" s="32" t="s">
        <v>56</v>
      </c>
      <c r="B9" s="34"/>
      <c r="C9" s="34"/>
      <c r="D9" s="34"/>
      <c r="E9" s="34"/>
      <c r="F9" s="34"/>
      <c r="G9" s="36"/>
      <c r="H9" s="34"/>
    </row>
    <row r="10" spans="1:13" x14ac:dyDescent="0.15">
      <c r="A10" s="32" t="s">
        <v>57</v>
      </c>
      <c r="B10" s="34"/>
      <c r="C10" s="34"/>
      <c r="D10" s="34"/>
      <c r="E10" s="34"/>
      <c r="F10" s="34"/>
      <c r="G10" s="36"/>
      <c r="H10" s="34"/>
    </row>
    <row r="11" spans="1:13" x14ac:dyDescent="0.15">
      <c r="A11" s="32" t="s">
        <v>58</v>
      </c>
      <c r="B11" s="34"/>
      <c r="C11" s="34"/>
      <c r="D11" s="34"/>
      <c r="E11" s="34"/>
      <c r="F11" s="34"/>
      <c r="G11" s="36"/>
      <c r="H11" s="34"/>
    </row>
    <row r="12" spans="1:13" x14ac:dyDescent="0.15">
      <c r="A12" s="32" t="s">
        <v>51</v>
      </c>
      <c r="B12" s="34" t="s">
        <v>59</v>
      </c>
      <c r="C12" s="34" t="s">
        <v>60</v>
      </c>
      <c r="D12" s="34"/>
      <c r="E12" s="34"/>
      <c r="F12" s="34"/>
      <c r="G12" s="36"/>
      <c r="H12" s="34"/>
    </row>
    <row r="13" spans="1:13" x14ac:dyDescent="0.15">
      <c r="A13" s="32" t="s">
        <v>61</v>
      </c>
      <c r="B13" s="32" t="s">
        <v>62</v>
      </c>
      <c r="C13" s="32" t="s">
        <v>63</v>
      </c>
    </row>
    <row r="14" spans="1:13" x14ac:dyDescent="0.15">
      <c r="A14" s="32" t="s">
        <v>64</v>
      </c>
      <c r="B14" s="32" t="s">
        <v>59</v>
      </c>
      <c r="C14" s="35" t="s">
        <v>65</v>
      </c>
      <c r="E14" s="35"/>
      <c r="F14" s="35"/>
      <c r="M14" s="34"/>
    </row>
    <row r="15" spans="1:13" x14ac:dyDescent="0.15">
      <c r="A15" s="32" t="s">
        <v>41</v>
      </c>
      <c r="B15" s="34" t="s">
        <v>59</v>
      </c>
      <c r="C15" s="34" t="s">
        <v>66</v>
      </c>
      <c r="H15" s="37"/>
      <c r="M15" s="34"/>
    </row>
    <row r="16" spans="1:13" x14ac:dyDescent="0.15">
      <c r="A16" s="32" t="s">
        <v>45</v>
      </c>
      <c r="B16" s="34" t="s">
        <v>59</v>
      </c>
      <c r="C16" s="34" t="s">
        <v>67</v>
      </c>
      <c r="M16" s="34"/>
    </row>
    <row r="17" spans="1:13" x14ac:dyDescent="0.15">
      <c r="A17" s="32" t="s">
        <v>68</v>
      </c>
      <c r="B17" s="34" t="s">
        <v>59</v>
      </c>
      <c r="C17" s="34" t="s">
        <v>69</v>
      </c>
      <c r="M17" s="34"/>
    </row>
    <row r="18" spans="1:13" x14ac:dyDescent="0.15">
      <c r="B18" s="34"/>
      <c r="C18" s="34"/>
    </row>
    <row r="19" spans="1:13" x14ac:dyDescent="0.15">
      <c r="A19" s="32" t="s">
        <v>70</v>
      </c>
    </row>
    <row r="20" spans="1:13" x14ac:dyDescent="0.15">
      <c r="A20" s="32" t="s">
        <v>71</v>
      </c>
      <c r="B20" s="34"/>
      <c r="C20" s="34"/>
    </row>
    <row r="21" spans="1:13" x14ac:dyDescent="0.15">
      <c r="A21" s="32" t="s">
        <v>72</v>
      </c>
      <c r="B21" s="34" t="s">
        <v>73</v>
      </c>
      <c r="C21" s="34" t="s">
        <v>74</v>
      </c>
      <c r="D21" s="32" t="s">
        <v>75</v>
      </c>
    </row>
    <row r="22" spans="1:13" x14ac:dyDescent="0.15">
      <c r="A22" s="32" t="s">
        <v>76</v>
      </c>
      <c r="B22" s="34" t="s">
        <v>59</v>
      </c>
      <c r="C22" s="34" t="s">
        <v>77</v>
      </c>
      <c r="D22" s="32" t="s">
        <v>78</v>
      </c>
    </row>
    <row r="23" spans="1:13" x14ac:dyDescent="0.15">
      <c r="A23" s="32" t="s">
        <v>79</v>
      </c>
      <c r="B23" s="34" t="s">
        <v>59</v>
      </c>
      <c r="C23" s="32" t="s">
        <v>80</v>
      </c>
      <c r="D23" s="32" t="s">
        <v>81</v>
      </c>
    </row>
    <row r="24" spans="1:13" x14ac:dyDescent="0.15">
      <c r="A24" s="32" t="s">
        <v>82</v>
      </c>
      <c r="B24" s="34" t="s">
        <v>59</v>
      </c>
      <c r="C24" s="34" t="s">
        <v>83</v>
      </c>
      <c r="D24" s="32" t="s">
        <v>84</v>
      </c>
    </row>
    <row r="25" spans="1:13" x14ac:dyDescent="0.15">
      <c r="A25" s="32" t="s">
        <v>85</v>
      </c>
      <c r="B25" s="34" t="s">
        <v>59</v>
      </c>
      <c r="C25" s="34" t="s">
        <v>86</v>
      </c>
      <c r="D25" s="32" t="s">
        <v>87</v>
      </c>
    </row>
    <row r="26" spans="1:13" x14ac:dyDescent="0.15">
      <c r="A26" s="32" t="s">
        <v>88</v>
      </c>
      <c r="B26" s="34" t="s">
        <v>59</v>
      </c>
      <c r="C26" s="34" t="s">
        <v>89</v>
      </c>
      <c r="D26" s="32" t="s">
        <v>90</v>
      </c>
    </row>
    <row r="27" spans="1:13" x14ac:dyDescent="0.15">
      <c r="A27" s="32" t="s">
        <v>91</v>
      </c>
      <c r="B27" s="34" t="s">
        <v>59</v>
      </c>
      <c r="C27" s="34" t="s">
        <v>53</v>
      </c>
      <c r="D27" s="32" t="s">
        <v>92</v>
      </c>
      <c r="E27" s="32" t="s">
        <v>93</v>
      </c>
    </row>
    <row r="28" spans="1:13" x14ac:dyDescent="0.15">
      <c r="A28" s="32" t="s">
        <v>40</v>
      </c>
      <c r="B28" s="34" t="s">
        <v>59</v>
      </c>
      <c r="C28" s="34" t="s">
        <v>94</v>
      </c>
      <c r="E28" s="32" t="s">
        <v>95</v>
      </c>
    </row>
    <row r="29" spans="1:13" x14ac:dyDescent="0.15">
      <c r="A29" s="32" t="s">
        <v>43</v>
      </c>
      <c r="B29" s="34" t="s">
        <v>59</v>
      </c>
      <c r="C29" s="34" t="s">
        <v>96</v>
      </c>
    </row>
    <row r="30" spans="1:13" x14ac:dyDescent="0.15">
      <c r="B30" s="34"/>
    </row>
    <row r="31" spans="1:13" x14ac:dyDescent="0.15">
      <c r="A31" s="32" t="s">
        <v>97</v>
      </c>
    </row>
    <row r="32" spans="1:13" x14ac:dyDescent="0.15">
      <c r="A32" s="32" t="s">
        <v>98</v>
      </c>
      <c r="B32" s="34" t="s">
        <v>59</v>
      </c>
      <c r="C32" s="34" t="s">
        <v>99</v>
      </c>
    </row>
    <row r="33" spans="1:3" x14ac:dyDescent="0.15">
      <c r="A33" s="32" t="s">
        <v>43</v>
      </c>
      <c r="B33" s="34" t="s">
        <v>59</v>
      </c>
      <c r="C33" s="34" t="s">
        <v>100</v>
      </c>
    </row>
    <row r="34" spans="1:3" x14ac:dyDescent="0.15">
      <c r="A34" s="32" t="s">
        <v>40</v>
      </c>
      <c r="B34" s="34" t="s">
        <v>59</v>
      </c>
      <c r="C34" s="34" t="s">
        <v>101</v>
      </c>
    </row>
    <row r="35" spans="1:3" x14ac:dyDescent="0.15">
      <c r="A35" s="32" t="s">
        <v>39</v>
      </c>
      <c r="B35" s="34" t="s">
        <v>59</v>
      </c>
      <c r="C35" s="34" t="s">
        <v>102</v>
      </c>
    </row>
    <row r="36" spans="1:3" x14ac:dyDescent="0.15">
      <c r="A36" s="32" t="s">
        <v>42</v>
      </c>
      <c r="B36" s="34" t="s">
        <v>59</v>
      </c>
      <c r="C36" s="34" t="s">
        <v>103</v>
      </c>
    </row>
    <row r="37" spans="1:3" x14ac:dyDescent="0.15">
      <c r="A37" s="32" t="s">
        <v>48</v>
      </c>
      <c r="B37" s="34" t="s">
        <v>59</v>
      </c>
      <c r="C37" s="34" t="s">
        <v>104</v>
      </c>
    </row>
    <row r="38" spans="1:3" x14ac:dyDescent="0.15">
      <c r="A38" s="32" t="s">
        <v>44</v>
      </c>
      <c r="B38" s="34" t="s">
        <v>59</v>
      </c>
      <c r="C38" s="34" t="s">
        <v>105</v>
      </c>
    </row>
  </sheetData>
  <phoneticPr fontId="1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24</v>
      </c>
    </row>
    <row r="2" spans="1:1" x14ac:dyDescent="0.15">
      <c r="A2" t="s">
        <v>25</v>
      </c>
    </row>
    <row r="3" spans="1:1" x14ac:dyDescent="0.15">
      <c r="A3" t="s">
        <v>26</v>
      </c>
    </row>
    <row r="4" spans="1:1" x14ac:dyDescent="0.15">
      <c r="A4" t="s">
        <v>27</v>
      </c>
    </row>
  </sheetData>
  <phoneticPr fontId="1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5"/>
  <sheetViews>
    <sheetView tabSelected="1" workbookViewId="0"/>
  </sheetViews>
  <sheetFormatPr baseColWidth="12" defaultRowHeight="15" x14ac:dyDescent="0.15"/>
  <cols>
    <col min="1" max="1" width="13" style="17"/>
    <col min="2" max="2" width="14.796875" style="17" bestFit="1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0" t="s">
        <v>19</v>
      </c>
      <c r="B1" s="15" t="s">
        <v>12</v>
      </c>
      <c r="C1" s="15" t="s">
        <v>13</v>
      </c>
      <c r="D1" s="15" t="s">
        <v>14</v>
      </c>
      <c r="E1" s="15" t="s">
        <v>15</v>
      </c>
      <c r="F1" s="15" t="s">
        <v>16</v>
      </c>
      <c r="G1" s="15" t="s">
        <v>17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51" t="s">
        <v>126</v>
      </c>
      <c r="B2" s="49" t="s">
        <v>121</v>
      </c>
      <c r="C2" s="29" t="str">
        <f>RIGHT(F2,7)</f>
        <v>7313010</v>
      </c>
      <c r="D2" s="18" t="s">
        <v>18</v>
      </c>
      <c r="E2" s="16" t="str">
        <f t="shared" ref="E2" si="0">B2&amp;C2&amp;D2</f>
        <v>gacha_select_tables_7313010.tmp</v>
      </c>
      <c r="F2" s="50" t="s">
        <v>122</v>
      </c>
      <c r="G2" s="28" t="s">
        <v>28</v>
      </c>
      <c r="H2" s="19" t="s">
        <v>0</v>
      </c>
      <c r="I2" s="19" t="s">
        <v>2</v>
      </c>
      <c r="J2" s="19" t="s">
        <v>3</v>
      </c>
      <c r="K2" s="19" t="s">
        <v>4</v>
      </c>
      <c r="L2" s="19" t="s">
        <v>5</v>
      </c>
      <c r="M2" s="19" t="s">
        <v>6</v>
      </c>
      <c r="N2" s="19" t="s">
        <v>7</v>
      </c>
      <c r="O2" s="19" t="s">
        <v>8</v>
      </c>
    </row>
    <row r="3" spans="1:21" x14ac:dyDescent="0.15">
      <c r="A3" s="38" t="s">
        <v>120</v>
      </c>
      <c r="B3" s="49" t="s">
        <v>121</v>
      </c>
      <c r="C3" s="29" t="str">
        <f>RIGHT(F3,7)</f>
        <v>7331010</v>
      </c>
      <c r="D3" s="18" t="s">
        <v>18</v>
      </c>
      <c r="E3" s="16" t="str">
        <f t="shared" ref="E3:E4" si="1">B3&amp;C3&amp;D3</f>
        <v>gacha_select_tables_7331010.tmp</v>
      </c>
      <c r="F3" s="50" t="s">
        <v>123</v>
      </c>
      <c r="G3" s="28" t="s">
        <v>28</v>
      </c>
      <c r="H3" s="19" t="s">
        <v>0</v>
      </c>
      <c r="I3" s="19" t="s">
        <v>2</v>
      </c>
      <c r="J3" s="19" t="s">
        <v>3</v>
      </c>
      <c r="K3" s="19" t="s">
        <v>4</v>
      </c>
      <c r="L3" s="19" t="s">
        <v>5</v>
      </c>
      <c r="M3" s="19" t="s">
        <v>6</v>
      </c>
      <c r="N3" s="19" t="s">
        <v>7</v>
      </c>
      <c r="O3" s="19" t="s">
        <v>8</v>
      </c>
    </row>
    <row r="4" spans="1:21" x14ac:dyDescent="0.15">
      <c r="A4" s="38" t="s">
        <v>120</v>
      </c>
      <c r="B4" s="49" t="s">
        <v>121</v>
      </c>
      <c r="C4" s="29" t="str">
        <f>RIGHT(F4,7)</f>
        <v>7332010</v>
      </c>
      <c r="D4" s="18" t="s">
        <v>18</v>
      </c>
      <c r="E4" s="16" t="str">
        <f t="shared" si="1"/>
        <v>gacha_select_tables_7332010.tmp</v>
      </c>
      <c r="F4" s="50" t="s">
        <v>124</v>
      </c>
      <c r="G4" s="28" t="s">
        <v>28</v>
      </c>
      <c r="H4" s="19" t="s">
        <v>0</v>
      </c>
      <c r="I4" s="19" t="s">
        <v>2</v>
      </c>
      <c r="J4" s="19" t="s">
        <v>3</v>
      </c>
      <c r="K4" s="19" t="s">
        <v>4</v>
      </c>
      <c r="L4" s="19" t="s">
        <v>5</v>
      </c>
      <c r="M4" s="19" t="s">
        <v>6</v>
      </c>
      <c r="N4" s="19" t="s">
        <v>7</v>
      </c>
      <c r="O4" s="19" t="s">
        <v>8</v>
      </c>
    </row>
    <row r="5" spans="1:21" x14ac:dyDescent="0.15">
      <c r="A5" s="38" t="s">
        <v>120</v>
      </c>
      <c r="B5" s="49" t="s">
        <v>121</v>
      </c>
      <c r="C5" s="29" t="str">
        <f>RIGHT(F5,7)</f>
        <v>7333010</v>
      </c>
      <c r="D5" s="18" t="s">
        <v>18</v>
      </c>
      <c r="E5" s="16" t="str">
        <f t="shared" ref="E5" si="2">B5&amp;C5&amp;D5</f>
        <v>gacha_select_tables_7333010.tmp</v>
      </c>
      <c r="F5" s="50" t="s">
        <v>125</v>
      </c>
      <c r="G5" s="28" t="s">
        <v>28</v>
      </c>
      <c r="H5" s="19" t="s">
        <v>0</v>
      </c>
      <c r="I5" s="19" t="s">
        <v>2</v>
      </c>
      <c r="J5" s="19" t="s">
        <v>3</v>
      </c>
      <c r="K5" s="19" t="s">
        <v>4</v>
      </c>
      <c r="L5" s="19" t="s">
        <v>5</v>
      </c>
      <c r="M5" s="19" t="s">
        <v>6</v>
      </c>
      <c r="N5" s="19" t="s">
        <v>7</v>
      </c>
      <c r="O5" s="19" t="s">
        <v>8</v>
      </c>
      <c r="P5" s="30"/>
      <c r="Q5" s="30"/>
      <c r="R5" s="30"/>
      <c r="S5" s="30"/>
      <c r="T5" s="30"/>
      <c r="U5" s="30"/>
    </row>
  </sheetData>
  <phoneticPr fontId="1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AJ212"/>
  <sheetViews>
    <sheetView showGridLines="0" zoomScale="75" zoomScaleNormal="75" zoomScalePageLayoutView="75" workbookViewId="0">
      <pane ySplit="1" topLeftCell="A2" activePane="bottomLeft" state="frozen"/>
      <selection activeCell="E6" sqref="E6"/>
      <selection pane="bottomLeft" activeCell="A20" sqref="A20:XFD2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36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36" s="48" customFormat="1" ht="21" customHeight="1" x14ac:dyDescent="0.15">
      <c r="A2" s="2">
        <v>7313010</v>
      </c>
      <c r="B2" s="46">
        <v>743</v>
      </c>
      <c r="C2" s="7" t="str">
        <f t="shared" ref="C2:C19" si="0">D2&amp;J2&amp;E2&amp;F2&amp;G2</f>
        <v>PremiumSS6R5only</v>
      </c>
      <c r="D2" s="7" t="str">
        <f t="shared" ref="D2:D19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弩級の洸源 アポロン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26">
        <v>20</v>
      </c>
      <c r="P2" s="27">
        <f>O2/SUM(O:O)</f>
        <v>5.5555555555555552E-2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</row>
    <row r="3" spans="1:36" s="48" customFormat="1" ht="21" customHeight="1" x14ac:dyDescent="0.15">
      <c r="A3" s="2">
        <v>7313010</v>
      </c>
      <c r="B3" s="46">
        <v>811</v>
      </c>
      <c r="C3" s="7" t="str">
        <f t="shared" si="0"/>
        <v>PremiumSS6R5only</v>
      </c>
      <c r="D3" s="7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咲き誇る旅航者 親指姫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red</v>
      </c>
      <c r="L3" s="7" t="str">
        <f>VLOOKUP(B3,[1]characters!$A:$K,11,FALSE)</f>
        <v>heal</v>
      </c>
      <c r="M3" s="7" t="str">
        <f>VLOOKUP(B3,[1]characters!$A:$M,13,FALSE)</f>
        <v>human</v>
      </c>
      <c r="N3" s="7" t="str">
        <f>VLOOKUP(B3,[1]characters!$A:$G,7,FALSE)</f>
        <v>男性</v>
      </c>
      <c r="O3" s="26">
        <v>20</v>
      </c>
      <c r="P3" s="27">
        <f>O3/SUM(O:O)</f>
        <v>5.5555555555555552E-2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</row>
    <row r="4" spans="1:36" s="48" customFormat="1" ht="21" customHeight="1" x14ac:dyDescent="0.15">
      <c r="A4" s="2">
        <v>7313010</v>
      </c>
      <c r="B4" s="46">
        <v>817</v>
      </c>
      <c r="C4" s="7" t="str">
        <f t="shared" si="0"/>
        <v>PremiumSS6R5only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決戦の抗弾 D.R.T.H.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red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男性</v>
      </c>
      <c r="O4" s="26">
        <v>20</v>
      </c>
      <c r="P4" s="27">
        <f>O4/SUM(O:O)</f>
        <v>5.5555555555555552E-2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</row>
    <row r="5" spans="1:36" s="48" customFormat="1" ht="21" customHeight="1" x14ac:dyDescent="0.15">
      <c r="A5" s="2">
        <v>7313010</v>
      </c>
      <c r="B5" s="46">
        <v>821</v>
      </c>
      <c r="C5" s="7" t="str">
        <f t="shared" si="0"/>
        <v>PremiumSS6R5only</v>
      </c>
      <c r="D5" s="7" t="str">
        <f t="shared" si="1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急蹴の硬機脚 ブートレグ・ペロー</v>
      </c>
      <c r="I5" s="7" t="str">
        <f>VLOOKUP(B5,[1]characters!$A:$J,10,FALSE)</f>
        <v>PremiumSS</v>
      </c>
      <c r="J5" s="7">
        <f>VLOOKUP(B5,[1]characters!$A:$I,9,FALSE)</f>
        <v>6</v>
      </c>
      <c r="K5" s="7" t="str">
        <f>VLOOKUP(B5,[1]characters!$A:$H,8,FALSE)</f>
        <v>red</v>
      </c>
      <c r="L5" s="7" t="str">
        <f>VLOOKUP(B5,[1]characters!$A:$K,11,FALSE)</f>
        <v>hp</v>
      </c>
      <c r="M5" s="7" t="str">
        <f>VLOOKUP(B5,[1]characters!$A:$M,13,FALSE)</f>
        <v>animal</v>
      </c>
      <c r="N5" s="7" t="str">
        <f>VLOOKUP(B5,[1]characters!$A:$G,7,FALSE)</f>
        <v>男性</v>
      </c>
      <c r="O5" s="26">
        <v>20</v>
      </c>
      <c r="P5" s="27">
        <f>O5/SUM(O:O)</f>
        <v>5.5555555555555552E-2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</row>
    <row r="6" spans="1:36" s="48" customFormat="1" ht="21" customHeight="1" x14ac:dyDescent="0.15">
      <c r="A6" s="2">
        <v>7313010</v>
      </c>
      <c r="B6" s="46">
        <v>829</v>
      </c>
      <c r="C6" s="7" t="str">
        <f t="shared" si="0"/>
        <v>PremiumSS6R5only</v>
      </c>
      <c r="D6" s="7" t="str">
        <f t="shared" si="1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銃刃乱舞の怪猫 クルミ</v>
      </c>
      <c r="I6" s="7" t="str">
        <f>VLOOKUP(B6,[1]characters!$A:$J,10,FALSE)</f>
        <v>PremiumSS</v>
      </c>
      <c r="J6" s="7">
        <f>VLOOKUP(B6,[1]characters!$A:$I,9,FALSE)</f>
        <v>6</v>
      </c>
      <c r="K6" s="7" t="str">
        <f>VLOOKUP(B6,[1]characters!$A:$H,8,FALSE)</f>
        <v>red</v>
      </c>
      <c r="L6" s="7" t="str">
        <f>VLOOKUP(B6,[1]characters!$A:$K,11,FALSE)</f>
        <v>attack</v>
      </c>
      <c r="M6" s="7" t="str">
        <f>VLOOKUP(B6,[1]characters!$A:$M,13,FALSE)</f>
        <v>unknown</v>
      </c>
      <c r="N6" s="7" t="str">
        <f>VLOOKUP(B6,[1]characters!$A:$G,7,FALSE)</f>
        <v>男性</v>
      </c>
      <c r="O6" s="26">
        <v>20</v>
      </c>
      <c r="P6" s="27">
        <f>O6/SUM(O:O)</f>
        <v>5.5555555555555552E-2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</row>
    <row r="7" spans="1:36" s="48" customFormat="1" ht="21" customHeight="1" x14ac:dyDescent="0.15">
      <c r="A7" s="2">
        <v>7313010</v>
      </c>
      <c r="B7" s="46">
        <v>838</v>
      </c>
      <c r="C7" s="7" t="str">
        <f t="shared" si="0"/>
        <v>PremiumSS6R5only</v>
      </c>
      <c r="D7" s="7" t="str">
        <f t="shared" si="1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巌鋼の爆烈志士 近藤勇</v>
      </c>
      <c r="I7" s="7" t="str">
        <f>VLOOKUP(B7,[1]characters!$A:$J,10,FALSE)</f>
        <v>PremiumSS</v>
      </c>
      <c r="J7" s="7">
        <f>VLOOKUP(B7,[1]characters!$A:$I,9,FALSE)</f>
        <v>6</v>
      </c>
      <c r="K7" s="7" t="str">
        <f>VLOOKUP(B7,[1]characters!$A:$H,8,FALSE)</f>
        <v>red</v>
      </c>
      <c r="L7" s="7" t="str">
        <f>VLOOKUP(B7,[1]characters!$A:$K,11,FALSE)</f>
        <v>hp</v>
      </c>
      <c r="M7" s="7" t="str">
        <f>VLOOKUP(B7,[1]characters!$A:$M,13,FALSE)</f>
        <v>human</v>
      </c>
      <c r="N7" s="7" t="str">
        <f>VLOOKUP(B7,[1]characters!$A:$G,7,FALSE)</f>
        <v>男性</v>
      </c>
      <c r="O7" s="26">
        <v>20</v>
      </c>
      <c r="P7" s="27">
        <f>O7/SUM(O:O)</f>
        <v>5.5555555555555552E-2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</row>
    <row r="8" spans="1:36" s="48" customFormat="1" ht="21" customHeight="1" x14ac:dyDescent="0.15">
      <c r="A8" s="2">
        <v>7313010</v>
      </c>
      <c r="B8" s="46">
        <v>849</v>
      </c>
      <c r="C8" s="7" t="str">
        <f t="shared" si="0"/>
        <v>PremiumSS6R5only</v>
      </c>
      <c r="D8" s="7" t="str">
        <f t="shared" si="1"/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燦然たる天使 メタトロン・ラヴァ</v>
      </c>
      <c r="I8" s="7" t="str">
        <f>VLOOKUP(B8,[1]characters!$A:$J,10,FALSE)</f>
        <v>PremiumSS</v>
      </c>
      <c r="J8" s="7">
        <f>VLOOKUP(B8,[1]characters!$A:$I,9,FALSE)</f>
        <v>6</v>
      </c>
      <c r="K8" s="7" t="str">
        <f>VLOOKUP(B8,[1]characters!$A:$H,8,FALSE)</f>
        <v>red</v>
      </c>
      <c r="L8" s="7" t="str">
        <f>VLOOKUP(B8,[1]characters!$A:$K,11,FALSE)</f>
        <v>balance</v>
      </c>
      <c r="M8" s="7" t="str">
        <f>VLOOKUP(B8,[1]characters!$A:$M,13,FALSE)</f>
        <v>god</v>
      </c>
      <c r="N8" s="7" t="str">
        <f>VLOOKUP(B8,[1]characters!$A:$G,7,FALSE)</f>
        <v>男性</v>
      </c>
      <c r="O8" s="26">
        <v>20</v>
      </c>
      <c r="P8" s="27">
        <f>O8/SUM(O:O)</f>
        <v>5.5555555555555552E-2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</row>
    <row r="9" spans="1:36" s="48" customFormat="1" ht="21" customHeight="1" x14ac:dyDescent="0.15">
      <c r="A9" s="2">
        <v>7313010</v>
      </c>
      <c r="B9" s="46">
        <v>896</v>
      </c>
      <c r="C9" s="7" t="str">
        <f t="shared" si="0"/>
        <v>PremiumSS6R5only</v>
      </c>
      <c r="D9" s="7" t="str">
        <f t="shared" si="1"/>
        <v>PremiumSS</v>
      </c>
      <c r="E9" s="7" t="str">
        <f>IF(COUNTIF('R6追加前'!A:A,B9)=0,IF(OR(I9="PremiumSS",I9="PremiumSSw"),"R5only","R3less"),"")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天衣紡ぐ麗鶴 ハヅル</v>
      </c>
      <c r="I9" s="7" t="str">
        <f>VLOOKUP(B9,[1]characters!$A:$J,10,FALSE)</f>
        <v>PremiumSS</v>
      </c>
      <c r="J9" s="7">
        <f>VLOOKUP(B9,[1]characters!$A:$I,9,FALSE)</f>
        <v>6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animal</v>
      </c>
      <c r="N9" s="7" t="str">
        <f>VLOOKUP(B9,[1]characters!$A:$G,7,FALSE)</f>
        <v>男性</v>
      </c>
      <c r="O9" s="26">
        <v>20</v>
      </c>
      <c r="P9" s="27">
        <f>O9/SUM(O:O)</f>
        <v>5.5555555555555552E-2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</row>
    <row r="10" spans="1:36" s="48" customFormat="1" ht="21" customHeight="1" x14ac:dyDescent="0.15">
      <c r="A10" s="2">
        <v>7313010</v>
      </c>
      <c r="B10" s="46">
        <v>938</v>
      </c>
      <c r="C10" s="7" t="str">
        <f t="shared" si="0"/>
        <v>PremiumSS6R5only</v>
      </c>
      <c r="D10" s="7" t="str">
        <f t="shared" si="1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炎焔宿す革命皇 ナポレオン</v>
      </c>
      <c r="I10" s="7" t="str">
        <f>VLOOKUP(B10,[1]characters!$A:$J,10,FALSE)</f>
        <v>PremiumSS</v>
      </c>
      <c r="J10" s="7">
        <f>VLOOKUP(B10,[1]characters!$A:$I,9,FALSE)</f>
        <v>6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男性</v>
      </c>
      <c r="O10" s="26">
        <v>20</v>
      </c>
      <c r="P10" s="27">
        <f>O10/SUM(O:O)</f>
        <v>5.5555555555555552E-2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</row>
    <row r="11" spans="1:36" s="48" customFormat="1" ht="21" customHeight="1" x14ac:dyDescent="0.15">
      <c r="A11" s="2">
        <v>7313010</v>
      </c>
      <c r="B11" s="46">
        <v>965</v>
      </c>
      <c r="C11" s="7" t="str">
        <f t="shared" si="0"/>
        <v>PremiumSS6R5only</v>
      </c>
      <c r="D11" s="7" t="str">
        <f t="shared" si="1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穿熱の緋龍王 キング・ドライグ</v>
      </c>
      <c r="I11" s="7" t="str">
        <f>VLOOKUP(B11,[1]characters!$A:$J,10,FALSE)</f>
        <v>PremiumSS</v>
      </c>
      <c r="J11" s="7">
        <f>VLOOKUP(B11,[1]characters!$A:$I,9,FALSE)</f>
        <v>6</v>
      </c>
      <c r="K11" s="7" t="str">
        <f>VLOOKUP(B11,[1]characters!$A:$H,8,FALSE)</f>
        <v>red</v>
      </c>
      <c r="L11" s="7" t="str">
        <f>VLOOKUP(B11,[1]characters!$A:$K,11,FALSE)</f>
        <v>attack</v>
      </c>
      <c r="M11" s="7" t="str">
        <f>VLOOKUP(B11,[1]characters!$A:$M,13,FALSE)</f>
        <v>dragon</v>
      </c>
      <c r="N11" s="7" t="str">
        <f>VLOOKUP(B11,[1]characters!$A:$G,7,FALSE)</f>
        <v>男性</v>
      </c>
      <c r="O11" s="26">
        <v>20</v>
      </c>
      <c r="P11" s="27">
        <f>O11/SUM(O:O)</f>
        <v>5.5555555555555552E-2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</row>
    <row r="12" spans="1:36" s="48" customFormat="1" ht="21" customHeight="1" x14ac:dyDescent="0.15">
      <c r="A12" s="2">
        <v>7313010</v>
      </c>
      <c r="B12" s="46">
        <v>969</v>
      </c>
      <c r="C12" s="7" t="str">
        <f t="shared" si="0"/>
        <v>PremiumSS6R5only</v>
      </c>
      <c r="D12" s="7" t="str">
        <f t="shared" si="1"/>
        <v>PremiumSS</v>
      </c>
      <c r="E12" s="7" t="str">
        <f>IF(COUNTIF('R6追加前'!A:A,B12)=0,IF(OR(I12="PremiumSS",I12="PremiumSSw"),"R5only","R3less"),"")</f>
        <v>R5only</v>
      </c>
      <c r="F12" s="7" t="str">
        <f>IF(COUNTIF('R6開放'!A:A,B12)&gt;0,"R6release","")</f>
        <v/>
      </c>
      <c r="G12" s="7"/>
      <c r="H12" s="7" t="str">
        <f>VLOOKUP(B12,[1]characters!$A:$C,3,FALSE)</f>
        <v>超排撃の焔砲巨神 ユミル</v>
      </c>
      <c r="I12" s="7" t="str">
        <f>VLOOKUP(B12,[1]characters!$A:$J,10,FALSE)</f>
        <v>PremiumSS</v>
      </c>
      <c r="J12" s="7">
        <f>VLOOKUP(B12,[1]characters!$A:$I,9,FALSE)</f>
        <v>6</v>
      </c>
      <c r="K12" s="7" t="str">
        <f>VLOOKUP(B12,[1]characters!$A:$H,8,FALSE)</f>
        <v>red</v>
      </c>
      <c r="L12" s="7" t="str">
        <f>VLOOKUP(B12,[1]characters!$A:$K,11,FALSE)</f>
        <v>hp</v>
      </c>
      <c r="M12" s="7" t="str">
        <f>VLOOKUP(B12,[1]characters!$A:$M,13,FALSE)</f>
        <v>machine</v>
      </c>
      <c r="N12" s="7" t="str">
        <f>VLOOKUP(B12,[1]characters!$A:$G,7,FALSE)</f>
        <v>男性</v>
      </c>
      <c r="O12" s="26">
        <v>20</v>
      </c>
      <c r="P12" s="27">
        <f>O12/SUM(O:O)</f>
        <v>5.5555555555555552E-2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</row>
    <row r="13" spans="1:36" s="48" customFormat="1" ht="21" customHeight="1" x14ac:dyDescent="0.15">
      <c r="A13" s="2">
        <v>7313010</v>
      </c>
      <c r="B13" s="46">
        <v>1013</v>
      </c>
      <c r="C13" s="7" t="str">
        <f t="shared" si="0"/>
        <v>PremiumSS6R5only</v>
      </c>
      <c r="D13" s="7" t="str">
        <f t="shared" si="1"/>
        <v>PremiumSS</v>
      </c>
      <c r="E13" s="7" t="str">
        <f>IF(COUNTIF('R6追加前'!A:A,B13)=0,IF(OR(I13="PremiumSS",I13="PremiumSSw"),"R5only","R3less"),"")</f>
        <v>R5only</v>
      </c>
      <c r="F13" s="7" t="str">
        <f>IF(COUNTIF('R6開放'!A:A,B13)&gt;0,"R6release","")</f>
        <v/>
      </c>
      <c r="G13" s="7"/>
      <c r="H13" s="7" t="str">
        <f>VLOOKUP(B13,[1]characters!$A:$C,3,FALSE)</f>
        <v>聖陽昇る緋洸神 ラー</v>
      </c>
      <c r="I13" s="7" t="str">
        <f>VLOOKUP(B13,[1]characters!$A:$J,10,FALSE)</f>
        <v>PremiumSS</v>
      </c>
      <c r="J13" s="7">
        <f>VLOOKUP(B13,[1]characters!$A:$I,9,FALSE)</f>
        <v>6</v>
      </c>
      <c r="K13" s="7" t="str">
        <f>VLOOKUP(B13,[1]characters!$A:$H,8,FALSE)</f>
        <v>red</v>
      </c>
      <c r="L13" s="7" t="str">
        <f>VLOOKUP(B13,[1]characters!$A:$K,11,FALSE)</f>
        <v>balance</v>
      </c>
      <c r="M13" s="7" t="str">
        <f>VLOOKUP(B13,[1]characters!$A:$M,13,FALSE)</f>
        <v>god</v>
      </c>
      <c r="N13" s="7" t="str">
        <f>VLOOKUP(B13,[1]characters!$A:$G,7,FALSE)</f>
        <v>男性</v>
      </c>
      <c r="O13" s="26">
        <v>20</v>
      </c>
      <c r="P13" s="27">
        <f>O13/SUM(O:O)</f>
        <v>5.5555555555555552E-2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</row>
    <row r="14" spans="1:36" s="48" customFormat="1" ht="21" customHeight="1" x14ac:dyDescent="0.15">
      <c r="A14" s="2">
        <v>7313010</v>
      </c>
      <c r="B14" s="46">
        <v>1101</v>
      </c>
      <c r="C14" s="7" t="str">
        <f t="shared" si="0"/>
        <v>PremiumSS6R5only</v>
      </c>
      <c r="D14" s="7" t="str">
        <f t="shared" si="1"/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浮世万物の筆刻者 北斎</v>
      </c>
      <c r="I14" s="7" t="str">
        <f>VLOOKUP(B14,[1]characters!$A:$J,10,FALSE)</f>
        <v>PremiumSS</v>
      </c>
      <c r="J14" s="7">
        <f>VLOOKUP(B14,[1]characters!$A:$I,9,FALSE)</f>
        <v>6</v>
      </c>
      <c r="K14" s="7" t="str">
        <f>VLOOKUP(B14,[1]characters!$A:$H,8,FALSE)</f>
        <v>red</v>
      </c>
      <c r="L14" s="7" t="str">
        <f>VLOOKUP(B14,[1]characters!$A:$K,11,FALSE)</f>
        <v>attack</v>
      </c>
      <c r="M14" s="7" t="str">
        <f>VLOOKUP(B14,[1]characters!$A:$M,13,FALSE)</f>
        <v>human</v>
      </c>
      <c r="N14" s="7" t="str">
        <f>VLOOKUP(B14,[1]characters!$A:$G,7,FALSE)</f>
        <v>不明</v>
      </c>
      <c r="O14" s="26">
        <v>20</v>
      </c>
      <c r="P14" s="27">
        <f>O14/SUM(O:O)</f>
        <v>5.5555555555555552E-2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</row>
    <row r="15" spans="1:36" s="48" customFormat="1" ht="21" customHeight="1" x14ac:dyDescent="0.15">
      <c r="A15" s="2">
        <v>7313010</v>
      </c>
      <c r="B15" s="46">
        <v>1138</v>
      </c>
      <c r="C15" s="7" t="str">
        <f t="shared" si="0"/>
        <v>PremiumSS6R5only</v>
      </c>
      <c r="D15" s="7" t="str">
        <f t="shared" si="1"/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神算鬼謀の宰相 諸葛亮</v>
      </c>
      <c r="I15" s="7" t="str">
        <f>VLOOKUP(B15,[1]characters!$A:$J,10,FALSE)</f>
        <v>PremiumSSw</v>
      </c>
      <c r="J15" s="7">
        <f>VLOOKUP(B15,[1]characters!$A:$I,9,FALSE)</f>
        <v>6</v>
      </c>
      <c r="K15" s="7" t="str">
        <f>VLOOKUP(B15,[1]characters!$A:$H,8,FALSE)</f>
        <v>red</v>
      </c>
      <c r="L15" s="7" t="str">
        <f>VLOOKUP(B15,[1]characters!$A:$K,11,FALSE)</f>
        <v>technical</v>
      </c>
      <c r="M15" s="7" t="str">
        <f>VLOOKUP(B15,[1]characters!$A:$M,13,FALSE)</f>
        <v>samurai</v>
      </c>
      <c r="N15" s="7" t="str">
        <f>VLOOKUP(B15,[1]characters!$A:$G,7,FALSE)</f>
        <v>不明</v>
      </c>
      <c r="O15" s="26">
        <v>20</v>
      </c>
      <c r="P15" s="27">
        <f>O15/SUM(O:O)</f>
        <v>5.5555555555555552E-2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</row>
    <row r="16" spans="1:36" s="48" customFormat="1" ht="21" customHeight="1" x14ac:dyDescent="0.15">
      <c r="A16" s="2">
        <v>7313010</v>
      </c>
      <c r="B16" s="47">
        <v>1209</v>
      </c>
      <c r="C16" s="7" t="str">
        <f t="shared" si="0"/>
        <v>PremiumSS6R5only</v>
      </c>
      <c r="D16" s="7" t="str">
        <f t="shared" si="1"/>
        <v>PremiumSS</v>
      </c>
      <c r="E16" s="7" t="str">
        <f>IF(COUNTIF('R6追加前'!A:A,B16)=0,IF(OR(I16="PremiumSS",I16="PremiumSSw"),"R5only","R3less"),"")</f>
        <v>R5only</v>
      </c>
      <c r="F16" s="7" t="str">
        <f>IF(COUNTIF('R6開放'!A:A,B16)&gt;0,"R6release","")</f>
        <v/>
      </c>
      <c r="G16" s="7"/>
      <c r="H16" s="7" t="str">
        <f>VLOOKUP(B16,[1]characters!$A:$C,3,FALSE)</f>
        <v>刹那の過罰神 ネメシス</v>
      </c>
      <c r="I16" s="7" t="str">
        <f>VLOOKUP(B16,[1]characters!$A:$J,10,FALSE)</f>
        <v>PremiumSS</v>
      </c>
      <c r="J16" s="7">
        <f>VLOOKUP(B16,[1]characters!$A:$I,9,FALSE)</f>
        <v>6</v>
      </c>
      <c r="K16" s="7" t="str">
        <f>VLOOKUP(B16,[1]characters!$A:$H,8,FALSE)</f>
        <v>red</v>
      </c>
      <c r="L16" s="7" t="str">
        <f>VLOOKUP(B16,[1]characters!$A:$K,11,FALSE)</f>
        <v>hp</v>
      </c>
      <c r="M16" s="7" t="str">
        <f>VLOOKUP(B16,[1]characters!$A:$M,13,FALSE)</f>
        <v>god</v>
      </c>
      <c r="N16" s="7">
        <f>VLOOKUP(B16,[1]characters!$A:$G,7,FALSE)</f>
        <v>0</v>
      </c>
      <c r="O16" s="26">
        <v>20</v>
      </c>
      <c r="P16" s="27">
        <f>O16/SUM(O:O)</f>
        <v>5.5555555555555552E-2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</row>
    <row r="17" spans="1:36" s="48" customFormat="1" ht="21" customHeight="1" x14ac:dyDescent="0.15">
      <c r="A17" s="2">
        <v>7313010</v>
      </c>
      <c r="B17" s="47">
        <v>1245</v>
      </c>
      <c r="C17" s="7" t="str">
        <f t="shared" si="0"/>
        <v>PremiumSS6R5only</v>
      </c>
      <c r="D17" s="7" t="str">
        <f t="shared" si="1"/>
        <v>PremiumSS</v>
      </c>
      <c r="E17" s="7" t="str">
        <f>IF(COUNTIF('R6追加前'!A:A,B17)=0,IF(OR(I17="PremiumSS",I17="PremiumSSw"),"R5only","R3less"),"")</f>
        <v>R5only</v>
      </c>
      <c r="F17" s="7" t="str">
        <f>IF(COUNTIF('R6開放'!A:A,B17)&gt;0,"R6release","")</f>
        <v/>
      </c>
      <c r="G17" s="7"/>
      <c r="H17" s="7" t="str">
        <f>VLOOKUP(B17,[1]characters!$A:$C,3,FALSE)</f>
        <v>甲火の特殊忍 猿飛佐助</v>
      </c>
      <c r="I17" s="7" t="str">
        <f>VLOOKUP(B17,[1]characters!$A:$J,10,FALSE)</f>
        <v>PremiumSS</v>
      </c>
      <c r="J17" s="7">
        <f>VLOOKUP(B17,[1]characters!$A:$I,9,FALSE)</f>
        <v>6</v>
      </c>
      <c r="K17" s="7" t="str">
        <f>VLOOKUP(B17,[1]characters!$A:$H,8,FALSE)</f>
        <v>red</v>
      </c>
      <c r="L17" s="7" t="str">
        <f>VLOOKUP(B17,[1]characters!$A:$K,11,FALSE)</f>
        <v>attack</v>
      </c>
      <c r="M17" s="7" t="str">
        <f>VLOOKUP(B17,[1]characters!$A:$M,13,FALSE)</f>
        <v>human</v>
      </c>
      <c r="N17" s="7">
        <f>VLOOKUP(B17,[1]characters!$A:$G,7,FALSE)</f>
        <v>0</v>
      </c>
      <c r="O17" s="26">
        <v>20</v>
      </c>
      <c r="P17" s="27">
        <f>O17/SUM(O:O)</f>
        <v>5.5555555555555552E-2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</row>
    <row r="18" spans="1:36" s="48" customFormat="1" ht="21" customHeight="1" x14ac:dyDescent="0.15">
      <c r="A18" s="2">
        <v>7313010</v>
      </c>
      <c r="B18" s="47">
        <v>1261</v>
      </c>
      <c r="C18" s="7" t="str">
        <f t="shared" si="0"/>
        <v>PremiumSS6R5only</v>
      </c>
      <c r="D18" s="7" t="str">
        <f t="shared" si="1"/>
        <v>PremiumSS</v>
      </c>
      <c r="E18" s="7" t="str">
        <f>IF(COUNTIF('R6追加前'!A:A,B18)=0,IF(OR(I18="PremiumSS",I18="PremiumSSw"),"R5only","R3less"),"")</f>
        <v>R5only</v>
      </c>
      <c r="F18" s="7" t="str">
        <f>IF(COUNTIF('R6開放'!A:A,B18)&gt;0,"R6release","")</f>
        <v/>
      </c>
      <c r="G18" s="7"/>
      <c r="H18" s="7" t="str">
        <f>VLOOKUP(B18,[1]characters!$A:$C,3,FALSE)</f>
        <v>燃雷の鎚撃 トール</v>
      </c>
      <c r="I18" s="7" t="str">
        <f>VLOOKUP(B18,[1]characters!$A:$J,10,FALSE)</f>
        <v>PremiumSS</v>
      </c>
      <c r="J18" s="7">
        <f>VLOOKUP(B18,[1]characters!$A:$I,9,FALSE)</f>
        <v>6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>
        <f>VLOOKUP(B18,[1]characters!$A:$G,7,FALSE)</f>
        <v>0</v>
      </c>
      <c r="O18" s="26">
        <v>20</v>
      </c>
      <c r="P18" s="27">
        <f>O18/SUM(O:O)</f>
        <v>5.5555555555555552E-2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</row>
    <row r="19" spans="1:36" s="48" customFormat="1" ht="21" customHeight="1" x14ac:dyDescent="0.15">
      <c r="A19" s="2">
        <v>7313010</v>
      </c>
      <c r="B19" s="5">
        <v>1333</v>
      </c>
      <c r="C19" s="7" t="str">
        <f t="shared" si="0"/>
        <v>PremiumSS6R5only</v>
      </c>
      <c r="D19" s="7" t="str">
        <f t="shared" si="1"/>
        <v>PremiumSS</v>
      </c>
      <c r="E19" s="7" t="str">
        <f>IF(COUNTIF('R6追加前'!A:A,B19)=0,IF(OR(I19="PremiumSS",I19="PremiumSSw"),"R5only","R3less"),"")</f>
        <v>R5only</v>
      </c>
      <c r="F19" s="7" t="str">
        <f>IF(COUNTIF('R6開放'!A:A,B19)&gt;0,"R6release","")</f>
        <v/>
      </c>
      <c r="G19" s="7"/>
      <c r="H19" s="7" t="str">
        <f>VLOOKUP(B19,[1]characters!$A:$C,3,FALSE)</f>
        <v>神心を射る穂神 クシナダヒメ</v>
      </c>
      <c r="I19" s="7" t="str">
        <f>VLOOKUP(B19,[1]characters!$A:$J,10,FALSE)</f>
        <v>PremiumSSw</v>
      </c>
      <c r="J19" s="7">
        <f>VLOOKUP(B19,[1]characters!$A:$I,9,FALSE)</f>
        <v>6</v>
      </c>
      <c r="K19" s="7" t="str">
        <f>VLOOKUP(B19,[1]characters!$A:$H,8,FALSE)</f>
        <v>red</v>
      </c>
      <c r="L19" s="7" t="str">
        <f>VLOOKUP(B19,[1]characters!$A:$K,11,FALSE)</f>
        <v>hp</v>
      </c>
      <c r="M19" s="7" t="str">
        <f>VLOOKUP(B19,[1]characters!$A:$M,13,FALSE)</f>
        <v>god</v>
      </c>
      <c r="N19" s="7">
        <f>VLOOKUP(B19,[1]characters!$A:$G,7,FALSE)</f>
        <v>0</v>
      </c>
      <c r="O19" s="26">
        <v>20</v>
      </c>
      <c r="P19" s="27">
        <f>O19/SUM(O:O)</f>
        <v>5.5555555555555552E-2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</row>
    <row r="20" spans="1:36" s="12" customFormat="1" ht="21" customHeight="1" thickBot="1" x14ac:dyDescent="0.2">
      <c r="A20" s="39"/>
      <c r="B20" s="40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41"/>
      <c r="P20" s="42"/>
      <c r="Q20" s="43"/>
      <c r="R20" s="43"/>
      <c r="S20" s="43"/>
      <c r="T20" s="43"/>
      <c r="U20" s="43"/>
      <c r="V20" s="43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</row>
    <row r="21" spans="1:36" ht="21" customHeight="1" x14ac:dyDescent="0.15">
      <c r="A21" s="39"/>
      <c r="B21" s="40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41"/>
      <c r="P21" s="42"/>
      <c r="Q21" s="43"/>
      <c r="R21" s="43"/>
      <c r="S21" s="43"/>
      <c r="T21" s="43"/>
      <c r="U21" s="43"/>
      <c r="V21" s="43"/>
    </row>
    <row r="22" spans="1:36" ht="21" customHeight="1" x14ac:dyDescent="0.15">
      <c r="A22" s="39"/>
      <c r="B22" s="40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41"/>
      <c r="P22" s="42"/>
      <c r="Q22" s="43"/>
      <c r="R22" s="43"/>
      <c r="S22" s="43"/>
      <c r="T22" s="43"/>
      <c r="U22" s="43"/>
      <c r="V22" s="43"/>
    </row>
    <row r="23" spans="1:36" ht="21" customHeight="1" x14ac:dyDescent="0.15">
      <c r="A23" s="39"/>
      <c r="B23" s="40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41"/>
      <c r="P23" s="42"/>
      <c r="Q23" s="43"/>
      <c r="R23" s="43"/>
      <c r="S23" s="43"/>
      <c r="T23" s="43"/>
      <c r="U23" s="43"/>
      <c r="V23" s="43"/>
    </row>
    <row r="24" spans="1:36" ht="21" customHeight="1" x14ac:dyDescent="0.15">
      <c r="A24" s="39"/>
      <c r="B24" s="40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41"/>
      <c r="P24" s="42"/>
      <c r="Q24" s="43"/>
      <c r="R24" s="43"/>
      <c r="S24" s="43"/>
      <c r="T24" s="43"/>
      <c r="U24" s="43"/>
      <c r="V24" s="43"/>
    </row>
    <row r="25" spans="1:36" ht="21" customHeight="1" x14ac:dyDescent="0.15">
      <c r="A25" s="39"/>
      <c r="B25" s="40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41"/>
      <c r="P25" s="42"/>
      <c r="Q25" s="43"/>
      <c r="R25" s="43"/>
      <c r="S25" s="43"/>
      <c r="T25" s="43"/>
      <c r="U25" s="43"/>
      <c r="V25" s="43"/>
    </row>
    <row r="26" spans="1:36" ht="21" customHeight="1" x14ac:dyDescent="0.15">
      <c r="A26" s="39"/>
      <c r="B26" s="40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41"/>
      <c r="P26" s="42"/>
      <c r="Q26" s="43"/>
      <c r="R26" s="43"/>
      <c r="S26" s="43"/>
      <c r="T26" s="43"/>
      <c r="U26" s="43"/>
      <c r="V26" s="43"/>
    </row>
    <row r="27" spans="1:36" ht="21" customHeight="1" x14ac:dyDescent="0.15">
      <c r="A27" s="39"/>
      <c r="B27" s="40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41"/>
      <c r="P27" s="42"/>
      <c r="Q27" s="43"/>
      <c r="R27" s="43"/>
      <c r="S27" s="43"/>
      <c r="T27" s="43"/>
      <c r="U27" s="43"/>
      <c r="V27" s="43"/>
    </row>
    <row r="28" spans="1:36" ht="21" customHeight="1" x14ac:dyDescent="0.15">
      <c r="A28" s="39"/>
      <c r="B28" s="40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41"/>
      <c r="P28" s="42"/>
      <c r="Q28" s="43"/>
      <c r="R28" s="43"/>
      <c r="S28" s="43"/>
      <c r="T28" s="43"/>
      <c r="U28" s="43"/>
      <c r="V28" s="43"/>
    </row>
    <row r="29" spans="1:36" ht="21" customHeight="1" x14ac:dyDescent="0.15">
      <c r="A29" s="39"/>
      <c r="B29" s="40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41"/>
      <c r="P29" s="42"/>
      <c r="Q29" s="43"/>
      <c r="R29" s="43"/>
      <c r="S29" s="43"/>
      <c r="T29" s="43"/>
      <c r="U29" s="43"/>
      <c r="V29" s="43"/>
    </row>
    <row r="30" spans="1:36" ht="21" customHeight="1" x14ac:dyDescent="0.15">
      <c r="A30" s="39"/>
      <c r="B30" s="40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41"/>
      <c r="P30" s="42"/>
      <c r="Q30" s="43"/>
      <c r="R30" s="43"/>
      <c r="S30" s="43"/>
      <c r="T30" s="43"/>
      <c r="U30" s="43"/>
      <c r="V30" s="43"/>
    </row>
    <row r="31" spans="1:36" ht="21" customHeight="1" x14ac:dyDescent="0.15">
      <c r="A31" s="39"/>
      <c r="B31" s="40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41"/>
      <c r="P31" s="42"/>
      <c r="Q31" s="43"/>
      <c r="R31" s="43"/>
      <c r="S31" s="43"/>
      <c r="T31" s="43"/>
      <c r="U31" s="43"/>
      <c r="V31" s="43"/>
    </row>
    <row r="32" spans="1:36" ht="21" customHeight="1" x14ac:dyDescent="0.15">
      <c r="A32" s="39"/>
      <c r="B32" s="40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41"/>
      <c r="P32" s="42"/>
      <c r="Q32" s="43"/>
      <c r="R32" s="43"/>
      <c r="S32" s="43"/>
      <c r="T32" s="43"/>
      <c r="U32" s="43"/>
      <c r="V32" s="43"/>
    </row>
    <row r="33" spans="1:22" ht="21" customHeight="1" x14ac:dyDescent="0.15">
      <c r="A33" s="39"/>
      <c r="B33" s="40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41"/>
      <c r="P33" s="42"/>
      <c r="Q33" s="43"/>
      <c r="R33" s="43"/>
      <c r="S33" s="43"/>
      <c r="T33" s="43"/>
      <c r="U33" s="43"/>
      <c r="V33" s="43"/>
    </row>
    <row r="34" spans="1:22" ht="21" customHeight="1" x14ac:dyDescent="0.15">
      <c r="A34" s="39"/>
      <c r="B34" s="40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41"/>
      <c r="P34" s="42"/>
      <c r="Q34" s="43"/>
      <c r="R34" s="43"/>
      <c r="S34" s="43"/>
      <c r="T34" s="43"/>
      <c r="U34" s="43"/>
      <c r="V34" s="43"/>
    </row>
    <row r="35" spans="1:22" ht="21" customHeight="1" x14ac:dyDescent="0.15">
      <c r="A35" s="39"/>
      <c r="B35" s="40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41"/>
      <c r="P35" s="42"/>
      <c r="Q35" s="43"/>
      <c r="R35" s="43"/>
      <c r="S35" s="43"/>
      <c r="T35" s="43"/>
      <c r="U35" s="43"/>
      <c r="V35" s="43"/>
    </row>
    <row r="36" spans="1:22" ht="21" customHeight="1" x14ac:dyDescent="0.15">
      <c r="A36" s="39"/>
      <c r="B36" s="40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41"/>
      <c r="P36" s="42"/>
      <c r="Q36" s="43"/>
      <c r="R36" s="43"/>
      <c r="S36" s="43"/>
      <c r="T36" s="43"/>
      <c r="U36" s="43"/>
      <c r="V36" s="43"/>
    </row>
    <row r="37" spans="1:22" ht="21" customHeight="1" x14ac:dyDescent="0.15">
      <c r="A37" s="39"/>
      <c r="B37" s="40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41"/>
      <c r="P37" s="42"/>
      <c r="Q37" s="43"/>
      <c r="R37" s="43"/>
      <c r="S37" s="43"/>
      <c r="T37" s="43"/>
      <c r="U37" s="43"/>
      <c r="V37" s="43"/>
    </row>
    <row r="38" spans="1:22" ht="21" customHeight="1" x14ac:dyDescent="0.15">
      <c r="A38" s="39"/>
      <c r="B38" s="40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41"/>
      <c r="P38" s="42"/>
      <c r="Q38" s="43"/>
      <c r="R38" s="43"/>
      <c r="S38" s="43"/>
      <c r="T38" s="43"/>
      <c r="U38" s="43"/>
      <c r="V38" s="43"/>
    </row>
    <row r="39" spans="1:22" ht="21" customHeight="1" x14ac:dyDescent="0.15">
      <c r="A39" s="39"/>
      <c r="B39" s="40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41"/>
      <c r="P39" s="42"/>
      <c r="Q39" s="43"/>
      <c r="R39" s="43"/>
      <c r="S39" s="43"/>
      <c r="T39" s="43"/>
      <c r="U39" s="43"/>
      <c r="V39" s="43"/>
    </row>
    <row r="40" spans="1:22" ht="21" customHeight="1" x14ac:dyDescent="0.15">
      <c r="A40" s="39"/>
      <c r="B40" s="40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41"/>
      <c r="P40" s="42"/>
      <c r="Q40" s="43"/>
      <c r="R40" s="43"/>
      <c r="S40" s="43"/>
      <c r="T40" s="43"/>
      <c r="U40" s="43"/>
      <c r="V40" s="43"/>
    </row>
    <row r="41" spans="1:22" ht="21" customHeight="1" x14ac:dyDescent="0.15">
      <c r="A41" s="39"/>
      <c r="B41" s="40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41"/>
      <c r="P41" s="42"/>
      <c r="Q41" s="43"/>
      <c r="R41" s="43"/>
      <c r="S41" s="43"/>
      <c r="T41" s="43"/>
      <c r="U41" s="43"/>
      <c r="V41" s="43"/>
    </row>
    <row r="42" spans="1:22" ht="21" customHeight="1" x14ac:dyDescent="0.15">
      <c r="A42" s="39"/>
      <c r="B42" s="40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41"/>
      <c r="P42" s="42"/>
      <c r="Q42" s="43"/>
      <c r="R42" s="43"/>
      <c r="S42" s="43"/>
      <c r="T42" s="43"/>
      <c r="U42" s="43"/>
      <c r="V42" s="43"/>
    </row>
    <row r="43" spans="1:22" ht="21" customHeight="1" x14ac:dyDescent="0.15">
      <c r="A43" s="39"/>
      <c r="B43" s="40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41"/>
      <c r="P43" s="42"/>
      <c r="Q43" s="43"/>
      <c r="R43" s="43"/>
      <c r="S43" s="43"/>
      <c r="T43" s="43"/>
      <c r="U43" s="43"/>
      <c r="V43" s="43"/>
    </row>
    <row r="44" spans="1:22" ht="21" customHeight="1" x14ac:dyDescent="0.15">
      <c r="A44" s="39"/>
      <c r="B44" s="40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41"/>
      <c r="P44" s="42"/>
      <c r="Q44" s="43"/>
      <c r="R44" s="43"/>
      <c r="S44" s="43"/>
      <c r="T44" s="43"/>
      <c r="U44" s="43"/>
      <c r="V44" s="43"/>
    </row>
    <row r="45" spans="1:22" ht="21" customHeight="1" x14ac:dyDescent="0.15">
      <c r="A45" s="39"/>
      <c r="B45" s="40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41"/>
      <c r="P45" s="42"/>
      <c r="Q45" s="43"/>
      <c r="R45" s="43"/>
      <c r="S45" s="43"/>
      <c r="T45" s="43"/>
      <c r="U45" s="43"/>
      <c r="V45" s="43"/>
    </row>
    <row r="46" spans="1:22" ht="21" customHeight="1" x14ac:dyDescent="0.15">
      <c r="A46" s="39"/>
      <c r="B46" s="40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41"/>
      <c r="P46" s="42"/>
      <c r="Q46" s="43"/>
      <c r="R46" s="43"/>
      <c r="S46" s="43"/>
      <c r="T46" s="43"/>
      <c r="U46" s="43"/>
      <c r="V46" s="43"/>
    </row>
    <row r="47" spans="1:22" ht="21" customHeight="1" x14ac:dyDescent="0.15">
      <c r="A47" s="39"/>
      <c r="B47" s="40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41"/>
      <c r="P47" s="42"/>
      <c r="Q47" s="43"/>
      <c r="R47" s="43"/>
      <c r="S47" s="43"/>
      <c r="T47" s="43"/>
      <c r="U47" s="43"/>
      <c r="V47" s="43"/>
    </row>
    <row r="48" spans="1:22" ht="21" customHeight="1" x14ac:dyDescent="0.15">
      <c r="A48" s="39"/>
      <c r="B48" s="40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41"/>
      <c r="P48" s="42"/>
      <c r="Q48" s="43"/>
      <c r="R48" s="43"/>
      <c r="S48" s="43"/>
      <c r="T48" s="43"/>
      <c r="U48" s="43"/>
      <c r="V48" s="43"/>
    </row>
    <row r="49" spans="1:22" ht="21" customHeight="1" x14ac:dyDescent="0.15">
      <c r="A49" s="39"/>
      <c r="B49" s="40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41"/>
      <c r="P49" s="42"/>
      <c r="Q49" s="43"/>
      <c r="R49" s="43"/>
      <c r="S49" s="43"/>
      <c r="T49" s="43"/>
      <c r="U49" s="43"/>
      <c r="V49" s="43"/>
    </row>
    <row r="50" spans="1:22" ht="21" customHeight="1" x14ac:dyDescent="0.15">
      <c r="A50" s="39"/>
      <c r="B50" s="40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41"/>
      <c r="P50" s="42"/>
      <c r="Q50" s="43"/>
      <c r="R50" s="43"/>
      <c r="S50" s="43"/>
      <c r="T50" s="43"/>
      <c r="U50" s="43"/>
      <c r="V50" s="43"/>
    </row>
    <row r="51" spans="1:22" ht="21" customHeight="1" x14ac:dyDescent="0.15">
      <c r="A51" s="39"/>
      <c r="B51" s="40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41"/>
      <c r="P51" s="42"/>
      <c r="Q51" s="43"/>
      <c r="R51" s="43"/>
      <c r="S51" s="43"/>
      <c r="T51" s="43"/>
      <c r="U51" s="43"/>
      <c r="V51" s="43"/>
    </row>
    <row r="52" spans="1:22" ht="21" customHeight="1" x14ac:dyDescent="0.15">
      <c r="A52" s="39"/>
      <c r="B52" s="40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41"/>
      <c r="P52" s="42"/>
      <c r="Q52" s="43"/>
      <c r="R52" s="43"/>
      <c r="S52" s="43"/>
      <c r="T52" s="43"/>
      <c r="U52" s="43"/>
      <c r="V52" s="43"/>
    </row>
    <row r="53" spans="1:22" ht="21" customHeight="1" x14ac:dyDescent="0.15">
      <c r="A53" s="39"/>
      <c r="B53" s="40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41"/>
      <c r="P53" s="42"/>
      <c r="Q53" s="43"/>
      <c r="R53" s="43"/>
      <c r="S53" s="43"/>
      <c r="T53" s="43"/>
      <c r="U53" s="43"/>
      <c r="V53" s="43"/>
    </row>
    <row r="54" spans="1:22" ht="21" customHeight="1" x14ac:dyDescent="0.15">
      <c r="A54" s="39"/>
      <c r="B54" s="40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41"/>
      <c r="P54" s="42"/>
      <c r="Q54" s="43"/>
      <c r="R54" s="43"/>
      <c r="S54" s="43"/>
      <c r="T54" s="43"/>
      <c r="U54" s="43"/>
      <c r="V54" s="43"/>
    </row>
    <row r="55" spans="1:22" ht="21" customHeight="1" x14ac:dyDescent="0.15">
      <c r="A55" s="39"/>
      <c r="B55" s="40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41"/>
      <c r="P55" s="42"/>
      <c r="Q55" s="43"/>
      <c r="R55" s="43"/>
      <c r="S55" s="43"/>
      <c r="T55" s="43"/>
      <c r="U55" s="43"/>
      <c r="V55" s="43"/>
    </row>
    <row r="56" spans="1:22" ht="21" customHeight="1" x14ac:dyDescent="0.15">
      <c r="A56" s="39"/>
      <c r="B56" s="40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41"/>
      <c r="P56" s="42"/>
      <c r="Q56" s="43"/>
      <c r="R56" s="43"/>
      <c r="S56" s="43"/>
      <c r="T56" s="43"/>
      <c r="U56" s="43"/>
      <c r="V56" s="43"/>
    </row>
    <row r="57" spans="1:22" ht="21" customHeight="1" x14ac:dyDescent="0.15">
      <c r="A57" s="39"/>
      <c r="B57" s="40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41"/>
      <c r="P57" s="42"/>
      <c r="Q57" s="43"/>
      <c r="R57" s="43"/>
      <c r="S57" s="43"/>
      <c r="T57" s="43"/>
      <c r="U57" s="43"/>
      <c r="V57" s="43"/>
    </row>
    <row r="58" spans="1:22" ht="21" customHeight="1" x14ac:dyDescent="0.15">
      <c r="A58" s="39"/>
      <c r="B58" s="40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41"/>
      <c r="P58" s="42"/>
      <c r="Q58" s="43"/>
      <c r="R58" s="43"/>
      <c r="S58" s="43"/>
      <c r="T58" s="43"/>
      <c r="U58" s="43"/>
      <c r="V58" s="43"/>
    </row>
    <row r="59" spans="1:22" ht="21" customHeight="1" x14ac:dyDescent="0.15">
      <c r="A59" s="39"/>
      <c r="B59" s="40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41"/>
      <c r="P59" s="42"/>
      <c r="Q59" s="43"/>
      <c r="R59" s="43"/>
      <c r="S59" s="43"/>
      <c r="T59" s="43"/>
      <c r="U59" s="43"/>
      <c r="V59" s="43"/>
    </row>
    <row r="60" spans="1:22" ht="21" customHeight="1" x14ac:dyDescent="0.15">
      <c r="A60" s="39"/>
      <c r="B60" s="40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41"/>
      <c r="P60" s="42"/>
      <c r="Q60" s="43"/>
      <c r="R60" s="43"/>
      <c r="S60" s="43"/>
      <c r="T60" s="43"/>
      <c r="U60" s="43"/>
      <c r="V60" s="43"/>
    </row>
    <row r="61" spans="1:22" ht="21" customHeight="1" x14ac:dyDescent="0.15">
      <c r="A61" s="39"/>
      <c r="B61" s="40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41"/>
      <c r="P61" s="42"/>
      <c r="Q61" s="43"/>
      <c r="R61" s="43"/>
      <c r="S61" s="43"/>
      <c r="T61" s="43"/>
      <c r="U61" s="43"/>
      <c r="V61" s="43"/>
    </row>
    <row r="62" spans="1:22" ht="21" customHeight="1" x14ac:dyDescent="0.15">
      <c r="A62" s="39"/>
      <c r="B62" s="40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41"/>
      <c r="P62" s="42"/>
      <c r="Q62" s="43"/>
      <c r="R62" s="43"/>
      <c r="S62" s="43"/>
      <c r="T62" s="43"/>
      <c r="U62" s="43"/>
      <c r="V62" s="43"/>
    </row>
    <row r="63" spans="1:22" ht="21" customHeight="1" x14ac:dyDescent="0.15">
      <c r="A63" s="39"/>
      <c r="B63" s="44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41"/>
      <c r="P63" s="42"/>
      <c r="Q63" s="43"/>
      <c r="R63" s="43"/>
      <c r="S63" s="43"/>
      <c r="T63" s="43"/>
      <c r="U63" s="43"/>
      <c r="V63" s="43"/>
    </row>
    <row r="64" spans="1:22" ht="21" customHeight="1" x14ac:dyDescent="0.15">
      <c r="A64" s="39"/>
      <c r="B64" s="44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41"/>
      <c r="P64" s="42"/>
      <c r="Q64" s="43"/>
      <c r="R64" s="43"/>
      <c r="S64" s="43"/>
      <c r="T64" s="43"/>
      <c r="U64" s="43"/>
      <c r="V64" s="43"/>
    </row>
    <row r="65" spans="1:36" ht="21" customHeight="1" x14ac:dyDescent="0.15">
      <c r="A65" s="39"/>
      <c r="B65" s="44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41"/>
      <c r="P65" s="42"/>
      <c r="Q65" s="43"/>
      <c r="R65" s="43"/>
      <c r="S65" s="43"/>
      <c r="T65" s="43"/>
      <c r="U65" s="43"/>
      <c r="V65" s="43"/>
    </row>
    <row r="66" spans="1:36" ht="21" customHeight="1" x14ac:dyDescent="0.15">
      <c r="A66" s="39"/>
      <c r="B66" s="44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41"/>
      <c r="P66" s="42"/>
      <c r="Q66" s="43"/>
      <c r="R66" s="43"/>
      <c r="S66" s="43"/>
      <c r="T66" s="43"/>
      <c r="U66" s="43"/>
      <c r="V66" s="43"/>
    </row>
    <row r="67" spans="1:36" s="9" customFormat="1" ht="21" customHeight="1" thickBot="1" x14ac:dyDescent="0.2">
      <c r="A67" s="39"/>
      <c r="B67" s="40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41"/>
      <c r="P67" s="42"/>
      <c r="Q67" s="43"/>
      <c r="R67" s="43"/>
      <c r="S67" s="43"/>
      <c r="T67" s="43"/>
      <c r="U67" s="43"/>
      <c r="V67" s="43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</row>
    <row r="68" spans="1:36" ht="21" customHeight="1" x14ac:dyDescent="0.15">
      <c r="A68" s="39"/>
      <c r="B68" s="40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41"/>
      <c r="P68" s="42"/>
      <c r="Q68" s="43"/>
      <c r="R68" s="43"/>
      <c r="S68" s="43"/>
      <c r="T68" s="43"/>
      <c r="U68" s="43"/>
      <c r="V68" s="43"/>
    </row>
    <row r="69" spans="1:36" ht="21" customHeight="1" x14ac:dyDescent="0.15">
      <c r="A69" s="39"/>
      <c r="B69" s="40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41"/>
      <c r="P69" s="42"/>
      <c r="Q69" s="43"/>
      <c r="R69" s="43"/>
      <c r="S69" s="43"/>
      <c r="T69" s="43"/>
      <c r="U69" s="43"/>
      <c r="V69" s="43"/>
    </row>
    <row r="70" spans="1:36" ht="21" customHeight="1" x14ac:dyDescent="0.15">
      <c r="A70" s="39"/>
      <c r="B70" s="40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41"/>
      <c r="P70" s="42"/>
      <c r="Q70" s="43"/>
      <c r="R70" s="43"/>
      <c r="S70" s="43"/>
      <c r="T70" s="43"/>
      <c r="U70" s="43"/>
      <c r="V70" s="43"/>
    </row>
    <row r="71" spans="1:36" ht="21" customHeight="1" x14ac:dyDescent="0.15">
      <c r="A71" s="39"/>
      <c r="B71" s="40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41"/>
      <c r="P71" s="42"/>
      <c r="Q71" s="43"/>
      <c r="R71" s="43"/>
      <c r="S71" s="43"/>
      <c r="T71" s="43"/>
      <c r="U71" s="43"/>
      <c r="V71" s="43"/>
    </row>
    <row r="72" spans="1:36" ht="21" customHeight="1" x14ac:dyDescent="0.15">
      <c r="A72" s="39"/>
      <c r="B72" s="40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41"/>
      <c r="P72" s="42"/>
      <c r="Q72" s="43"/>
      <c r="R72" s="43"/>
      <c r="S72" s="43"/>
      <c r="T72" s="43"/>
      <c r="U72" s="43"/>
      <c r="V72" s="43"/>
    </row>
    <row r="73" spans="1:36" ht="21" customHeight="1" x14ac:dyDescent="0.15">
      <c r="A73" s="39"/>
      <c r="B73" s="40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41"/>
      <c r="P73" s="42"/>
      <c r="Q73" s="43"/>
      <c r="R73" s="43"/>
      <c r="S73" s="43"/>
      <c r="T73" s="43"/>
      <c r="U73" s="43"/>
      <c r="V73" s="43"/>
    </row>
    <row r="74" spans="1:36" ht="21" customHeight="1" x14ac:dyDescent="0.15">
      <c r="A74" s="39"/>
      <c r="B74" s="40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41"/>
      <c r="P74" s="42"/>
      <c r="Q74" s="43"/>
      <c r="R74" s="43"/>
      <c r="S74" s="43"/>
      <c r="T74" s="43"/>
      <c r="U74" s="43"/>
      <c r="V74" s="43"/>
    </row>
    <row r="75" spans="1:36" ht="21" customHeight="1" x14ac:dyDescent="0.15">
      <c r="A75" s="39"/>
      <c r="B75" s="40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41"/>
      <c r="P75" s="42"/>
      <c r="Q75" s="43"/>
      <c r="R75" s="43"/>
      <c r="S75" s="43"/>
      <c r="T75" s="43"/>
      <c r="U75" s="43"/>
      <c r="V75" s="43"/>
    </row>
    <row r="76" spans="1:36" ht="21" customHeight="1" x14ac:dyDescent="0.15">
      <c r="A76" s="39"/>
      <c r="B76" s="40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41"/>
      <c r="P76" s="42"/>
      <c r="Q76" s="43"/>
      <c r="R76" s="43"/>
      <c r="S76" s="43"/>
      <c r="T76" s="43"/>
      <c r="U76" s="43"/>
      <c r="V76" s="43"/>
    </row>
    <row r="77" spans="1:36" ht="21" customHeight="1" x14ac:dyDescent="0.15">
      <c r="A77" s="39"/>
      <c r="B77" s="40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41"/>
      <c r="P77" s="42"/>
      <c r="Q77" s="43"/>
      <c r="R77" s="43"/>
      <c r="S77" s="43"/>
      <c r="T77" s="43"/>
      <c r="U77" s="43"/>
      <c r="V77" s="43"/>
    </row>
    <row r="78" spans="1:36" ht="21" customHeight="1" x14ac:dyDescent="0.15">
      <c r="A78" s="39"/>
      <c r="B78" s="40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41"/>
      <c r="P78" s="42"/>
      <c r="Q78" s="43"/>
      <c r="R78" s="43"/>
      <c r="S78" s="43"/>
      <c r="T78" s="43"/>
      <c r="U78" s="43"/>
      <c r="V78" s="43"/>
    </row>
    <row r="79" spans="1:36" ht="21" customHeight="1" x14ac:dyDescent="0.15">
      <c r="A79" s="39"/>
      <c r="B79" s="40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41"/>
      <c r="P79" s="42"/>
      <c r="Q79" s="43"/>
      <c r="R79" s="43"/>
      <c r="S79" s="43"/>
      <c r="T79" s="43"/>
      <c r="U79" s="43"/>
      <c r="V79" s="43"/>
    </row>
    <row r="80" spans="1:36" ht="21" customHeight="1" x14ac:dyDescent="0.15">
      <c r="A80" s="39"/>
      <c r="B80" s="40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41"/>
      <c r="P80" s="42"/>
      <c r="Q80" s="43"/>
      <c r="R80" s="43"/>
      <c r="S80" s="43"/>
      <c r="T80" s="43"/>
      <c r="U80" s="43"/>
      <c r="V80" s="43"/>
    </row>
    <row r="81" spans="1:22" ht="21" customHeight="1" x14ac:dyDescent="0.15">
      <c r="A81" s="39"/>
      <c r="B81" s="40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41"/>
      <c r="P81" s="42"/>
      <c r="Q81" s="43"/>
      <c r="R81" s="43"/>
      <c r="S81" s="43"/>
      <c r="T81" s="43"/>
      <c r="U81" s="43"/>
      <c r="V81" s="43"/>
    </row>
    <row r="82" spans="1:22" ht="21" customHeight="1" x14ac:dyDescent="0.15">
      <c r="A82" s="39"/>
      <c r="B82" s="40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41"/>
      <c r="P82" s="42"/>
      <c r="Q82" s="43"/>
      <c r="R82" s="43"/>
      <c r="S82" s="43"/>
      <c r="T82" s="43"/>
      <c r="U82" s="43"/>
      <c r="V82" s="43"/>
    </row>
    <row r="83" spans="1:22" ht="21" customHeight="1" x14ac:dyDescent="0.15">
      <c r="A83" s="39"/>
      <c r="B83" s="40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41"/>
      <c r="P83" s="42"/>
      <c r="Q83" s="43"/>
      <c r="R83" s="43"/>
      <c r="S83" s="43"/>
      <c r="T83" s="43"/>
      <c r="U83" s="43"/>
      <c r="V83" s="43"/>
    </row>
    <row r="84" spans="1:22" ht="21" customHeight="1" x14ac:dyDescent="0.15">
      <c r="A84" s="39"/>
      <c r="B84" s="40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41"/>
      <c r="P84" s="42"/>
      <c r="Q84" s="43"/>
      <c r="R84" s="43"/>
      <c r="S84" s="43"/>
      <c r="T84" s="43"/>
      <c r="U84" s="43"/>
      <c r="V84" s="43"/>
    </row>
    <row r="85" spans="1:22" ht="21" customHeight="1" x14ac:dyDescent="0.15">
      <c r="A85" s="39"/>
      <c r="B85" s="40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41"/>
      <c r="P85" s="42"/>
      <c r="Q85" s="43"/>
      <c r="R85" s="43"/>
      <c r="S85" s="43"/>
      <c r="T85" s="43"/>
      <c r="U85" s="43"/>
      <c r="V85" s="43"/>
    </row>
    <row r="86" spans="1:22" ht="21" customHeight="1" x14ac:dyDescent="0.15">
      <c r="A86" s="39"/>
      <c r="B86" s="40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41"/>
      <c r="P86" s="42"/>
      <c r="Q86" s="43"/>
      <c r="R86" s="43"/>
      <c r="S86" s="43"/>
      <c r="T86" s="43"/>
      <c r="U86" s="43"/>
      <c r="V86" s="43"/>
    </row>
    <row r="87" spans="1:22" ht="21" customHeight="1" x14ac:dyDescent="0.15">
      <c r="A87" s="39"/>
      <c r="B87" s="40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41"/>
      <c r="P87" s="42"/>
      <c r="Q87" s="43"/>
      <c r="R87" s="43"/>
      <c r="S87" s="43"/>
      <c r="T87" s="43"/>
      <c r="U87" s="43"/>
      <c r="V87" s="43"/>
    </row>
    <row r="88" spans="1:22" ht="21" customHeight="1" x14ac:dyDescent="0.15">
      <c r="A88" s="39"/>
      <c r="B88" s="40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41"/>
      <c r="P88" s="42"/>
      <c r="Q88" s="43"/>
      <c r="R88" s="43"/>
      <c r="S88" s="43"/>
      <c r="T88" s="43"/>
      <c r="U88" s="43"/>
      <c r="V88" s="43"/>
    </row>
    <row r="89" spans="1:22" ht="21" customHeight="1" x14ac:dyDescent="0.15">
      <c r="A89" s="39"/>
      <c r="B89" s="40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41"/>
      <c r="P89" s="42"/>
      <c r="Q89" s="43"/>
      <c r="R89" s="43"/>
      <c r="S89" s="43"/>
      <c r="T89" s="43"/>
      <c r="U89" s="43"/>
      <c r="V89" s="43"/>
    </row>
    <row r="90" spans="1:22" ht="21" customHeight="1" x14ac:dyDescent="0.15">
      <c r="A90" s="39"/>
      <c r="B90" s="40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41"/>
      <c r="P90" s="42"/>
      <c r="Q90" s="43"/>
      <c r="R90" s="43"/>
      <c r="S90" s="43"/>
      <c r="T90" s="43"/>
      <c r="U90" s="43"/>
      <c r="V90" s="43"/>
    </row>
    <row r="91" spans="1:22" ht="21" customHeight="1" x14ac:dyDescent="0.15">
      <c r="A91" s="39"/>
      <c r="B91" s="40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41"/>
      <c r="P91" s="42"/>
      <c r="Q91" s="43"/>
      <c r="R91" s="43"/>
      <c r="S91" s="43"/>
      <c r="T91" s="43"/>
      <c r="U91" s="43"/>
      <c r="V91" s="43"/>
    </row>
    <row r="92" spans="1:22" ht="21" customHeight="1" x14ac:dyDescent="0.15">
      <c r="A92" s="39"/>
      <c r="B92" s="40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41"/>
      <c r="P92" s="42"/>
      <c r="Q92" s="43"/>
      <c r="R92" s="43"/>
      <c r="S92" s="43"/>
      <c r="T92" s="43"/>
      <c r="U92" s="43"/>
      <c r="V92" s="43"/>
    </row>
    <row r="93" spans="1:22" ht="21" customHeight="1" x14ac:dyDescent="0.15">
      <c r="A93" s="39"/>
      <c r="B93" s="40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41"/>
      <c r="P93" s="42"/>
      <c r="Q93" s="43"/>
      <c r="R93" s="43"/>
      <c r="S93" s="43"/>
      <c r="T93" s="43"/>
      <c r="U93" s="43"/>
      <c r="V93" s="43"/>
    </row>
    <row r="94" spans="1:22" ht="21" customHeight="1" x14ac:dyDescent="0.15">
      <c r="A94" s="39"/>
      <c r="B94" s="40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41"/>
      <c r="P94" s="42"/>
      <c r="Q94" s="43"/>
      <c r="R94" s="43"/>
      <c r="S94" s="43"/>
      <c r="T94" s="43"/>
      <c r="U94" s="43"/>
      <c r="V94" s="43"/>
    </row>
    <row r="95" spans="1:22" ht="21" customHeight="1" x14ac:dyDescent="0.15">
      <c r="A95" s="39"/>
      <c r="B95" s="40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41"/>
      <c r="P95" s="42"/>
      <c r="Q95" s="43"/>
      <c r="R95" s="43"/>
      <c r="S95" s="43"/>
      <c r="T95" s="43"/>
      <c r="U95" s="43"/>
      <c r="V95" s="43"/>
    </row>
    <row r="96" spans="1:22" ht="21" customHeight="1" x14ac:dyDescent="0.15">
      <c r="A96" s="39"/>
      <c r="B96" s="40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41"/>
      <c r="P96" s="42"/>
      <c r="Q96" s="43"/>
      <c r="R96" s="43"/>
      <c r="S96" s="43"/>
      <c r="T96" s="43"/>
      <c r="U96" s="43"/>
      <c r="V96" s="43"/>
    </row>
    <row r="97" spans="1:22" ht="21" customHeight="1" x14ac:dyDescent="0.15">
      <c r="A97" s="39"/>
      <c r="B97" s="40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41"/>
      <c r="P97" s="42"/>
      <c r="Q97" s="43"/>
      <c r="R97" s="43"/>
      <c r="S97" s="43"/>
      <c r="T97" s="43"/>
      <c r="U97" s="43"/>
      <c r="V97" s="43"/>
    </row>
    <row r="98" spans="1:22" ht="21" customHeight="1" x14ac:dyDescent="0.15">
      <c r="A98" s="39"/>
      <c r="B98" s="40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41"/>
      <c r="P98" s="42"/>
      <c r="Q98" s="43"/>
      <c r="R98" s="43"/>
      <c r="S98" s="43"/>
      <c r="T98" s="43"/>
      <c r="U98" s="43"/>
      <c r="V98" s="43"/>
    </row>
    <row r="99" spans="1:22" ht="21" customHeight="1" x14ac:dyDescent="0.15">
      <c r="A99" s="39"/>
      <c r="B99" s="40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41"/>
      <c r="P99" s="42"/>
      <c r="Q99" s="43"/>
      <c r="R99" s="43"/>
      <c r="S99" s="43"/>
      <c r="T99" s="43"/>
      <c r="U99" s="43"/>
      <c r="V99" s="43"/>
    </row>
    <row r="100" spans="1:22" ht="21" customHeight="1" x14ac:dyDescent="0.15">
      <c r="A100" s="39"/>
      <c r="B100" s="40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41"/>
      <c r="P100" s="42"/>
      <c r="Q100" s="43"/>
      <c r="R100" s="43"/>
      <c r="S100" s="43"/>
      <c r="T100" s="43"/>
      <c r="U100" s="43"/>
      <c r="V100" s="43"/>
    </row>
    <row r="101" spans="1:22" ht="21" customHeight="1" x14ac:dyDescent="0.15">
      <c r="A101" s="39"/>
      <c r="B101" s="40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41"/>
      <c r="P101" s="42"/>
      <c r="Q101" s="43"/>
      <c r="R101" s="43"/>
      <c r="S101" s="43"/>
      <c r="T101" s="43"/>
      <c r="U101" s="43"/>
      <c r="V101" s="43"/>
    </row>
    <row r="102" spans="1:22" ht="21" customHeight="1" x14ac:dyDescent="0.15">
      <c r="A102" s="39"/>
      <c r="B102" s="40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41"/>
      <c r="P102" s="42"/>
      <c r="Q102" s="43"/>
      <c r="R102" s="43"/>
      <c r="S102" s="43"/>
      <c r="T102" s="43"/>
      <c r="U102" s="43"/>
      <c r="V102" s="43"/>
    </row>
    <row r="103" spans="1:22" ht="21" customHeight="1" x14ac:dyDescent="0.15">
      <c r="A103" s="39"/>
      <c r="B103" s="40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41"/>
      <c r="P103" s="42"/>
      <c r="Q103" s="43"/>
      <c r="R103" s="43"/>
      <c r="S103" s="43"/>
      <c r="T103" s="43"/>
      <c r="U103" s="43"/>
      <c r="V103" s="43"/>
    </row>
    <row r="104" spans="1:22" ht="21" customHeight="1" x14ac:dyDescent="0.15">
      <c r="A104" s="39"/>
      <c r="B104" s="40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41"/>
      <c r="P104" s="42"/>
      <c r="Q104" s="43"/>
      <c r="R104" s="43"/>
      <c r="S104" s="43"/>
      <c r="T104" s="43"/>
      <c r="U104" s="43"/>
      <c r="V104" s="43"/>
    </row>
    <row r="105" spans="1:22" ht="21" customHeight="1" x14ac:dyDescent="0.15">
      <c r="A105" s="39"/>
      <c r="B105" s="40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41"/>
      <c r="P105" s="42"/>
      <c r="Q105" s="43"/>
      <c r="R105" s="43"/>
      <c r="S105" s="43"/>
      <c r="T105" s="43"/>
      <c r="U105" s="43"/>
      <c r="V105" s="43"/>
    </row>
    <row r="106" spans="1:22" ht="21" customHeight="1" x14ac:dyDescent="0.15">
      <c r="A106" s="39"/>
      <c r="B106" s="40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41"/>
      <c r="P106" s="42"/>
      <c r="Q106" s="43"/>
      <c r="R106" s="43"/>
      <c r="S106" s="43"/>
      <c r="T106" s="43"/>
      <c r="U106" s="43"/>
      <c r="V106" s="43"/>
    </row>
    <row r="107" spans="1:22" ht="21" customHeight="1" x14ac:dyDescent="0.15">
      <c r="A107" s="39"/>
      <c r="B107" s="40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41"/>
      <c r="P107" s="42"/>
      <c r="Q107" s="43"/>
      <c r="R107" s="43"/>
      <c r="S107" s="43"/>
      <c r="T107" s="43"/>
      <c r="U107" s="43"/>
      <c r="V107" s="43"/>
    </row>
    <row r="108" spans="1:22" ht="21" customHeight="1" x14ac:dyDescent="0.15">
      <c r="A108" s="39"/>
      <c r="B108" s="40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41"/>
      <c r="P108" s="42"/>
      <c r="Q108" s="43"/>
      <c r="R108" s="43"/>
      <c r="S108" s="43"/>
      <c r="T108" s="43"/>
      <c r="U108" s="43"/>
      <c r="V108" s="43"/>
    </row>
    <row r="109" spans="1:22" ht="21" customHeight="1" x14ac:dyDescent="0.15">
      <c r="A109" s="39"/>
      <c r="B109" s="40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41"/>
      <c r="P109" s="42"/>
      <c r="Q109" s="43"/>
      <c r="R109" s="43"/>
      <c r="S109" s="43"/>
      <c r="T109" s="43"/>
      <c r="U109" s="43"/>
      <c r="V109" s="43"/>
    </row>
    <row r="110" spans="1:22" ht="21" customHeight="1" x14ac:dyDescent="0.15">
      <c r="A110" s="39"/>
      <c r="B110" s="40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41"/>
      <c r="P110" s="42"/>
      <c r="Q110" s="43"/>
      <c r="R110" s="43"/>
      <c r="S110" s="43"/>
      <c r="T110" s="43"/>
      <c r="U110" s="43"/>
      <c r="V110" s="43"/>
    </row>
    <row r="111" spans="1:22" ht="21" customHeight="1" x14ac:dyDescent="0.15">
      <c r="A111" s="39"/>
      <c r="B111" s="40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41"/>
      <c r="P111" s="42"/>
      <c r="Q111" s="43"/>
      <c r="R111" s="43"/>
      <c r="S111" s="43"/>
      <c r="T111" s="43"/>
      <c r="U111" s="43"/>
      <c r="V111" s="43"/>
    </row>
    <row r="112" spans="1:22" ht="21" customHeight="1" x14ac:dyDescent="0.15">
      <c r="A112" s="39"/>
      <c r="B112" s="40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41"/>
      <c r="P112" s="42"/>
      <c r="Q112" s="43"/>
      <c r="R112" s="43"/>
      <c r="S112" s="43"/>
      <c r="T112" s="43"/>
      <c r="U112" s="43"/>
      <c r="V112" s="43"/>
    </row>
    <row r="113" spans="1:22" ht="21" customHeight="1" x14ac:dyDescent="0.15">
      <c r="A113" s="39"/>
      <c r="B113" s="40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41"/>
      <c r="P113" s="42"/>
      <c r="Q113" s="43"/>
      <c r="R113" s="43"/>
      <c r="S113" s="43"/>
      <c r="T113" s="43"/>
      <c r="U113" s="43"/>
      <c r="V113" s="43"/>
    </row>
    <row r="114" spans="1:22" ht="21" customHeight="1" x14ac:dyDescent="0.15">
      <c r="A114" s="39"/>
      <c r="B114" s="40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41"/>
      <c r="P114" s="42"/>
      <c r="Q114" s="43"/>
      <c r="R114" s="43"/>
      <c r="S114" s="43"/>
      <c r="T114" s="43"/>
      <c r="U114" s="43"/>
      <c r="V114" s="43"/>
    </row>
    <row r="115" spans="1:22" ht="21" customHeight="1" x14ac:dyDescent="0.15">
      <c r="A115" s="39"/>
      <c r="B115" s="40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41"/>
      <c r="P115" s="42"/>
      <c r="Q115" s="43"/>
      <c r="R115" s="43"/>
      <c r="S115" s="43"/>
      <c r="T115" s="43"/>
      <c r="U115" s="43"/>
      <c r="V115" s="43"/>
    </row>
    <row r="116" spans="1:22" ht="21" customHeight="1" x14ac:dyDescent="0.15">
      <c r="A116" s="39"/>
      <c r="B116" s="40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41"/>
      <c r="P116" s="42"/>
      <c r="Q116" s="43"/>
      <c r="R116" s="43"/>
      <c r="S116" s="43"/>
      <c r="T116" s="43"/>
      <c r="U116" s="43"/>
      <c r="V116" s="43"/>
    </row>
    <row r="117" spans="1:22" ht="21" customHeight="1" x14ac:dyDescent="0.15">
      <c r="A117" s="39"/>
      <c r="B117" s="40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41"/>
      <c r="P117" s="42"/>
      <c r="Q117" s="43"/>
      <c r="R117" s="43"/>
      <c r="S117" s="43"/>
      <c r="T117" s="43"/>
      <c r="U117" s="43"/>
      <c r="V117" s="43"/>
    </row>
    <row r="118" spans="1:22" ht="21" customHeight="1" x14ac:dyDescent="0.15">
      <c r="A118" s="39"/>
      <c r="B118" s="40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41"/>
      <c r="P118" s="42"/>
      <c r="Q118" s="43"/>
      <c r="R118" s="43"/>
      <c r="S118" s="43"/>
      <c r="T118" s="43"/>
      <c r="U118" s="43"/>
      <c r="V118" s="43"/>
    </row>
    <row r="119" spans="1:22" ht="21" customHeight="1" x14ac:dyDescent="0.15">
      <c r="A119" s="39"/>
      <c r="B119" s="40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41"/>
      <c r="P119" s="42"/>
      <c r="Q119" s="43"/>
      <c r="R119" s="43"/>
      <c r="S119" s="43"/>
      <c r="T119" s="43"/>
      <c r="U119" s="43"/>
      <c r="V119" s="43"/>
    </row>
    <row r="120" spans="1:22" ht="21" customHeight="1" x14ac:dyDescent="0.15">
      <c r="A120" s="39"/>
      <c r="B120" s="40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41"/>
      <c r="P120" s="42"/>
      <c r="Q120" s="43"/>
      <c r="R120" s="43"/>
      <c r="S120" s="43"/>
      <c r="T120" s="43"/>
      <c r="U120" s="43"/>
      <c r="V120" s="43"/>
    </row>
    <row r="121" spans="1:22" ht="21" customHeight="1" x14ac:dyDescent="0.15">
      <c r="A121" s="39"/>
      <c r="B121" s="40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41"/>
      <c r="P121" s="42"/>
      <c r="Q121" s="43"/>
      <c r="R121" s="43"/>
      <c r="S121" s="43"/>
      <c r="T121" s="43"/>
      <c r="U121" s="43"/>
      <c r="V121" s="43"/>
    </row>
    <row r="122" spans="1:22" ht="21" customHeight="1" x14ac:dyDescent="0.15">
      <c r="A122" s="39"/>
      <c r="B122" s="40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41"/>
      <c r="P122" s="42"/>
      <c r="Q122" s="43"/>
      <c r="R122" s="43"/>
      <c r="S122" s="43"/>
      <c r="T122" s="43"/>
      <c r="U122" s="43"/>
      <c r="V122" s="43"/>
    </row>
    <row r="123" spans="1:22" ht="21" customHeight="1" x14ac:dyDescent="0.15">
      <c r="A123" s="39"/>
      <c r="B123" s="40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41"/>
      <c r="P123" s="42"/>
      <c r="Q123" s="43"/>
      <c r="R123" s="43"/>
      <c r="S123" s="43"/>
      <c r="T123" s="43"/>
      <c r="U123" s="43"/>
      <c r="V123" s="43"/>
    </row>
    <row r="124" spans="1:22" ht="21" customHeight="1" x14ac:dyDescent="0.15">
      <c r="A124" s="39"/>
      <c r="B124" s="40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41"/>
      <c r="P124" s="42"/>
      <c r="Q124" s="43"/>
      <c r="R124" s="43"/>
      <c r="S124" s="43"/>
      <c r="T124" s="43"/>
      <c r="U124" s="43"/>
      <c r="V124" s="43"/>
    </row>
    <row r="125" spans="1:22" ht="21" customHeight="1" x14ac:dyDescent="0.15">
      <c r="A125" s="39"/>
      <c r="B125" s="40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41"/>
      <c r="P125" s="42"/>
      <c r="Q125" s="43"/>
      <c r="R125" s="43"/>
      <c r="S125" s="43"/>
      <c r="T125" s="43"/>
      <c r="U125" s="43"/>
      <c r="V125" s="43"/>
    </row>
    <row r="126" spans="1:22" ht="21" customHeight="1" x14ac:dyDescent="0.15">
      <c r="A126" s="39"/>
      <c r="B126" s="40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41"/>
      <c r="P126" s="42"/>
      <c r="Q126" s="43"/>
      <c r="R126" s="43"/>
      <c r="S126" s="43"/>
      <c r="T126" s="43"/>
      <c r="U126" s="43"/>
      <c r="V126" s="43"/>
    </row>
    <row r="127" spans="1:22" ht="21" customHeight="1" x14ac:dyDescent="0.15">
      <c r="A127" s="39"/>
      <c r="B127" s="40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41"/>
      <c r="P127" s="42"/>
      <c r="Q127" s="43"/>
      <c r="R127" s="43"/>
      <c r="S127" s="43"/>
      <c r="T127" s="43"/>
      <c r="U127" s="43"/>
      <c r="V127" s="43"/>
    </row>
    <row r="128" spans="1:22" ht="21" customHeight="1" x14ac:dyDescent="0.15">
      <c r="A128" s="39"/>
      <c r="B128" s="40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41"/>
      <c r="P128" s="42"/>
      <c r="Q128" s="43"/>
      <c r="R128" s="43"/>
      <c r="S128" s="43"/>
      <c r="T128" s="43"/>
      <c r="U128" s="43"/>
      <c r="V128" s="43"/>
    </row>
    <row r="129" spans="1:22" ht="21" customHeight="1" x14ac:dyDescent="0.15">
      <c r="A129" s="39"/>
      <c r="B129" s="40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41"/>
      <c r="P129" s="42"/>
      <c r="Q129" s="43"/>
      <c r="R129" s="43"/>
      <c r="S129" s="43"/>
      <c r="T129" s="43"/>
      <c r="U129" s="43"/>
      <c r="V129" s="43"/>
    </row>
    <row r="130" spans="1:22" ht="21" customHeight="1" x14ac:dyDescent="0.15">
      <c r="A130" s="39"/>
      <c r="B130" s="40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41"/>
      <c r="P130" s="42"/>
      <c r="Q130" s="43"/>
      <c r="R130" s="43"/>
      <c r="S130" s="43"/>
      <c r="T130" s="43"/>
      <c r="U130" s="43"/>
      <c r="V130" s="43"/>
    </row>
    <row r="131" spans="1:22" ht="21" customHeight="1" x14ac:dyDescent="0.15">
      <c r="A131" s="39"/>
      <c r="B131" s="40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41"/>
      <c r="P131" s="42"/>
      <c r="Q131" s="43"/>
      <c r="R131" s="43"/>
      <c r="S131" s="43"/>
      <c r="T131" s="43"/>
      <c r="U131" s="43"/>
      <c r="V131" s="43"/>
    </row>
    <row r="132" spans="1:22" ht="21" customHeight="1" x14ac:dyDescent="0.15">
      <c r="A132" s="39"/>
      <c r="B132" s="40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41"/>
      <c r="P132" s="42"/>
      <c r="Q132" s="43"/>
      <c r="R132" s="43"/>
      <c r="S132" s="43"/>
      <c r="T132" s="43"/>
      <c r="U132" s="43"/>
      <c r="V132" s="43"/>
    </row>
    <row r="133" spans="1:22" ht="21" customHeight="1" x14ac:dyDescent="0.15">
      <c r="A133" s="39"/>
      <c r="B133" s="40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41"/>
      <c r="P133" s="42"/>
      <c r="Q133" s="43"/>
      <c r="R133" s="43"/>
      <c r="S133" s="43"/>
      <c r="T133" s="43"/>
      <c r="U133" s="43"/>
      <c r="V133" s="43"/>
    </row>
    <row r="134" spans="1:22" ht="21" customHeight="1" x14ac:dyDescent="0.15">
      <c r="A134" s="39"/>
      <c r="B134" s="40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41"/>
      <c r="P134" s="42"/>
      <c r="Q134" s="43"/>
      <c r="R134" s="43"/>
      <c r="S134" s="43"/>
      <c r="T134" s="43"/>
      <c r="U134" s="43"/>
      <c r="V134" s="43"/>
    </row>
    <row r="135" spans="1:22" ht="21" customHeight="1" x14ac:dyDescent="0.15">
      <c r="A135" s="39"/>
      <c r="B135" s="40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41"/>
      <c r="P135" s="42"/>
      <c r="Q135" s="43"/>
      <c r="R135" s="43"/>
      <c r="S135" s="43"/>
      <c r="T135" s="43"/>
      <c r="U135" s="43"/>
      <c r="V135" s="43"/>
    </row>
    <row r="136" spans="1:22" ht="21" customHeight="1" x14ac:dyDescent="0.15">
      <c r="A136" s="39"/>
      <c r="B136" s="40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41"/>
      <c r="P136" s="42"/>
      <c r="Q136" s="43"/>
      <c r="R136" s="43"/>
      <c r="S136" s="43"/>
      <c r="T136" s="43"/>
      <c r="U136" s="43"/>
      <c r="V136" s="43"/>
    </row>
    <row r="137" spans="1:22" ht="21" customHeight="1" x14ac:dyDescent="0.15">
      <c r="A137" s="39"/>
      <c r="B137" s="40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41"/>
      <c r="P137" s="42"/>
      <c r="Q137" s="43"/>
      <c r="R137" s="43"/>
      <c r="S137" s="43"/>
      <c r="T137" s="43"/>
      <c r="U137" s="43"/>
      <c r="V137" s="43"/>
    </row>
    <row r="138" spans="1:22" ht="21" customHeight="1" x14ac:dyDescent="0.15">
      <c r="A138" s="39"/>
      <c r="B138" s="40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41"/>
      <c r="P138" s="42"/>
      <c r="Q138" s="43"/>
      <c r="R138" s="43"/>
      <c r="S138" s="43"/>
      <c r="T138" s="43"/>
      <c r="U138" s="43"/>
      <c r="V138" s="43"/>
    </row>
    <row r="139" spans="1:22" ht="21" customHeight="1" x14ac:dyDescent="0.15">
      <c r="A139" s="39"/>
      <c r="B139" s="40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41"/>
      <c r="P139" s="42"/>
      <c r="Q139" s="43"/>
      <c r="R139" s="43"/>
      <c r="S139" s="43"/>
      <c r="T139" s="43"/>
      <c r="U139" s="43"/>
      <c r="V139" s="43"/>
    </row>
    <row r="140" spans="1:22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22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22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22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22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ht="21" customHeight="1" x14ac:dyDescent="0.15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ht="21" customHeight="1" x14ac:dyDescent="0.1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ht="21" customHeight="1" x14ac:dyDescent="0.15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ht="21" customHeight="1" x14ac:dyDescent="0.1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ht="21" customHeight="1" x14ac:dyDescent="0.1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ht="21" customHeight="1" x14ac:dyDescent="0.1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ht="21" customHeight="1" x14ac:dyDescent="0.1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ht="21" customHeight="1" x14ac:dyDescent="0.1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ht="21" customHeight="1" x14ac:dyDescent="0.1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ht="21" customHeight="1" x14ac:dyDescent="0.1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ht="21" customHeight="1" x14ac:dyDescent="0.1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ht="21" customHeight="1" x14ac:dyDescent="0.1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ht="21" customHeight="1" x14ac:dyDescent="0.1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ht="21" customHeight="1" x14ac:dyDescent="0.1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ht="21" customHeight="1" x14ac:dyDescent="0.1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ht="21" customHeight="1" x14ac:dyDescent="0.1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ht="21" customHeight="1" x14ac:dyDescent="0.1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ht="21" customHeight="1" x14ac:dyDescent="0.1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ht="21" customHeight="1" x14ac:dyDescent="0.1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ht="21" customHeight="1" x14ac:dyDescent="0.1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ht="21" customHeight="1" x14ac:dyDescent="0.1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ht="21" customHeight="1" x14ac:dyDescent="0.1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ht="21" customHeight="1" x14ac:dyDescent="0.1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ht="21" customHeight="1" x14ac:dyDescent="0.1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ht="21" customHeight="1" x14ac:dyDescent="0.1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ht="21" customHeight="1" x14ac:dyDescent="0.1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ht="21" customHeight="1" x14ac:dyDescent="0.1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22" ht="21" customHeight="1" x14ac:dyDescent="0.1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22" ht="21" customHeight="1" x14ac:dyDescent="0.1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22" ht="21" customHeight="1" x14ac:dyDescent="0.1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22" ht="21" customHeight="1" x14ac:dyDescent="0.1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22" ht="21" customHeight="1" x14ac:dyDescent="0.1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22" ht="21" customHeight="1" x14ac:dyDescent="0.1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22" ht="21" customHeight="1" x14ac:dyDescent="0.1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22" ht="21" customHeight="1" x14ac:dyDescent="0.1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22" ht="21" customHeight="1" x14ac:dyDescent="0.1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22" ht="21" customHeight="1" x14ac:dyDescent="0.15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22" ht="21" customHeight="1" x14ac:dyDescent="0.15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22" ht="21" customHeight="1" x14ac:dyDescent="0.15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22" ht="21" customHeight="1" x14ac:dyDescent="0.15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22" ht="21" customHeight="1" x14ac:dyDescent="0.15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22" ht="21" customHeight="1" x14ac:dyDescent="0.15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22" ht="21" customHeight="1" x14ac:dyDescent="0.15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ht="21" customHeight="1" x14ac:dyDescent="0.15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ht="21" customHeight="1" x14ac:dyDescent="0.15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ht="21" customHeight="1" x14ac:dyDescent="0.15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ht="21" customHeight="1" x14ac:dyDescent="0.15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ht="21" customHeight="1" x14ac:dyDescent="0.15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ht="21" customHeight="1" x14ac:dyDescent="0.15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ht="21" customHeight="1" x14ac:dyDescent="0.1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ht="21" customHeight="1" x14ac:dyDescent="0.15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ht="21" customHeight="1" x14ac:dyDescent="0.1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ht="21" customHeight="1" x14ac:dyDescent="0.1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ht="21" customHeight="1" x14ac:dyDescent="0.1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ht="21" customHeight="1" x14ac:dyDescent="0.1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ht="21" customHeight="1" x14ac:dyDescent="0.1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ht="21" customHeight="1" x14ac:dyDescent="0.1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ht="21" customHeight="1" x14ac:dyDescent="0.1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ht="21" customHeight="1" x14ac:dyDescent="0.1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ht="21" customHeight="1" x14ac:dyDescent="0.1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ht="21" customHeight="1" x14ac:dyDescent="0.1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ht="21" customHeight="1" x14ac:dyDescent="0.1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ht="21" customHeight="1" x14ac:dyDescent="0.1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</sheetData>
  <sortState ref="A2:V268">
    <sortCondition ref="K1"/>
  </sortState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AJ210"/>
  <sheetViews>
    <sheetView showGridLines="0" zoomScale="75" zoomScaleNormal="75" zoomScalePageLayoutView="75" workbookViewId="0">
      <pane ySplit="1" topLeftCell="A2" activePane="bottomLeft" state="frozen"/>
      <selection activeCell="E6" sqref="E6"/>
      <selection pane="bottomLeft" activeCell="A2" sqref="A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36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36" s="48" customFormat="1" ht="21" customHeight="1" x14ac:dyDescent="0.15">
      <c r="A2" s="2">
        <v>7331010</v>
      </c>
      <c r="B2" s="47">
        <v>733</v>
      </c>
      <c r="C2" s="7" t="str">
        <f t="shared" ref="C2:C17" si="0">D2&amp;J2&amp;E2&amp;F2&amp;G2</f>
        <v>PremiumSS6R5only</v>
      </c>
      <c r="D2" s="7" t="str">
        <f t="shared" ref="D2:D17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夢幻の千刃 上杉謙信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男性</v>
      </c>
      <c r="O2" s="26">
        <v>20</v>
      </c>
      <c r="P2" s="27">
        <f t="shared" ref="P2:P19" si="2">O2/SUM(O:O)</f>
        <v>5.5555555555555552E-2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</row>
    <row r="3" spans="1:36" s="48" customFormat="1" ht="21" customHeight="1" x14ac:dyDescent="0.15">
      <c r="A3" s="2">
        <v>7331010</v>
      </c>
      <c r="B3" s="46">
        <v>809</v>
      </c>
      <c r="C3" s="7" t="str">
        <f t="shared" si="0"/>
        <v>PremiumSS6R5only</v>
      </c>
      <c r="D3" s="7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天然理心の激凛 沖田総司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blue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男性</v>
      </c>
      <c r="O3" s="26">
        <v>20</v>
      </c>
      <c r="P3" s="27">
        <f t="shared" si="2"/>
        <v>5.5555555555555552E-2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</row>
    <row r="4" spans="1:36" s="48" customFormat="1" ht="21" customHeight="1" x14ac:dyDescent="0.15">
      <c r="A4" s="2">
        <v>7331010</v>
      </c>
      <c r="B4" s="46">
        <v>819</v>
      </c>
      <c r="C4" s="7" t="str">
        <f t="shared" si="0"/>
        <v>PremiumSS6R5only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讐命の我突 モルドレッド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blue</v>
      </c>
      <c r="L4" s="7" t="str">
        <f>VLOOKUP(B4,[1]characters!$A:$K,11,FALSE)</f>
        <v>technical</v>
      </c>
      <c r="M4" s="7" t="str">
        <f>VLOOKUP(B4,[1]characters!$A:$M,13,FALSE)</f>
        <v>human</v>
      </c>
      <c r="N4" s="7" t="str">
        <f>VLOOKUP(B4,[1]characters!$A:$G,7,FALSE)</f>
        <v>男性</v>
      </c>
      <c r="O4" s="26">
        <v>20</v>
      </c>
      <c r="P4" s="27">
        <f t="shared" si="2"/>
        <v>5.5555555555555552E-2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</row>
    <row r="5" spans="1:36" s="48" customFormat="1" ht="21" customHeight="1" x14ac:dyDescent="0.15">
      <c r="A5" s="2">
        <v>7331010</v>
      </c>
      <c r="B5" s="46">
        <v>825</v>
      </c>
      <c r="C5" s="7" t="str">
        <f t="shared" si="0"/>
        <v>PremiumSS6R5only</v>
      </c>
      <c r="D5" s="7" t="str">
        <f t="shared" si="1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彩愛なる豊穣妃神 フレイヤ</v>
      </c>
      <c r="I5" s="7" t="str">
        <f>VLOOKUP(B5,[1]characters!$A:$J,10,FALSE)</f>
        <v>PremiumSS</v>
      </c>
      <c r="J5" s="7">
        <f>VLOOKUP(B5,[1]characters!$A:$I,9,FALSE)</f>
        <v>6</v>
      </c>
      <c r="K5" s="7" t="str">
        <f>VLOOKUP(B5,[1]characters!$A:$H,8,FALSE)</f>
        <v>blue</v>
      </c>
      <c r="L5" s="7" t="str">
        <f>VLOOKUP(B5,[1]characters!$A:$K,11,FALSE)</f>
        <v>heal</v>
      </c>
      <c r="M5" s="7" t="str">
        <f>VLOOKUP(B5,[1]characters!$A:$M,13,FALSE)</f>
        <v>animal</v>
      </c>
      <c r="N5" s="7" t="str">
        <f>VLOOKUP(B5,[1]characters!$A:$G,7,FALSE)</f>
        <v>男性</v>
      </c>
      <c r="O5" s="26">
        <v>20</v>
      </c>
      <c r="P5" s="27">
        <f t="shared" si="2"/>
        <v>5.5555555555555552E-2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</row>
    <row r="6" spans="1:36" s="48" customFormat="1" ht="21" customHeight="1" x14ac:dyDescent="0.15">
      <c r="A6" s="2">
        <v>7331010</v>
      </c>
      <c r="B6" s="46">
        <v>835</v>
      </c>
      <c r="C6" s="7" t="str">
        <f t="shared" si="0"/>
        <v>PremiumSS6R5only</v>
      </c>
      <c r="D6" s="7" t="str">
        <f t="shared" si="1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流奏の鳳楽神 サラスヴァティ</v>
      </c>
      <c r="I6" s="7" t="str">
        <f>VLOOKUP(B6,[1]characters!$A:$J,10,FALSE)</f>
        <v>PremiumSS</v>
      </c>
      <c r="J6" s="7">
        <f>VLOOKUP(B6,[1]characters!$A:$I,9,FALSE)</f>
        <v>6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男性</v>
      </c>
      <c r="O6" s="26">
        <v>20</v>
      </c>
      <c r="P6" s="27">
        <f t="shared" si="2"/>
        <v>5.5555555555555552E-2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</row>
    <row r="7" spans="1:36" s="48" customFormat="1" ht="21" customHeight="1" x14ac:dyDescent="0.15">
      <c r="A7" s="2">
        <v>7331010</v>
      </c>
      <c r="B7" s="46">
        <v>867</v>
      </c>
      <c r="C7" s="7" t="str">
        <f t="shared" si="0"/>
        <v>PremiumSS6R5only</v>
      </c>
      <c r="D7" s="7" t="str">
        <f t="shared" si="1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華麗なる作戦 白雪姫</v>
      </c>
      <c r="I7" s="7" t="str">
        <f>VLOOKUP(B7,[1]characters!$A:$J,10,FALSE)</f>
        <v>PremiumSS</v>
      </c>
      <c r="J7" s="7">
        <f>VLOOKUP(B7,[1]characters!$A:$I,9,FALSE)</f>
        <v>6</v>
      </c>
      <c r="K7" s="7" t="str">
        <f>VLOOKUP(B7,[1]characters!$A:$H,8,FALSE)</f>
        <v>blue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26">
        <v>20</v>
      </c>
      <c r="P7" s="27">
        <f t="shared" si="2"/>
        <v>5.5555555555555552E-2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</row>
    <row r="8" spans="1:36" s="48" customFormat="1" ht="21" customHeight="1" x14ac:dyDescent="0.15">
      <c r="A8" s="2">
        <v>7331010</v>
      </c>
      <c r="B8" s="46">
        <v>942</v>
      </c>
      <c r="C8" s="7" t="str">
        <f t="shared" si="0"/>
        <v>PremiumSS6R5only</v>
      </c>
      <c r="D8" s="7" t="str">
        <f t="shared" si="1"/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華戯たる傲妃 アントワネット</v>
      </c>
      <c r="I8" s="7" t="str">
        <f>VLOOKUP(B8,[1]characters!$A:$J,10,FALSE)</f>
        <v>PremiumSS</v>
      </c>
      <c r="J8" s="7">
        <f>VLOOKUP(B8,[1]characters!$A:$I,9,FALSE)</f>
        <v>6</v>
      </c>
      <c r="K8" s="7" t="str">
        <f>VLOOKUP(B8,[1]characters!$A:$H,8,FALSE)</f>
        <v>blue</v>
      </c>
      <c r="L8" s="7" t="str">
        <f>VLOOKUP(B8,[1]characters!$A:$K,11,FALSE)</f>
        <v>technical</v>
      </c>
      <c r="M8" s="7" t="str">
        <f>VLOOKUP(B8,[1]characters!$A:$M,13,FALSE)</f>
        <v>human</v>
      </c>
      <c r="N8" s="7" t="str">
        <f>VLOOKUP(B8,[1]characters!$A:$G,7,FALSE)</f>
        <v>男性</v>
      </c>
      <c r="O8" s="26">
        <v>20</v>
      </c>
      <c r="P8" s="27">
        <f t="shared" si="2"/>
        <v>5.5555555555555552E-2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</row>
    <row r="9" spans="1:36" s="48" customFormat="1" ht="21" customHeight="1" x14ac:dyDescent="0.15">
      <c r="A9" s="2">
        <v>7331010</v>
      </c>
      <c r="B9" s="46">
        <v>964</v>
      </c>
      <c r="C9" s="7" t="str">
        <f t="shared" si="0"/>
        <v>PremiumSS6R5only</v>
      </c>
      <c r="D9" s="7" t="str">
        <f t="shared" si="1"/>
        <v>PremiumSS</v>
      </c>
      <c r="E9" s="7" t="str">
        <f>IF(COUNTIF('R6追加前'!A:A,B9)=0,IF(OR(I9="PremiumSS",I9="PremiumSSw"),"R5only","R3less"),"")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海破雨散の海龍 リヴァイアサン</v>
      </c>
      <c r="I9" s="7" t="str">
        <f>VLOOKUP(B9,[1]characters!$A:$J,10,FALSE)</f>
        <v>PremiumSS</v>
      </c>
      <c r="J9" s="7">
        <f>VLOOKUP(B9,[1]characters!$A:$I,9,FALSE)</f>
        <v>6</v>
      </c>
      <c r="K9" s="7" t="str">
        <f>VLOOKUP(B9,[1]characters!$A:$H,8,FALSE)</f>
        <v>blue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男性</v>
      </c>
      <c r="O9" s="26">
        <v>20</v>
      </c>
      <c r="P9" s="27">
        <f t="shared" si="2"/>
        <v>5.5555555555555552E-2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</row>
    <row r="10" spans="1:36" s="48" customFormat="1" ht="21" customHeight="1" x14ac:dyDescent="0.15">
      <c r="A10" s="2">
        <v>7331010</v>
      </c>
      <c r="B10" s="46">
        <v>968</v>
      </c>
      <c r="C10" s="7" t="str">
        <f t="shared" si="0"/>
        <v>PremiumSS6R5only</v>
      </c>
      <c r="D10" s="7" t="str">
        <f t="shared" si="1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夢謀の愚幻者 フール</v>
      </c>
      <c r="I10" s="7" t="str">
        <f>VLOOKUP(B10,[1]characters!$A:$J,10,FALSE)</f>
        <v>PremiumSS</v>
      </c>
      <c r="J10" s="7">
        <f>VLOOKUP(B10,[1]characters!$A:$I,9,FALSE)</f>
        <v>6</v>
      </c>
      <c r="K10" s="7" t="str">
        <f>VLOOKUP(B10,[1]characters!$A:$H,8,FALSE)</f>
        <v>blue</v>
      </c>
      <c r="L10" s="7" t="str">
        <f>VLOOKUP(B10,[1]characters!$A:$K,11,FALSE)</f>
        <v>technical</v>
      </c>
      <c r="M10" s="7" t="str">
        <f>VLOOKUP(B10,[1]characters!$A:$M,13,FALSE)</f>
        <v>god</v>
      </c>
      <c r="N10" s="7" t="str">
        <f>VLOOKUP(B10,[1]characters!$A:$G,7,FALSE)</f>
        <v>男性</v>
      </c>
      <c r="O10" s="26">
        <v>20</v>
      </c>
      <c r="P10" s="27">
        <f t="shared" si="2"/>
        <v>5.5555555555555552E-2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</row>
    <row r="11" spans="1:36" s="48" customFormat="1" ht="21" customHeight="1" x14ac:dyDescent="0.15">
      <c r="A11" s="2">
        <v>7331010</v>
      </c>
      <c r="B11" s="46">
        <v>1032</v>
      </c>
      <c r="C11" s="7" t="str">
        <f t="shared" si="0"/>
        <v>PremiumSS6R5only</v>
      </c>
      <c r="D11" s="7" t="str">
        <f t="shared" si="1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彩気煥発の創作人 紫式部</v>
      </c>
      <c r="I11" s="7" t="str">
        <f>VLOOKUP(B11,[1]characters!$A:$J,10,FALSE)</f>
        <v>PremiumSS</v>
      </c>
      <c r="J11" s="7">
        <f>VLOOKUP(B11,[1]characters!$A:$I,9,FALSE)</f>
        <v>6</v>
      </c>
      <c r="K11" s="7" t="str">
        <f>VLOOKUP(B11,[1]characters!$A:$H,8,FALSE)</f>
        <v>blue</v>
      </c>
      <c r="L11" s="7" t="str">
        <f>VLOOKUP(B11,[1]characters!$A:$K,11,FALSE)</f>
        <v>technical</v>
      </c>
      <c r="M11" s="7" t="str">
        <f>VLOOKUP(B11,[1]characters!$A:$M,13,FALSE)</f>
        <v>human</v>
      </c>
      <c r="N11" s="7" t="str">
        <f>VLOOKUP(B11,[1]characters!$A:$G,7,FALSE)</f>
        <v>男性</v>
      </c>
      <c r="O11" s="26">
        <v>20</v>
      </c>
      <c r="P11" s="27">
        <f t="shared" si="2"/>
        <v>5.5555555555555552E-2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</row>
    <row r="12" spans="1:36" s="48" customFormat="1" ht="21" customHeight="1" x14ac:dyDescent="0.15">
      <c r="A12" s="2">
        <v>7331010</v>
      </c>
      <c r="B12" s="46">
        <v>1073</v>
      </c>
      <c r="C12" s="7" t="str">
        <f t="shared" si="0"/>
        <v>PremiumSS6R5only</v>
      </c>
      <c r="D12" s="7" t="str">
        <f t="shared" si="1"/>
        <v>PremiumSS</v>
      </c>
      <c r="E12" s="7" t="str">
        <f>IF(COUNTIF('R6追加前'!A:A,B12)=0,IF(OR(I12="PremiumSS",I12="PremiumSSw"),"R5only","R3less"),"")</f>
        <v>R5only</v>
      </c>
      <c r="F12" s="7" t="str">
        <f>IF(COUNTIF('R6開放'!A:A,B12)&gt;0,"R6release","")</f>
        <v/>
      </c>
      <c r="G12" s="7"/>
      <c r="H12" s="7" t="str">
        <f>VLOOKUP(B12,[1]characters!$A:$C,3,FALSE)</f>
        <v>静穏なる獣勇 エンキドゥ</v>
      </c>
      <c r="I12" s="7" t="str">
        <f>VLOOKUP(B12,[1]characters!$A:$J,10,FALSE)</f>
        <v>PremiumSSw</v>
      </c>
      <c r="J12" s="7">
        <f>VLOOKUP(B12,[1]characters!$A:$I,9,FALSE)</f>
        <v>6</v>
      </c>
      <c r="K12" s="7" t="str">
        <f>VLOOKUP(B12,[1]characters!$A:$H,8,FALSE)</f>
        <v>blue</v>
      </c>
      <c r="L12" s="7" t="str">
        <f>VLOOKUP(B12,[1]characters!$A:$K,11,FALSE)</f>
        <v>attack</v>
      </c>
      <c r="M12" s="7" t="str">
        <f>VLOOKUP(B12,[1]characters!$A:$M,13,FALSE)</f>
        <v>human</v>
      </c>
      <c r="N12" s="7" t="str">
        <f>VLOOKUP(B12,[1]characters!$A:$G,7,FALSE)</f>
        <v>男性</v>
      </c>
      <c r="O12" s="26">
        <v>20</v>
      </c>
      <c r="P12" s="27">
        <f t="shared" si="2"/>
        <v>5.5555555555555552E-2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</row>
    <row r="13" spans="1:36" s="48" customFormat="1" ht="21" customHeight="1" x14ac:dyDescent="0.15">
      <c r="A13" s="2">
        <v>7331010</v>
      </c>
      <c r="B13" s="46">
        <v>1142</v>
      </c>
      <c r="C13" s="7" t="str">
        <f t="shared" si="0"/>
        <v>PremiumSS6R5only</v>
      </c>
      <c r="D13" s="7" t="str">
        <f t="shared" si="1"/>
        <v>PremiumSS</v>
      </c>
      <c r="E13" s="7" t="str">
        <f>IF(COUNTIF('R6追加前'!A:A,B13)=0,IF(OR(I13="PremiumSS",I13="PremiumSSw"),"R5only","R3less"),"")</f>
        <v>R5only</v>
      </c>
      <c r="F13" s="7" t="str">
        <f>IF(COUNTIF('R6開放'!A:A,B13)&gt;0,"R6release","")</f>
        <v/>
      </c>
      <c r="G13" s="7"/>
      <c r="H13" s="7" t="str">
        <f>VLOOKUP(B13,[1]characters!$A:$C,3,FALSE)</f>
        <v>蒼明な機鋼士 月英</v>
      </c>
      <c r="I13" s="7" t="str">
        <f>VLOOKUP(B13,[1]characters!$A:$J,10,FALSE)</f>
        <v>PremiumSS</v>
      </c>
      <c r="J13" s="7">
        <f>VLOOKUP(B13,[1]characters!$A:$I,9,FALSE)</f>
        <v>6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不明</v>
      </c>
      <c r="O13" s="26">
        <v>20</v>
      </c>
      <c r="P13" s="27">
        <f t="shared" si="2"/>
        <v>5.5555555555555552E-2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</row>
    <row r="14" spans="1:36" s="48" customFormat="1" ht="21" customHeight="1" x14ac:dyDescent="0.15">
      <c r="A14" s="2">
        <v>7331010</v>
      </c>
      <c r="B14" s="46">
        <v>1156</v>
      </c>
      <c r="C14" s="7" t="str">
        <f t="shared" si="0"/>
        <v>PremiumSS6R5only</v>
      </c>
      <c r="D14" s="7" t="str">
        <f t="shared" si="1"/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麗逆の武操神 ドゥルガー</v>
      </c>
      <c r="I14" s="7" t="str">
        <f>VLOOKUP(B14,[1]characters!$A:$J,10,FALSE)</f>
        <v>PremiumSS</v>
      </c>
      <c r="J14" s="7">
        <f>VLOOKUP(B14,[1]characters!$A:$I,9,FALSE)</f>
        <v>6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god</v>
      </c>
      <c r="N14" s="7" t="str">
        <f>VLOOKUP(B14,[1]characters!$A:$G,7,FALSE)</f>
        <v>不明</v>
      </c>
      <c r="O14" s="26">
        <v>20</v>
      </c>
      <c r="P14" s="27">
        <f t="shared" si="2"/>
        <v>5.5555555555555552E-2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</row>
    <row r="15" spans="1:36" s="48" customFormat="1" ht="21" customHeight="1" x14ac:dyDescent="0.15">
      <c r="A15" s="2">
        <v>7331010</v>
      </c>
      <c r="B15" s="47">
        <v>1213</v>
      </c>
      <c r="C15" s="7" t="str">
        <f t="shared" si="0"/>
        <v>PremiumSS6R5only</v>
      </c>
      <c r="D15" s="7" t="str">
        <f t="shared" si="1"/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能洪の永地神 クロノス</v>
      </c>
      <c r="I15" s="7" t="str">
        <f>VLOOKUP(B15,[1]characters!$A:$J,10,FALSE)</f>
        <v>PremiumSS</v>
      </c>
      <c r="J15" s="7">
        <f>VLOOKUP(B15,[1]characters!$A:$I,9,FALSE)</f>
        <v>6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god</v>
      </c>
      <c r="N15" s="7">
        <f>VLOOKUP(B15,[1]characters!$A:$G,7,FALSE)</f>
        <v>0</v>
      </c>
      <c r="O15" s="26">
        <v>20</v>
      </c>
      <c r="P15" s="27">
        <f t="shared" si="2"/>
        <v>5.5555555555555552E-2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</row>
    <row r="16" spans="1:36" s="48" customFormat="1" ht="21" customHeight="1" x14ac:dyDescent="0.15">
      <c r="A16" s="2">
        <v>7331010</v>
      </c>
      <c r="B16" s="47">
        <v>1229</v>
      </c>
      <c r="C16" s="7" t="str">
        <f t="shared" si="0"/>
        <v>PremiumSS6R5only</v>
      </c>
      <c r="D16" s="7" t="str">
        <f t="shared" si="1"/>
        <v>PremiumSS</v>
      </c>
      <c r="E16" s="7" t="str">
        <f>IF(COUNTIF('R6追加前'!A:A,B16)=0,IF(OR(I16="PremiumSS",I16="PremiumSSw"),"R5only","R3less"),"")</f>
        <v>R5only</v>
      </c>
      <c r="F16" s="7" t="str">
        <f>IF(COUNTIF('R6開放'!A:A,B16)&gt;0,"R6release","")</f>
        <v/>
      </c>
      <c r="G16" s="7"/>
      <c r="H16" s="7" t="str">
        <f>VLOOKUP(B16,[1]characters!$A:$C,3,FALSE)</f>
        <v>羅生の鬼我 芥川龍之介</v>
      </c>
      <c r="I16" s="7" t="str">
        <f>VLOOKUP(B16,[1]characters!$A:$J,10,FALSE)</f>
        <v>PremiumSSw</v>
      </c>
      <c r="J16" s="7">
        <f>VLOOKUP(B16,[1]characters!$A:$I,9,FALSE)</f>
        <v>6</v>
      </c>
      <c r="K16" s="7" t="str">
        <f>VLOOKUP(B16,[1]characters!$A:$H,8,FALSE)</f>
        <v>blue</v>
      </c>
      <c r="L16" s="7" t="str">
        <f>VLOOKUP(B16,[1]characters!$A:$K,11,FALSE)</f>
        <v>attack</v>
      </c>
      <c r="M16" s="7" t="str">
        <f>VLOOKUP(B16,[1]characters!$A:$M,13,FALSE)</f>
        <v>human</v>
      </c>
      <c r="N16" s="7">
        <f>VLOOKUP(B16,[1]characters!$A:$G,7,FALSE)</f>
        <v>0</v>
      </c>
      <c r="O16" s="26">
        <v>20</v>
      </c>
      <c r="P16" s="27">
        <f t="shared" si="2"/>
        <v>5.5555555555555552E-2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</row>
    <row r="17" spans="1:36" s="48" customFormat="1" ht="21" customHeight="1" x14ac:dyDescent="0.15">
      <c r="A17" s="2">
        <v>7331010</v>
      </c>
      <c r="B17" s="47">
        <v>1265</v>
      </c>
      <c r="C17" s="7" t="str">
        <f t="shared" si="0"/>
        <v>PremiumSS6R5only</v>
      </c>
      <c r="D17" s="7" t="str">
        <f t="shared" si="1"/>
        <v>PremiumSS</v>
      </c>
      <c r="E17" s="7" t="str">
        <f>IF(COUNTIF('R6追加前'!A:A,B17)=0,IF(OR(I17="PremiumSS",I17="PremiumSSw"),"R5only","R3less"),"")</f>
        <v>R5only</v>
      </c>
      <c r="F17" s="7" t="str">
        <f>IF(COUNTIF('R6開放'!A:A,B17)&gt;0,"R6release","")</f>
        <v/>
      </c>
      <c r="G17" s="7"/>
      <c r="H17" s="7" t="str">
        <f>VLOOKUP(B17,[1]characters!$A:$C,3,FALSE)</f>
        <v>静観する世限者 ウルズ</v>
      </c>
      <c r="I17" s="7" t="str">
        <f>VLOOKUP(B17,[1]characters!$A:$J,10,FALSE)</f>
        <v>PremiumSS</v>
      </c>
      <c r="J17" s="7">
        <f>VLOOKUP(B17,[1]characters!$A:$I,9,FALSE)</f>
        <v>6</v>
      </c>
      <c r="K17" s="7" t="str">
        <f>VLOOKUP(B17,[1]characters!$A:$H,8,FALSE)</f>
        <v>blue</v>
      </c>
      <c r="L17" s="7" t="str">
        <f>VLOOKUP(B17,[1]characters!$A:$K,11,FALSE)</f>
        <v>heal</v>
      </c>
      <c r="M17" s="7" t="str">
        <f>VLOOKUP(B17,[1]characters!$A:$M,13,FALSE)</f>
        <v>god</v>
      </c>
      <c r="N17" s="7">
        <f>VLOOKUP(B17,[1]characters!$A:$G,7,FALSE)</f>
        <v>0</v>
      </c>
      <c r="O17" s="26">
        <v>20</v>
      </c>
      <c r="P17" s="27">
        <f t="shared" si="2"/>
        <v>5.5555555555555552E-2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</row>
    <row r="18" spans="1:36" s="12" customFormat="1" ht="21" customHeight="1" thickBot="1" x14ac:dyDescent="0.2">
      <c r="A18" s="2">
        <v>7331010</v>
      </c>
      <c r="B18" s="46">
        <v>1337</v>
      </c>
      <c r="C18" s="7" t="str">
        <f t="shared" ref="C18" si="3">D18&amp;J18&amp;E18&amp;F18&amp;G18</f>
        <v>PremiumSS6R5only</v>
      </c>
      <c r="D18" s="7" t="str">
        <f t="shared" ref="D18" si="4">IF(OR(I18="PremiumSS",I18="PremiumSSw"),"PremiumSS",IF(I18="PremiumSSS",I18,IF(I18="PremiumW",IF(J18=5,"premium",I18),"Premium")))</f>
        <v>PremiumSS</v>
      </c>
      <c r="E18" s="7" t="str">
        <f>IF(COUNTIF('R6追加前'!A:A,B18)=0,IF(OR(I18="PremiumSS",I18="PremiumSSw"),"R5only","R3less"),"")</f>
        <v>R5only</v>
      </c>
      <c r="F18" s="7" t="str">
        <f>IF(COUNTIF('R6開放'!A:A,B18)&gt;0,"R6release","")</f>
        <v/>
      </c>
      <c r="G18" s="7"/>
      <c r="H18" s="7" t="str">
        <f>VLOOKUP(B18,[1]characters!$A:$C,3,FALSE)</f>
        <v>成命の綜父神 イザナギ</v>
      </c>
      <c r="I18" s="7" t="str">
        <f>VLOOKUP(B18,[1]characters!$A:$J,10,FALSE)</f>
        <v>PremiumSS</v>
      </c>
      <c r="J18" s="7">
        <f>VLOOKUP(B18,[1]characters!$A:$I,9,FALSE)</f>
        <v>6</v>
      </c>
      <c r="K18" s="7" t="str">
        <f>VLOOKUP(B18,[1]characters!$A:$H,8,FALSE)</f>
        <v>blue</v>
      </c>
      <c r="L18" s="7" t="str">
        <f>VLOOKUP(B18,[1]characters!$A:$K,11,FALSE)</f>
        <v>technical</v>
      </c>
      <c r="M18" s="7" t="str">
        <f>VLOOKUP(B18,[1]characters!$A:$M,13,FALSE)</f>
        <v>god</v>
      </c>
      <c r="N18" s="7">
        <f>VLOOKUP(B18,[1]characters!$A:$G,7,FALSE)</f>
        <v>0</v>
      </c>
      <c r="O18" s="26">
        <v>20</v>
      </c>
      <c r="P18" s="27">
        <f t="shared" si="2"/>
        <v>5.5555555555555552E-2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</row>
    <row r="19" spans="1:36" ht="21" customHeight="1" x14ac:dyDescent="0.15">
      <c r="A19" s="2">
        <v>7331010</v>
      </c>
      <c r="B19" s="5">
        <v>1386</v>
      </c>
      <c r="C19" s="7" t="str">
        <f t="shared" ref="C19" si="5">D19&amp;J19&amp;E19&amp;F19&amp;G19</f>
        <v>PremiumSS6R5only</v>
      </c>
      <c r="D19" s="7" t="str">
        <f t="shared" ref="D19" si="6">IF(OR(I19="PremiumSS",I19="PremiumSSw"),"PremiumSS",IF(I19="PremiumSSS",I19,IF(I19="PremiumW",IF(J19=5,"premium",I19),"Premium")))</f>
        <v>PremiumSS</v>
      </c>
      <c r="E19" s="7" t="str">
        <f>IF(COUNTIF('R6追加前'!A:A,B19)=0,IF(OR(I19="PremiumSS",I19="PremiumSSw"),"R5only","R3less"),"")</f>
        <v>R5only</v>
      </c>
      <c r="F19" s="7" t="str">
        <f>IF(COUNTIF('R6開放'!A:A,B19)&gt;0,"R6release","")</f>
        <v/>
      </c>
      <c r="G19" s="7"/>
      <c r="H19" s="7" t="str">
        <f>VLOOKUP(B19,[1]characters!$A:$C,3,FALSE)</f>
        <v>荊棘の覚醒姫 いばら姫</v>
      </c>
      <c r="I19" s="7" t="str">
        <f>VLOOKUP(B19,[1]characters!$A:$J,10,FALSE)</f>
        <v>PremiumSSw</v>
      </c>
      <c r="J19" s="7">
        <f>VLOOKUP(B19,[1]characters!$A:$I,9,FALSE)</f>
        <v>6</v>
      </c>
      <c r="K19" s="7" t="str">
        <f>VLOOKUP(B19,[1]characters!$A:$H,8,FALSE)</f>
        <v>blue</v>
      </c>
      <c r="L19" s="7" t="str">
        <f>VLOOKUP(B19,[1]characters!$A:$K,11,FALSE)</f>
        <v>attack</v>
      </c>
      <c r="M19" s="7" t="str">
        <f>VLOOKUP(B19,[1]characters!$A:$M,13,FALSE)</f>
        <v>fantasy</v>
      </c>
      <c r="N19" s="7">
        <f>VLOOKUP(B19,[1]characters!$A:$G,7,FALSE)</f>
        <v>0</v>
      </c>
      <c r="O19" s="26">
        <v>20</v>
      </c>
      <c r="P19" s="27">
        <f t="shared" si="2"/>
        <v>5.5555555555555552E-2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</row>
    <row r="20" spans="1:36" ht="21" customHeight="1" x14ac:dyDescent="0.15">
      <c r="A20" s="39"/>
      <c r="B20" s="40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41"/>
      <c r="P20" s="42"/>
      <c r="Q20" s="43"/>
      <c r="R20" s="43"/>
      <c r="S20" s="43"/>
      <c r="T20" s="43"/>
      <c r="U20" s="43"/>
      <c r="V20" s="43"/>
    </row>
    <row r="21" spans="1:36" ht="21" customHeight="1" x14ac:dyDescent="0.15">
      <c r="A21" s="39"/>
      <c r="B21" s="40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41"/>
      <c r="P21" s="42"/>
      <c r="Q21" s="43"/>
      <c r="R21" s="43"/>
      <c r="S21" s="43"/>
      <c r="T21" s="43"/>
      <c r="U21" s="43"/>
      <c r="V21" s="43"/>
    </row>
    <row r="22" spans="1:36" ht="21" customHeight="1" x14ac:dyDescent="0.15">
      <c r="A22" s="39"/>
      <c r="B22" s="40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41"/>
      <c r="P22" s="42"/>
      <c r="Q22" s="43"/>
      <c r="R22" s="43"/>
      <c r="S22" s="43"/>
      <c r="T22" s="43"/>
      <c r="U22" s="43"/>
      <c r="V22" s="43"/>
    </row>
    <row r="23" spans="1:36" s="45" customFormat="1" ht="21" customHeight="1" x14ac:dyDescent="0.15">
      <c r="A23" s="39"/>
      <c r="B23" s="40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41"/>
      <c r="P23" s="42"/>
      <c r="Q23" s="43"/>
      <c r="R23" s="43"/>
      <c r="S23" s="43"/>
      <c r="T23" s="43"/>
      <c r="U23" s="43"/>
      <c r="V23" s="43"/>
    </row>
    <row r="24" spans="1:36" s="45" customFormat="1" ht="21" customHeight="1" x14ac:dyDescent="0.15">
      <c r="A24" s="39"/>
      <c r="B24" s="40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41"/>
      <c r="P24" s="42"/>
      <c r="Q24" s="43"/>
      <c r="R24" s="43"/>
      <c r="S24" s="43"/>
      <c r="T24" s="43"/>
      <c r="U24" s="43"/>
      <c r="V24" s="43"/>
    </row>
    <row r="25" spans="1:36" s="45" customFormat="1" ht="21" customHeight="1" x14ac:dyDescent="0.15">
      <c r="A25" s="39"/>
      <c r="B25" s="40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41"/>
      <c r="P25" s="42"/>
      <c r="Q25" s="43"/>
      <c r="R25" s="43"/>
      <c r="S25" s="43"/>
      <c r="T25" s="43"/>
      <c r="U25" s="43"/>
      <c r="V25" s="43"/>
    </row>
    <row r="26" spans="1:36" s="45" customFormat="1" ht="21" customHeight="1" x14ac:dyDescent="0.15">
      <c r="A26" s="39"/>
      <c r="B26" s="40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41"/>
      <c r="P26" s="42"/>
      <c r="Q26" s="43"/>
      <c r="R26" s="43"/>
      <c r="S26" s="43"/>
      <c r="T26" s="43"/>
      <c r="U26" s="43"/>
      <c r="V26" s="43"/>
    </row>
    <row r="27" spans="1:36" s="45" customFormat="1" ht="21" customHeight="1" x14ac:dyDescent="0.15">
      <c r="A27" s="39"/>
      <c r="B27" s="40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41"/>
      <c r="P27" s="42"/>
      <c r="Q27" s="43"/>
      <c r="R27" s="43"/>
      <c r="S27" s="43"/>
      <c r="T27" s="43"/>
      <c r="U27" s="43"/>
      <c r="V27" s="43"/>
    </row>
    <row r="28" spans="1:36" s="45" customFormat="1" ht="21" customHeight="1" x14ac:dyDescent="0.15">
      <c r="A28" s="39"/>
      <c r="B28" s="40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41"/>
      <c r="P28" s="42"/>
      <c r="Q28" s="43"/>
      <c r="R28" s="43"/>
      <c r="S28" s="43"/>
      <c r="T28" s="43"/>
      <c r="U28" s="43"/>
      <c r="V28" s="43"/>
    </row>
    <row r="29" spans="1:36" s="45" customFormat="1" ht="21" customHeight="1" x14ac:dyDescent="0.15">
      <c r="A29" s="39"/>
      <c r="B29" s="40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41"/>
      <c r="P29" s="42"/>
      <c r="Q29" s="43"/>
      <c r="R29" s="43"/>
      <c r="S29" s="43"/>
      <c r="T29" s="43"/>
      <c r="U29" s="43"/>
      <c r="V29" s="43"/>
    </row>
    <row r="30" spans="1:36" s="45" customFormat="1" ht="21" customHeight="1" x14ac:dyDescent="0.15">
      <c r="A30" s="39"/>
      <c r="B30" s="40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41"/>
      <c r="P30" s="42"/>
      <c r="Q30" s="43"/>
      <c r="R30" s="43"/>
      <c r="S30" s="43"/>
      <c r="T30" s="43"/>
      <c r="U30" s="43"/>
      <c r="V30" s="43"/>
    </row>
    <row r="31" spans="1:36" s="45" customFormat="1" ht="21" customHeight="1" x14ac:dyDescent="0.15">
      <c r="A31" s="39"/>
      <c r="B31" s="40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41"/>
      <c r="P31" s="42"/>
      <c r="Q31" s="43"/>
      <c r="R31" s="43"/>
      <c r="S31" s="43"/>
      <c r="T31" s="43"/>
      <c r="U31" s="43"/>
      <c r="V31" s="43"/>
    </row>
    <row r="32" spans="1:36" s="45" customFormat="1" ht="21" customHeight="1" x14ac:dyDescent="0.15">
      <c r="A32" s="39"/>
      <c r="B32" s="40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41"/>
      <c r="P32" s="42"/>
      <c r="Q32" s="43"/>
      <c r="R32" s="43"/>
      <c r="S32" s="43"/>
      <c r="T32" s="43"/>
      <c r="U32" s="43"/>
      <c r="V32" s="43"/>
    </row>
    <row r="33" spans="1:22" s="45" customFormat="1" ht="21" customHeight="1" x14ac:dyDescent="0.15">
      <c r="A33" s="39"/>
      <c r="B33" s="40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41"/>
      <c r="P33" s="42"/>
      <c r="Q33" s="43"/>
      <c r="R33" s="43"/>
      <c r="S33" s="43"/>
      <c r="T33" s="43"/>
      <c r="U33" s="43"/>
      <c r="V33" s="43"/>
    </row>
    <row r="34" spans="1:22" s="45" customFormat="1" ht="21" customHeight="1" x14ac:dyDescent="0.15">
      <c r="A34" s="39"/>
      <c r="B34" s="40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41"/>
      <c r="P34" s="42"/>
      <c r="Q34" s="43"/>
      <c r="R34" s="43"/>
      <c r="S34" s="43"/>
      <c r="T34" s="43"/>
      <c r="U34" s="43"/>
      <c r="V34" s="43"/>
    </row>
    <row r="35" spans="1:22" s="45" customFormat="1" ht="21" customHeight="1" x14ac:dyDescent="0.15">
      <c r="A35" s="39"/>
      <c r="B35" s="40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41"/>
      <c r="P35" s="42"/>
      <c r="Q35" s="43"/>
      <c r="R35" s="43"/>
      <c r="S35" s="43"/>
      <c r="T35" s="43"/>
      <c r="U35" s="43"/>
      <c r="V35" s="43"/>
    </row>
    <row r="36" spans="1:22" s="45" customFormat="1" ht="21" customHeight="1" x14ac:dyDescent="0.15">
      <c r="A36" s="39"/>
      <c r="B36" s="40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41"/>
      <c r="P36" s="42"/>
      <c r="Q36" s="43"/>
      <c r="R36" s="43"/>
      <c r="S36" s="43"/>
      <c r="T36" s="43"/>
      <c r="U36" s="43"/>
      <c r="V36" s="43"/>
    </row>
    <row r="37" spans="1:22" s="45" customFormat="1" ht="21" customHeight="1" x14ac:dyDescent="0.15">
      <c r="A37" s="39"/>
      <c r="B37" s="40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41"/>
      <c r="P37" s="42"/>
      <c r="Q37" s="43"/>
      <c r="R37" s="43"/>
      <c r="S37" s="43"/>
      <c r="T37" s="43"/>
      <c r="U37" s="43"/>
      <c r="V37" s="43"/>
    </row>
    <row r="38" spans="1:22" s="45" customFormat="1" ht="21" customHeight="1" x14ac:dyDescent="0.15">
      <c r="A38" s="39"/>
      <c r="B38" s="40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41"/>
      <c r="P38" s="42"/>
      <c r="Q38" s="43"/>
      <c r="R38" s="43"/>
      <c r="S38" s="43"/>
      <c r="T38" s="43"/>
      <c r="U38" s="43"/>
      <c r="V38" s="43"/>
    </row>
    <row r="39" spans="1:22" s="45" customFormat="1" ht="21" customHeight="1" x14ac:dyDescent="0.15">
      <c r="A39" s="39"/>
      <c r="B39" s="40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41"/>
      <c r="P39" s="42"/>
      <c r="Q39" s="43"/>
      <c r="R39" s="43"/>
      <c r="S39" s="43"/>
      <c r="T39" s="43"/>
      <c r="U39" s="43"/>
      <c r="V39" s="43"/>
    </row>
    <row r="40" spans="1:22" s="45" customFormat="1" ht="21" customHeight="1" x14ac:dyDescent="0.15">
      <c r="A40" s="39"/>
      <c r="B40" s="40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41"/>
      <c r="P40" s="42"/>
      <c r="Q40" s="43"/>
      <c r="R40" s="43"/>
      <c r="S40" s="43"/>
      <c r="T40" s="43"/>
      <c r="U40" s="43"/>
      <c r="V40" s="43"/>
    </row>
    <row r="41" spans="1:22" s="45" customFormat="1" ht="21" customHeight="1" x14ac:dyDescent="0.15">
      <c r="A41" s="39"/>
      <c r="B41" s="40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41"/>
      <c r="P41" s="42"/>
      <c r="Q41" s="43"/>
      <c r="R41" s="43"/>
      <c r="S41" s="43"/>
      <c r="T41" s="43"/>
      <c r="U41" s="43"/>
      <c r="V41" s="43"/>
    </row>
    <row r="42" spans="1:22" s="45" customFormat="1" ht="21" customHeight="1" x14ac:dyDescent="0.15">
      <c r="A42" s="39"/>
      <c r="B42" s="40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41"/>
      <c r="P42" s="42"/>
      <c r="Q42" s="43"/>
      <c r="R42" s="43"/>
      <c r="S42" s="43"/>
      <c r="T42" s="43"/>
      <c r="U42" s="43"/>
      <c r="V42" s="43"/>
    </row>
    <row r="43" spans="1:22" s="45" customFormat="1" ht="21" customHeight="1" x14ac:dyDescent="0.15">
      <c r="A43" s="39"/>
      <c r="B43" s="40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41"/>
      <c r="P43" s="42"/>
      <c r="Q43" s="43"/>
      <c r="R43" s="43"/>
      <c r="S43" s="43"/>
      <c r="T43" s="43"/>
      <c r="U43" s="43"/>
      <c r="V43" s="43"/>
    </row>
    <row r="44" spans="1:22" s="45" customFormat="1" ht="21" customHeight="1" x14ac:dyDescent="0.15">
      <c r="A44" s="39"/>
      <c r="B44" s="40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41"/>
      <c r="P44" s="42"/>
      <c r="Q44" s="43"/>
      <c r="R44" s="43"/>
      <c r="S44" s="43"/>
      <c r="T44" s="43"/>
      <c r="U44" s="43"/>
      <c r="V44" s="43"/>
    </row>
    <row r="45" spans="1:22" s="45" customFormat="1" ht="21" customHeight="1" x14ac:dyDescent="0.15">
      <c r="A45" s="39"/>
      <c r="B45" s="40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41"/>
      <c r="P45" s="42"/>
      <c r="Q45" s="43"/>
      <c r="R45" s="43"/>
      <c r="S45" s="43"/>
      <c r="T45" s="43"/>
      <c r="U45" s="43"/>
      <c r="V45" s="43"/>
    </row>
    <row r="46" spans="1:22" s="45" customFormat="1" ht="21" customHeight="1" x14ac:dyDescent="0.15">
      <c r="A46" s="39"/>
      <c r="B46" s="40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41"/>
      <c r="P46" s="42"/>
      <c r="Q46" s="43"/>
      <c r="R46" s="43"/>
      <c r="S46" s="43"/>
      <c r="T46" s="43"/>
      <c r="U46" s="43"/>
      <c r="V46" s="43"/>
    </row>
    <row r="47" spans="1:22" s="45" customFormat="1" ht="21" customHeight="1" x14ac:dyDescent="0.15">
      <c r="A47" s="39"/>
      <c r="B47" s="40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41"/>
      <c r="P47" s="42"/>
      <c r="Q47" s="43"/>
      <c r="R47" s="43"/>
      <c r="S47" s="43"/>
      <c r="T47" s="43"/>
      <c r="U47" s="43"/>
      <c r="V47" s="43"/>
    </row>
    <row r="48" spans="1:22" s="45" customFormat="1" ht="21" customHeight="1" x14ac:dyDescent="0.15">
      <c r="A48" s="39"/>
      <c r="B48" s="40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41"/>
      <c r="P48" s="42"/>
      <c r="Q48" s="43"/>
      <c r="R48" s="43"/>
      <c r="S48" s="43"/>
      <c r="T48" s="43"/>
      <c r="U48" s="43"/>
      <c r="V48" s="43"/>
    </row>
    <row r="49" spans="1:22" s="45" customFormat="1" ht="21" customHeight="1" x14ac:dyDescent="0.15">
      <c r="A49" s="39"/>
      <c r="B49" s="40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41"/>
      <c r="P49" s="42"/>
      <c r="Q49" s="43"/>
      <c r="R49" s="43"/>
      <c r="S49" s="43"/>
      <c r="T49" s="43"/>
      <c r="U49" s="43"/>
      <c r="V49" s="43"/>
    </row>
    <row r="50" spans="1:22" s="45" customFormat="1" ht="21" customHeight="1" x14ac:dyDescent="0.15">
      <c r="A50" s="39"/>
      <c r="B50" s="40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41"/>
      <c r="P50" s="42"/>
      <c r="Q50" s="43"/>
      <c r="R50" s="43"/>
      <c r="S50" s="43"/>
      <c r="T50" s="43"/>
      <c r="U50" s="43"/>
      <c r="V50" s="43"/>
    </row>
    <row r="51" spans="1:22" s="45" customFormat="1" ht="21" customHeight="1" x14ac:dyDescent="0.15">
      <c r="A51" s="39"/>
      <c r="B51" s="40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41"/>
      <c r="P51" s="42"/>
      <c r="Q51" s="43"/>
      <c r="R51" s="43"/>
      <c r="S51" s="43"/>
      <c r="T51" s="43"/>
      <c r="U51" s="43"/>
      <c r="V51" s="43"/>
    </row>
    <row r="52" spans="1:22" s="45" customFormat="1" ht="21" customHeight="1" x14ac:dyDescent="0.15">
      <c r="A52" s="39"/>
      <c r="B52" s="40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41"/>
      <c r="P52" s="42"/>
      <c r="Q52" s="43"/>
      <c r="R52" s="43"/>
      <c r="S52" s="43"/>
      <c r="T52" s="43"/>
      <c r="U52" s="43"/>
      <c r="V52" s="43"/>
    </row>
    <row r="53" spans="1:22" s="45" customFormat="1" ht="21" customHeight="1" x14ac:dyDescent="0.15">
      <c r="A53" s="39"/>
      <c r="B53" s="40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41"/>
      <c r="P53" s="42"/>
      <c r="Q53" s="43"/>
      <c r="R53" s="43"/>
      <c r="S53" s="43"/>
      <c r="T53" s="43"/>
      <c r="U53" s="43"/>
      <c r="V53" s="43"/>
    </row>
    <row r="54" spans="1:22" s="45" customFormat="1" ht="21" customHeight="1" x14ac:dyDescent="0.15">
      <c r="A54" s="39"/>
      <c r="B54" s="40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41"/>
      <c r="P54" s="42"/>
      <c r="Q54" s="43"/>
      <c r="R54" s="43"/>
      <c r="S54" s="43"/>
      <c r="T54" s="43"/>
      <c r="U54" s="43"/>
      <c r="V54" s="43"/>
    </row>
    <row r="55" spans="1:22" ht="21" customHeight="1" x14ac:dyDescent="0.15">
      <c r="A55" s="39"/>
      <c r="B55" s="40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41"/>
      <c r="P55" s="42"/>
      <c r="Q55" s="43"/>
      <c r="R55" s="43"/>
      <c r="S55" s="43"/>
      <c r="T55" s="43"/>
      <c r="U55" s="43"/>
      <c r="V55" s="43"/>
    </row>
    <row r="56" spans="1:22" ht="21" customHeight="1" x14ac:dyDescent="0.15">
      <c r="A56" s="39"/>
      <c r="B56" s="40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41"/>
      <c r="P56" s="42"/>
      <c r="Q56" s="43"/>
      <c r="R56" s="43"/>
      <c r="S56" s="43"/>
      <c r="T56" s="43"/>
      <c r="U56" s="43"/>
      <c r="V56" s="43"/>
    </row>
    <row r="57" spans="1:22" ht="21" customHeight="1" x14ac:dyDescent="0.15">
      <c r="A57" s="39"/>
      <c r="B57" s="40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41"/>
      <c r="P57" s="42"/>
      <c r="Q57" s="43"/>
      <c r="R57" s="43"/>
      <c r="S57" s="43"/>
      <c r="T57" s="43"/>
      <c r="U57" s="43"/>
      <c r="V57" s="43"/>
    </row>
    <row r="58" spans="1:22" ht="21" customHeight="1" x14ac:dyDescent="0.15">
      <c r="A58" s="39"/>
      <c r="B58" s="40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41"/>
      <c r="P58" s="42"/>
      <c r="Q58" s="43"/>
      <c r="R58" s="43"/>
      <c r="S58" s="43"/>
      <c r="T58" s="43"/>
      <c r="U58" s="43"/>
      <c r="V58" s="43"/>
    </row>
    <row r="59" spans="1:22" ht="21" customHeight="1" x14ac:dyDescent="0.15">
      <c r="A59" s="39"/>
      <c r="B59" s="40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41"/>
      <c r="P59" s="42"/>
      <c r="Q59" s="43"/>
      <c r="R59" s="43"/>
      <c r="S59" s="43"/>
      <c r="T59" s="43"/>
      <c r="U59" s="43"/>
      <c r="V59" s="43"/>
    </row>
    <row r="60" spans="1:22" ht="21" customHeight="1" x14ac:dyDescent="0.15">
      <c r="A60" s="39"/>
      <c r="B60" s="40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41"/>
      <c r="P60" s="42"/>
      <c r="Q60" s="43"/>
      <c r="R60" s="43"/>
      <c r="S60" s="43"/>
      <c r="T60" s="43"/>
      <c r="U60" s="43"/>
      <c r="V60" s="43"/>
    </row>
    <row r="61" spans="1:22" ht="21" customHeight="1" x14ac:dyDescent="0.15">
      <c r="A61" s="39"/>
      <c r="B61" s="44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41"/>
      <c r="P61" s="42"/>
      <c r="Q61" s="43"/>
      <c r="R61" s="43"/>
      <c r="S61" s="43"/>
      <c r="T61" s="43"/>
      <c r="U61" s="43"/>
      <c r="V61" s="43"/>
    </row>
    <row r="62" spans="1:22" ht="21" customHeight="1" x14ac:dyDescent="0.15">
      <c r="A62" s="39"/>
      <c r="B62" s="44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41"/>
      <c r="P62" s="42"/>
      <c r="Q62" s="43"/>
      <c r="R62" s="43"/>
      <c r="S62" s="43"/>
      <c r="T62" s="43"/>
      <c r="U62" s="43"/>
      <c r="V62" s="43"/>
    </row>
    <row r="63" spans="1:22" ht="21" customHeight="1" x14ac:dyDescent="0.15">
      <c r="A63" s="39"/>
      <c r="B63" s="44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41"/>
      <c r="P63" s="42"/>
      <c r="Q63" s="43"/>
      <c r="R63" s="43"/>
      <c r="S63" s="43"/>
      <c r="T63" s="43"/>
      <c r="U63" s="43"/>
      <c r="V63" s="43"/>
    </row>
    <row r="64" spans="1:22" ht="21" customHeight="1" x14ac:dyDescent="0.15">
      <c r="A64" s="39"/>
      <c r="B64" s="44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41"/>
      <c r="P64" s="42"/>
      <c r="Q64" s="43"/>
      <c r="R64" s="43"/>
      <c r="S64" s="43"/>
      <c r="T64" s="43"/>
      <c r="U64" s="43"/>
      <c r="V64" s="43"/>
    </row>
    <row r="65" spans="1:36" s="9" customFormat="1" ht="21" customHeight="1" thickBot="1" x14ac:dyDescent="0.2">
      <c r="A65" s="39"/>
      <c r="B65" s="40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41"/>
      <c r="P65" s="42"/>
      <c r="Q65" s="43"/>
      <c r="R65" s="43"/>
      <c r="S65" s="43"/>
      <c r="T65" s="43"/>
      <c r="U65" s="43"/>
      <c r="V65" s="43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</row>
    <row r="66" spans="1:36" ht="21" customHeight="1" x14ac:dyDescent="0.15">
      <c r="A66" s="39"/>
      <c r="B66" s="40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41"/>
      <c r="P66" s="42"/>
      <c r="Q66" s="43"/>
      <c r="R66" s="43"/>
      <c r="S66" s="43"/>
      <c r="T66" s="43"/>
      <c r="U66" s="43"/>
      <c r="V66" s="43"/>
    </row>
    <row r="67" spans="1:36" ht="21" customHeight="1" x14ac:dyDescent="0.15">
      <c r="A67" s="39"/>
      <c r="B67" s="40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41"/>
      <c r="P67" s="42"/>
      <c r="Q67" s="43"/>
      <c r="R67" s="43"/>
      <c r="S67" s="43"/>
      <c r="T67" s="43"/>
      <c r="U67" s="43"/>
      <c r="V67" s="43"/>
    </row>
    <row r="68" spans="1:36" ht="21" customHeight="1" x14ac:dyDescent="0.15">
      <c r="A68" s="39"/>
      <c r="B68" s="40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41"/>
      <c r="P68" s="42"/>
      <c r="Q68" s="43"/>
      <c r="R68" s="43"/>
      <c r="S68" s="43"/>
      <c r="T68" s="43"/>
      <c r="U68" s="43"/>
      <c r="V68" s="43"/>
    </row>
    <row r="69" spans="1:36" ht="21" customHeight="1" x14ac:dyDescent="0.15">
      <c r="A69" s="39"/>
      <c r="B69" s="40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41"/>
      <c r="P69" s="42"/>
      <c r="Q69" s="43"/>
      <c r="R69" s="43"/>
      <c r="S69" s="43"/>
      <c r="T69" s="43"/>
      <c r="U69" s="43"/>
      <c r="V69" s="43"/>
    </row>
    <row r="70" spans="1:36" ht="21" customHeight="1" x14ac:dyDescent="0.15">
      <c r="A70" s="39"/>
      <c r="B70" s="40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41"/>
      <c r="P70" s="42"/>
      <c r="Q70" s="43"/>
      <c r="R70" s="43"/>
      <c r="S70" s="43"/>
      <c r="T70" s="43"/>
      <c r="U70" s="43"/>
      <c r="V70" s="43"/>
    </row>
    <row r="71" spans="1:36" s="45" customFormat="1" ht="21" customHeight="1" x14ac:dyDescent="0.15">
      <c r="A71" s="39"/>
      <c r="B71" s="40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41"/>
      <c r="P71" s="42"/>
      <c r="Q71" s="43"/>
      <c r="R71" s="43"/>
      <c r="S71" s="43"/>
      <c r="T71" s="43"/>
      <c r="U71" s="43"/>
      <c r="V71" s="43"/>
    </row>
    <row r="72" spans="1:36" s="45" customFormat="1" ht="21" customHeight="1" x14ac:dyDescent="0.15">
      <c r="A72" s="39"/>
      <c r="B72" s="40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41"/>
      <c r="P72" s="42"/>
      <c r="Q72" s="43"/>
      <c r="R72" s="43"/>
      <c r="S72" s="43"/>
      <c r="T72" s="43"/>
      <c r="U72" s="43"/>
      <c r="V72" s="43"/>
    </row>
    <row r="73" spans="1:36" s="45" customFormat="1" ht="21" customHeight="1" x14ac:dyDescent="0.15">
      <c r="A73" s="39"/>
      <c r="B73" s="40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41"/>
      <c r="P73" s="42"/>
      <c r="Q73" s="43"/>
      <c r="R73" s="43"/>
      <c r="S73" s="43"/>
      <c r="T73" s="43"/>
      <c r="U73" s="43"/>
      <c r="V73" s="43"/>
    </row>
    <row r="74" spans="1:36" s="45" customFormat="1" ht="21" customHeight="1" x14ac:dyDescent="0.15">
      <c r="A74" s="39"/>
      <c r="B74" s="40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41"/>
      <c r="P74" s="42"/>
      <c r="Q74" s="43"/>
      <c r="R74" s="43"/>
      <c r="S74" s="43"/>
      <c r="T74" s="43"/>
      <c r="U74" s="43"/>
      <c r="V74" s="43"/>
    </row>
    <row r="75" spans="1:36" s="45" customFormat="1" ht="21" customHeight="1" x14ac:dyDescent="0.15">
      <c r="A75" s="39"/>
      <c r="B75" s="40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41"/>
      <c r="P75" s="42"/>
      <c r="Q75" s="43"/>
      <c r="R75" s="43"/>
      <c r="S75" s="43"/>
      <c r="T75" s="43"/>
      <c r="U75" s="43"/>
      <c r="V75" s="43"/>
    </row>
    <row r="76" spans="1:36" s="45" customFormat="1" ht="21" customHeight="1" x14ac:dyDescent="0.15">
      <c r="A76" s="39"/>
      <c r="B76" s="40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41"/>
      <c r="P76" s="42"/>
      <c r="Q76" s="43"/>
      <c r="R76" s="43"/>
      <c r="S76" s="43"/>
      <c r="T76" s="43"/>
      <c r="U76" s="43"/>
      <c r="V76" s="43"/>
    </row>
    <row r="77" spans="1:36" s="45" customFormat="1" ht="21" customHeight="1" x14ac:dyDescent="0.15">
      <c r="A77" s="39"/>
      <c r="B77" s="40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41"/>
      <c r="P77" s="42"/>
      <c r="Q77" s="43"/>
      <c r="R77" s="43"/>
      <c r="S77" s="43"/>
      <c r="T77" s="43"/>
      <c r="U77" s="43"/>
      <c r="V77" s="43"/>
    </row>
    <row r="78" spans="1:36" s="45" customFormat="1" ht="21" customHeight="1" x14ac:dyDescent="0.15">
      <c r="A78" s="39"/>
      <c r="B78" s="40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41"/>
      <c r="P78" s="42"/>
      <c r="Q78" s="43"/>
      <c r="R78" s="43"/>
      <c r="S78" s="43"/>
      <c r="T78" s="43"/>
      <c r="U78" s="43"/>
      <c r="V78" s="43"/>
    </row>
    <row r="79" spans="1:36" s="45" customFormat="1" ht="21" customHeight="1" x14ac:dyDescent="0.15">
      <c r="A79" s="39"/>
      <c r="B79" s="40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41"/>
      <c r="P79" s="42"/>
      <c r="Q79" s="43"/>
      <c r="R79" s="43"/>
      <c r="S79" s="43"/>
      <c r="T79" s="43"/>
      <c r="U79" s="43"/>
      <c r="V79" s="43"/>
    </row>
    <row r="80" spans="1:36" s="45" customFormat="1" ht="21" customHeight="1" x14ac:dyDescent="0.15">
      <c r="A80" s="39"/>
      <c r="B80" s="40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41"/>
      <c r="P80" s="42"/>
      <c r="Q80" s="43"/>
      <c r="R80" s="43"/>
      <c r="S80" s="43"/>
      <c r="T80" s="43"/>
      <c r="U80" s="43"/>
      <c r="V80" s="43"/>
    </row>
    <row r="81" spans="1:22" s="45" customFormat="1" ht="21" customHeight="1" x14ac:dyDescent="0.15">
      <c r="A81" s="39"/>
      <c r="B81" s="40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41"/>
      <c r="P81" s="42"/>
      <c r="Q81" s="43"/>
      <c r="R81" s="43"/>
      <c r="S81" s="43"/>
      <c r="T81" s="43"/>
      <c r="U81" s="43"/>
      <c r="V81" s="43"/>
    </row>
    <row r="82" spans="1:22" s="45" customFormat="1" ht="21" customHeight="1" x14ac:dyDescent="0.15">
      <c r="A82" s="39"/>
      <c r="B82" s="40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41"/>
      <c r="P82" s="42"/>
      <c r="Q82" s="43"/>
      <c r="R82" s="43"/>
      <c r="S82" s="43"/>
      <c r="T82" s="43"/>
      <c r="U82" s="43"/>
      <c r="V82" s="43"/>
    </row>
    <row r="83" spans="1:22" s="45" customFormat="1" ht="21" customHeight="1" x14ac:dyDescent="0.15">
      <c r="A83" s="39"/>
      <c r="B83" s="40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41"/>
      <c r="P83" s="42"/>
      <c r="Q83" s="43"/>
      <c r="R83" s="43"/>
      <c r="S83" s="43"/>
      <c r="T83" s="43"/>
      <c r="U83" s="43"/>
      <c r="V83" s="43"/>
    </row>
    <row r="84" spans="1:22" s="45" customFormat="1" ht="21" customHeight="1" x14ac:dyDescent="0.15">
      <c r="A84" s="39"/>
      <c r="B84" s="40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41"/>
      <c r="P84" s="42"/>
      <c r="Q84" s="43"/>
      <c r="R84" s="43"/>
      <c r="S84" s="43"/>
      <c r="T84" s="43"/>
      <c r="U84" s="43"/>
      <c r="V84" s="43"/>
    </row>
    <row r="85" spans="1:22" s="45" customFormat="1" ht="21" customHeight="1" x14ac:dyDescent="0.15">
      <c r="A85" s="39"/>
      <c r="B85" s="40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41"/>
      <c r="P85" s="42"/>
      <c r="Q85" s="43"/>
      <c r="R85" s="43"/>
      <c r="S85" s="43"/>
      <c r="T85" s="43"/>
      <c r="U85" s="43"/>
      <c r="V85" s="43"/>
    </row>
    <row r="86" spans="1:22" s="45" customFormat="1" ht="21" customHeight="1" x14ac:dyDescent="0.15">
      <c r="A86" s="39"/>
      <c r="B86" s="40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41"/>
      <c r="P86" s="42"/>
      <c r="Q86" s="43"/>
      <c r="R86" s="43"/>
      <c r="S86" s="43"/>
      <c r="T86" s="43"/>
      <c r="U86" s="43"/>
      <c r="V86" s="43"/>
    </row>
    <row r="87" spans="1:22" s="45" customFormat="1" ht="21" customHeight="1" x14ac:dyDescent="0.15">
      <c r="A87" s="39"/>
      <c r="B87" s="40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41"/>
      <c r="P87" s="42"/>
      <c r="Q87" s="43"/>
      <c r="R87" s="43"/>
      <c r="S87" s="43"/>
      <c r="T87" s="43"/>
      <c r="U87" s="43"/>
      <c r="V87" s="43"/>
    </row>
    <row r="88" spans="1:22" s="45" customFormat="1" ht="21" customHeight="1" x14ac:dyDescent="0.15">
      <c r="A88" s="39"/>
      <c r="B88" s="40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41"/>
      <c r="P88" s="42"/>
      <c r="Q88" s="43"/>
      <c r="R88" s="43"/>
      <c r="S88" s="43"/>
      <c r="T88" s="43"/>
      <c r="U88" s="43"/>
      <c r="V88" s="43"/>
    </row>
    <row r="89" spans="1:22" s="45" customFormat="1" ht="21" customHeight="1" x14ac:dyDescent="0.15">
      <c r="A89" s="39"/>
      <c r="B89" s="40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41"/>
      <c r="P89" s="42"/>
      <c r="Q89" s="43"/>
      <c r="R89" s="43"/>
      <c r="S89" s="43"/>
      <c r="T89" s="43"/>
      <c r="U89" s="43"/>
      <c r="V89" s="43"/>
    </row>
    <row r="90" spans="1:22" s="45" customFormat="1" ht="21" customHeight="1" x14ac:dyDescent="0.15">
      <c r="A90" s="39"/>
      <c r="B90" s="40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41"/>
      <c r="P90" s="42"/>
      <c r="Q90" s="43"/>
      <c r="R90" s="43"/>
      <c r="S90" s="43"/>
      <c r="T90" s="43"/>
      <c r="U90" s="43"/>
      <c r="V90" s="43"/>
    </row>
    <row r="91" spans="1:22" s="45" customFormat="1" ht="21" customHeight="1" x14ac:dyDescent="0.15">
      <c r="A91" s="39"/>
      <c r="B91" s="40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41"/>
      <c r="P91" s="42"/>
      <c r="Q91" s="43"/>
      <c r="R91" s="43"/>
      <c r="S91" s="43"/>
      <c r="T91" s="43"/>
      <c r="U91" s="43"/>
      <c r="V91" s="43"/>
    </row>
    <row r="92" spans="1:22" s="45" customFormat="1" ht="21" customHeight="1" x14ac:dyDescent="0.15">
      <c r="A92" s="39"/>
      <c r="B92" s="40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41"/>
      <c r="P92" s="42"/>
      <c r="Q92" s="43"/>
      <c r="R92" s="43"/>
      <c r="S92" s="43"/>
      <c r="T92" s="43"/>
      <c r="U92" s="43"/>
      <c r="V92" s="43"/>
    </row>
    <row r="93" spans="1:22" s="45" customFormat="1" ht="21" customHeight="1" x14ac:dyDescent="0.15">
      <c r="A93" s="39"/>
      <c r="B93" s="40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41"/>
      <c r="P93" s="42"/>
      <c r="Q93" s="43"/>
      <c r="R93" s="43"/>
      <c r="S93" s="43"/>
      <c r="T93" s="43"/>
      <c r="U93" s="43"/>
      <c r="V93" s="43"/>
    </row>
    <row r="94" spans="1:22" s="45" customFormat="1" ht="21" customHeight="1" x14ac:dyDescent="0.15">
      <c r="A94" s="39"/>
      <c r="B94" s="40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41"/>
      <c r="P94" s="42"/>
      <c r="Q94" s="43"/>
      <c r="R94" s="43"/>
      <c r="S94" s="43"/>
      <c r="T94" s="43"/>
      <c r="U94" s="43"/>
      <c r="V94" s="43"/>
    </row>
    <row r="95" spans="1:22" s="45" customFormat="1" ht="21" customHeight="1" x14ac:dyDescent="0.15">
      <c r="A95" s="39"/>
      <c r="B95" s="40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41"/>
      <c r="P95" s="42"/>
      <c r="Q95" s="43"/>
      <c r="R95" s="43"/>
      <c r="S95" s="43"/>
      <c r="T95" s="43"/>
      <c r="U95" s="43"/>
      <c r="V95" s="43"/>
    </row>
    <row r="96" spans="1:22" s="45" customFormat="1" ht="21" customHeight="1" x14ac:dyDescent="0.15">
      <c r="A96" s="39"/>
      <c r="B96" s="40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41"/>
      <c r="P96" s="42"/>
      <c r="Q96" s="43"/>
      <c r="R96" s="43"/>
      <c r="S96" s="43"/>
      <c r="T96" s="43"/>
      <c r="U96" s="43"/>
      <c r="V96" s="43"/>
    </row>
    <row r="97" spans="1:22" s="45" customFormat="1" ht="21" customHeight="1" x14ac:dyDescent="0.15">
      <c r="A97" s="39"/>
      <c r="B97" s="40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41"/>
      <c r="P97" s="42"/>
      <c r="Q97" s="43"/>
      <c r="R97" s="43"/>
      <c r="S97" s="43"/>
      <c r="T97" s="43"/>
      <c r="U97" s="43"/>
      <c r="V97" s="43"/>
    </row>
    <row r="98" spans="1:22" s="45" customFormat="1" ht="21" customHeight="1" x14ac:dyDescent="0.15">
      <c r="A98" s="39"/>
      <c r="B98" s="40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41"/>
      <c r="P98" s="42"/>
      <c r="Q98" s="43"/>
      <c r="R98" s="43"/>
      <c r="S98" s="43"/>
      <c r="T98" s="43"/>
      <c r="U98" s="43"/>
      <c r="V98" s="43"/>
    </row>
    <row r="99" spans="1:22" s="45" customFormat="1" ht="21" customHeight="1" x14ac:dyDescent="0.15">
      <c r="A99" s="39"/>
      <c r="B99" s="40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41"/>
      <c r="P99" s="42"/>
      <c r="Q99" s="43"/>
      <c r="R99" s="43"/>
      <c r="S99" s="43"/>
      <c r="T99" s="43"/>
      <c r="U99" s="43"/>
      <c r="V99" s="43"/>
    </row>
    <row r="100" spans="1:22" s="45" customFormat="1" ht="21" customHeight="1" x14ac:dyDescent="0.15">
      <c r="A100" s="39"/>
      <c r="B100" s="40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41"/>
      <c r="P100" s="42"/>
      <c r="Q100" s="43"/>
      <c r="R100" s="43"/>
      <c r="S100" s="43"/>
      <c r="T100" s="43"/>
      <c r="U100" s="43"/>
      <c r="V100" s="43"/>
    </row>
    <row r="101" spans="1:22" s="45" customFormat="1" ht="21" customHeight="1" x14ac:dyDescent="0.15">
      <c r="A101" s="39"/>
      <c r="B101" s="40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41"/>
      <c r="P101" s="42"/>
      <c r="Q101" s="43"/>
      <c r="R101" s="43"/>
      <c r="S101" s="43"/>
      <c r="T101" s="43"/>
      <c r="U101" s="43"/>
      <c r="V101" s="43"/>
    </row>
    <row r="102" spans="1:22" s="45" customFormat="1" ht="21" customHeight="1" x14ac:dyDescent="0.15">
      <c r="A102" s="39"/>
      <c r="B102" s="40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41"/>
      <c r="P102" s="42"/>
      <c r="Q102" s="43"/>
      <c r="R102" s="43"/>
      <c r="S102" s="43"/>
      <c r="T102" s="43"/>
      <c r="U102" s="43"/>
      <c r="V102" s="43"/>
    </row>
    <row r="103" spans="1:22" s="45" customFormat="1" ht="21" customHeight="1" x14ac:dyDescent="0.15">
      <c r="A103" s="39"/>
      <c r="B103" s="40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41"/>
      <c r="P103" s="42"/>
      <c r="Q103" s="43"/>
      <c r="R103" s="43"/>
      <c r="S103" s="43"/>
      <c r="T103" s="43"/>
      <c r="U103" s="43"/>
      <c r="V103" s="43"/>
    </row>
    <row r="104" spans="1:22" s="45" customFormat="1" ht="21" customHeight="1" x14ac:dyDescent="0.15">
      <c r="A104" s="39"/>
      <c r="B104" s="40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41"/>
      <c r="P104" s="42"/>
      <c r="Q104" s="43"/>
      <c r="R104" s="43"/>
      <c r="S104" s="43"/>
      <c r="T104" s="43"/>
      <c r="U104" s="43"/>
      <c r="V104" s="43"/>
    </row>
    <row r="105" spans="1:22" s="45" customFormat="1" ht="21" customHeight="1" x14ac:dyDescent="0.15">
      <c r="A105" s="39"/>
      <c r="B105" s="40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41"/>
      <c r="P105" s="42"/>
      <c r="Q105" s="43"/>
      <c r="R105" s="43"/>
      <c r="S105" s="43"/>
      <c r="T105" s="43"/>
      <c r="U105" s="43"/>
      <c r="V105" s="43"/>
    </row>
    <row r="106" spans="1:22" s="45" customFormat="1" ht="21" customHeight="1" x14ac:dyDescent="0.15">
      <c r="A106" s="39"/>
      <c r="B106" s="40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41"/>
      <c r="P106" s="42"/>
      <c r="Q106" s="43"/>
      <c r="R106" s="43"/>
      <c r="S106" s="43"/>
      <c r="T106" s="43"/>
      <c r="U106" s="43"/>
      <c r="V106" s="43"/>
    </row>
    <row r="107" spans="1:22" s="45" customFormat="1" ht="21" customHeight="1" x14ac:dyDescent="0.15">
      <c r="A107" s="39"/>
      <c r="B107" s="40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41"/>
      <c r="P107" s="42"/>
      <c r="Q107" s="43"/>
      <c r="R107" s="43"/>
      <c r="S107" s="43"/>
      <c r="T107" s="43"/>
      <c r="U107" s="43"/>
      <c r="V107" s="43"/>
    </row>
    <row r="108" spans="1:22" s="45" customFormat="1" ht="21" customHeight="1" x14ac:dyDescent="0.15">
      <c r="A108" s="39"/>
      <c r="B108" s="40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41"/>
      <c r="P108" s="42"/>
      <c r="Q108" s="43"/>
      <c r="R108" s="43"/>
      <c r="S108" s="43"/>
      <c r="T108" s="43"/>
      <c r="U108" s="43"/>
      <c r="V108" s="43"/>
    </row>
    <row r="109" spans="1:22" s="45" customFormat="1" ht="21" customHeight="1" x14ac:dyDescent="0.15">
      <c r="A109" s="39"/>
      <c r="B109" s="40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41"/>
      <c r="P109" s="42"/>
      <c r="Q109" s="43"/>
      <c r="R109" s="43"/>
      <c r="S109" s="43"/>
      <c r="T109" s="43"/>
      <c r="U109" s="43"/>
      <c r="V109" s="43"/>
    </row>
    <row r="110" spans="1:22" s="45" customFormat="1" ht="21" customHeight="1" x14ac:dyDescent="0.15">
      <c r="A110" s="39"/>
      <c r="B110" s="40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41"/>
      <c r="P110" s="42"/>
      <c r="Q110" s="43"/>
      <c r="R110" s="43"/>
      <c r="S110" s="43"/>
      <c r="T110" s="43"/>
      <c r="U110" s="43"/>
      <c r="V110" s="43"/>
    </row>
    <row r="111" spans="1:22" s="45" customFormat="1" ht="21" customHeight="1" x14ac:dyDescent="0.15">
      <c r="A111" s="39"/>
      <c r="B111" s="40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41"/>
      <c r="P111" s="42"/>
      <c r="Q111" s="43"/>
      <c r="R111" s="43"/>
      <c r="S111" s="43"/>
      <c r="T111" s="43"/>
      <c r="U111" s="43"/>
      <c r="V111" s="43"/>
    </row>
    <row r="112" spans="1:22" s="45" customFormat="1" ht="21" customHeight="1" x14ac:dyDescent="0.15">
      <c r="A112" s="39"/>
      <c r="B112" s="40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41"/>
      <c r="P112" s="42"/>
      <c r="Q112" s="43"/>
      <c r="R112" s="43"/>
      <c r="S112" s="43"/>
      <c r="T112" s="43"/>
      <c r="U112" s="43"/>
      <c r="V112" s="43"/>
    </row>
    <row r="113" spans="1:22" s="45" customFormat="1" ht="21" customHeight="1" x14ac:dyDescent="0.15">
      <c r="A113" s="39"/>
      <c r="B113" s="40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41"/>
      <c r="P113" s="42"/>
      <c r="Q113" s="43"/>
      <c r="R113" s="43"/>
      <c r="S113" s="43"/>
      <c r="T113" s="43"/>
      <c r="U113" s="43"/>
      <c r="V113" s="43"/>
    </row>
    <row r="114" spans="1:22" s="45" customFormat="1" ht="21" customHeight="1" x14ac:dyDescent="0.15">
      <c r="A114" s="39"/>
      <c r="B114" s="40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41"/>
      <c r="P114" s="42"/>
      <c r="Q114" s="43"/>
      <c r="R114" s="43"/>
      <c r="S114" s="43"/>
      <c r="T114" s="43"/>
      <c r="U114" s="43"/>
      <c r="V114" s="43"/>
    </row>
    <row r="115" spans="1:22" s="45" customFormat="1" ht="21" customHeight="1" x14ac:dyDescent="0.15">
      <c r="A115" s="39"/>
      <c r="B115" s="40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41"/>
      <c r="P115" s="42"/>
      <c r="Q115" s="43"/>
      <c r="R115" s="43"/>
      <c r="S115" s="43"/>
      <c r="T115" s="43"/>
      <c r="U115" s="43"/>
      <c r="V115" s="43"/>
    </row>
    <row r="116" spans="1:22" s="45" customFormat="1" ht="21" customHeight="1" x14ac:dyDescent="0.15">
      <c r="A116" s="39"/>
      <c r="B116" s="40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41"/>
      <c r="P116" s="42"/>
      <c r="Q116" s="43"/>
      <c r="R116" s="43"/>
      <c r="S116" s="43"/>
      <c r="T116" s="43"/>
      <c r="U116" s="43"/>
      <c r="V116" s="43"/>
    </row>
    <row r="117" spans="1:22" s="45" customFormat="1" ht="21" customHeight="1" x14ac:dyDescent="0.15">
      <c r="A117" s="39"/>
      <c r="B117" s="40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41"/>
      <c r="P117" s="42"/>
      <c r="Q117" s="43"/>
      <c r="R117" s="43"/>
      <c r="S117" s="43"/>
      <c r="T117" s="43"/>
      <c r="U117" s="43"/>
      <c r="V117" s="43"/>
    </row>
    <row r="118" spans="1:22" s="45" customFormat="1" ht="21" customHeight="1" x14ac:dyDescent="0.15">
      <c r="A118" s="39"/>
      <c r="B118" s="40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41"/>
      <c r="P118" s="42"/>
      <c r="Q118" s="43"/>
      <c r="R118" s="43"/>
      <c r="S118" s="43"/>
      <c r="T118" s="43"/>
      <c r="U118" s="43"/>
      <c r="V118" s="43"/>
    </row>
    <row r="119" spans="1:22" s="45" customFormat="1" ht="21" customHeight="1" x14ac:dyDescent="0.15">
      <c r="A119" s="39"/>
      <c r="B119" s="40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41"/>
      <c r="P119" s="42"/>
      <c r="Q119" s="43"/>
      <c r="R119" s="43"/>
      <c r="S119" s="43"/>
      <c r="T119" s="43"/>
      <c r="U119" s="43"/>
      <c r="V119" s="43"/>
    </row>
    <row r="120" spans="1:22" s="45" customFormat="1" ht="21" customHeight="1" x14ac:dyDescent="0.15">
      <c r="A120" s="39"/>
      <c r="B120" s="40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41"/>
      <c r="P120" s="42"/>
      <c r="Q120" s="43"/>
      <c r="R120" s="43"/>
      <c r="S120" s="43"/>
      <c r="T120" s="43"/>
      <c r="U120" s="43"/>
      <c r="V120" s="43"/>
    </row>
    <row r="121" spans="1:22" s="45" customFormat="1" ht="21" customHeight="1" x14ac:dyDescent="0.15">
      <c r="A121" s="39"/>
      <c r="B121" s="40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41"/>
      <c r="P121" s="42"/>
      <c r="Q121" s="43"/>
      <c r="R121" s="43"/>
      <c r="S121" s="43"/>
      <c r="T121" s="43"/>
      <c r="U121" s="43"/>
      <c r="V121" s="43"/>
    </row>
    <row r="122" spans="1:22" s="45" customFormat="1" ht="21" customHeight="1" x14ac:dyDescent="0.15">
      <c r="A122" s="39"/>
      <c r="B122" s="40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41"/>
      <c r="P122" s="42"/>
      <c r="Q122" s="43"/>
      <c r="R122" s="43"/>
      <c r="S122" s="43"/>
      <c r="T122" s="43"/>
      <c r="U122" s="43"/>
      <c r="V122" s="43"/>
    </row>
    <row r="123" spans="1:22" s="45" customFormat="1" ht="21" customHeight="1" x14ac:dyDescent="0.15">
      <c r="A123" s="39"/>
      <c r="B123" s="40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41"/>
      <c r="P123" s="42"/>
      <c r="Q123" s="43"/>
      <c r="R123" s="43"/>
      <c r="S123" s="43"/>
      <c r="T123" s="43"/>
      <c r="U123" s="43"/>
      <c r="V123" s="43"/>
    </row>
    <row r="124" spans="1:22" s="45" customFormat="1" ht="21" customHeight="1" x14ac:dyDescent="0.15">
      <c r="A124" s="39"/>
      <c r="B124" s="40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41"/>
      <c r="P124" s="42"/>
      <c r="Q124" s="43"/>
      <c r="R124" s="43"/>
      <c r="S124" s="43"/>
      <c r="T124" s="43"/>
      <c r="U124" s="43"/>
      <c r="V124" s="43"/>
    </row>
    <row r="125" spans="1:22" s="45" customFormat="1" ht="21" customHeight="1" x14ac:dyDescent="0.15">
      <c r="A125" s="39"/>
      <c r="B125" s="40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41"/>
      <c r="P125" s="42"/>
      <c r="Q125" s="43"/>
      <c r="R125" s="43"/>
      <c r="S125" s="43"/>
      <c r="T125" s="43"/>
      <c r="U125" s="43"/>
      <c r="V125" s="43"/>
    </row>
    <row r="126" spans="1:22" s="45" customFormat="1" ht="21" customHeight="1" x14ac:dyDescent="0.15">
      <c r="A126" s="39"/>
      <c r="B126" s="40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41"/>
      <c r="P126" s="42"/>
      <c r="Q126" s="43"/>
      <c r="R126" s="43"/>
      <c r="S126" s="43"/>
      <c r="T126" s="43"/>
      <c r="U126" s="43"/>
      <c r="V126" s="43"/>
    </row>
    <row r="127" spans="1:22" s="45" customFormat="1" ht="21" customHeight="1" x14ac:dyDescent="0.15">
      <c r="A127" s="39"/>
      <c r="B127" s="40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41"/>
      <c r="P127" s="42"/>
      <c r="Q127" s="43"/>
      <c r="R127" s="43"/>
      <c r="S127" s="43"/>
      <c r="T127" s="43"/>
      <c r="U127" s="43"/>
      <c r="V127" s="43"/>
    </row>
    <row r="128" spans="1:22" s="45" customFormat="1" ht="21" customHeight="1" x14ac:dyDescent="0.15">
      <c r="A128" s="39"/>
      <c r="B128" s="40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41"/>
      <c r="P128" s="42"/>
      <c r="Q128" s="43"/>
      <c r="R128" s="43"/>
      <c r="S128" s="43"/>
      <c r="T128" s="43"/>
      <c r="U128" s="43"/>
      <c r="V128" s="43"/>
    </row>
    <row r="129" spans="1:22" s="45" customFormat="1" ht="21" customHeight="1" x14ac:dyDescent="0.15">
      <c r="A129" s="39"/>
      <c r="B129" s="40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41"/>
      <c r="P129" s="42"/>
      <c r="Q129" s="43"/>
      <c r="R129" s="43"/>
      <c r="S129" s="43"/>
      <c r="T129" s="43"/>
      <c r="U129" s="43"/>
      <c r="V129" s="43"/>
    </row>
    <row r="130" spans="1:22" s="45" customFormat="1" ht="21" customHeight="1" x14ac:dyDescent="0.15">
      <c r="A130" s="39"/>
      <c r="B130" s="40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41"/>
      <c r="P130" s="42"/>
      <c r="Q130" s="43"/>
      <c r="R130" s="43"/>
      <c r="S130" s="43"/>
      <c r="T130" s="43"/>
      <c r="U130" s="43"/>
      <c r="V130" s="43"/>
    </row>
    <row r="131" spans="1:22" s="45" customFormat="1" ht="21" customHeight="1" x14ac:dyDescent="0.15">
      <c r="A131" s="39"/>
      <c r="B131" s="40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41"/>
      <c r="P131" s="42"/>
      <c r="Q131" s="43"/>
      <c r="R131" s="43"/>
      <c r="S131" s="43"/>
      <c r="T131" s="43"/>
      <c r="U131" s="43"/>
      <c r="V131" s="43"/>
    </row>
    <row r="132" spans="1:22" s="45" customFormat="1" ht="21" customHeight="1" x14ac:dyDescent="0.15">
      <c r="A132" s="39"/>
      <c r="B132" s="40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41"/>
      <c r="P132" s="42"/>
      <c r="Q132" s="43"/>
      <c r="R132" s="43"/>
      <c r="S132" s="43"/>
      <c r="T132" s="43"/>
      <c r="U132" s="43"/>
      <c r="V132" s="43"/>
    </row>
    <row r="133" spans="1:22" s="45" customFormat="1" ht="21" customHeight="1" x14ac:dyDescent="0.15">
      <c r="A133" s="39"/>
      <c r="B133" s="40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41"/>
      <c r="P133" s="42"/>
      <c r="Q133" s="43"/>
      <c r="R133" s="43"/>
      <c r="S133" s="43"/>
      <c r="T133" s="43"/>
      <c r="U133" s="43"/>
      <c r="V133" s="43"/>
    </row>
    <row r="134" spans="1:22" s="45" customFormat="1" ht="21" customHeight="1" x14ac:dyDescent="0.15">
      <c r="A134" s="39"/>
      <c r="B134" s="40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41"/>
      <c r="P134" s="42"/>
      <c r="Q134" s="43"/>
      <c r="R134" s="43"/>
      <c r="S134" s="43"/>
      <c r="T134" s="43"/>
      <c r="U134" s="43"/>
      <c r="V134" s="43"/>
    </row>
    <row r="135" spans="1:22" s="45" customFormat="1" ht="21" customHeight="1" x14ac:dyDescent="0.15">
      <c r="A135" s="39"/>
      <c r="B135" s="40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41"/>
      <c r="P135" s="42"/>
      <c r="Q135" s="43"/>
      <c r="R135" s="43"/>
      <c r="S135" s="43"/>
      <c r="T135" s="43"/>
      <c r="U135" s="43"/>
      <c r="V135" s="43"/>
    </row>
    <row r="136" spans="1:22" s="45" customFormat="1" ht="21" customHeight="1" x14ac:dyDescent="0.15">
      <c r="A136" s="39"/>
      <c r="B136" s="40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41"/>
      <c r="P136" s="42"/>
      <c r="Q136" s="43"/>
      <c r="R136" s="43"/>
      <c r="S136" s="43"/>
      <c r="T136" s="43"/>
      <c r="U136" s="43"/>
      <c r="V136" s="43"/>
    </row>
    <row r="137" spans="1:22" s="45" customFormat="1" ht="21" customHeight="1" x14ac:dyDescent="0.15">
      <c r="A137" s="39"/>
      <c r="B137" s="40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41"/>
      <c r="P137" s="42"/>
      <c r="Q137" s="43"/>
      <c r="R137" s="43"/>
      <c r="S137" s="43"/>
      <c r="T137" s="43"/>
      <c r="U137" s="43"/>
      <c r="V137" s="43"/>
    </row>
    <row r="138" spans="1:22" s="45" customFormat="1" ht="21" customHeight="1" x14ac:dyDescent="0.15">
      <c r="A138" s="39"/>
      <c r="B138" s="40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41"/>
      <c r="P138" s="42"/>
      <c r="Q138" s="43"/>
      <c r="R138" s="43"/>
      <c r="S138" s="43"/>
      <c r="T138" s="43"/>
      <c r="U138" s="43"/>
      <c r="V138" s="43"/>
    </row>
    <row r="139" spans="1:22" s="45" customFormat="1" ht="21" customHeight="1" x14ac:dyDescent="0.15">
      <c r="A139" s="39"/>
      <c r="B139" s="40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41"/>
      <c r="P139" s="42"/>
      <c r="Q139" s="43"/>
      <c r="R139" s="43"/>
      <c r="S139" s="43"/>
      <c r="T139" s="43"/>
      <c r="U139" s="43"/>
      <c r="V139" s="43"/>
    </row>
    <row r="140" spans="1:22" s="45" customFormat="1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22" s="45" customFormat="1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22" s="45" customFormat="1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22" s="45" customFormat="1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22" s="45" customFormat="1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s="45" customFormat="1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s="45" customFormat="1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s="45" customFormat="1" ht="21" customHeight="1" x14ac:dyDescent="0.15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s="45" customFormat="1" ht="21" customHeight="1" x14ac:dyDescent="0.15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s="45" customFormat="1" ht="21" customHeight="1" x14ac:dyDescent="0.15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s="45" customFormat="1" ht="21" customHeight="1" x14ac:dyDescent="0.1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s="45" customFormat="1" ht="21" customHeight="1" x14ac:dyDescent="0.15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s="45" customFormat="1" ht="21" customHeight="1" x14ac:dyDescent="0.1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s="45" customFormat="1" ht="21" customHeight="1" x14ac:dyDescent="0.1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s="45" customFormat="1" ht="21" customHeight="1" x14ac:dyDescent="0.1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s="45" customFormat="1" ht="21" customHeight="1" x14ac:dyDescent="0.1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s="45" customFormat="1" ht="21" customHeight="1" x14ac:dyDescent="0.1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s="45" customFormat="1" ht="21" customHeight="1" x14ac:dyDescent="0.1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s="45" customFormat="1" ht="21" customHeight="1" x14ac:dyDescent="0.1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s="45" customFormat="1" ht="21" customHeight="1" x14ac:dyDescent="0.1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s="45" customFormat="1" ht="21" customHeight="1" x14ac:dyDescent="0.1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s="45" customFormat="1" ht="21" customHeight="1" x14ac:dyDescent="0.1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s="45" customFormat="1" ht="21" customHeight="1" x14ac:dyDescent="0.1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s="45" customFormat="1" ht="21" customHeight="1" x14ac:dyDescent="0.1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s="45" customFormat="1" ht="21" customHeight="1" x14ac:dyDescent="0.1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s="45" customFormat="1" ht="21" customHeight="1" x14ac:dyDescent="0.1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s="45" customFormat="1" ht="21" customHeight="1" x14ac:dyDescent="0.1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s="45" customFormat="1" ht="21" customHeight="1" x14ac:dyDescent="0.1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s="45" customFormat="1" ht="21" customHeight="1" x14ac:dyDescent="0.1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s="45" customFormat="1" ht="21" customHeight="1" x14ac:dyDescent="0.1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s="45" customFormat="1" ht="21" customHeight="1" x14ac:dyDescent="0.1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s="45" customFormat="1" ht="21" customHeight="1" x14ac:dyDescent="0.1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s="45" customFormat="1" ht="21" customHeight="1" x14ac:dyDescent="0.1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s="45" customFormat="1" ht="21" customHeight="1" x14ac:dyDescent="0.1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s="45" customFormat="1" ht="21" customHeight="1" x14ac:dyDescent="0.1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s="45" customFormat="1" ht="21" customHeight="1" x14ac:dyDescent="0.1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s="45" customFormat="1" ht="21" customHeight="1" x14ac:dyDescent="0.1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22" s="45" customFormat="1" ht="21" customHeight="1" x14ac:dyDescent="0.1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22" s="45" customFormat="1" ht="21" customHeight="1" x14ac:dyDescent="0.1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22" s="45" customFormat="1" ht="21" customHeight="1" x14ac:dyDescent="0.1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22" s="45" customFormat="1" ht="21" customHeight="1" x14ac:dyDescent="0.1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22" s="45" customFormat="1" ht="21" customHeight="1" x14ac:dyDescent="0.1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22" s="45" customFormat="1" ht="21" customHeight="1" x14ac:dyDescent="0.1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22" s="45" customFormat="1" ht="21" customHeight="1" x14ac:dyDescent="0.1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22" s="45" customFormat="1" ht="21" customHeight="1" x14ac:dyDescent="0.1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22" s="45" customFormat="1" ht="21" customHeight="1" x14ac:dyDescent="0.1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22" s="45" customFormat="1" ht="21" customHeight="1" x14ac:dyDescent="0.15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22" s="45" customFormat="1" ht="21" customHeight="1" x14ac:dyDescent="0.15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22" s="45" customFormat="1" ht="21" customHeight="1" x14ac:dyDescent="0.15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22" s="45" customFormat="1" ht="21" customHeight="1" x14ac:dyDescent="0.15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22" s="45" customFormat="1" ht="21" customHeight="1" x14ac:dyDescent="0.15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22" s="45" customFormat="1" ht="21" customHeight="1" x14ac:dyDescent="0.15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22" s="45" customFormat="1" ht="21" customHeight="1" x14ac:dyDescent="0.15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s="45" customFormat="1" ht="21" customHeight="1" x14ac:dyDescent="0.15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s="45" customFormat="1" ht="21" customHeight="1" x14ac:dyDescent="0.15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s="45" customFormat="1" ht="21" customHeight="1" x14ac:dyDescent="0.15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s="45" customFormat="1" ht="21" customHeight="1" x14ac:dyDescent="0.15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s="45" customFormat="1" ht="21" customHeight="1" x14ac:dyDescent="0.15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s="45" customFormat="1" ht="21" customHeight="1" x14ac:dyDescent="0.15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s="45" customFormat="1" ht="21" customHeight="1" x14ac:dyDescent="0.1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s="45" customFormat="1" ht="21" customHeight="1" x14ac:dyDescent="0.15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s="45" customFormat="1" ht="21" customHeight="1" x14ac:dyDescent="0.1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s="45" customFormat="1" ht="21" customHeight="1" x14ac:dyDescent="0.1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s="45" customFormat="1" ht="21" customHeight="1" x14ac:dyDescent="0.1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s="45" customFormat="1" ht="21" customHeight="1" x14ac:dyDescent="0.1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s="45" customFormat="1" ht="21" customHeight="1" x14ac:dyDescent="0.1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s="45" customFormat="1" ht="21" customHeight="1" x14ac:dyDescent="0.1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s="45" customFormat="1" ht="21" customHeight="1" x14ac:dyDescent="0.1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s="45" customFormat="1" ht="21" customHeight="1" x14ac:dyDescent="0.1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s="45" customFormat="1" ht="21" customHeight="1" x14ac:dyDescent="0.1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s="45" customFormat="1" ht="21" customHeight="1" x14ac:dyDescent="0.1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AJ212"/>
  <sheetViews>
    <sheetView showGridLines="0" zoomScale="75" zoomScaleNormal="75" zoomScalePageLayoutView="75" workbookViewId="0">
      <pane ySplit="1" topLeftCell="A2" activePane="bottomLeft" state="frozen"/>
      <selection activeCell="E6" sqref="E6"/>
      <selection pane="bottomLeft" activeCell="A2" sqref="A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36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36" s="48" customFormat="1" ht="21" customHeight="1" x14ac:dyDescent="0.15">
      <c r="A2" s="2">
        <v>7332010</v>
      </c>
      <c r="B2" s="46">
        <v>745</v>
      </c>
      <c r="C2" s="7" t="str">
        <f t="shared" ref="C2:C19" si="0">D2&amp;J2&amp;E2&amp;F2&amp;G2</f>
        <v>PremiumSS6R5only</v>
      </c>
      <c r="D2" s="7" t="str">
        <f t="shared" ref="D2:D19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望羅の発神 ヘルメス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green</v>
      </c>
      <c r="L2" s="7" t="str">
        <f>VLOOKUP(B2,[1]characters!$A:$K,11,FALSE)</f>
        <v>technical</v>
      </c>
      <c r="M2" s="7" t="str">
        <f>VLOOKUP(B2,[1]characters!$A:$M,13,FALSE)</f>
        <v>god</v>
      </c>
      <c r="N2" s="7" t="str">
        <f>VLOOKUP(B2,[1]characters!$A:$G,7,FALSE)</f>
        <v>男性</v>
      </c>
      <c r="O2" s="26">
        <v>20</v>
      </c>
      <c r="P2" s="27">
        <f t="shared" ref="P2:P20" si="2">O2/SUM(O:O)</f>
        <v>5.2631578947368418E-2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</row>
    <row r="3" spans="1:36" s="48" customFormat="1" ht="21" customHeight="1" x14ac:dyDescent="0.15">
      <c r="A3" s="2">
        <v>7332010</v>
      </c>
      <c r="B3" s="46">
        <v>815</v>
      </c>
      <c r="C3" s="7" t="str">
        <f t="shared" si="0"/>
        <v>PremiumSS6R5only</v>
      </c>
      <c r="D3" s="7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解砲の鴉眼 八咫烏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green</v>
      </c>
      <c r="L3" s="7" t="str">
        <f>VLOOKUP(B3,[1]characters!$A:$K,11,FALSE)</f>
        <v>balance</v>
      </c>
      <c r="M3" s="7" t="str">
        <f>VLOOKUP(B3,[1]characters!$A:$M,13,FALSE)</f>
        <v>animal</v>
      </c>
      <c r="N3" s="7" t="str">
        <f>VLOOKUP(B3,[1]characters!$A:$G,7,FALSE)</f>
        <v>男性</v>
      </c>
      <c r="O3" s="26">
        <v>20</v>
      </c>
      <c r="P3" s="27">
        <f t="shared" si="2"/>
        <v>5.2631578947368418E-2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</row>
    <row r="4" spans="1:36" s="48" customFormat="1" ht="21" customHeight="1" x14ac:dyDescent="0.15">
      <c r="A4" s="2">
        <v>7332010</v>
      </c>
      <c r="B4" s="46">
        <v>823</v>
      </c>
      <c r="C4" s="7" t="str">
        <f t="shared" si="0"/>
        <v>PremiumSS6R5only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跳鼠の睡奏楽 ハーメルン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green</v>
      </c>
      <c r="L4" s="7" t="str">
        <f>VLOOKUP(B4,[1]characters!$A:$K,11,FALSE)</f>
        <v>technical</v>
      </c>
      <c r="M4" s="7" t="str">
        <f>VLOOKUP(B4,[1]characters!$A:$M,13,FALSE)</f>
        <v>human</v>
      </c>
      <c r="N4" s="7" t="str">
        <f>VLOOKUP(B4,[1]characters!$A:$G,7,FALSE)</f>
        <v>男性</v>
      </c>
      <c r="O4" s="26">
        <v>20</v>
      </c>
      <c r="P4" s="27">
        <f t="shared" si="2"/>
        <v>5.2631578947368418E-2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</row>
    <row r="5" spans="1:36" s="48" customFormat="1" ht="21" customHeight="1" x14ac:dyDescent="0.15">
      <c r="A5" s="2">
        <v>7332010</v>
      </c>
      <c r="B5" s="46">
        <v>830</v>
      </c>
      <c r="C5" s="7" t="str">
        <f t="shared" si="0"/>
        <v>PremiumSS6R5only</v>
      </c>
      <c r="D5" s="7" t="str">
        <f t="shared" si="1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清兆の天狗礫 フウガ</v>
      </c>
      <c r="I5" s="7" t="str">
        <f>VLOOKUP(B5,[1]characters!$A:$J,10,FALSE)</f>
        <v>PremiumSS</v>
      </c>
      <c r="J5" s="7">
        <f>VLOOKUP(B5,[1]characters!$A:$I,9,FALSE)</f>
        <v>6</v>
      </c>
      <c r="K5" s="7" t="str">
        <f>VLOOKUP(B5,[1]characters!$A:$H,8,FALSE)</f>
        <v>green</v>
      </c>
      <c r="L5" s="7" t="str">
        <f>VLOOKUP(B5,[1]characters!$A:$K,11,FALSE)</f>
        <v>balance</v>
      </c>
      <c r="M5" s="7" t="str">
        <f>VLOOKUP(B5,[1]characters!$A:$M,13,FALSE)</f>
        <v>unknown</v>
      </c>
      <c r="N5" s="7" t="str">
        <f>VLOOKUP(B5,[1]characters!$A:$G,7,FALSE)</f>
        <v>男性</v>
      </c>
      <c r="O5" s="26">
        <v>20</v>
      </c>
      <c r="P5" s="27">
        <f t="shared" si="2"/>
        <v>5.2631578947368418E-2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</row>
    <row r="6" spans="1:36" s="48" customFormat="1" ht="21" customHeight="1" x14ac:dyDescent="0.15">
      <c r="A6" s="2">
        <v>7332010</v>
      </c>
      <c r="B6" s="46">
        <v>839</v>
      </c>
      <c r="C6" s="7" t="str">
        <f t="shared" si="0"/>
        <v>PremiumSS6R5only</v>
      </c>
      <c r="D6" s="7" t="str">
        <f t="shared" si="1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真覇の勇魔剣 ランスロット</v>
      </c>
      <c r="I6" s="7" t="str">
        <f>VLOOKUP(B6,[1]characters!$A:$J,10,FALSE)</f>
        <v>PremiumSS</v>
      </c>
      <c r="J6" s="7">
        <f>VLOOKUP(B6,[1]characters!$A:$I,9,FALSE)</f>
        <v>6</v>
      </c>
      <c r="K6" s="7" t="str">
        <f>VLOOKUP(B6,[1]characters!$A:$H,8,FALSE)</f>
        <v>green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男性</v>
      </c>
      <c r="O6" s="26">
        <v>20</v>
      </c>
      <c r="P6" s="27">
        <f t="shared" si="2"/>
        <v>5.2631578947368418E-2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</row>
    <row r="7" spans="1:36" s="48" customFormat="1" ht="21" customHeight="1" x14ac:dyDescent="0.15">
      <c r="A7" s="2">
        <v>7332010</v>
      </c>
      <c r="B7" s="46">
        <v>851</v>
      </c>
      <c r="C7" s="7" t="str">
        <f t="shared" si="0"/>
        <v>PremiumSS6R5only</v>
      </c>
      <c r="D7" s="7" t="str">
        <f t="shared" si="1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寡黙なる凶王 バアル</v>
      </c>
      <c r="I7" s="7" t="str">
        <f>VLOOKUP(B7,[1]characters!$A:$J,10,FALSE)</f>
        <v>PremiumSS</v>
      </c>
      <c r="J7" s="7">
        <f>VLOOKUP(B7,[1]characters!$A:$I,9,FALSE)</f>
        <v>6</v>
      </c>
      <c r="K7" s="7" t="str">
        <f>VLOOKUP(B7,[1]characters!$A:$H,8,FALSE)</f>
        <v>green</v>
      </c>
      <c r="L7" s="7" t="str">
        <f>VLOOKUP(B7,[1]characters!$A:$K,11,FALSE)</f>
        <v>technical</v>
      </c>
      <c r="M7" s="7" t="str">
        <f>VLOOKUP(B7,[1]characters!$A:$M,13,FALSE)</f>
        <v>god</v>
      </c>
      <c r="N7" s="7" t="str">
        <f>VLOOKUP(B7,[1]characters!$A:$G,7,FALSE)</f>
        <v>男性</v>
      </c>
      <c r="O7" s="26">
        <v>20</v>
      </c>
      <c r="P7" s="27">
        <f t="shared" si="2"/>
        <v>5.2631578947368418E-2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</row>
    <row r="8" spans="1:36" s="48" customFormat="1" ht="21" customHeight="1" x14ac:dyDescent="0.15">
      <c r="A8" s="2">
        <v>7332010</v>
      </c>
      <c r="B8" s="46">
        <v>897</v>
      </c>
      <c r="C8" s="7" t="str">
        <f t="shared" si="0"/>
        <v>PremiumSS6R5only</v>
      </c>
      <c r="D8" s="7" t="str">
        <f t="shared" si="1"/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天跳兎破 イナバ</v>
      </c>
      <c r="I8" s="7" t="str">
        <f>VLOOKUP(B8,[1]characters!$A:$J,10,FALSE)</f>
        <v>PremiumSS</v>
      </c>
      <c r="J8" s="7">
        <f>VLOOKUP(B8,[1]characters!$A:$I,9,FALSE)</f>
        <v>6</v>
      </c>
      <c r="K8" s="7" t="str">
        <f>VLOOKUP(B8,[1]characters!$A:$H,8,FALSE)</f>
        <v>green</v>
      </c>
      <c r="L8" s="7" t="str">
        <f>VLOOKUP(B8,[1]characters!$A:$K,11,FALSE)</f>
        <v>balance</v>
      </c>
      <c r="M8" s="7" t="str">
        <f>VLOOKUP(B8,[1]characters!$A:$M,13,FALSE)</f>
        <v>animal</v>
      </c>
      <c r="N8" s="7" t="str">
        <f>VLOOKUP(B8,[1]characters!$A:$G,7,FALSE)</f>
        <v>男性</v>
      </c>
      <c r="O8" s="26">
        <v>20</v>
      </c>
      <c r="P8" s="27">
        <f t="shared" si="2"/>
        <v>5.2631578947368418E-2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</row>
    <row r="9" spans="1:36" s="48" customFormat="1" ht="21" customHeight="1" x14ac:dyDescent="0.15">
      <c r="A9" s="2">
        <v>7332010</v>
      </c>
      <c r="B9" s="46">
        <v>962</v>
      </c>
      <c r="C9" s="7" t="str">
        <f t="shared" si="0"/>
        <v>PremiumSS6R5only</v>
      </c>
      <c r="D9" s="7" t="str">
        <f t="shared" si="1"/>
        <v>PremiumSS</v>
      </c>
      <c r="E9" s="7" t="str">
        <f>IF(COUNTIF('R6追加前'!A:A,B9)=0,IF(OR(I9="PremiumSS",I9="PremiumSSw"),"R5only","R3less"),"")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酩酊する大宴龍 ヤマタノオロチ</v>
      </c>
      <c r="I9" s="7" t="str">
        <f>VLOOKUP(B9,[1]characters!$A:$J,10,FALSE)</f>
        <v>PremiumSS</v>
      </c>
      <c r="J9" s="7">
        <f>VLOOKUP(B9,[1]characters!$A:$I,9,FALSE)</f>
        <v>6</v>
      </c>
      <c r="K9" s="7" t="str">
        <f>VLOOKUP(B9,[1]characters!$A:$H,8,FALSE)</f>
        <v>green</v>
      </c>
      <c r="L9" s="7" t="str">
        <f>VLOOKUP(B9,[1]characters!$A:$K,11,FALSE)</f>
        <v>hp</v>
      </c>
      <c r="M9" s="7" t="str">
        <f>VLOOKUP(B9,[1]characters!$A:$M,13,FALSE)</f>
        <v>dragon</v>
      </c>
      <c r="N9" s="7" t="str">
        <f>VLOOKUP(B9,[1]characters!$A:$G,7,FALSE)</f>
        <v>男性</v>
      </c>
      <c r="O9" s="26">
        <v>20</v>
      </c>
      <c r="P9" s="27">
        <f t="shared" si="2"/>
        <v>5.2631578947368418E-2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</row>
    <row r="10" spans="1:36" s="48" customFormat="1" ht="21" customHeight="1" x14ac:dyDescent="0.15">
      <c r="A10" s="2">
        <v>7332010</v>
      </c>
      <c r="B10" s="46">
        <v>966</v>
      </c>
      <c r="C10" s="7" t="str">
        <f t="shared" si="0"/>
        <v>PremiumSS6R5only</v>
      </c>
      <c r="D10" s="7" t="str">
        <f t="shared" si="1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麗嵐の颯愛志士 土方歳三</v>
      </c>
      <c r="I10" s="7" t="str">
        <f>VLOOKUP(B10,[1]characters!$A:$J,10,FALSE)</f>
        <v>PremiumSS</v>
      </c>
      <c r="J10" s="7">
        <f>VLOOKUP(B10,[1]characters!$A:$I,9,FALSE)</f>
        <v>6</v>
      </c>
      <c r="K10" s="7" t="str">
        <f>VLOOKUP(B10,[1]characters!$A:$H,8,FALSE)</f>
        <v>green</v>
      </c>
      <c r="L10" s="7" t="str">
        <f>VLOOKUP(B10,[1]characters!$A:$K,11,FALSE)</f>
        <v>attack</v>
      </c>
      <c r="M10" s="7" t="str">
        <f>VLOOKUP(B10,[1]characters!$A:$M,13,FALSE)</f>
        <v>human</v>
      </c>
      <c r="N10" s="7" t="str">
        <f>VLOOKUP(B10,[1]characters!$A:$G,7,FALSE)</f>
        <v>男性</v>
      </c>
      <c r="O10" s="26">
        <v>20</v>
      </c>
      <c r="P10" s="27">
        <f t="shared" si="2"/>
        <v>5.2631578947368418E-2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</row>
    <row r="11" spans="1:36" s="48" customFormat="1" ht="21" customHeight="1" x14ac:dyDescent="0.15">
      <c r="A11" s="2">
        <v>7332010</v>
      </c>
      <c r="B11" s="46">
        <v>1015</v>
      </c>
      <c r="C11" s="7" t="str">
        <f t="shared" si="0"/>
        <v>PremiumSS6R5only</v>
      </c>
      <c r="D11" s="7" t="str">
        <f t="shared" si="1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繁翠なる蘇聖神 イシス</v>
      </c>
      <c r="I11" s="7" t="str">
        <f>VLOOKUP(B11,[1]characters!$A:$J,10,FALSE)</f>
        <v>PremiumSS</v>
      </c>
      <c r="J11" s="7">
        <f>VLOOKUP(B11,[1]characters!$A:$I,9,FALSE)</f>
        <v>6</v>
      </c>
      <c r="K11" s="7" t="str">
        <f>VLOOKUP(B11,[1]characters!$A:$H,8,FALSE)</f>
        <v>green</v>
      </c>
      <c r="L11" s="7" t="str">
        <f>VLOOKUP(B11,[1]characters!$A:$K,11,FALSE)</f>
        <v>hp</v>
      </c>
      <c r="M11" s="7" t="str">
        <f>VLOOKUP(B11,[1]characters!$A:$M,13,FALSE)</f>
        <v>god</v>
      </c>
      <c r="N11" s="7" t="str">
        <f>VLOOKUP(B11,[1]characters!$A:$G,7,FALSE)</f>
        <v>男性</v>
      </c>
      <c r="O11" s="26">
        <v>20</v>
      </c>
      <c r="P11" s="27">
        <f t="shared" si="2"/>
        <v>5.2631578947368418E-2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</row>
    <row r="12" spans="1:36" s="48" customFormat="1" ht="21" customHeight="1" x14ac:dyDescent="0.15">
      <c r="A12" s="2">
        <v>7332010</v>
      </c>
      <c r="B12" s="46">
        <v>1029</v>
      </c>
      <c r="C12" s="7" t="str">
        <f t="shared" si="0"/>
        <v>PremiumSS6R5only</v>
      </c>
      <c r="D12" s="7" t="str">
        <f t="shared" si="1"/>
        <v>PremiumSS</v>
      </c>
      <c r="E12" s="7" t="str">
        <f>IF(COUNTIF('R6追加前'!A:A,B12)=0,IF(OR(I12="PremiumSS",I12="PremiumSSw"),"R5only","R3less"),"")</f>
        <v>R5only</v>
      </c>
      <c r="F12" s="7" t="str">
        <f>IF(COUNTIF('R6開放'!A:A,B12)&gt;0,"R6release","")</f>
        <v/>
      </c>
      <c r="G12" s="7"/>
      <c r="H12" s="7" t="str">
        <f>VLOOKUP(B12,[1]characters!$A:$C,3,FALSE)</f>
        <v>天賦の軍才 牛若丸</v>
      </c>
      <c r="I12" s="7" t="str">
        <f>VLOOKUP(B12,[1]characters!$A:$J,10,FALSE)</f>
        <v>PremiumSS</v>
      </c>
      <c r="J12" s="7">
        <f>VLOOKUP(B12,[1]characters!$A:$I,9,FALSE)</f>
        <v>6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男性</v>
      </c>
      <c r="O12" s="26">
        <v>20</v>
      </c>
      <c r="P12" s="27">
        <f t="shared" si="2"/>
        <v>5.2631578947368418E-2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</row>
    <row r="13" spans="1:36" s="48" customFormat="1" ht="21" customHeight="1" x14ac:dyDescent="0.15">
      <c r="A13" s="2">
        <v>7332010</v>
      </c>
      <c r="B13" s="46">
        <v>1070</v>
      </c>
      <c r="C13" s="7" t="str">
        <f t="shared" si="0"/>
        <v>PremiumSS6R5only</v>
      </c>
      <c r="D13" s="7" t="str">
        <f t="shared" si="1"/>
        <v>PremiumSS</v>
      </c>
      <c r="E13" s="7" t="str">
        <f>IF(COUNTIF('R6追加前'!A:A,B13)=0,IF(OR(I13="PremiumSS",I13="PremiumSSw"),"R5only","R3less"),"")</f>
        <v>R5only</v>
      </c>
      <c r="F13" s="7" t="str">
        <f>IF(COUNTIF('R6開放'!A:A,B13)&gt;0,"R6release","")</f>
        <v/>
      </c>
      <c r="G13" s="7"/>
      <c r="H13" s="7" t="str">
        <f>VLOOKUP(B13,[1]characters!$A:$C,3,FALSE)</f>
        <v>駆脳する造愛 イシュタル</v>
      </c>
      <c r="I13" s="7" t="str">
        <f>VLOOKUP(B13,[1]characters!$A:$J,10,FALSE)</f>
        <v>PremiumSS</v>
      </c>
      <c r="J13" s="7">
        <f>VLOOKUP(B13,[1]characters!$A:$I,9,FALSE)</f>
        <v>6</v>
      </c>
      <c r="K13" s="7" t="str">
        <f>VLOOKUP(B13,[1]characters!$A:$H,8,FALSE)</f>
        <v>green</v>
      </c>
      <c r="L13" s="7" t="str">
        <f>VLOOKUP(B13,[1]characters!$A:$K,11,FALSE)</f>
        <v>technical</v>
      </c>
      <c r="M13" s="7" t="str">
        <f>VLOOKUP(B13,[1]characters!$A:$M,13,FALSE)</f>
        <v>god</v>
      </c>
      <c r="N13" s="7" t="str">
        <f>VLOOKUP(B13,[1]characters!$A:$G,7,FALSE)</f>
        <v>男性</v>
      </c>
      <c r="O13" s="26">
        <v>20</v>
      </c>
      <c r="P13" s="27">
        <f t="shared" si="2"/>
        <v>5.2631578947368418E-2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</row>
    <row r="14" spans="1:36" s="48" customFormat="1" ht="21" customHeight="1" x14ac:dyDescent="0.15">
      <c r="A14" s="2">
        <v>7332010</v>
      </c>
      <c r="B14" s="46">
        <v>1103</v>
      </c>
      <c r="C14" s="7" t="str">
        <f t="shared" si="0"/>
        <v>PremiumSS6R5only</v>
      </c>
      <c r="D14" s="7" t="str">
        <f t="shared" si="1"/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舞台裏の鼠展 ドガ</v>
      </c>
      <c r="I14" s="7" t="str">
        <f>VLOOKUP(B14,[1]characters!$A:$J,10,FALSE)</f>
        <v>PremiumSSw</v>
      </c>
      <c r="J14" s="7">
        <f>VLOOKUP(B14,[1]characters!$A:$I,9,FALSE)</f>
        <v>6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animal</v>
      </c>
      <c r="N14" s="7" t="str">
        <f>VLOOKUP(B14,[1]characters!$A:$G,7,FALSE)</f>
        <v>不明</v>
      </c>
      <c r="O14" s="26">
        <v>20</v>
      </c>
      <c r="P14" s="27">
        <f t="shared" si="2"/>
        <v>5.2631578947368418E-2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</row>
    <row r="15" spans="1:36" s="48" customFormat="1" ht="21" customHeight="1" x14ac:dyDescent="0.15">
      <c r="A15" s="2">
        <v>7332010</v>
      </c>
      <c r="B15" s="46">
        <v>1140</v>
      </c>
      <c r="C15" s="7" t="str">
        <f t="shared" si="0"/>
        <v>PremiumSS6R5only</v>
      </c>
      <c r="D15" s="7" t="str">
        <f t="shared" si="1"/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綱紀粛正の傑璧 趙雲</v>
      </c>
      <c r="I15" s="7" t="str">
        <f>VLOOKUP(B15,[1]characters!$A:$J,10,FALSE)</f>
        <v>PremiumSS</v>
      </c>
      <c r="J15" s="7">
        <f>VLOOKUP(B15,[1]characters!$A:$I,9,FALSE)</f>
        <v>6</v>
      </c>
      <c r="K15" s="7" t="str">
        <f>VLOOKUP(B15,[1]characters!$A:$H,8,FALSE)</f>
        <v>green</v>
      </c>
      <c r="L15" s="7" t="str">
        <f>VLOOKUP(B15,[1]characters!$A:$K,11,FALSE)</f>
        <v>balance</v>
      </c>
      <c r="M15" s="7" t="str">
        <f>VLOOKUP(B15,[1]characters!$A:$M,13,FALSE)</f>
        <v>samurai</v>
      </c>
      <c r="N15" s="7" t="str">
        <f>VLOOKUP(B15,[1]characters!$A:$G,7,FALSE)</f>
        <v>不明</v>
      </c>
      <c r="O15" s="26">
        <v>20</v>
      </c>
      <c r="P15" s="27">
        <f t="shared" si="2"/>
        <v>5.2631578947368418E-2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</row>
    <row r="16" spans="1:36" s="48" customFormat="1" ht="21" customHeight="1" x14ac:dyDescent="0.15">
      <c r="A16" s="2">
        <v>7332010</v>
      </c>
      <c r="B16" s="46">
        <v>1154</v>
      </c>
      <c r="C16" s="7" t="str">
        <f t="shared" si="0"/>
        <v>PremiumSS6R5only</v>
      </c>
      <c r="D16" s="7" t="str">
        <f t="shared" si="1"/>
        <v>PremiumSS</v>
      </c>
      <c r="E16" s="7" t="str">
        <f>IF(COUNTIF('R6追加前'!A:A,B16)=0,IF(OR(I16="PremiumSS",I16="PremiumSSw"),"R5only","R3less"),"")</f>
        <v>R5only</v>
      </c>
      <c r="F16" s="7" t="str">
        <f>IF(COUNTIF('R6開放'!A:A,B16)&gt;0,"R6release","")</f>
        <v/>
      </c>
      <c r="G16" s="7"/>
      <c r="H16" s="7" t="str">
        <f>VLOOKUP(B16,[1]characters!$A:$C,3,FALSE)</f>
        <v>幸吹の蓮華粧 ラクシュミー</v>
      </c>
      <c r="I16" s="7" t="str">
        <f>VLOOKUP(B16,[1]characters!$A:$J,10,FALSE)</f>
        <v>PremiumSSw</v>
      </c>
      <c r="J16" s="7">
        <f>VLOOKUP(B16,[1]characters!$A:$I,9,FALSE)</f>
        <v>6</v>
      </c>
      <c r="K16" s="7" t="str">
        <f>VLOOKUP(B16,[1]characters!$A:$H,8,FALSE)</f>
        <v>green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不明</v>
      </c>
      <c r="O16" s="26">
        <v>20</v>
      </c>
      <c r="P16" s="27">
        <f t="shared" si="2"/>
        <v>5.2631578947368418E-2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</row>
    <row r="17" spans="1:36" s="48" customFormat="1" ht="21" customHeight="1" x14ac:dyDescent="0.15">
      <c r="A17" s="2">
        <v>7332010</v>
      </c>
      <c r="B17" s="47">
        <v>1227</v>
      </c>
      <c r="C17" s="7" t="str">
        <f t="shared" si="0"/>
        <v>PremiumSS6R5only</v>
      </c>
      <c r="D17" s="7" t="str">
        <f t="shared" si="1"/>
        <v>PremiumSS</v>
      </c>
      <c r="E17" s="7" t="str">
        <f>IF(COUNTIF('R6追加前'!A:A,B17)=0,IF(OR(I17="PremiumSS",I17="PremiumSSw"),"R5only","R3less"),"")</f>
        <v>R5only</v>
      </c>
      <c r="F17" s="7" t="str">
        <f>IF(COUNTIF('R6開放'!A:A,B17)&gt;0,"R6release","")</f>
        <v/>
      </c>
      <c r="G17" s="7"/>
      <c r="H17" s="7" t="str">
        <f>VLOOKUP(B17,[1]characters!$A:$C,3,FALSE)</f>
        <v>欲望の占猟者 トルストイ</v>
      </c>
      <c r="I17" s="7" t="str">
        <f>VLOOKUP(B17,[1]characters!$A:$J,10,FALSE)</f>
        <v>PremiumSS</v>
      </c>
      <c r="J17" s="7">
        <f>VLOOKUP(B17,[1]characters!$A:$I,9,FALSE)</f>
        <v>6</v>
      </c>
      <c r="K17" s="7" t="str">
        <f>VLOOKUP(B17,[1]characters!$A:$H,8,FALSE)</f>
        <v>green</v>
      </c>
      <c r="L17" s="7" t="str">
        <f>VLOOKUP(B17,[1]characters!$A:$K,11,FALSE)</f>
        <v>attack</v>
      </c>
      <c r="M17" s="7" t="str">
        <f>VLOOKUP(B17,[1]characters!$A:$M,13,FALSE)</f>
        <v>human</v>
      </c>
      <c r="N17" s="7">
        <f>VLOOKUP(B17,[1]characters!$A:$G,7,FALSE)</f>
        <v>0</v>
      </c>
      <c r="O17" s="26">
        <v>20</v>
      </c>
      <c r="P17" s="27">
        <f t="shared" si="2"/>
        <v>5.2631578947368418E-2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</row>
    <row r="18" spans="1:36" s="48" customFormat="1" ht="21" customHeight="1" x14ac:dyDescent="0.15">
      <c r="A18" s="2">
        <v>7332010</v>
      </c>
      <c r="B18" s="47">
        <v>1247</v>
      </c>
      <c r="C18" s="7" t="str">
        <f t="shared" si="0"/>
        <v>PremiumSS6R5only</v>
      </c>
      <c r="D18" s="7" t="str">
        <f t="shared" si="1"/>
        <v>PremiumSS</v>
      </c>
      <c r="E18" s="7" t="str">
        <f>IF(COUNTIF('R6追加前'!A:A,B18)=0,IF(OR(I18="PremiumSS",I18="PremiumSSw"),"R5only","R3less"),"")</f>
        <v>R5only</v>
      </c>
      <c r="F18" s="7" t="str">
        <f>IF(COUNTIF('R6開放'!A:A,B18)&gt;0,"R6release","")</f>
        <v/>
      </c>
      <c r="G18" s="7"/>
      <c r="H18" s="7" t="str">
        <f>VLOOKUP(B18,[1]characters!$A:$C,3,FALSE)</f>
        <v>潜情のくノ一 望月千代女</v>
      </c>
      <c r="I18" s="7" t="str">
        <f>VLOOKUP(B18,[1]characters!$A:$J,10,FALSE)</f>
        <v>PremiumSS</v>
      </c>
      <c r="J18" s="7">
        <f>VLOOKUP(B18,[1]characters!$A:$I,9,FALSE)</f>
        <v>6</v>
      </c>
      <c r="K18" s="7" t="str">
        <f>VLOOKUP(B18,[1]characters!$A:$H,8,FALSE)</f>
        <v>green</v>
      </c>
      <c r="L18" s="7" t="str">
        <f>VLOOKUP(B18,[1]characters!$A:$K,11,FALSE)</f>
        <v>heal</v>
      </c>
      <c r="M18" s="7" t="str">
        <f>VLOOKUP(B18,[1]characters!$A:$M,13,FALSE)</f>
        <v>human</v>
      </c>
      <c r="N18" s="7">
        <f>VLOOKUP(B18,[1]characters!$A:$G,7,FALSE)</f>
        <v>0</v>
      </c>
      <c r="O18" s="26">
        <v>20</v>
      </c>
      <c r="P18" s="27">
        <f t="shared" si="2"/>
        <v>5.2631578947368418E-2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</row>
    <row r="19" spans="1:36" s="48" customFormat="1" ht="21" customHeight="1" x14ac:dyDescent="0.15">
      <c r="A19" s="2">
        <v>7332010</v>
      </c>
      <c r="B19" s="47">
        <v>1263</v>
      </c>
      <c r="C19" s="7" t="str">
        <f t="shared" si="0"/>
        <v>PremiumSS6R5only</v>
      </c>
      <c r="D19" s="7" t="str">
        <f t="shared" si="1"/>
        <v>PremiumSS</v>
      </c>
      <c r="E19" s="7" t="str">
        <f>IF(COUNTIF('R6追加前'!A:A,B19)=0,IF(OR(I19="PremiumSS",I19="PremiumSSw"),"R5only","R3less"),"")</f>
        <v>R5only</v>
      </c>
      <c r="F19" s="7" t="str">
        <f>IF(COUNTIF('R6開放'!A:A,B19)&gt;0,"R6release","")</f>
        <v/>
      </c>
      <c r="G19" s="7"/>
      <c r="H19" s="7" t="str">
        <f>VLOOKUP(B19,[1]characters!$A:$C,3,FALSE)</f>
        <v>純朴なる檻理人 イズン</v>
      </c>
      <c r="I19" s="7" t="str">
        <f>VLOOKUP(B19,[1]characters!$A:$J,10,FALSE)</f>
        <v>PremiumSSw</v>
      </c>
      <c r="J19" s="7">
        <f>VLOOKUP(B19,[1]characters!$A:$I,9,FALSE)</f>
        <v>6</v>
      </c>
      <c r="K19" s="7" t="str">
        <f>VLOOKUP(B19,[1]characters!$A:$H,8,FALSE)</f>
        <v>green</v>
      </c>
      <c r="L19" s="7" t="str">
        <f>VLOOKUP(B19,[1]characters!$A:$K,11,FALSE)</f>
        <v>heal</v>
      </c>
      <c r="M19" s="7" t="str">
        <f>VLOOKUP(B19,[1]characters!$A:$M,13,FALSE)</f>
        <v>god</v>
      </c>
      <c r="N19" s="7">
        <f>VLOOKUP(B19,[1]characters!$A:$G,7,FALSE)</f>
        <v>0</v>
      </c>
      <c r="O19" s="26">
        <v>20</v>
      </c>
      <c r="P19" s="27">
        <f t="shared" si="2"/>
        <v>5.2631578947368418E-2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</row>
    <row r="20" spans="1:36" s="12" customFormat="1" ht="21" customHeight="1" thickBot="1" x14ac:dyDescent="0.2">
      <c r="A20" s="2">
        <v>7332010</v>
      </c>
      <c r="B20" s="52">
        <v>1384</v>
      </c>
      <c r="C20" s="7" t="str">
        <f t="shared" ref="C20" si="3">D20&amp;J20&amp;E20&amp;F20&amp;G20</f>
        <v>PremiumSS6R5only</v>
      </c>
      <c r="D20" s="7" t="str">
        <f t="shared" ref="D20" si="4">IF(OR(I20="PremiumSS",I20="PremiumSSw"),"PremiumSS",IF(I20="PremiumSSS",I20,IF(I20="PremiumW",IF(J20=5,"premium",I20),"Premium")))</f>
        <v>PremiumSS</v>
      </c>
      <c r="E20" s="7" t="str">
        <f>IF(COUNTIF('R6追加前'!A:A,B20)=0,IF(OR(I20="PremiumSS",I20="PremiumSSw"),"R5only","R3less"),"")</f>
        <v>R5only</v>
      </c>
      <c r="F20" s="7" t="str">
        <f>IF(COUNTIF('R6開放'!A:A,B20)&gt;0,"R6release","")</f>
        <v/>
      </c>
      <c r="G20" s="7"/>
      <c r="H20" s="7" t="str">
        <f>VLOOKUP(B20,[1]characters!$A:$C,3,FALSE)</f>
        <v>獲宝の航界者 シンドバッド</v>
      </c>
      <c r="I20" s="7" t="str">
        <f>VLOOKUP(B20,[1]characters!$A:$J,10,FALSE)</f>
        <v>PremiumSS</v>
      </c>
      <c r="J20" s="7">
        <f>VLOOKUP(B20,[1]characters!$A:$I,9,FALSE)</f>
        <v>6</v>
      </c>
      <c r="K20" s="7" t="str">
        <f>VLOOKUP(B20,[1]characters!$A:$H,8,FALSE)</f>
        <v>green</v>
      </c>
      <c r="L20" s="7" t="str">
        <f>VLOOKUP(B20,[1]characters!$A:$K,11,FALSE)</f>
        <v>technical</v>
      </c>
      <c r="M20" s="7" t="str">
        <f>VLOOKUP(B20,[1]characters!$A:$M,13,FALSE)</f>
        <v>hero</v>
      </c>
      <c r="N20" s="7">
        <f>VLOOKUP(B20,[1]characters!$A:$G,7,FALSE)</f>
        <v>0</v>
      </c>
      <c r="O20" s="26">
        <v>20</v>
      </c>
      <c r="P20" s="27">
        <f t="shared" si="2"/>
        <v>5.2631578947368418E-2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</row>
    <row r="21" spans="1:36" ht="21" customHeight="1" x14ac:dyDescent="0.15">
      <c r="A21" s="39"/>
      <c r="B21" s="40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41"/>
      <c r="P21" s="42"/>
      <c r="Q21" s="43"/>
      <c r="R21" s="43"/>
      <c r="S21" s="43"/>
      <c r="T21" s="43"/>
      <c r="U21" s="43"/>
      <c r="V21" s="43"/>
    </row>
    <row r="22" spans="1:36" ht="21" customHeight="1" x14ac:dyDescent="0.15">
      <c r="A22" s="39"/>
      <c r="B22" s="40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41"/>
      <c r="P22" s="42"/>
      <c r="Q22" s="43"/>
      <c r="R22" s="43"/>
      <c r="S22" s="43"/>
      <c r="T22" s="43"/>
      <c r="U22" s="43"/>
      <c r="V22" s="43"/>
    </row>
    <row r="23" spans="1:36" ht="21" customHeight="1" x14ac:dyDescent="0.15">
      <c r="A23" s="39"/>
      <c r="B23" s="40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41"/>
      <c r="P23" s="42"/>
      <c r="Q23" s="43"/>
      <c r="R23" s="43"/>
      <c r="S23" s="43"/>
      <c r="T23" s="43"/>
      <c r="U23" s="43"/>
      <c r="V23" s="43"/>
    </row>
    <row r="24" spans="1:36" ht="21" customHeight="1" x14ac:dyDescent="0.15">
      <c r="A24" s="39"/>
      <c r="B24" s="40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41"/>
      <c r="P24" s="42"/>
      <c r="Q24" s="43"/>
      <c r="R24" s="43"/>
      <c r="S24" s="43"/>
      <c r="T24" s="43"/>
      <c r="U24" s="43"/>
      <c r="V24" s="43"/>
    </row>
    <row r="25" spans="1:36" s="45" customFormat="1" ht="21" customHeight="1" x14ac:dyDescent="0.15">
      <c r="A25" s="39"/>
      <c r="B25" s="40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41"/>
      <c r="P25" s="42"/>
      <c r="Q25" s="43"/>
      <c r="R25" s="43"/>
      <c r="S25" s="43"/>
      <c r="T25" s="43"/>
      <c r="U25" s="43"/>
      <c r="V25" s="43"/>
    </row>
    <row r="26" spans="1:36" s="45" customFormat="1" ht="21" customHeight="1" x14ac:dyDescent="0.15">
      <c r="A26" s="39"/>
      <c r="B26" s="40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41"/>
      <c r="P26" s="42"/>
      <c r="Q26" s="43"/>
      <c r="R26" s="43"/>
      <c r="S26" s="43"/>
      <c r="T26" s="43"/>
      <c r="U26" s="43"/>
      <c r="V26" s="43"/>
    </row>
    <row r="27" spans="1:36" s="45" customFormat="1" ht="21" customHeight="1" x14ac:dyDescent="0.15">
      <c r="A27" s="39"/>
      <c r="B27" s="40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41"/>
      <c r="P27" s="42"/>
      <c r="Q27" s="43"/>
      <c r="R27" s="43"/>
      <c r="S27" s="43"/>
      <c r="T27" s="43"/>
      <c r="U27" s="43"/>
      <c r="V27" s="43"/>
    </row>
    <row r="28" spans="1:36" s="45" customFormat="1" ht="21" customHeight="1" x14ac:dyDescent="0.15">
      <c r="A28" s="39"/>
      <c r="B28" s="40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41"/>
      <c r="P28" s="42"/>
      <c r="Q28" s="43"/>
      <c r="R28" s="43"/>
      <c r="S28" s="43"/>
      <c r="T28" s="43"/>
      <c r="U28" s="43"/>
      <c r="V28" s="43"/>
    </row>
    <row r="29" spans="1:36" s="45" customFormat="1" ht="21" customHeight="1" x14ac:dyDescent="0.15">
      <c r="A29" s="39"/>
      <c r="B29" s="40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41"/>
      <c r="P29" s="42"/>
      <c r="Q29" s="43"/>
      <c r="R29" s="43"/>
      <c r="S29" s="43"/>
      <c r="T29" s="43"/>
      <c r="U29" s="43"/>
      <c r="V29" s="43"/>
    </row>
    <row r="30" spans="1:36" s="45" customFormat="1" ht="21" customHeight="1" x14ac:dyDescent="0.15">
      <c r="A30" s="39"/>
      <c r="B30" s="40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41"/>
      <c r="P30" s="42"/>
      <c r="Q30" s="43"/>
      <c r="R30" s="43"/>
      <c r="S30" s="43"/>
      <c r="T30" s="43"/>
      <c r="U30" s="43"/>
      <c r="V30" s="43"/>
    </row>
    <row r="31" spans="1:36" s="45" customFormat="1" ht="21" customHeight="1" x14ac:dyDescent="0.15">
      <c r="A31" s="39"/>
      <c r="B31" s="40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41"/>
      <c r="P31" s="42"/>
      <c r="Q31" s="43"/>
      <c r="R31" s="43"/>
      <c r="S31" s="43"/>
      <c r="T31" s="43"/>
      <c r="U31" s="43"/>
      <c r="V31" s="43"/>
    </row>
    <row r="32" spans="1:36" s="45" customFormat="1" ht="21" customHeight="1" x14ac:dyDescent="0.15">
      <c r="A32" s="39"/>
      <c r="B32" s="40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41"/>
      <c r="P32" s="42"/>
      <c r="Q32" s="43"/>
      <c r="R32" s="43"/>
      <c r="S32" s="43"/>
      <c r="T32" s="43"/>
      <c r="U32" s="43"/>
      <c r="V32" s="43"/>
    </row>
    <row r="33" spans="1:22" s="45" customFormat="1" ht="21" customHeight="1" x14ac:dyDescent="0.15">
      <c r="A33" s="39"/>
      <c r="B33" s="40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41"/>
      <c r="P33" s="42"/>
      <c r="Q33" s="43"/>
      <c r="R33" s="43"/>
      <c r="S33" s="43"/>
      <c r="T33" s="43"/>
      <c r="U33" s="43"/>
      <c r="V33" s="43"/>
    </row>
    <row r="34" spans="1:22" s="45" customFormat="1" ht="21" customHeight="1" x14ac:dyDescent="0.15">
      <c r="A34" s="39"/>
      <c r="B34" s="40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41"/>
      <c r="P34" s="42"/>
      <c r="Q34" s="43"/>
      <c r="R34" s="43"/>
      <c r="S34" s="43"/>
      <c r="T34" s="43"/>
      <c r="U34" s="43"/>
      <c r="V34" s="43"/>
    </row>
    <row r="35" spans="1:22" s="45" customFormat="1" ht="21" customHeight="1" x14ac:dyDescent="0.15">
      <c r="A35" s="39"/>
      <c r="B35" s="40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41"/>
      <c r="P35" s="42"/>
      <c r="Q35" s="43"/>
      <c r="R35" s="43"/>
      <c r="S35" s="43"/>
      <c r="T35" s="43"/>
      <c r="U35" s="43"/>
      <c r="V35" s="43"/>
    </row>
    <row r="36" spans="1:22" s="45" customFormat="1" ht="21" customHeight="1" x14ac:dyDescent="0.15">
      <c r="A36" s="39"/>
      <c r="B36" s="40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41"/>
      <c r="P36" s="42"/>
      <c r="Q36" s="43"/>
      <c r="R36" s="43"/>
      <c r="S36" s="43"/>
      <c r="T36" s="43"/>
      <c r="U36" s="43"/>
      <c r="V36" s="43"/>
    </row>
    <row r="37" spans="1:22" s="45" customFormat="1" ht="21" customHeight="1" x14ac:dyDescent="0.15">
      <c r="A37" s="39"/>
      <c r="B37" s="40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41"/>
      <c r="P37" s="42"/>
      <c r="Q37" s="43"/>
      <c r="R37" s="43"/>
      <c r="S37" s="43"/>
      <c r="T37" s="43"/>
      <c r="U37" s="43"/>
      <c r="V37" s="43"/>
    </row>
    <row r="38" spans="1:22" s="45" customFormat="1" ht="21" customHeight="1" x14ac:dyDescent="0.15">
      <c r="A38" s="39"/>
      <c r="B38" s="40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41"/>
      <c r="P38" s="42"/>
      <c r="Q38" s="43"/>
      <c r="R38" s="43"/>
      <c r="S38" s="43"/>
      <c r="T38" s="43"/>
      <c r="U38" s="43"/>
      <c r="V38" s="43"/>
    </row>
    <row r="39" spans="1:22" s="45" customFormat="1" ht="21" customHeight="1" x14ac:dyDescent="0.15">
      <c r="A39" s="39"/>
      <c r="B39" s="40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41"/>
      <c r="P39" s="42"/>
      <c r="Q39" s="43"/>
      <c r="R39" s="43"/>
      <c r="S39" s="43"/>
      <c r="T39" s="43"/>
      <c r="U39" s="43"/>
      <c r="V39" s="43"/>
    </row>
    <row r="40" spans="1:22" s="45" customFormat="1" ht="21" customHeight="1" x14ac:dyDescent="0.15">
      <c r="A40" s="39"/>
      <c r="B40" s="40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41"/>
      <c r="P40" s="42"/>
      <c r="Q40" s="43"/>
      <c r="R40" s="43"/>
      <c r="S40" s="43"/>
      <c r="T40" s="43"/>
      <c r="U40" s="43"/>
      <c r="V40" s="43"/>
    </row>
    <row r="41" spans="1:22" s="45" customFormat="1" ht="21" customHeight="1" x14ac:dyDescent="0.15">
      <c r="A41" s="39"/>
      <c r="B41" s="40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41"/>
      <c r="P41" s="42"/>
      <c r="Q41" s="43"/>
      <c r="R41" s="43"/>
      <c r="S41" s="43"/>
      <c r="T41" s="43"/>
      <c r="U41" s="43"/>
      <c r="V41" s="43"/>
    </row>
    <row r="42" spans="1:22" s="45" customFormat="1" ht="21" customHeight="1" x14ac:dyDescent="0.15">
      <c r="A42" s="39"/>
      <c r="B42" s="40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41"/>
      <c r="P42" s="42"/>
      <c r="Q42" s="43"/>
      <c r="R42" s="43"/>
      <c r="S42" s="43"/>
      <c r="T42" s="43"/>
      <c r="U42" s="43"/>
      <c r="V42" s="43"/>
    </row>
    <row r="43" spans="1:22" s="45" customFormat="1" ht="21" customHeight="1" x14ac:dyDescent="0.15">
      <c r="A43" s="39"/>
      <c r="B43" s="40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41"/>
      <c r="P43" s="42"/>
      <c r="Q43" s="43"/>
      <c r="R43" s="43"/>
      <c r="S43" s="43"/>
      <c r="T43" s="43"/>
      <c r="U43" s="43"/>
      <c r="V43" s="43"/>
    </row>
    <row r="44" spans="1:22" s="45" customFormat="1" ht="21" customHeight="1" x14ac:dyDescent="0.15">
      <c r="A44" s="39"/>
      <c r="B44" s="40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41"/>
      <c r="P44" s="42"/>
      <c r="Q44" s="43"/>
      <c r="R44" s="43"/>
      <c r="S44" s="43"/>
      <c r="T44" s="43"/>
      <c r="U44" s="43"/>
      <c r="V44" s="43"/>
    </row>
    <row r="45" spans="1:22" s="45" customFormat="1" ht="21" customHeight="1" x14ac:dyDescent="0.15">
      <c r="A45" s="39"/>
      <c r="B45" s="40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41"/>
      <c r="P45" s="42"/>
      <c r="Q45" s="43"/>
      <c r="R45" s="43"/>
      <c r="S45" s="43"/>
      <c r="T45" s="43"/>
      <c r="U45" s="43"/>
      <c r="V45" s="43"/>
    </row>
    <row r="46" spans="1:22" s="45" customFormat="1" ht="21" customHeight="1" x14ac:dyDescent="0.15">
      <c r="A46" s="39"/>
      <c r="B46" s="40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41"/>
      <c r="P46" s="42"/>
      <c r="Q46" s="43"/>
      <c r="R46" s="43"/>
      <c r="S46" s="43"/>
      <c r="T46" s="43"/>
      <c r="U46" s="43"/>
      <c r="V46" s="43"/>
    </row>
    <row r="47" spans="1:22" s="45" customFormat="1" ht="21" customHeight="1" x14ac:dyDescent="0.15">
      <c r="A47" s="39"/>
      <c r="B47" s="40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41"/>
      <c r="P47" s="42"/>
      <c r="Q47" s="43"/>
      <c r="R47" s="43"/>
      <c r="S47" s="43"/>
      <c r="T47" s="43"/>
      <c r="U47" s="43"/>
      <c r="V47" s="43"/>
    </row>
    <row r="48" spans="1:22" s="45" customFormat="1" ht="21" customHeight="1" x14ac:dyDescent="0.15">
      <c r="A48" s="39"/>
      <c r="B48" s="40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41"/>
      <c r="P48" s="42"/>
      <c r="Q48" s="43"/>
      <c r="R48" s="43"/>
      <c r="S48" s="43"/>
      <c r="T48" s="43"/>
      <c r="U48" s="43"/>
      <c r="V48" s="43"/>
    </row>
    <row r="49" spans="1:22" s="45" customFormat="1" ht="21" customHeight="1" x14ac:dyDescent="0.15">
      <c r="A49" s="39"/>
      <c r="B49" s="40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41"/>
      <c r="P49" s="42"/>
      <c r="Q49" s="43"/>
      <c r="R49" s="43"/>
      <c r="S49" s="43"/>
      <c r="T49" s="43"/>
      <c r="U49" s="43"/>
      <c r="V49" s="43"/>
    </row>
    <row r="50" spans="1:22" s="45" customFormat="1" ht="21" customHeight="1" x14ac:dyDescent="0.15">
      <c r="A50" s="39"/>
      <c r="B50" s="40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41"/>
      <c r="P50" s="42"/>
      <c r="Q50" s="43"/>
      <c r="R50" s="43"/>
      <c r="S50" s="43"/>
      <c r="T50" s="43"/>
      <c r="U50" s="43"/>
      <c r="V50" s="43"/>
    </row>
    <row r="51" spans="1:22" s="45" customFormat="1" ht="21" customHeight="1" x14ac:dyDescent="0.15">
      <c r="A51" s="39"/>
      <c r="B51" s="40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41"/>
      <c r="P51" s="42"/>
      <c r="Q51" s="43"/>
      <c r="R51" s="43"/>
      <c r="S51" s="43"/>
      <c r="T51" s="43"/>
      <c r="U51" s="43"/>
      <c r="V51" s="43"/>
    </row>
    <row r="52" spans="1:22" s="45" customFormat="1" ht="21" customHeight="1" x14ac:dyDescent="0.15">
      <c r="A52" s="39"/>
      <c r="B52" s="40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41"/>
      <c r="P52" s="42"/>
      <c r="Q52" s="43"/>
      <c r="R52" s="43"/>
      <c r="S52" s="43"/>
      <c r="T52" s="43"/>
      <c r="U52" s="43"/>
      <c r="V52" s="43"/>
    </row>
    <row r="53" spans="1:22" s="45" customFormat="1" ht="21" customHeight="1" x14ac:dyDescent="0.15">
      <c r="A53" s="39"/>
      <c r="B53" s="40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41"/>
      <c r="P53" s="42"/>
      <c r="Q53" s="43"/>
      <c r="R53" s="43"/>
      <c r="S53" s="43"/>
      <c r="T53" s="43"/>
      <c r="U53" s="43"/>
      <c r="V53" s="43"/>
    </row>
    <row r="54" spans="1:22" s="45" customFormat="1" ht="21" customHeight="1" x14ac:dyDescent="0.15">
      <c r="A54" s="39"/>
      <c r="B54" s="40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41"/>
      <c r="P54" s="42"/>
      <c r="Q54" s="43"/>
      <c r="R54" s="43"/>
      <c r="S54" s="43"/>
      <c r="T54" s="43"/>
      <c r="U54" s="43"/>
      <c r="V54" s="43"/>
    </row>
    <row r="55" spans="1:22" s="45" customFormat="1" ht="21" customHeight="1" x14ac:dyDescent="0.15">
      <c r="A55" s="39"/>
      <c r="B55" s="40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41"/>
      <c r="P55" s="42"/>
      <c r="Q55" s="43"/>
      <c r="R55" s="43"/>
      <c r="S55" s="43"/>
      <c r="T55" s="43"/>
      <c r="U55" s="43"/>
      <c r="V55" s="43"/>
    </row>
    <row r="56" spans="1:22" s="45" customFormat="1" ht="21" customHeight="1" x14ac:dyDescent="0.15">
      <c r="A56" s="39"/>
      <c r="B56" s="40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41"/>
      <c r="P56" s="42"/>
      <c r="Q56" s="43"/>
      <c r="R56" s="43"/>
      <c r="S56" s="43"/>
      <c r="T56" s="43"/>
      <c r="U56" s="43"/>
      <c r="V56" s="43"/>
    </row>
    <row r="57" spans="1:22" ht="21" customHeight="1" x14ac:dyDescent="0.15">
      <c r="A57" s="39"/>
      <c r="B57" s="40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41"/>
      <c r="P57" s="42"/>
      <c r="Q57" s="43"/>
      <c r="R57" s="43"/>
      <c r="S57" s="43"/>
      <c r="T57" s="43"/>
      <c r="U57" s="43"/>
      <c r="V57" s="43"/>
    </row>
    <row r="58" spans="1:22" ht="21" customHeight="1" x14ac:dyDescent="0.15">
      <c r="A58" s="39"/>
      <c r="B58" s="40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41"/>
      <c r="P58" s="42"/>
      <c r="Q58" s="43"/>
      <c r="R58" s="43"/>
      <c r="S58" s="43"/>
      <c r="T58" s="43"/>
      <c r="U58" s="43"/>
      <c r="V58" s="43"/>
    </row>
    <row r="59" spans="1:22" ht="21" customHeight="1" x14ac:dyDescent="0.15">
      <c r="A59" s="39"/>
      <c r="B59" s="40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41"/>
      <c r="P59" s="42"/>
      <c r="Q59" s="43"/>
      <c r="R59" s="43"/>
      <c r="S59" s="43"/>
      <c r="T59" s="43"/>
      <c r="U59" s="43"/>
      <c r="V59" s="43"/>
    </row>
    <row r="60" spans="1:22" ht="21" customHeight="1" x14ac:dyDescent="0.15">
      <c r="A60" s="39"/>
      <c r="B60" s="40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41"/>
      <c r="P60" s="42"/>
      <c r="Q60" s="43"/>
      <c r="R60" s="43"/>
      <c r="S60" s="43"/>
      <c r="T60" s="43"/>
      <c r="U60" s="43"/>
      <c r="V60" s="43"/>
    </row>
    <row r="61" spans="1:22" ht="21" customHeight="1" x14ac:dyDescent="0.15">
      <c r="A61" s="39"/>
      <c r="B61" s="40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41"/>
      <c r="P61" s="42"/>
      <c r="Q61" s="43"/>
      <c r="R61" s="43"/>
      <c r="S61" s="43"/>
      <c r="T61" s="43"/>
      <c r="U61" s="43"/>
      <c r="V61" s="43"/>
    </row>
    <row r="62" spans="1:22" ht="21" customHeight="1" x14ac:dyDescent="0.15">
      <c r="A62" s="39"/>
      <c r="B62" s="40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41"/>
      <c r="P62" s="42"/>
      <c r="Q62" s="43"/>
      <c r="R62" s="43"/>
      <c r="S62" s="43"/>
      <c r="T62" s="43"/>
      <c r="U62" s="43"/>
      <c r="V62" s="43"/>
    </row>
    <row r="63" spans="1:22" ht="21" customHeight="1" x14ac:dyDescent="0.15">
      <c r="A63" s="39"/>
      <c r="B63" s="44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41"/>
      <c r="P63" s="42"/>
      <c r="Q63" s="43"/>
      <c r="R63" s="43"/>
      <c r="S63" s="43"/>
      <c r="T63" s="43"/>
      <c r="U63" s="43"/>
      <c r="V63" s="43"/>
    </row>
    <row r="64" spans="1:22" ht="21" customHeight="1" x14ac:dyDescent="0.15">
      <c r="A64" s="39"/>
      <c r="B64" s="44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41"/>
      <c r="P64" s="42"/>
      <c r="Q64" s="43"/>
      <c r="R64" s="43"/>
      <c r="S64" s="43"/>
      <c r="T64" s="43"/>
      <c r="U64" s="43"/>
      <c r="V64" s="43"/>
    </row>
    <row r="65" spans="1:36" ht="21" customHeight="1" x14ac:dyDescent="0.15">
      <c r="A65" s="39"/>
      <c r="B65" s="44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41"/>
      <c r="P65" s="42"/>
      <c r="Q65" s="43"/>
      <c r="R65" s="43"/>
      <c r="S65" s="43"/>
      <c r="T65" s="43"/>
      <c r="U65" s="43"/>
      <c r="V65" s="43"/>
    </row>
    <row r="66" spans="1:36" ht="21" customHeight="1" x14ac:dyDescent="0.15">
      <c r="A66" s="39"/>
      <c r="B66" s="44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41"/>
      <c r="P66" s="42"/>
      <c r="Q66" s="43"/>
      <c r="R66" s="43"/>
      <c r="S66" s="43"/>
      <c r="T66" s="43"/>
      <c r="U66" s="43"/>
      <c r="V66" s="43"/>
    </row>
    <row r="67" spans="1:36" s="9" customFormat="1" ht="21" customHeight="1" thickBot="1" x14ac:dyDescent="0.2">
      <c r="A67" s="39"/>
      <c r="B67" s="40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41"/>
      <c r="P67" s="42"/>
      <c r="Q67" s="43"/>
      <c r="R67" s="43"/>
      <c r="S67" s="43"/>
      <c r="T67" s="43"/>
      <c r="U67" s="43"/>
      <c r="V67" s="43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</row>
    <row r="68" spans="1:36" ht="21" customHeight="1" x14ac:dyDescent="0.15">
      <c r="A68" s="39"/>
      <c r="B68" s="40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41"/>
      <c r="P68" s="42"/>
      <c r="Q68" s="43"/>
      <c r="R68" s="43"/>
      <c r="S68" s="43"/>
      <c r="T68" s="43"/>
      <c r="U68" s="43"/>
      <c r="V68" s="43"/>
    </row>
    <row r="69" spans="1:36" ht="21" customHeight="1" x14ac:dyDescent="0.15">
      <c r="A69" s="39"/>
      <c r="B69" s="40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41"/>
      <c r="P69" s="42"/>
      <c r="Q69" s="43"/>
      <c r="R69" s="43"/>
      <c r="S69" s="43"/>
      <c r="T69" s="43"/>
      <c r="U69" s="43"/>
      <c r="V69" s="43"/>
    </row>
    <row r="70" spans="1:36" ht="21" customHeight="1" x14ac:dyDescent="0.15">
      <c r="A70" s="39"/>
      <c r="B70" s="40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41"/>
      <c r="P70" s="42"/>
      <c r="Q70" s="43"/>
      <c r="R70" s="43"/>
      <c r="S70" s="43"/>
      <c r="T70" s="43"/>
      <c r="U70" s="43"/>
      <c r="V70" s="43"/>
    </row>
    <row r="71" spans="1:36" ht="21" customHeight="1" x14ac:dyDescent="0.15">
      <c r="A71" s="39"/>
      <c r="B71" s="40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41"/>
      <c r="P71" s="42"/>
      <c r="Q71" s="43"/>
      <c r="R71" s="43"/>
      <c r="S71" s="43"/>
      <c r="T71" s="43"/>
      <c r="U71" s="43"/>
      <c r="V71" s="43"/>
    </row>
    <row r="72" spans="1:36" ht="21" customHeight="1" x14ac:dyDescent="0.15">
      <c r="A72" s="39"/>
      <c r="B72" s="40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41"/>
      <c r="P72" s="42"/>
      <c r="Q72" s="43"/>
      <c r="R72" s="43"/>
      <c r="S72" s="43"/>
      <c r="T72" s="43"/>
      <c r="U72" s="43"/>
      <c r="V72" s="43"/>
    </row>
    <row r="73" spans="1:36" s="45" customFormat="1" ht="21" customHeight="1" x14ac:dyDescent="0.15">
      <c r="A73" s="39"/>
      <c r="B73" s="40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41"/>
      <c r="P73" s="42"/>
      <c r="Q73" s="43"/>
      <c r="R73" s="43"/>
      <c r="S73" s="43"/>
      <c r="T73" s="43"/>
      <c r="U73" s="43"/>
      <c r="V73" s="43"/>
    </row>
    <row r="74" spans="1:36" s="45" customFormat="1" ht="21" customHeight="1" x14ac:dyDescent="0.15">
      <c r="A74" s="39"/>
      <c r="B74" s="40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41"/>
      <c r="P74" s="42"/>
      <c r="Q74" s="43"/>
      <c r="R74" s="43"/>
      <c r="S74" s="43"/>
      <c r="T74" s="43"/>
      <c r="U74" s="43"/>
      <c r="V74" s="43"/>
    </row>
    <row r="75" spans="1:36" s="45" customFormat="1" ht="21" customHeight="1" x14ac:dyDescent="0.15">
      <c r="A75" s="39"/>
      <c r="B75" s="40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41"/>
      <c r="P75" s="42"/>
      <c r="Q75" s="43"/>
      <c r="R75" s="43"/>
      <c r="S75" s="43"/>
      <c r="T75" s="43"/>
      <c r="U75" s="43"/>
      <c r="V75" s="43"/>
    </row>
    <row r="76" spans="1:36" s="45" customFormat="1" ht="21" customHeight="1" x14ac:dyDescent="0.15">
      <c r="A76" s="39"/>
      <c r="B76" s="40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41"/>
      <c r="P76" s="42"/>
      <c r="Q76" s="43"/>
      <c r="R76" s="43"/>
      <c r="S76" s="43"/>
      <c r="T76" s="43"/>
      <c r="U76" s="43"/>
      <c r="V76" s="43"/>
    </row>
    <row r="77" spans="1:36" s="45" customFormat="1" ht="21" customHeight="1" x14ac:dyDescent="0.15">
      <c r="A77" s="39"/>
      <c r="B77" s="40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41"/>
      <c r="P77" s="42"/>
      <c r="Q77" s="43"/>
      <c r="R77" s="43"/>
      <c r="S77" s="43"/>
      <c r="T77" s="43"/>
      <c r="U77" s="43"/>
      <c r="V77" s="43"/>
    </row>
    <row r="78" spans="1:36" s="45" customFormat="1" ht="21" customHeight="1" x14ac:dyDescent="0.15">
      <c r="A78" s="39"/>
      <c r="B78" s="40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41"/>
      <c r="P78" s="42"/>
      <c r="Q78" s="43"/>
      <c r="R78" s="43"/>
      <c r="S78" s="43"/>
      <c r="T78" s="43"/>
      <c r="U78" s="43"/>
      <c r="V78" s="43"/>
    </row>
    <row r="79" spans="1:36" s="45" customFormat="1" ht="21" customHeight="1" x14ac:dyDescent="0.15">
      <c r="A79" s="39"/>
      <c r="B79" s="40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41"/>
      <c r="P79" s="42"/>
      <c r="Q79" s="43"/>
      <c r="R79" s="43"/>
      <c r="S79" s="43"/>
      <c r="T79" s="43"/>
      <c r="U79" s="43"/>
      <c r="V79" s="43"/>
    </row>
    <row r="80" spans="1:36" s="45" customFormat="1" ht="21" customHeight="1" x14ac:dyDescent="0.15">
      <c r="A80" s="39"/>
      <c r="B80" s="40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41"/>
      <c r="P80" s="42"/>
      <c r="Q80" s="43"/>
      <c r="R80" s="43"/>
      <c r="S80" s="43"/>
      <c r="T80" s="43"/>
      <c r="U80" s="43"/>
      <c r="V80" s="43"/>
    </row>
    <row r="81" spans="1:22" s="45" customFormat="1" ht="21" customHeight="1" x14ac:dyDescent="0.15">
      <c r="A81" s="39"/>
      <c r="B81" s="40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41"/>
      <c r="P81" s="42"/>
      <c r="Q81" s="43"/>
      <c r="R81" s="43"/>
      <c r="S81" s="43"/>
      <c r="T81" s="43"/>
      <c r="U81" s="43"/>
      <c r="V81" s="43"/>
    </row>
    <row r="82" spans="1:22" s="45" customFormat="1" ht="21" customHeight="1" x14ac:dyDescent="0.15">
      <c r="A82" s="39"/>
      <c r="B82" s="40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41"/>
      <c r="P82" s="42"/>
      <c r="Q82" s="43"/>
      <c r="R82" s="43"/>
      <c r="S82" s="43"/>
      <c r="T82" s="43"/>
      <c r="U82" s="43"/>
      <c r="V82" s="43"/>
    </row>
    <row r="83" spans="1:22" s="45" customFormat="1" ht="21" customHeight="1" x14ac:dyDescent="0.15">
      <c r="A83" s="39"/>
      <c r="B83" s="40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41"/>
      <c r="P83" s="42"/>
      <c r="Q83" s="43"/>
      <c r="R83" s="43"/>
      <c r="S83" s="43"/>
      <c r="T83" s="43"/>
      <c r="U83" s="43"/>
      <c r="V83" s="43"/>
    </row>
    <row r="84" spans="1:22" s="45" customFormat="1" ht="21" customHeight="1" x14ac:dyDescent="0.15">
      <c r="A84" s="39"/>
      <c r="B84" s="40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41"/>
      <c r="P84" s="42"/>
      <c r="Q84" s="43"/>
      <c r="R84" s="43"/>
      <c r="S84" s="43"/>
      <c r="T84" s="43"/>
      <c r="U84" s="43"/>
      <c r="V84" s="43"/>
    </row>
    <row r="85" spans="1:22" s="45" customFormat="1" ht="21" customHeight="1" x14ac:dyDescent="0.15">
      <c r="A85" s="39"/>
      <c r="B85" s="40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41"/>
      <c r="P85" s="42"/>
      <c r="Q85" s="43"/>
      <c r="R85" s="43"/>
      <c r="S85" s="43"/>
      <c r="T85" s="43"/>
      <c r="U85" s="43"/>
      <c r="V85" s="43"/>
    </row>
    <row r="86" spans="1:22" s="45" customFormat="1" ht="21" customHeight="1" x14ac:dyDescent="0.15">
      <c r="A86" s="39"/>
      <c r="B86" s="40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41"/>
      <c r="P86" s="42"/>
      <c r="Q86" s="43"/>
      <c r="R86" s="43"/>
      <c r="S86" s="43"/>
      <c r="T86" s="43"/>
      <c r="U86" s="43"/>
      <c r="V86" s="43"/>
    </row>
    <row r="87" spans="1:22" s="45" customFormat="1" ht="21" customHeight="1" x14ac:dyDescent="0.15">
      <c r="A87" s="39"/>
      <c r="B87" s="40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41"/>
      <c r="P87" s="42"/>
      <c r="Q87" s="43"/>
      <c r="R87" s="43"/>
      <c r="S87" s="43"/>
      <c r="T87" s="43"/>
      <c r="U87" s="43"/>
      <c r="V87" s="43"/>
    </row>
    <row r="88" spans="1:22" s="45" customFormat="1" ht="21" customHeight="1" x14ac:dyDescent="0.15">
      <c r="A88" s="39"/>
      <c r="B88" s="40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41"/>
      <c r="P88" s="42"/>
      <c r="Q88" s="43"/>
      <c r="R88" s="43"/>
      <c r="S88" s="43"/>
      <c r="T88" s="43"/>
      <c r="U88" s="43"/>
      <c r="V88" s="43"/>
    </row>
    <row r="89" spans="1:22" s="45" customFormat="1" ht="21" customHeight="1" x14ac:dyDescent="0.15">
      <c r="A89" s="39"/>
      <c r="B89" s="40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41"/>
      <c r="P89" s="42"/>
      <c r="Q89" s="43"/>
      <c r="R89" s="43"/>
      <c r="S89" s="43"/>
      <c r="T89" s="43"/>
      <c r="U89" s="43"/>
      <c r="V89" s="43"/>
    </row>
    <row r="90" spans="1:22" s="45" customFormat="1" ht="21" customHeight="1" x14ac:dyDescent="0.15">
      <c r="A90" s="39"/>
      <c r="B90" s="40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41"/>
      <c r="P90" s="42"/>
      <c r="Q90" s="43"/>
      <c r="R90" s="43"/>
      <c r="S90" s="43"/>
      <c r="T90" s="43"/>
      <c r="U90" s="43"/>
      <c r="V90" s="43"/>
    </row>
    <row r="91" spans="1:22" s="45" customFormat="1" ht="21" customHeight="1" x14ac:dyDescent="0.15">
      <c r="A91" s="39"/>
      <c r="B91" s="40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41"/>
      <c r="P91" s="42"/>
      <c r="Q91" s="43"/>
      <c r="R91" s="43"/>
      <c r="S91" s="43"/>
      <c r="T91" s="43"/>
      <c r="U91" s="43"/>
      <c r="V91" s="43"/>
    </row>
    <row r="92" spans="1:22" s="45" customFormat="1" ht="21" customHeight="1" x14ac:dyDescent="0.15">
      <c r="A92" s="39"/>
      <c r="B92" s="40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41"/>
      <c r="P92" s="42"/>
      <c r="Q92" s="43"/>
      <c r="R92" s="43"/>
      <c r="S92" s="43"/>
      <c r="T92" s="43"/>
      <c r="U92" s="43"/>
      <c r="V92" s="43"/>
    </row>
    <row r="93" spans="1:22" s="45" customFormat="1" ht="21" customHeight="1" x14ac:dyDescent="0.15">
      <c r="A93" s="39"/>
      <c r="B93" s="40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41"/>
      <c r="P93" s="42"/>
      <c r="Q93" s="43"/>
      <c r="R93" s="43"/>
      <c r="S93" s="43"/>
      <c r="T93" s="43"/>
      <c r="U93" s="43"/>
      <c r="V93" s="43"/>
    </row>
    <row r="94" spans="1:22" s="45" customFormat="1" ht="21" customHeight="1" x14ac:dyDescent="0.15">
      <c r="A94" s="39"/>
      <c r="B94" s="40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41"/>
      <c r="P94" s="42"/>
      <c r="Q94" s="43"/>
      <c r="R94" s="43"/>
      <c r="S94" s="43"/>
      <c r="T94" s="43"/>
      <c r="U94" s="43"/>
      <c r="V94" s="43"/>
    </row>
    <row r="95" spans="1:22" s="45" customFormat="1" ht="21" customHeight="1" x14ac:dyDescent="0.15">
      <c r="A95" s="39"/>
      <c r="B95" s="40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41"/>
      <c r="P95" s="42"/>
      <c r="Q95" s="43"/>
      <c r="R95" s="43"/>
      <c r="S95" s="43"/>
      <c r="T95" s="43"/>
      <c r="U95" s="43"/>
      <c r="V95" s="43"/>
    </row>
    <row r="96" spans="1:22" s="45" customFormat="1" ht="21" customHeight="1" x14ac:dyDescent="0.15">
      <c r="A96" s="39"/>
      <c r="B96" s="40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41"/>
      <c r="P96" s="42"/>
      <c r="Q96" s="43"/>
      <c r="R96" s="43"/>
      <c r="S96" s="43"/>
      <c r="T96" s="43"/>
      <c r="U96" s="43"/>
      <c r="V96" s="43"/>
    </row>
    <row r="97" spans="1:22" s="45" customFormat="1" ht="21" customHeight="1" x14ac:dyDescent="0.15">
      <c r="A97" s="39"/>
      <c r="B97" s="40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41"/>
      <c r="P97" s="42"/>
      <c r="Q97" s="43"/>
      <c r="R97" s="43"/>
      <c r="S97" s="43"/>
      <c r="T97" s="43"/>
      <c r="U97" s="43"/>
      <c r="V97" s="43"/>
    </row>
    <row r="98" spans="1:22" s="45" customFormat="1" ht="21" customHeight="1" x14ac:dyDescent="0.15">
      <c r="A98" s="39"/>
      <c r="B98" s="40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41"/>
      <c r="P98" s="42"/>
      <c r="Q98" s="43"/>
      <c r="R98" s="43"/>
      <c r="S98" s="43"/>
      <c r="T98" s="43"/>
      <c r="U98" s="43"/>
      <c r="V98" s="43"/>
    </row>
    <row r="99" spans="1:22" s="45" customFormat="1" ht="21" customHeight="1" x14ac:dyDescent="0.15">
      <c r="A99" s="39"/>
      <c r="B99" s="40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41"/>
      <c r="P99" s="42"/>
      <c r="Q99" s="43"/>
      <c r="R99" s="43"/>
      <c r="S99" s="43"/>
      <c r="T99" s="43"/>
      <c r="U99" s="43"/>
      <c r="V99" s="43"/>
    </row>
    <row r="100" spans="1:22" s="45" customFormat="1" ht="21" customHeight="1" x14ac:dyDescent="0.15">
      <c r="A100" s="39"/>
      <c r="B100" s="40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41"/>
      <c r="P100" s="42"/>
      <c r="Q100" s="43"/>
      <c r="R100" s="43"/>
      <c r="S100" s="43"/>
      <c r="T100" s="43"/>
      <c r="U100" s="43"/>
      <c r="V100" s="43"/>
    </row>
    <row r="101" spans="1:22" s="45" customFormat="1" ht="21" customHeight="1" x14ac:dyDescent="0.15">
      <c r="A101" s="39"/>
      <c r="B101" s="40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41"/>
      <c r="P101" s="42"/>
      <c r="Q101" s="43"/>
      <c r="R101" s="43"/>
      <c r="S101" s="43"/>
      <c r="T101" s="43"/>
      <c r="U101" s="43"/>
      <c r="V101" s="43"/>
    </row>
    <row r="102" spans="1:22" s="45" customFormat="1" ht="21" customHeight="1" x14ac:dyDescent="0.15">
      <c r="A102" s="39"/>
      <c r="B102" s="40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41"/>
      <c r="P102" s="42"/>
      <c r="Q102" s="43"/>
      <c r="R102" s="43"/>
      <c r="S102" s="43"/>
      <c r="T102" s="43"/>
      <c r="U102" s="43"/>
      <c r="V102" s="43"/>
    </row>
    <row r="103" spans="1:22" s="45" customFormat="1" ht="21" customHeight="1" x14ac:dyDescent="0.15">
      <c r="A103" s="39"/>
      <c r="B103" s="40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41"/>
      <c r="P103" s="42"/>
      <c r="Q103" s="43"/>
      <c r="R103" s="43"/>
      <c r="S103" s="43"/>
      <c r="T103" s="43"/>
      <c r="U103" s="43"/>
      <c r="V103" s="43"/>
    </row>
    <row r="104" spans="1:22" s="45" customFormat="1" ht="21" customHeight="1" x14ac:dyDescent="0.15">
      <c r="A104" s="39"/>
      <c r="B104" s="40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41"/>
      <c r="P104" s="42"/>
      <c r="Q104" s="43"/>
      <c r="R104" s="43"/>
      <c r="S104" s="43"/>
      <c r="T104" s="43"/>
      <c r="U104" s="43"/>
      <c r="V104" s="43"/>
    </row>
    <row r="105" spans="1:22" s="45" customFormat="1" ht="21" customHeight="1" x14ac:dyDescent="0.15">
      <c r="A105" s="39"/>
      <c r="B105" s="40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41"/>
      <c r="P105" s="42"/>
      <c r="Q105" s="43"/>
      <c r="R105" s="43"/>
      <c r="S105" s="43"/>
      <c r="T105" s="43"/>
      <c r="U105" s="43"/>
      <c r="V105" s="43"/>
    </row>
    <row r="106" spans="1:22" s="45" customFormat="1" ht="21" customHeight="1" x14ac:dyDescent="0.15">
      <c r="A106" s="39"/>
      <c r="B106" s="40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41"/>
      <c r="P106" s="42"/>
      <c r="Q106" s="43"/>
      <c r="R106" s="43"/>
      <c r="S106" s="43"/>
      <c r="T106" s="43"/>
      <c r="U106" s="43"/>
      <c r="V106" s="43"/>
    </row>
    <row r="107" spans="1:22" s="45" customFormat="1" ht="21" customHeight="1" x14ac:dyDescent="0.15">
      <c r="A107" s="39"/>
      <c r="B107" s="40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41"/>
      <c r="P107" s="42"/>
      <c r="Q107" s="43"/>
      <c r="R107" s="43"/>
      <c r="S107" s="43"/>
      <c r="T107" s="43"/>
      <c r="U107" s="43"/>
      <c r="V107" s="43"/>
    </row>
    <row r="108" spans="1:22" s="45" customFormat="1" ht="21" customHeight="1" x14ac:dyDescent="0.15">
      <c r="A108" s="39"/>
      <c r="B108" s="40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41"/>
      <c r="P108" s="42"/>
      <c r="Q108" s="43"/>
      <c r="R108" s="43"/>
      <c r="S108" s="43"/>
      <c r="T108" s="43"/>
      <c r="U108" s="43"/>
      <c r="V108" s="43"/>
    </row>
    <row r="109" spans="1:22" s="45" customFormat="1" ht="21" customHeight="1" x14ac:dyDescent="0.15">
      <c r="A109" s="39"/>
      <c r="B109" s="40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41"/>
      <c r="P109" s="42"/>
      <c r="Q109" s="43"/>
      <c r="R109" s="43"/>
      <c r="S109" s="43"/>
      <c r="T109" s="43"/>
      <c r="U109" s="43"/>
      <c r="V109" s="43"/>
    </row>
    <row r="110" spans="1:22" s="45" customFormat="1" ht="21" customHeight="1" x14ac:dyDescent="0.15">
      <c r="A110" s="39"/>
      <c r="B110" s="40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41"/>
      <c r="P110" s="42"/>
      <c r="Q110" s="43"/>
      <c r="R110" s="43"/>
      <c r="S110" s="43"/>
      <c r="T110" s="43"/>
      <c r="U110" s="43"/>
      <c r="V110" s="43"/>
    </row>
    <row r="111" spans="1:22" s="45" customFormat="1" ht="21" customHeight="1" x14ac:dyDescent="0.15">
      <c r="A111" s="39"/>
      <c r="B111" s="40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41"/>
      <c r="P111" s="42"/>
      <c r="Q111" s="43"/>
      <c r="R111" s="43"/>
      <c r="S111" s="43"/>
      <c r="T111" s="43"/>
      <c r="U111" s="43"/>
      <c r="V111" s="43"/>
    </row>
    <row r="112" spans="1:22" s="45" customFormat="1" ht="21" customHeight="1" x14ac:dyDescent="0.15">
      <c r="A112" s="39"/>
      <c r="B112" s="40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41"/>
      <c r="P112" s="42"/>
      <c r="Q112" s="43"/>
      <c r="R112" s="43"/>
      <c r="S112" s="43"/>
      <c r="T112" s="43"/>
      <c r="U112" s="43"/>
      <c r="V112" s="43"/>
    </row>
    <row r="113" spans="1:22" s="45" customFormat="1" ht="21" customHeight="1" x14ac:dyDescent="0.15">
      <c r="A113" s="39"/>
      <c r="B113" s="40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41"/>
      <c r="P113" s="42"/>
      <c r="Q113" s="43"/>
      <c r="R113" s="43"/>
      <c r="S113" s="43"/>
      <c r="T113" s="43"/>
      <c r="U113" s="43"/>
      <c r="V113" s="43"/>
    </row>
    <row r="114" spans="1:22" s="45" customFormat="1" ht="21" customHeight="1" x14ac:dyDescent="0.15">
      <c r="A114" s="39"/>
      <c r="B114" s="40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41"/>
      <c r="P114" s="42"/>
      <c r="Q114" s="43"/>
      <c r="R114" s="43"/>
      <c r="S114" s="43"/>
      <c r="T114" s="43"/>
      <c r="U114" s="43"/>
      <c r="V114" s="43"/>
    </row>
    <row r="115" spans="1:22" s="45" customFormat="1" ht="21" customHeight="1" x14ac:dyDescent="0.15">
      <c r="A115" s="39"/>
      <c r="B115" s="40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41"/>
      <c r="P115" s="42"/>
      <c r="Q115" s="43"/>
      <c r="R115" s="43"/>
      <c r="S115" s="43"/>
      <c r="T115" s="43"/>
      <c r="U115" s="43"/>
      <c r="V115" s="43"/>
    </row>
    <row r="116" spans="1:22" s="45" customFormat="1" ht="21" customHeight="1" x14ac:dyDescent="0.15">
      <c r="A116" s="39"/>
      <c r="B116" s="40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41"/>
      <c r="P116" s="42"/>
      <c r="Q116" s="43"/>
      <c r="R116" s="43"/>
      <c r="S116" s="43"/>
      <c r="T116" s="43"/>
      <c r="U116" s="43"/>
      <c r="V116" s="43"/>
    </row>
    <row r="117" spans="1:22" s="45" customFormat="1" ht="21" customHeight="1" x14ac:dyDescent="0.15">
      <c r="A117" s="39"/>
      <c r="B117" s="40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41"/>
      <c r="P117" s="42"/>
      <c r="Q117" s="43"/>
      <c r="R117" s="43"/>
      <c r="S117" s="43"/>
      <c r="T117" s="43"/>
      <c r="U117" s="43"/>
      <c r="V117" s="43"/>
    </row>
    <row r="118" spans="1:22" s="45" customFormat="1" ht="21" customHeight="1" x14ac:dyDescent="0.15">
      <c r="A118" s="39"/>
      <c r="B118" s="40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41"/>
      <c r="P118" s="42"/>
      <c r="Q118" s="43"/>
      <c r="R118" s="43"/>
      <c r="S118" s="43"/>
      <c r="T118" s="43"/>
      <c r="U118" s="43"/>
      <c r="V118" s="43"/>
    </row>
    <row r="119" spans="1:22" s="45" customFormat="1" ht="21" customHeight="1" x14ac:dyDescent="0.15">
      <c r="A119" s="39"/>
      <c r="B119" s="40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41"/>
      <c r="P119" s="42"/>
      <c r="Q119" s="43"/>
      <c r="R119" s="43"/>
      <c r="S119" s="43"/>
      <c r="T119" s="43"/>
      <c r="U119" s="43"/>
      <c r="V119" s="43"/>
    </row>
    <row r="120" spans="1:22" s="45" customFormat="1" ht="21" customHeight="1" x14ac:dyDescent="0.15">
      <c r="A120" s="39"/>
      <c r="B120" s="40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41"/>
      <c r="P120" s="42"/>
      <c r="Q120" s="43"/>
      <c r="R120" s="43"/>
      <c r="S120" s="43"/>
      <c r="T120" s="43"/>
      <c r="U120" s="43"/>
      <c r="V120" s="43"/>
    </row>
    <row r="121" spans="1:22" s="45" customFormat="1" ht="21" customHeight="1" x14ac:dyDescent="0.15">
      <c r="A121" s="39"/>
      <c r="B121" s="40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41"/>
      <c r="P121" s="42"/>
      <c r="Q121" s="43"/>
      <c r="R121" s="43"/>
      <c r="S121" s="43"/>
      <c r="T121" s="43"/>
      <c r="U121" s="43"/>
      <c r="V121" s="43"/>
    </row>
    <row r="122" spans="1:22" s="45" customFormat="1" ht="21" customHeight="1" x14ac:dyDescent="0.15">
      <c r="A122" s="39"/>
      <c r="B122" s="40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41"/>
      <c r="P122" s="42"/>
      <c r="Q122" s="43"/>
      <c r="R122" s="43"/>
      <c r="S122" s="43"/>
      <c r="T122" s="43"/>
      <c r="U122" s="43"/>
      <c r="V122" s="43"/>
    </row>
    <row r="123" spans="1:22" s="45" customFormat="1" ht="21" customHeight="1" x14ac:dyDescent="0.15">
      <c r="A123" s="39"/>
      <c r="B123" s="40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41"/>
      <c r="P123" s="42"/>
      <c r="Q123" s="43"/>
      <c r="R123" s="43"/>
      <c r="S123" s="43"/>
      <c r="T123" s="43"/>
      <c r="U123" s="43"/>
      <c r="V123" s="43"/>
    </row>
    <row r="124" spans="1:22" s="45" customFormat="1" ht="21" customHeight="1" x14ac:dyDescent="0.15">
      <c r="A124" s="39"/>
      <c r="B124" s="40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41"/>
      <c r="P124" s="42"/>
      <c r="Q124" s="43"/>
      <c r="R124" s="43"/>
      <c r="S124" s="43"/>
      <c r="T124" s="43"/>
      <c r="U124" s="43"/>
      <c r="V124" s="43"/>
    </row>
    <row r="125" spans="1:22" s="45" customFormat="1" ht="21" customHeight="1" x14ac:dyDescent="0.15">
      <c r="A125" s="39"/>
      <c r="B125" s="40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41"/>
      <c r="P125" s="42"/>
      <c r="Q125" s="43"/>
      <c r="R125" s="43"/>
      <c r="S125" s="43"/>
      <c r="T125" s="43"/>
      <c r="U125" s="43"/>
      <c r="V125" s="43"/>
    </row>
    <row r="126" spans="1:22" s="45" customFormat="1" ht="21" customHeight="1" x14ac:dyDescent="0.15">
      <c r="A126" s="39"/>
      <c r="B126" s="40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41"/>
      <c r="P126" s="42"/>
      <c r="Q126" s="43"/>
      <c r="R126" s="43"/>
      <c r="S126" s="43"/>
      <c r="T126" s="43"/>
      <c r="U126" s="43"/>
      <c r="V126" s="43"/>
    </row>
    <row r="127" spans="1:22" s="45" customFormat="1" ht="21" customHeight="1" x14ac:dyDescent="0.15">
      <c r="A127" s="39"/>
      <c r="B127" s="40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41"/>
      <c r="P127" s="42"/>
      <c r="Q127" s="43"/>
      <c r="R127" s="43"/>
      <c r="S127" s="43"/>
      <c r="T127" s="43"/>
      <c r="U127" s="43"/>
      <c r="V127" s="43"/>
    </row>
    <row r="128" spans="1:22" s="45" customFormat="1" ht="21" customHeight="1" x14ac:dyDescent="0.15">
      <c r="A128" s="39"/>
      <c r="B128" s="40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41"/>
      <c r="P128" s="42"/>
      <c r="Q128" s="43"/>
      <c r="R128" s="43"/>
      <c r="S128" s="43"/>
      <c r="T128" s="43"/>
      <c r="U128" s="43"/>
      <c r="V128" s="43"/>
    </row>
    <row r="129" spans="1:22" s="45" customFormat="1" ht="21" customHeight="1" x14ac:dyDescent="0.15">
      <c r="A129" s="39"/>
      <c r="B129" s="40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41"/>
      <c r="P129" s="42"/>
      <c r="Q129" s="43"/>
      <c r="R129" s="43"/>
      <c r="S129" s="43"/>
      <c r="T129" s="43"/>
      <c r="U129" s="43"/>
      <c r="V129" s="43"/>
    </row>
    <row r="130" spans="1:22" s="45" customFormat="1" ht="21" customHeight="1" x14ac:dyDescent="0.15">
      <c r="A130" s="39"/>
      <c r="B130" s="40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41"/>
      <c r="P130" s="42"/>
      <c r="Q130" s="43"/>
      <c r="R130" s="43"/>
      <c r="S130" s="43"/>
      <c r="T130" s="43"/>
      <c r="U130" s="43"/>
      <c r="V130" s="43"/>
    </row>
    <row r="131" spans="1:22" s="45" customFormat="1" ht="21" customHeight="1" x14ac:dyDescent="0.15">
      <c r="A131" s="39"/>
      <c r="B131" s="40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41"/>
      <c r="P131" s="42"/>
      <c r="Q131" s="43"/>
      <c r="R131" s="43"/>
      <c r="S131" s="43"/>
      <c r="T131" s="43"/>
      <c r="U131" s="43"/>
      <c r="V131" s="43"/>
    </row>
    <row r="132" spans="1:22" s="45" customFormat="1" ht="21" customHeight="1" x14ac:dyDescent="0.15">
      <c r="A132" s="39"/>
      <c r="B132" s="40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41"/>
      <c r="P132" s="42"/>
      <c r="Q132" s="43"/>
      <c r="R132" s="43"/>
      <c r="S132" s="43"/>
      <c r="T132" s="43"/>
      <c r="U132" s="43"/>
      <c r="V132" s="43"/>
    </row>
    <row r="133" spans="1:22" s="45" customFormat="1" ht="21" customHeight="1" x14ac:dyDescent="0.15">
      <c r="A133" s="39"/>
      <c r="B133" s="40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41"/>
      <c r="P133" s="42"/>
      <c r="Q133" s="43"/>
      <c r="R133" s="43"/>
      <c r="S133" s="43"/>
      <c r="T133" s="43"/>
      <c r="U133" s="43"/>
      <c r="V133" s="43"/>
    </row>
    <row r="134" spans="1:22" s="45" customFormat="1" ht="21" customHeight="1" x14ac:dyDescent="0.15">
      <c r="A134" s="39"/>
      <c r="B134" s="40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41"/>
      <c r="P134" s="42"/>
      <c r="Q134" s="43"/>
      <c r="R134" s="43"/>
      <c r="S134" s="43"/>
      <c r="T134" s="43"/>
      <c r="U134" s="43"/>
      <c r="V134" s="43"/>
    </row>
    <row r="135" spans="1:22" s="45" customFormat="1" ht="21" customHeight="1" x14ac:dyDescent="0.15">
      <c r="A135" s="39"/>
      <c r="B135" s="40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41"/>
      <c r="P135" s="42"/>
      <c r="Q135" s="43"/>
      <c r="R135" s="43"/>
      <c r="S135" s="43"/>
      <c r="T135" s="43"/>
      <c r="U135" s="43"/>
      <c r="V135" s="43"/>
    </row>
    <row r="136" spans="1:22" s="45" customFormat="1" ht="21" customHeight="1" x14ac:dyDescent="0.15">
      <c r="A136" s="39"/>
      <c r="B136" s="40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41"/>
      <c r="P136" s="42"/>
      <c r="Q136" s="43"/>
      <c r="R136" s="43"/>
      <c r="S136" s="43"/>
      <c r="T136" s="43"/>
      <c r="U136" s="43"/>
      <c r="V136" s="43"/>
    </row>
    <row r="137" spans="1:22" s="45" customFormat="1" ht="21" customHeight="1" x14ac:dyDescent="0.15">
      <c r="A137" s="39"/>
      <c r="B137" s="40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41"/>
      <c r="P137" s="42"/>
      <c r="Q137" s="43"/>
      <c r="R137" s="43"/>
      <c r="S137" s="43"/>
      <c r="T137" s="43"/>
      <c r="U137" s="43"/>
      <c r="V137" s="43"/>
    </row>
    <row r="138" spans="1:22" s="45" customFormat="1" ht="21" customHeight="1" x14ac:dyDescent="0.15">
      <c r="A138" s="39"/>
      <c r="B138" s="40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41"/>
      <c r="P138" s="42"/>
      <c r="Q138" s="43"/>
      <c r="R138" s="43"/>
      <c r="S138" s="43"/>
      <c r="T138" s="43"/>
      <c r="U138" s="43"/>
      <c r="V138" s="43"/>
    </row>
    <row r="139" spans="1:22" s="45" customFormat="1" ht="21" customHeight="1" x14ac:dyDescent="0.15">
      <c r="A139" s="39"/>
      <c r="B139" s="40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41"/>
      <c r="P139" s="42"/>
      <c r="Q139" s="43"/>
      <c r="R139" s="43"/>
      <c r="S139" s="43"/>
      <c r="T139" s="43"/>
      <c r="U139" s="43"/>
      <c r="V139" s="43"/>
    </row>
    <row r="140" spans="1:22" s="45" customFormat="1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22" s="45" customFormat="1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22" s="45" customFormat="1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22" s="45" customFormat="1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22" s="45" customFormat="1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s="45" customFormat="1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s="45" customFormat="1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s="45" customFormat="1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s="45" customFormat="1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s="45" customFormat="1" ht="21" customHeight="1" x14ac:dyDescent="0.15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s="45" customFormat="1" ht="21" customHeight="1" x14ac:dyDescent="0.1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s="45" customFormat="1" ht="21" customHeight="1" x14ac:dyDescent="0.15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s="45" customFormat="1" ht="21" customHeight="1" x14ac:dyDescent="0.1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s="45" customFormat="1" ht="21" customHeight="1" x14ac:dyDescent="0.1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s="45" customFormat="1" ht="21" customHeight="1" x14ac:dyDescent="0.1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s="45" customFormat="1" ht="21" customHeight="1" x14ac:dyDescent="0.1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s="45" customFormat="1" ht="21" customHeight="1" x14ac:dyDescent="0.1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s="45" customFormat="1" ht="21" customHeight="1" x14ac:dyDescent="0.1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s="45" customFormat="1" ht="21" customHeight="1" x14ac:dyDescent="0.1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s="45" customFormat="1" ht="21" customHeight="1" x14ac:dyDescent="0.1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s="45" customFormat="1" ht="21" customHeight="1" x14ac:dyDescent="0.1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s="45" customFormat="1" ht="21" customHeight="1" x14ac:dyDescent="0.1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s="45" customFormat="1" ht="21" customHeight="1" x14ac:dyDescent="0.1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s="45" customFormat="1" ht="21" customHeight="1" x14ac:dyDescent="0.1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s="45" customFormat="1" ht="21" customHeight="1" x14ac:dyDescent="0.1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s="45" customFormat="1" ht="21" customHeight="1" x14ac:dyDescent="0.1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s="45" customFormat="1" ht="21" customHeight="1" x14ac:dyDescent="0.1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s="45" customFormat="1" ht="21" customHeight="1" x14ac:dyDescent="0.1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s="45" customFormat="1" ht="21" customHeight="1" x14ac:dyDescent="0.1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s="45" customFormat="1" ht="21" customHeight="1" x14ac:dyDescent="0.1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s="45" customFormat="1" ht="21" customHeight="1" x14ac:dyDescent="0.1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s="45" customFormat="1" ht="21" customHeight="1" x14ac:dyDescent="0.1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s="45" customFormat="1" ht="21" customHeight="1" x14ac:dyDescent="0.1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s="45" customFormat="1" ht="21" customHeight="1" x14ac:dyDescent="0.1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s="45" customFormat="1" ht="21" customHeight="1" x14ac:dyDescent="0.1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s="45" customFormat="1" ht="21" customHeight="1" x14ac:dyDescent="0.1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s="45" customFormat="1" ht="21" customHeight="1" x14ac:dyDescent="0.1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22" s="45" customFormat="1" ht="21" customHeight="1" x14ac:dyDescent="0.1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22" s="45" customFormat="1" ht="21" customHeight="1" x14ac:dyDescent="0.1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22" s="45" customFormat="1" ht="21" customHeight="1" x14ac:dyDescent="0.1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22" s="45" customFormat="1" ht="21" customHeight="1" x14ac:dyDescent="0.1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22" s="45" customFormat="1" ht="21" customHeight="1" x14ac:dyDescent="0.1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22" s="45" customFormat="1" ht="21" customHeight="1" x14ac:dyDescent="0.1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22" s="45" customFormat="1" ht="21" customHeight="1" x14ac:dyDescent="0.1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22" s="45" customFormat="1" ht="21" customHeight="1" x14ac:dyDescent="0.1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22" s="45" customFormat="1" ht="21" customHeight="1" x14ac:dyDescent="0.1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22" s="45" customFormat="1" ht="21" customHeight="1" x14ac:dyDescent="0.15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22" s="45" customFormat="1" ht="21" customHeight="1" x14ac:dyDescent="0.15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22" s="45" customFormat="1" ht="21" customHeight="1" x14ac:dyDescent="0.15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22" s="45" customFormat="1" ht="21" customHeight="1" x14ac:dyDescent="0.15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22" s="45" customFormat="1" ht="21" customHeight="1" x14ac:dyDescent="0.15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22" s="45" customFormat="1" ht="21" customHeight="1" x14ac:dyDescent="0.15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22" s="45" customFormat="1" ht="21" customHeight="1" x14ac:dyDescent="0.15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s="45" customFormat="1" ht="21" customHeight="1" x14ac:dyDescent="0.15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s="45" customFormat="1" ht="21" customHeight="1" x14ac:dyDescent="0.15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s="45" customFormat="1" ht="21" customHeight="1" x14ac:dyDescent="0.15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s="45" customFormat="1" ht="21" customHeight="1" x14ac:dyDescent="0.15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s="45" customFormat="1" ht="21" customHeight="1" x14ac:dyDescent="0.15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s="45" customFormat="1" ht="21" customHeight="1" x14ac:dyDescent="0.15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s="45" customFormat="1" ht="21" customHeight="1" x14ac:dyDescent="0.1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s="45" customFormat="1" ht="21" customHeight="1" x14ac:dyDescent="0.15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s="45" customFormat="1" ht="21" customHeight="1" x14ac:dyDescent="0.1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s="45" customFormat="1" ht="21" customHeight="1" x14ac:dyDescent="0.1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s="45" customFormat="1" ht="21" customHeight="1" x14ac:dyDescent="0.1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s="45" customFormat="1" ht="21" customHeight="1" x14ac:dyDescent="0.1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s="45" customFormat="1" ht="21" customHeight="1" x14ac:dyDescent="0.1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s="45" customFormat="1" ht="21" customHeight="1" x14ac:dyDescent="0.1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s="45" customFormat="1" ht="21" customHeight="1" x14ac:dyDescent="0.1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s="45" customFormat="1" ht="21" customHeight="1" x14ac:dyDescent="0.1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s="45" customFormat="1" ht="21" customHeight="1" x14ac:dyDescent="0.1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s="45" customFormat="1" ht="21" customHeight="1" x14ac:dyDescent="0.1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s="45" customFormat="1" ht="21" customHeight="1" x14ac:dyDescent="0.1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s="45" customFormat="1" ht="21" customHeight="1" x14ac:dyDescent="0.1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AJ213"/>
  <sheetViews>
    <sheetView showGridLines="0" zoomScale="75" zoomScaleNormal="75" zoomScalePageLayoutView="75" workbookViewId="0">
      <pane ySplit="1" topLeftCell="A2" activePane="bottomLeft" state="frozen"/>
      <selection activeCell="E6" sqref="E6"/>
      <selection pane="bottomLeft" activeCell="A3" sqref="A3:A2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36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36" s="48" customFormat="1" ht="21" customHeight="1" x14ac:dyDescent="0.15">
      <c r="A2" s="2">
        <v>7333010</v>
      </c>
      <c r="B2" s="47">
        <v>735</v>
      </c>
      <c r="C2" s="7" t="str">
        <f t="shared" ref="C2:C20" si="0">D2&amp;J2&amp;E2&amp;F2&amp;G2</f>
        <v>PremiumSS6R5only</v>
      </c>
      <c r="D2" s="7" t="str">
        <f t="shared" ref="D2:D20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破天の隻眼 伊達政宗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yellow</v>
      </c>
      <c r="L2" s="7" t="str">
        <f>VLOOKUP(B2,[1]characters!$A:$K,11,FALSE)</f>
        <v>balance</v>
      </c>
      <c r="M2" s="7" t="str">
        <f>VLOOKUP(B2,[1]characters!$A:$M,13,FALSE)</f>
        <v>human</v>
      </c>
      <c r="N2" s="7" t="str">
        <f>VLOOKUP(B2,[1]characters!$A:$G,7,FALSE)</f>
        <v>女性</v>
      </c>
      <c r="O2" s="26">
        <v>20</v>
      </c>
      <c r="P2" s="27">
        <f t="shared" ref="P2:P21" si="2">O2/SUM(O:O)</f>
        <v>0.05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</row>
    <row r="3" spans="1:36" s="48" customFormat="1" ht="21" customHeight="1" x14ac:dyDescent="0.15">
      <c r="A3" s="2">
        <v>7333010</v>
      </c>
      <c r="B3" s="46">
        <v>813</v>
      </c>
      <c r="C3" s="7" t="str">
        <f t="shared" si="0"/>
        <v>PremiumSS6R5only</v>
      </c>
      <c r="D3" s="7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絆の大冒険 ヘンゼル＆グレーテル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yellow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男性</v>
      </c>
      <c r="O3" s="26">
        <v>20</v>
      </c>
      <c r="P3" s="27">
        <f t="shared" si="2"/>
        <v>0.05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</row>
    <row r="4" spans="1:36" s="48" customFormat="1" ht="21" customHeight="1" x14ac:dyDescent="0.15">
      <c r="A4" s="2">
        <v>7333010</v>
      </c>
      <c r="B4" s="46">
        <v>827</v>
      </c>
      <c r="C4" s="7" t="str">
        <f t="shared" si="0"/>
        <v>PremiumSS6R5only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光神しき彩雲龍 アルフヘイム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yellow</v>
      </c>
      <c r="L4" s="7" t="str">
        <f>VLOOKUP(B4,[1]characters!$A:$K,11,FALSE)</f>
        <v>attack</v>
      </c>
      <c r="M4" s="7" t="str">
        <f>VLOOKUP(B4,[1]characters!$A:$M,13,FALSE)</f>
        <v>dragon</v>
      </c>
      <c r="N4" s="7" t="str">
        <f>VLOOKUP(B4,[1]characters!$A:$G,7,FALSE)</f>
        <v>男性</v>
      </c>
      <c r="O4" s="26">
        <v>20</v>
      </c>
      <c r="P4" s="27">
        <f t="shared" si="2"/>
        <v>0.05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</row>
    <row r="5" spans="1:36" s="48" customFormat="1" ht="21" customHeight="1" x14ac:dyDescent="0.15">
      <c r="A5" s="2">
        <v>7333010</v>
      </c>
      <c r="B5" s="46">
        <v>833</v>
      </c>
      <c r="C5" s="7" t="str">
        <f t="shared" si="0"/>
        <v>PremiumSS6R5only</v>
      </c>
      <c r="D5" s="7" t="str">
        <f t="shared" si="1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維界の復世神 ヴィシュヌ</v>
      </c>
      <c r="I5" s="7" t="str">
        <f>VLOOKUP(B5,[1]characters!$A:$J,10,FALSE)</f>
        <v>PremiumSS</v>
      </c>
      <c r="J5" s="7">
        <f>VLOOKUP(B5,[1]characters!$A:$I,9,FALSE)</f>
        <v>6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男性</v>
      </c>
      <c r="O5" s="26">
        <v>20</v>
      </c>
      <c r="P5" s="27">
        <f t="shared" si="2"/>
        <v>0.05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</row>
    <row r="6" spans="1:36" s="48" customFormat="1" ht="21" customHeight="1" x14ac:dyDescent="0.15">
      <c r="A6" s="2">
        <v>7333010</v>
      </c>
      <c r="B6" s="46">
        <v>869</v>
      </c>
      <c r="C6" s="7" t="str">
        <f t="shared" si="0"/>
        <v>PremiumSS6R5only</v>
      </c>
      <c r="D6" s="7" t="str">
        <f t="shared" si="1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 xml:space="preserve">マスター･アラジンと殲滅機兵LAMP </v>
      </c>
      <c r="I6" s="7" t="str">
        <f>VLOOKUP(B6,[1]characters!$A:$J,10,FALSE)</f>
        <v>PremiumSS</v>
      </c>
      <c r="J6" s="7">
        <f>VLOOKUP(B6,[1]characters!$A:$I,9,FALSE)</f>
        <v>6</v>
      </c>
      <c r="K6" s="7" t="str">
        <f>VLOOKUP(B6,[1]characters!$A:$H,8,FALSE)</f>
        <v>yellow</v>
      </c>
      <c r="L6" s="7" t="str">
        <f>VLOOKUP(B6,[1]characters!$A:$K,11,FALSE)</f>
        <v>hp</v>
      </c>
      <c r="M6" s="7" t="str">
        <f>VLOOKUP(B6,[1]characters!$A:$M,13,FALSE)</f>
        <v>human</v>
      </c>
      <c r="N6" s="7" t="str">
        <f>VLOOKUP(B6,[1]characters!$A:$G,7,FALSE)</f>
        <v>男性</v>
      </c>
      <c r="O6" s="26">
        <v>20</v>
      </c>
      <c r="P6" s="27">
        <f t="shared" si="2"/>
        <v>0.05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</row>
    <row r="7" spans="1:36" s="48" customFormat="1" ht="21" customHeight="1" x14ac:dyDescent="0.15">
      <c r="A7" s="2">
        <v>7333010</v>
      </c>
      <c r="B7" s="46">
        <v>944</v>
      </c>
      <c r="C7" s="7" t="str">
        <f t="shared" si="0"/>
        <v>PremiumSS6R5only</v>
      </c>
      <c r="D7" s="7" t="str">
        <f t="shared" si="1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王敬の執行者 サンソン</v>
      </c>
      <c r="I7" s="7" t="str">
        <f>VLOOKUP(B7,[1]characters!$A:$J,10,FALSE)</f>
        <v>PremiumSS</v>
      </c>
      <c r="J7" s="7">
        <f>VLOOKUP(B7,[1]characters!$A:$I,9,FALSE)</f>
        <v>6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human</v>
      </c>
      <c r="N7" s="7" t="str">
        <f>VLOOKUP(B7,[1]characters!$A:$G,7,FALSE)</f>
        <v>男性</v>
      </c>
      <c r="O7" s="26">
        <v>20</v>
      </c>
      <c r="P7" s="27">
        <f t="shared" si="2"/>
        <v>0.05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</row>
    <row r="8" spans="1:36" s="48" customFormat="1" ht="21" customHeight="1" x14ac:dyDescent="0.15">
      <c r="A8" s="2">
        <v>7333010</v>
      </c>
      <c r="B8" s="46">
        <v>963</v>
      </c>
      <c r="C8" s="7" t="str">
        <f t="shared" si="0"/>
        <v>PremiumSS6R5only</v>
      </c>
      <c r="D8" s="7" t="str">
        <f t="shared" si="1"/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天蛇の閃皇貴魔 アスタロト</v>
      </c>
      <c r="I8" s="7" t="str">
        <f>VLOOKUP(B8,[1]characters!$A:$J,10,FALSE)</f>
        <v>PremiumSS</v>
      </c>
      <c r="J8" s="7">
        <f>VLOOKUP(B8,[1]characters!$A:$I,9,FALSE)</f>
        <v>6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god</v>
      </c>
      <c r="N8" s="7" t="str">
        <f>VLOOKUP(B8,[1]characters!$A:$G,7,FALSE)</f>
        <v>男性</v>
      </c>
      <c r="O8" s="26">
        <v>20</v>
      </c>
      <c r="P8" s="27">
        <f t="shared" si="2"/>
        <v>0.05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</row>
    <row r="9" spans="1:36" s="48" customFormat="1" ht="21" customHeight="1" x14ac:dyDescent="0.15">
      <c r="A9" s="2">
        <v>7333010</v>
      </c>
      <c r="B9" s="46">
        <v>967</v>
      </c>
      <c r="C9" s="7" t="str">
        <f t="shared" si="0"/>
        <v>PremiumSS6R5only</v>
      </c>
      <c r="D9" s="7" t="str">
        <f t="shared" si="1"/>
        <v>PremiumSS</v>
      </c>
      <c r="E9" s="7" t="str">
        <f>IF(COUNTIF('R6追加前'!A:A,B9)=0,IF(OR(I9="PremiumSS",I9="PremiumSSw"),"R5only","R3less"),"")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討滅の凶妖志士 斎藤一</v>
      </c>
      <c r="I9" s="7" t="str">
        <f>VLOOKUP(B9,[1]characters!$A:$J,10,FALSE)</f>
        <v>PremiumSS</v>
      </c>
      <c r="J9" s="7">
        <f>VLOOKUP(B9,[1]characters!$A:$I,9,FALSE)</f>
        <v>6</v>
      </c>
      <c r="K9" s="7" t="str">
        <f>VLOOKUP(B9,[1]characters!$A:$H,8,FALSE)</f>
        <v>yellow</v>
      </c>
      <c r="L9" s="7" t="str">
        <f>VLOOKUP(B9,[1]characters!$A:$K,11,FALSE)</f>
        <v>technical</v>
      </c>
      <c r="M9" s="7" t="str">
        <f>VLOOKUP(B9,[1]characters!$A:$M,13,FALSE)</f>
        <v>human</v>
      </c>
      <c r="N9" s="7" t="str">
        <f>VLOOKUP(B9,[1]characters!$A:$G,7,FALSE)</f>
        <v>男性</v>
      </c>
      <c r="O9" s="26">
        <v>20</v>
      </c>
      <c r="P9" s="27">
        <f t="shared" si="2"/>
        <v>0.05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</row>
    <row r="10" spans="1:36" s="48" customFormat="1" ht="21" customHeight="1" x14ac:dyDescent="0.15">
      <c r="A10" s="2">
        <v>7333010</v>
      </c>
      <c r="B10" s="46">
        <v>970</v>
      </c>
      <c r="C10" s="7" t="str">
        <f t="shared" si="0"/>
        <v>PremiumSS6R5only</v>
      </c>
      <c r="D10" s="7" t="str">
        <f t="shared" si="1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目醒の鋏牙 ラプンツェル</v>
      </c>
      <c r="I10" s="7" t="str">
        <f>VLOOKUP(B10,[1]characters!$A:$J,10,FALSE)</f>
        <v>PremiumSS</v>
      </c>
      <c r="J10" s="7">
        <f>VLOOKUP(B10,[1]characters!$A:$I,9,FALSE)</f>
        <v>6</v>
      </c>
      <c r="K10" s="7" t="str">
        <f>VLOOKUP(B10,[1]characters!$A:$H,8,FALSE)</f>
        <v>yellow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男性</v>
      </c>
      <c r="O10" s="26">
        <v>20</v>
      </c>
      <c r="P10" s="27">
        <f t="shared" si="2"/>
        <v>0.05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</row>
    <row r="11" spans="1:36" s="48" customFormat="1" ht="21" customHeight="1" x14ac:dyDescent="0.15">
      <c r="A11" s="2">
        <v>7333010</v>
      </c>
      <c r="B11" s="46">
        <v>971</v>
      </c>
      <c r="C11" s="7" t="str">
        <f t="shared" si="0"/>
        <v>PremiumSS6R5only</v>
      </c>
      <c r="D11" s="7" t="str">
        <f t="shared" si="1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機獅蛮勇 ブレイブリー・ライオン</v>
      </c>
      <c r="I11" s="7" t="str">
        <f>VLOOKUP(B11,[1]characters!$A:$J,10,FALSE)</f>
        <v>PremiumSS</v>
      </c>
      <c r="J11" s="7">
        <f>VLOOKUP(B11,[1]characters!$A:$I,9,FALSE)</f>
        <v>6</v>
      </c>
      <c r="K11" s="7" t="str">
        <f>VLOOKUP(B11,[1]characters!$A:$H,8,FALSE)</f>
        <v>yellow</v>
      </c>
      <c r="L11" s="7" t="str">
        <f>VLOOKUP(B11,[1]characters!$A:$K,11,FALSE)</f>
        <v>hp</v>
      </c>
      <c r="M11" s="7" t="str">
        <f>VLOOKUP(B11,[1]characters!$A:$M,13,FALSE)</f>
        <v>animal</v>
      </c>
      <c r="N11" s="7" t="str">
        <f>VLOOKUP(B11,[1]characters!$A:$G,7,FALSE)</f>
        <v>男性</v>
      </c>
      <c r="O11" s="26">
        <v>20</v>
      </c>
      <c r="P11" s="27">
        <f t="shared" si="2"/>
        <v>0.05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</row>
    <row r="12" spans="1:36" s="48" customFormat="1" ht="21" customHeight="1" x14ac:dyDescent="0.15">
      <c r="A12" s="2">
        <v>7333010</v>
      </c>
      <c r="B12" s="46">
        <v>1019</v>
      </c>
      <c r="C12" s="7" t="str">
        <f t="shared" si="0"/>
        <v>PremiumSS6R5only</v>
      </c>
      <c r="D12" s="7" t="str">
        <f t="shared" si="1"/>
        <v>PremiumSS</v>
      </c>
      <c r="E12" s="7" t="str">
        <f>IF(COUNTIF('R6追加前'!A:A,B12)=0,IF(OR(I12="PremiumSS",I12="PremiumSSw"),"R5only","R3less"),"")</f>
        <v>R5only</v>
      </c>
      <c r="F12" s="7" t="str">
        <f>IF(COUNTIF('R6開放'!A:A,B12)&gt;0,"R6release","")</f>
        <v/>
      </c>
      <c r="G12" s="7"/>
      <c r="H12" s="7" t="str">
        <f>VLOOKUP(B12,[1]characters!$A:$C,3,FALSE)</f>
        <v>愛鈴鳴る寵猫神 バステト</v>
      </c>
      <c r="I12" s="7" t="str">
        <f>VLOOKUP(B12,[1]characters!$A:$J,10,FALSE)</f>
        <v>PremiumSS</v>
      </c>
      <c r="J12" s="7">
        <f>VLOOKUP(B12,[1]characters!$A:$I,9,FALSE)</f>
        <v>6</v>
      </c>
      <c r="K12" s="7" t="str">
        <f>VLOOKUP(B12,[1]characters!$A:$H,8,FALSE)</f>
        <v>yellow</v>
      </c>
      <c r="L12" s="7" t="str">
        <f>VLOOKUP(B12,[1]characters!$A:$K,11,FALSE)</f>
        <v>attack</v>
      </c>
      <c r="M12" s="7" t="str">
        <f>VLOOKUP(B12,[1]characters!$A:$M,13,FALSE)</f>
        <v>god</v>
      </c>
      <c r="N12" s="7" t="str">
        <f>VLOOKUP(B12,[1]characters!$A:$G,7,FALSE)</f>
        <v>男性</v>
      </c>
      <c r="O12" s="26">
        <v>20</v>
      </c>
      <c r="P12" s="27">
        <f t="shared" si="2"/>
        <v>0.05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</row>
    <row r="13" spans="1:36" s="48" customFormat="1" ht="21" customHeight="1" x14ac:dyDescent="0.15">
      <c r="A13" s="2">
        <v>7333010</v>
      </c>
      <c r="B13" s="46">
        <v>1034</v>
      </c>
      <c r="C13" s="7" t="str">
        <f t="shared" si="0"/>
        <v>PremiumSS6R5only</v>
      </c>
      <c r="D13" s="7" t="str">
        <f t="shared" si="1"/>
        <v>PremiumSS</v>
      </c>
      <c r="E13" s="7" t="str">
        <f>IF(COUNTIF('R6追加前'!A:A,B13)=0,IF(OR(I13="PremiumSS",I13="PremiumSSw"),"R5only","R3less"),"")</f>
        <v>R5only</v>
      </c>
      <c r="F13" s="7" t="str">
        <f>IF(COUNTIF('R6開放'!A:A,B13)&gt;0,"R6release","")</f>
        <v/>
      </c>
      <c r="G13" s="7"/>
      <c r="H13" s="7" t="str">
        <f>VLOOKUP(B13,[1]characters!$A:$C,3,FALSE)</f>
        <v>爛漫なる随筆家 清少納言</v>
      </c>
      <c r="I13" s="7" t="str">
        <f>VLOOKUP(B13,[1]characters!$A:$J,10,FALSE)</f>
        <v>PremiumSS</v>
      </c>
      <c r="J13" s="7">
        <f>VLOOKUP(B13,[1]characters!$A:$I,9,FALSE)</f>
        <v>6</v>
      </c>
      <c r="K13" s="7" t="str">
        <f>VLOOKUP(B13,[1]characters!$A:$H,8,FALSE)</f>
        <v>yellow</v>
      </c>
      <c r="L13" s="7" t="str">
        <f>VLOOKUP(B13,[1]characters!$A:$K,11,FALSE)</f>
        <v>heal</v>
      </c>
      <c r="M13" s="7" t="str">
        <f>VLOOKUP(B13,[1]characters!$A:$M,13,FALSE)</f>
        <v>human</v>
      </c>
      <c r="N13" s="7" t="str">
        <f>VLOOKUP(B13,[1]characters!$A:$G,7,FALSE)</f>
        <v>男性</v>
      </c>
      <c r="O13" s="26">
        <v>20</v>
      </c>
      <c r="P13" s="27">
        <f t="shared" si="2"/>
        <v>0.05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</row>
    <row r="14" spans="1:36" s="48" customFormat="1" ht="21" customHeight="1" x14ac:dyDescent="0.15">
      <c r="A14" s="2">
        <v>7333010</v>
      </c>
      <c r="B14" s="46">
        <v>1075</v>
      </c>
      <c r="C14" s="7" t="str">
        <f t="shared" si="0"/>
        <v>PremiumSS6R5only</v>
      </c>
      <c r="D14" s="7" t="str">
        <f t="shared" si="1"/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虚塔の神王 マルドゥク</v>
      </c>
      <c r="I14" s="7" t="str">
        <f>VLOOKUP(B14,[1]characters!$A:$J,10,FALSE)</f>
        <v>PremiumSS</v>
      </c>
      <c r="J14" s="7">
        <f>VLOOKUP(B14,[1]characters!$A:$I,9,FALSE)</f>
        <v>6</v>
      </c>
      <c r="K14" s="7" t="str">
        <f>VLOOKUP(B14,[1]characters!$A:$H,8,FALSE)</f>
        <v>yellow</v>
      </c>
      <c r="L14" s="7" t="str">
        <f>VLOOKUP(B14,[1]characters!$A:$K,11,FALSE)</f>
        <v>technical</v>
      </c>
      <c r="M14" s="7" t="str">
        <f>VLOOKUP(B14,[1]characters!$A:$M,13,FALSE)</f>
        <v>god</v>
      </c>
      <c r="N14" s="7" t="str">
        <f>VLOOKUP(B14,[1]characters!$A:$G,7,FALSE)</f>
        <v>男性</v>
      </c>
      <c r="O14" s="26">
        <v>20</v>
      </c>
      <c r="P14" s="27">
        <f t="shared" si="2"/>
        <v>0.05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</row>
    <row r="15" spans="1:36" s="48" customFormat="1" ht="21" customHeight="1" x14ac:dyDescent="0.15">
      <c r="A15" s="2">
        <v>7333010</v>
      </c>
      <c r="B15" s="46">
        <v>1107</v>
      </c>
      <c r="C15" s="7" t="str">
        <f t="shared" si="0"/>
        <v>PremiumSS6R5only</v>
      </c>
      <c r="D15" s="7" t="str">
        <f t="shared" si="1"/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天浄の鮮風 ラファエロ</v>
      </c>
      <c r="I15" s="7" t="str">
        <f>VLOOKUP(B15,[1]characters!$A:$J,10,FALSE)</f>
        <v>PremiumSS</v>
      </c>
      <c r="J15" s="7">
        <f>VLOOKUP(B15,[1]characters!$A:$I,9,FALSE)</f>
        <v>6</v>
      </c>
      <c r="K15" s="7" t="str">
        <f>VLOOKUP(B15,[1]characters!$A:$H,8,FALSE)</f>
        <v>yellow</v>
      </c>
      <c r="L15" s="7" t="str">
        <f>VLOOKUP(B15,[1]characters!$A:$K,11,FALSE)</f>
        <v>attack</v>
      </c>
      <c r="M15" s="7" t="str">
        <f>VLOOKUP(B15,[1]characters!$A:$M,13,FALSE)</f>
        <v>human</v>
      </c>
      <c r="N15" s="7" t="str">
        <f>VLOOKUP(B15,[1]characters!$A:$G,7,FALSE)</f>
        <v>不明</v>
      </c>
      <c r="O15" s="26">
        <v>20</v>
      </c>
      <c r="P15" s="27">
        <f t="shared" si="2"/>
        <v>0.05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</row>
    <row r="16" spans="1:36" s="48" customFormat="1" ht="21" customHeight="1" x14ac:dyDescent="0.15">
      <c r="A16" s="2">
        <v>7333010</v>
      </c>
      <c r="B16" s="47">
        <v>1158</v>
      </c>
      <c r="C16" s="7" t="str">
        <f t="shared" si="0"/>
        <v>PremiumSS6R5only</v>
      </c>
      <c r="D16" s="7" t="str">
        <f t="shared" si="1"/>
        <v>PremiumSS</v>
      </c>
      <c r="E16" s="7" t="str">
        <f>IF(COUNTIF('R6追加前'!A:A,B16)=0,IF(OR(I16="PremiumSS",I16="PremiumSSw"),"R5only","R3less"),"")</f>
        <v>R5only</v>
      </c>
      <c r="F16" s="7" t="str">
        <f>IF(COUNTIF('R6開放'!A:A,B16)&gt;0,"R6release","")</f>
        <v/>
      </c>
      <c r="G16" s="7"/>
      <c r="H16" s="7" t="str">
        <f>VLOOKUP(B16,[1]characters!$A:$C,3,FALSE)</f>
        <v>天英の雷霆神 インドラ</v>
      </c>
      <c r="I16" s="7" t="str">
        <f>VLOOKUP(B16,[1]characters!$A:$J,10,FALSE)</f>
        <v>PremiumSS</v>
      </c>
      <c r="J16" s="7">
        <f>VLOOKUP(B16,[1]characters!$A:$I,9,FALSE)</f>
        <v>6</v>
      </c>
      <c r="K16" s="7" t="str">
        <f>VLOOKUP(B16,[1]characters!$A:$H,8,FALSE)</f>
        <v>yellow</v>
      </c>
      <c r="L16" s="7" t="str">
        <f>VLOOKUP(B16,[1]characters!$A:$K,11,FALSE)</f>
        <v>attack</v>
      </c>
      <c r="M16" s="7" t="str">
        <f>VLOOKUP(B16,[1]characters!$A:$M,13,FALSE)</f>
        <v>god</v>
      </c>
      <c r="N16" s="7" t="str">
        <f>VLOOKUP(B16,[1]characters!$A:$G,7,FALSE)</f>
        <v>不明</v>
      </c>
      <c r="O16" s="26">
        <v>20</v>
      </c>
      <c r="P16" s="27">
        <f t="shared" si="2"/>
        <v>0.05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</row>
    <row r="17" spans="1:36" s="48" customFormat="1" ht="21" customHeight="1" x14ac:dyDescent="0.15">
      <c r="A17" s="2">
        <v>7333010</v>
      </c>
      <c r="B17" s="47">
        <v>1215</v>
      </c>
      <c r="C17" s="7" t="str">
        <f t="shared" si="0"/>
        <v>PremiumSS6R5only</v>
      </c>
      <c r="D17" s="7" t="str">
        <f t="shared" si="1"/>
        <v>PremiumSS</v>
      </c>
      <c r="E17" s="7" t="str">
        <f>IF(COUNTIF('R6追加前'!A:A,B17)=0,IF(OR(I17="PremiumSS",I17="PremiumSSw"),"R5only","R3less"),"")</f>
        <v>R5only</v>
      </c>
      <c r="F17" s="7" t="str">
        <f>IF(COUNTIF('R6開放'!A:A,B17)&gt;0,"R6release","")</f>
        <v/>
      </c>
      <c r="G17" s="7"/>
      <c r="H17" s="7" t="str">
        <f>VLOOKUP(B17,[1]characters!$A:$C,3,FALSE)</f>
        <v>穿潮の雷月神 アルテミス</v>
      </c>
      <c r="I17" s="7" t="str">
        <f>VLOOKUP(B17,[1]characters!$A:$J,10,FALSE)</f>
        <v>PremiumSSw</v>
      </c>
      <c r="J17" s="7">
        <f>VLOOKUP(B17,[1]characters!$A:$I,9,FALSE)</f>
        <v>6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>
        <f>VLOOKUP(B17,[1]characters!$A:$G,7,FALSE)</f>
        <v>0</v>
      </c>
      <c r="O17" s="26">
        <v>20</v>
      </c>
      <c r="P17" s="27">
        <f t="shared" si="2"/>
        <v>0.05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</row>
    <row r="18" spans="1:36" s="48" customFormat="1" ht="21" customHeight="1" x14ac:dyDescent="0.15">
      <c r="A18" s="2">
        <v>7333010</v>
      </c>
      <c r="B18" s="47">
        <v>1231</v>
      </c>
      <c r="C18" s="7" t="str">
        <f t="shared" si="0"/>
        <v>PremiumSS6R5only</v>
      </c>
      <c r="D18" s="7" t="str">
        <f t="shared" si="1"/>
        <v>PremiumSS</v>
      </c>
      <c r="E18" s="7" t="str">
        <f>IF(COUNTIF('R6追加前'!A:A,B18)=0,IF(OR(I18="PremiumSS",I18="PremiumSSw"),"R5only","R3less"),"")</f>
        <v>R5only</v>
      </c>
      <c r="F18" s="7" t="str">
        <f>IF(COUNTIF('R6開放'!A:A,B18)&gt;0,"R6release","")</f>
        <v/>
      </c>
      <c r="G18" s="7"/>
      <c r="H18" s="7" t="str">
        <f>VLOOKUP(B18,[1]characters!$A:$C,3,FALSE)</f>
        <v>思索する愛猫 夏目漱石</v>
      </c>
      <c r="I18" s="7" t="str">
        <f>VLOOKUP(B18,[1]characters!$A:$J,10,FALSE)</f>
        <v>PremiumSS</v>
      </c>
      <c r="J18" s="7">
        <f>VLOOKUP(B18,[1]characters!$A:$I,9,FALSE)</f>
        <v>6</v>
      </c>
      <c r="K18" s="7" t="str">
        <f>VLOOKUP(B18,[1]characters!$A:$H,8,FALSE)</f>
        <v>yellow</v>
      </c>
      <c r="L18" s="7" t="str">
        <f>VLOOKUP(B18,[1]characters!$A:$K,11,FALSE)</f>
        <v>heal</v>
      </c>
      <c r="M18" s="7" t="str">
        <f>VLOOKUP(B18,[1]characters!$A:$M,13,FALSE)</f>
        <v>animal</v>
      </c>
      <c r="N18" s="7">
        <f>VLOOKUP(B18,[1]characters!$A:$G,7,FALSE)</f>
        <v>0</v>
      </c>
      <c r="O18" s="26">
        <v>20</v>
      </c>
      <c r="P18" s="27">
        <f t="shared" si="2"/>
        <v>0.05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</row>
    <row r="19" spans="1:36" s="48" customFormat="1" ht="21" customHeight="1" x14ac:dyDescent="0.15">
      <c r="A19" s="2">
        <v>7333010</v>
      </c>
      <c r="B19" s="47">
        <v>1251</v>
      </c>
      <c r="C19" s="7" t="str">
        <f t="shared" si="0"/>
        <v>PremiumSS6R5only</v>
      </c>
      <c r="D19" s="7" t="str">
        <f t="shared" si="1"/>
        <v>PremiumSS</v>
      </c>
      <c r="E19" s="7" t="str">
        <f>IF(COUNTIF('R6追加前'!A:A,B19)=0,IF(OR(I19="PremiumSS",I19="PremiumSSw"),"R5only","R3less"),"")</f>
        <v>R5only</v>
      </c>
      <c r="F19" s="7" t="str">
        <f>IF(COUNTIF('R6開放'!A:A,B19)&gt;0,"R6release","")</f>
        <v/>
      </c>
      <c r="G19" s="7"/>
      <c r="H19" s="7" t="str">
        <f>VLOOKUP(B19,[1]characters!$A:$C,3,FALSE)</f>
        <v>錯槍の英勇 真田幸村</v>
      </c>
      <c r="I19" s="7" t="str">
        <f>VLOOKUP(B19,[1]characters!$A:$J,10,FALSE)</f>
        <v>PremiumSSw</v>
      </c>
      <c r="J19" s="7">
        <f>VLOOKUP(B19,[1]characters!$A:$I,9,FALSE)</f>
        <v>6</v>
      </c>
      <c r="K19" s="7" t="str">
        <f>VLOOKUP(B19,[1]characters!$A:$H,8,FALSE)</f>
        <v>yellow</v>
      </c>
      <c r="L19" s="7" t="str">
        <f>VLOOKUP(B19,[1]characters!$A:$K,11,FALSE)</f>
        <v>attack</v>
      </c>
      <c r="M19" s="7" t="str">
        <f>VLOOKUP(B19,[1]characters!$A:$M,13,FALSE)</f>
        <v>human</v>
      </c>
      <c r="N19" s="7">
        <f>VLOOKUP(B19,[1]characters!$A:$G,7,FALSE)</f>
        <v>0</v>
      </c>
      <c r="O19" s="26">
        <v>20</v>
      </c>
      <c r="P19" s="27">
        <f t="shared" si="2"/>
        <v>0.05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</row>
    <row r="20" spans="1:36" s="48" customFormat="1" ht="21" customHeight="1" x14ac:dyDescent="0.15">
      <c r="A20" s="2">
        <v>7333010</v>
      </c>
      <c r="B20" s="46">
        <v>1339</v>
      </c>
      <c r="C20" s="7" t="str">
        <f t="shared" si="0"/>
        <v>PremiumSS6R5only</v>
      </c>
      <c r="D20" s="7" t="str">
        <f t="shared" si="1"/>
        <v>PremiumSS</v>
      </c>
      <c r="E20" s="7" t="str">
        <f>IF(COUNTIF('R6追加前'!A:A,B20)=0,IF(OR(I20="PremiumSS",I20="PremiumSSw"),"R5only","R3less"),"")</f>
        <v>R5only</v>
      </c>
      <c r="F20" s="7" t="str">
        <f>IF(COUNTIF('R6開放'!A:A,B20)&gt;0,"R6release","")</f>
        <v/>
      </c>
      <c r="G20" s="7"/>
      <c r="H20" s="7" t="str">
        <f>VLOOKUP(B20,[1]characters!$A:$C,3,FALSE)</f>
        <v>復古の舞芸神 アメノウズメ</v>
      </c>
      <c r="I20" s="7" t="str">
        <f>VLOOKUP(B20,[1]characters!$A:$J,10,FALSE)</f>
        <v>PremiumSS</v>
      </c>
      <c r="J20" s="7">
        <f>VLOOKUP(B20,[1]characters!$A:$I,9,FALSE)</f>
        <v>6</v>
      </c>
      <c r="K20" s="7" t="str">
        <f>VLOOKUP(B20,[1]characters!$A:$H,8,FALSE)</f>
        <v>yellow</v>
      </c>
      <c r="L20" s="7" t="str">
        <f>VLOOKUP(B20,[1]characters!$A:$K,11,FALSE)</f>
        <v>attack</v>
      </c>
      <c r="M20" s="7" t="str">
        <f>VLOOKUP(B20,[1]characters!$A:$M,13,FALSE)</f>
        <v>god</v>
      </c>
      <c r="N20" s="7">
        <f>VLOOKUP(B20,[1]characters!$A:$G,7,FALSE)</f>
        <v>0</v>
      </c>
      <c r="O20" s="26">
        <v>20</v>
      </c>
      <c r="P20" s="27">
        <f t="shared" si="2"/>
        <v>0.05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</row>
    <row r="21" spans="1:36" s="12" customFormat="1" ht="21" customHeight="1" thickBot="1" x14ac:dyDescent="0.2">
      <c r="A21" s="2">
        <v>7333010</v>
      </c>
      <c r="B21" s="5">
        <v>1388</v>
      </c>
      <c r="C21" s="7" t="str">
        <f t="shared" ref="C21" si="3">D21&amp;J21&amp;E21&amp;F21&amp;G21</f>
        <v>PremiumSS6R5only</v>
      </c>
      <c r="D21" s="7" t="str">
        <f t="shared" ref="D21" si="4">IF(OR(I21="PremiumSS",I21="PremiumSSw"),"PremiumSS",IF(I21="PremiumSSS",I21,IF(I21="PremiumW",IF(J21=5,"premium",I21),"Premium")))</f>
        <v>PremiumSS</v>
      </c>
      <c r="E21" s="7" t="str">
        <f>IF(COUNTIF('R6追加前'!A:A,B21)=0,IF(OR(I21="PremiumSS",I21="PremiumSSw"),"R5only","R3less"),"")</f>
        <v>R5only</v>
      </c>
      <c r="F21" s="7" t="str">
        <f>IF(COUNTIF('R6開放'!A:A,B21)&gt;0,"R6release","")</f>
        <v/>
      </c>
      <c r="G21" s="7"/>
      <c r="H21" s="7" t="str">
        <f>VLOOKUP(B21,[1]characters!$A:$C,3,FALSE)</f>
        <v>讃勇の銃士長 ダルタニャン</v>
      </c>
      <c r="I21" s="7" t="str">
        <f>VLOOKUP(B21,[1]characters!$A:$J,10,FALSE)</f>
        <v>PremiumSS</v>
      </c>
      <c r="J21" s="7">
        <f>VLOOKUP(B21,[1]characters!$A:$I,9,FALSE)</f>
        <v>6</v>
      </c>
      <c r="K21" s="7" t="str">
        <f>VLOOKUP(B21,[1]characters!$A:$H,8,FALSE)</f>
        <v>yellow</v>
      </c>
      <c r="L21" s="7" t="str">
        <f>VLOOKUP(B21,[1]characters!$A:$K,11,FALSE)</f>
        <v>attack</v>
      </c>
      <c r="M21" s="7" t="str">
        <f>VLOOKUP(B21,[1]characters!$A:$M,13,FALSE)</f>
        <v>hero</v>
      </c>
      <c r="N21" s="7">
        <f>VLOOKUP(B21,[1]characters!$A:$G,7,FALSE)</f>
        <v>0</v>
      </c>
      <c r="O21" s="26">
        <v>20</v>
      </c>
      <c r="P21" s="27">
        <f t="shared" si="2"/>
        <v>0.05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</row>
    <row r="22" spans="1:36" ht="21" customHeight="1" x14ac:dyDescent="0.15">
      <c r="A22" s="39"/>
      <c r="B22" s="40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41"/>
      <c r="P22" s="42"/>
      <c r="Q22" s="43"/>
      <c r="R22" s="43"/>
      <c r="S22" s="43"/>
      <c r="T22" s="43"/>
      <c r="U22" s="43"/>
      <c r="V22" s="43"/>
    </row>
    <row r="23" spans="1:36" ht="21" customHeight="1" x14ac:dyDescent="0.15">
      <c r="A23" s="39"/>
      <c r="B23" s="40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41"/>
      <c r="P23" s="42"/>
      <c r="Q23" s="43"/>
      <c r="R23" s="43"/>
      <c r="S23" s="43"/>
      <c r="T23" s="43"/>
      <c r="U23" s="43"/>
      <c r="V23" s="43"/>
    </row>
    <row r="24" spans="1:36" ht="21" customHeight="1" x14ac:dyDescent="0.15">
      <c r="A24" s="39"/>
      <c r="B24" s="40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41"/>
      <c r="P24" s="42"/>
      <c r="Q24" s="43"/>
      <c r="R24" s="43"/>
      <c r="S24" s="43"/>
      <c r="T24" s="43"/>
      <c r="U24" s="43"/>
      <c r="V24" s="43"/>
    </row>
    <row r="25" spans="1:36" ht="21" customHeight="1" x14ac:dyDescent="0.15">
      <c r="A25" s="39"/>
      <c r="B25" s="40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41"/>
      <c r="P25" s="42"/>
      <c r="Q25" s="43"/>
      <c r="R25" s="43"/>
      <c r="S25" s="43"/>
      <c r="T25" s="43"/>
      <c r="U25" s="43"/>
      <c r="V25" s="43"/>
    </row>
    <row r="26" spans="1:36" s="45" customFormat="1" ht="21" customHeight="1" x14ac:dyDescent="0.15">
      <c r="A26" s="39"/>
      <c r="B26" s="40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41"/>
      <c r="P26" s="42"/>
      <c r="Q26" s="43"/>
      <c r="R26" s="43"/>
      <c r="S26" s="43"/>
      <c r="T26" s="43"/>
      <c r="U26" s="43"/>
      <c r="V26" s="43"/>
    </row>
    <row r="27" spans="1:36" s="45" customFormat="1" ht="21" customHeight="1" x14ac:dyDescent="0.15">
      <c r="A27" s="39"/>
      <c r="B27" s="40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41"/>
      <c r="P27" s="42"/>
      <c r="Q27" s="43"/>
      <c r="R27" s="43"/>
      <c r="S27" s="43"/>
      <c r="T27" s="43"/>
      <c r="U27" s="43"/>
      <c r="V27" s="43"/>
    </row>
    <row r="28" spans="1:36" s="45" customFormat="1" ht="21" customHeight="1" x14ac:dyDescent="0.15">
      <c r="A28" s="39"/>
      <c r="B28" s="40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41"/>
      <c r="P28" s="42"/>
      <c r="Q28" s="43"/>
      <c r="R28" s="43"/>
      <c r="S28" s="43"/>
      <c r="T28" s="43"/>
      <c r="U28" s="43"/>
      <c r="V28" s="43"/>
    </row>
    <row r="29" spans="1:36" s="45" customFormat="1" ht="21" customHeight="1" x14ac:dyDescent="0.15">
      <c r="A29" s="39"/>
      <c r="B29" s="40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41"/>
      <c r="P29" s="42"/>
      <c r="Q29" s="43"/>
      <c r="R29" s="43"/>
      <c r="S29" s="43"/>
      <c r="T29" s="43"/>
      <c r="U29" s="43"/>
      <c r="V29" s="43"/>
    </row>
    <row r="30" spans="1:36" s="45" customFormat="1" ht="21" customHeight="1" x14ac:dyDescent="0.15">
      <c r="A30" s="39"/>
      <c r="B30" s="40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41"/>
      <c r="P30" s="42"/>
      <c r="Q30" s="43"/>
      <c r="R30" s="43"/>
      <c r="S30" s="43"/>
      <c r="T30" s="43"/>
      <c r="U30" s="43"/>
      <c r="V30" s="43"/>
    </row>
    <row r="31" spans="1:36" s="45" customFormat="1" ht="21" customHeight="1" x14ac:dyDescent="0.15">
      <c r="A31" s="39"/>
      <c r="B31" s="40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41"/>
      <c r="P31" s="42"/>
      <c r="Q31" s="43"/>
      <c r="R31" s="43"/>
      <c r="S31" s="43"/>
      <c r="T31" s="43"/>
      <c r="U31" s="43"/>
      <c r="V31" s="43"/>
    </row>
    <row r="32" spans="1:36" s="45" customFormat="1" ht="21" customHeight="1" x14ac:dyDescent="0.15">
      <c r="A32" s="39"/>
      <c r="B32" s="40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41"/>
      <c r="P32" s="42"/>
      <c r="Q32" s="43"/>
      <c r="R32" s="43"/>
      <c r="S32" s="43"/>
      <c r="T32" s="43"/>
      <c r="U32" s="43"/>
      <c r="V32" s="43"/>
    </row>
    <row r="33" spans="1:22" s="45" customFormat="1" ht="21" customHeight="1" x14ac:dyDescent="0.15">
      <c r="A33" s="39"/>
      <c r="B33" s="40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41"/>
      <c r="P33" s="42"/>
      <c r="Q33" s="43"/>
      <c r="R33" s="43"/>
      <c r="S33" s="43"/>
      <c r="T33" s="43"/>
      <c r="U33" s="43"/>
      <c r="V33" s="43"/>
    </row>
    <row r="34" spans="1:22" s="45" customFormat="1" ht="21" customHeight="1" x14ac:dyDescent="0.15">
      <c r="A34" s="39"/>
      <c r="B34" s="40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41"/>
      <c r="P34" s="42"/>
      <c r="Q34" s="43"/>
      <c r="R34" s="43"/>
      <c r="S34" s="43"/>
      <c r="T34" s="43"/>
      <c r="U34" s="43"/>
      <c r="V34" s="43"/>
    </row>
    <row r="35" spans="1:22" s="45" customFormat="1" ht="21" customHeight="1" x14ac:dyDescent="0.15">
      <c r="A35" s="39"/>
      <c r="B35" s="40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41"/>
      <c r="P35" s="42"/>
      <c r="Q35" s="43"/>
      <c r="R35" s="43"/>
      <c r="S35" s="43"/>
      <c r="T35" s="43"/>
      <c r="U35" s="43"/>
      <c r="V35" s="43"/>
    </row>
    <row r="36" spans="1:22" s="45" customFormat="1" ht="21" customHeight="1" x14ac:dyDescent="0.15">
      <c r="A36" s="39"/>
      <c r="B36" s="40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41"/>
      <c r="P36" s="42"/>
      <c r="Q36" s="43"/>
      <c r="R36" s="43"/>
      <c r="S36" s="43"/>
      <c r="T36" s="43"/>
      <c r="U36" s="43"/>
      <c r="V36" s="43"/>
    </row>
    <row r="37" spans="1:22" s="45" customFormat="1" ht="21" customHeight="1" x14ac:dyDescent="0.15">
      <c r="A37" s="39"/>
      <c r="B37" s="40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41"/>
      <c r="P37" s="42"/>
      <c r="Q37" s="43"/>
      <c r="R37" s="43"/>
      <c r="S37" s="43"/>
      <c r="T37" s="43"/>
      <c r="U37" s="43"/>
      <c r="V37" s="43"/>
    </row>
    <row r="38" spans="1:22" s="45" customFormat="1" ht="21" customHeight="1" x14ac:dyDescent="0.15">
      <c r="A38" s="39"/>
      <c r="B38" s="40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41"/>
      <c r="P38" s="42"/>
      <c r="Q38" s="43"/>
      <c r="R38" s="43"/>
      <c r="S38" s="43"/>
      <c r="T38" s="43"/>
      <c r="U38" s="43"/>
      <c r="V38" s="43"/>
    </row>
    <row r="39" spans="1:22" s="45" customFormat="1" ht="21" customHeight="1" x14ac:dyDescent="0.15">
      <c r="A39" s="39"/>
      <c r="B39" s="40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41"/>
      <c r="P39" s="42"/>
      <c r="Q39" s="43"/>
      <c r="R39" s="43"/>
      <c r="S39" s="43"/>
      <c r="T39" s="43"/>
      <c r="U39" s="43"/>
      <c r="V39" s="43"/>
    </row>
    <row r="40" spans="1:22" s="45" customFormat="1" ht="21" customHeight="1" x14ac:dyDescent="0.15">
      <c r="A40" s="39"/>
      <c r="B40" s="40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41"/>
      <c r="P40" s="42"/>
      <c r="Q40" s="43"/>
      <c r="R40" s="43"/>
      <c r="S40" s="43"/>
      <c r="T40" s="43"/>
      <c r="U40" s="43"/>
      <c r="V40" s="43"/>
    </row>
    <row r="41" spans="1:22" s="45" customFormat="1" ht="21" customHeight="1" x14ac:dyDescent="0.15">
      <c r="A41" s="39"/>
      <c r="B41" s="40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41"/>
      <c r="P41" s="42"/>
      <c r="Q41" s="43"/>
      <c r="R41" s="43"/>
      <c r="S41" s="43"/>
      <c r="T41" s="43"/>
      <c r="U41" s="43"/>
      <c r="V41" s="43"/>
    </row>
    <row r="42" spans="1:22" s="45" customFormat="1" ht="21" customHeight="1" x14ac:dyDescent="0.15">
      <c r="A42" s="39"/>
      <c r="B42" s="40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41"/>
      <c r="P42" s="42"/>
      <c r="Q42" s="43"/>
      <c r="R42" s="43"/>
      <c r="S42" s="43"/>
      <c r="T42" s="43"/>
      <c r="U42" s="43"/>
      <c r="V42" s="43"/>
    </row>
    <row r="43" spans="1:22" s="45" customFormat="1" ht="21" customHeight="1" x14ac:dyDescent="0.15">
      <c r="A43" s="39"/>
      <c r="B43" s="40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41"/>
      <c r="P43" s="42"/>
      <c r="Q43" s="43"/>
      <c r="R43" s="43"/>
      <c r="S43" s="43"/>
      <c r="T43" s="43"/>
      <c r="U43" s="43"/>
      <c r="V43" s="43"/>
    </row>
    <row r="44" spans="1:22" s="45" customFormat="1" ht="21" customHeight="1" x14ac:dyDescent="0.15">
      <c r="A44" s="39"/>
      <c r="B44" s="40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41"/>
      <c r="P44" s="42"/>
      <c r="Q44" s="43"/>
      <c r="R44" s="43"/>
      <c r="S44" s="43"/>
      <c r="T44" s="43"/>
      <c r="U44" s="43"/>
      <c r="V44" s="43"/>
    </row>
    <row r="45" spans="1:22" s="45" customFormat="1" ht="21" customHeight="1" x14ac:dyDescent="0.15">
      <c r="A45" s="39"/>
      <c r="B45" s="40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41"/>
      <c r="P45" s="42"/>
      <c r="Q45" s="43"/>
      <c r="R45" s="43"/>
      <c r="S45" s="43"/>
      <c r="T45" s="43"/>
      <c r="U45" s="43"/>
      <c r="V45" s="43"/>
    </row>
    <row r="46" spans="1:22" s="45" customFormat="1" ht="21" customHeight="1" x14ac:dyDescent="0.15">
      <c r="A46" s="39"/>
      <c r="B46" s="40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41"/>
      <c r="P46" s="42"/>
      <c r="Q46" s="43"/>
      <c r="R46" s="43"/>
      <c r="S46" s="43"/>
      <c r="T46" s="43"/>
      <c r="U46" s="43"/>
      <c r="V46" s="43"/>
    </row>
    <row r="47" spans="1:22" s="45" customFormat="1" ht="21" customHeight="1" x14ac:dyDescent="0.15">
      <c r="A47" s="39"/>
      <c r="B47" s="40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41"/>
      <c r="P47" s="42"/>
      <c r="Q47" s="43"/>
      <c r="R47" s="43"/>
      <c r="S47" s="43"/>
      <c r="T47" s="43"/>
      <c r="U47" s="43"/>
      <c r="V47" s="43"/>
    </row>
    <row r="48" spans="1:22" s="45" customFormat="1" ht="21" customHeight="1" x14ac:dyDescent="0.15">
      <c r="A48" s="39"/>
      <c r="B48" s="40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41"/>
      <c r="P48" s="42"/>
      <c r="Q48" s="43"/>
      <c r="R48" s="43"/>
      <c r="S48" s="43"/>
      <c r="T48" s="43"/>
      <c r="U48" s="43"/>
      <c r="V48" s="43"/>
    </row>
    <row r="49" spans="1:22" s="45" customFormat="1" ht="21" customHeight="1" x14ac:dyDescent="0.15">
      <c r="A49" s="39"/>
      <c r="B49" s="40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41"/>
      <c r="P49" s="42"/>
      <c r="Q49" s="43"/>
      <c r="R49" s="43"/>
      <c r="S49" s="43"/>
      <c r="T49" s="43"/>
      <c r="U49" s="43"/>
      <c r="V49" s="43"/>
    </row>
    <row r="50" spans="1:22" s="45" customFormat="1" ht="21" customHeight="1" x14ac:dyDescent="0.15">
      <c r="A50" s="39"/>
      <c r="B50" s="40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41"/>
      <c r="P50" s="42"/>
      <c r="Q50" s="43"/>
      <c r="R50" s="43"/>
      <c r="S50" s="43"/>
      <c r="T50" s="43"/>
      <c r="U50" s="43"/>
      <c r="V50" s="43"/>
    </row>
    <row r="51" spans="1:22" s="45" customFormat="1" ht="21" customHeight="1" x14ac:dyDescent="0.15">
      <c r="A51" s="39"/>
      <c r="B51" s="40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41"/>
      <c r="P51" s="42"/>
      <c r="Q51" s="43"/>
      <c r="R51" s="43"/>
      <c r="S51" s="43"/>
      <c r="T51" s="43"/>
      <c r="U51" s="43"/>
      <c r="V51" s="43"/>
    </row>
    <row r="52" spans="1:22" s="45" customFormat="1" ht="21" customHeight="1" x14ac:dyDescent="0.15">
      <c r="A52" s="39"/>
      <c r="B52" s="40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41"/>
      <c r="P52" s="42"/>
      <c r="Q52" s="43"/>
      <c r="R52" s="43"/>
      <c r="S52" s="43"/>
      <c r="T52" s="43"/>
      <c r="U52" s="43"/>
      <c r="V52" s="43"/>
    </row>
    <row r="53" spans="1:22" s="45" customFormat="1" ht="21" customHeight="1" x14ac:dyDescent="0.15">
      <c r="A53" s="39"/>
      <c r="B53" s="40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41"/>
      <c r="P53" s="42"/>
      <c r="Q53" s="43"/>
      <c r="R53" s="43"/>
      <c r="S53" s="43"/>
      <c r="T53" s="43"/>
      <c r="U53" s="43"/>
      <c r="V53" s="43"/>
    </row>
    <row r="54" spans="1:22" s="45" customFormat="1" ht="21" customHeight="1" x14ac:dyDescent="0.15">
      <c r="A54" s="39"/>
      <c r="B54" s="40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41"/>
      <c r="P54" s="42"/>
      <c r="Q54" s="43"/>
      <c r="R54" s="43"/>
      <c r="S54" s="43"/>
      <c r="T54" s="43"/>
      <c r="U54" s="43"/>
      <c r="V54" s="43"/>
    </row>
    <row r="55" spans="1:22" s="45" customFormat="1" ht="21" customHeight="1" x14ac:dyDescent="0.15">
      <c r="A55" s="39"/>
      <c r="B55" s="40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41"/>
      <c r="P55" s="42"/>
      <c r="Q55" s="43"/>
      <c r="R55" s="43"/>
      <c r="S55" s="43"/>
      <c r="T55" s="43"/>
      <c r="U55" s="43"/>
      <c r="V55" s="43"/>
    </row>
    <row r="56" spans="1:22" s="45" customFormat="1" ht="21" customHeight="1" x14ac:dyDescent="0.15">
      <c r="A56" s="39"/>
      <c r="B56" s="40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41"/>
      <c r="P56" s="42"/>
      <c r="Q56" s="43"/>
      <c r="R56" s="43"/>
      <c r="S56" s="43"/>
      <c r="T56" s="43"/>
      <c r="U56" s="43"/>
      <c r="V56" s="43"/>
    </row>
    <row r="57" spans="1:22" s="45" customFormat="1" ht="21" customHeight="1" x14ac:dyDescent="0.15">
      <c r="A57" s="39"/>
      <c r="B57" s="40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41"/>
      <c r="P57" s="42"/>
      <c r="Q57" s="43"/>
      <c r="R57" s="43"/>
      <c r="S57" s="43"/>
      <c r="T57" s="43"/>
      <c r="U57" s="43"/>
      <c r="V57" s="43"/>
    </row>
    <row r="58" spans="1:22" ht="21" customHeight="1" x14ac:dyDescent="0.15">
      <c r="A58" s="39"/>
      <c r="B58" s="40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41"/>
      <c r="P58" s="42"/>
      <c r="Q58" s="43"/>
      <c r="R58" s="43"/>
      <c r="S58" s="43"/>
      <c r="T58" s="43"/>
      <c r="U58" s="43"/>
      <c r="V58" s="43"/>
    </row>
    <row r="59" spans="1:22" ht="21" customHeight="1" x14ac:dyDescent="0.15">
      <c r="A59" s="39"/>
      <c r="B59" s="40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41"/>
      <c r="P59" s="42"/>
      <c r="Q59" s="43"/>
      <c r="R59" s="43"/>
      <c r="S59" s="43"/>
      <c r="T59" s="43"/>
      <c r="U59" s="43"/>
      <c r="V59" s="43"/>
    </row>
    <row r="60" spans="1:22" ht="21" customHeight="1" x14ac:dyDescent="0.15">
      <c r="A60" s="39"/>
      <c r="B60" s="40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41"/>
      <c r="P60" s="42"/>
      <c r="Q60" s="43"/>
      <c r="R60" s="43"/>
      <c r="S60" s="43"/>
      <c r="T60" s="43"/>
      <c r="U60" s="43"/>
      <c r="V60" s="43"/>
    </row>
    <row r="61" spans="1:22" ht="21" customHeight="1" x14ac:dyDescent="0.15">
      <c r="A61" s="39"/>
      <c r="B61" s="40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41"/>
      <c r="P61" s="42"/>
      <c r="Q61" s="43"/>
      <c r="R61" s="43"/>
      <c r="S61" s="43"/>
      <c r="T61" s="43"/>
      <c r="U61" s="43"/>
      <c r="V61" s="43"/>
    </row>
    <row r="62" spans="1:22" ht="21" customHeight="1" x14ac:dyDescent="0.15">
      <c r="A62" s="39"/>
      <c r="B62" s="40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41"/>
      <c r="P62" s="42"/>
      <c r="Q62" s="43"/>
      <c r="R62" s="43"/>
      <c r="S62" s="43"/>
      <c r="T62" s="43"/>
      <c r="U62" s="43"/>
      <c r="V62" s="43"/>
    </row>
    <row r="63" spans="1:22" ht="21" customHeight="1" x14ac:dyDescent="0.15">
      <c r="A63" s="39"/>
      <c r="B63" s="40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41"/>
      <c r="P63" s="42"/>
      <c r="Q63" s="43"/>
      <c r="R63" s="43"/>
      <c r="S63" s="43"/>
      <c r="T63" s="43"/>
      <c r="U63" s="43"/>
      <c r="V63" s="43"/>
    </row>
    <row r="64" spans="1:22" ht="21" customHeight="1" x14ac:dyDescent="0.15">
      <c r="A64" s="39"/>
      <c r="B64" s="44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41"/>
      <c r="P64" s="42"/>
      <c r="Q64" s="43"/>
      <c r="R64" s="43"/>
      <c r="S64" s="43"/>
      <c r="T64" s="43"/>
      <c r="U64" s="43"/>
      <c r="V64" s="43"/>
    </row>
    <row r="65" spans="1:36" ht="21" customHeight="1" x14ac:dyDescent="0.15">
      <c r="A65" s="39"/>
      <c r="B65" s="44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41"/>
      <c r="P65" s="42"/>
      <c r="Q65" s="43"/>
      <c r="R65" s="43"/>
      <c r="S65" s="43"/>
      <c r="T65" s="43"/>
      <c r="U65" s="43"/>
      <c r="V65" s="43"/>
    </row>
    <row r="66" spans="1:36" ht="21" customHeight="1" x14ac:dyDescent="0.15">
      <c r="A66" s="39"/>
      <c r="B66" s="44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41"/>
      <c r="P66" s="42"/>
      <c r="Q66" s="43"/>
      <c r="R66" s="43"/>
      <c r="S66" s="43"/>
      <c r="T66" s="43"/>
      <c r="U66" s="43"/>
      <c r="V66" s="43"/>
    </row>
    <row r="67" spans="1:36" ht="21" customHeight="1" x14ac:dyDescent="0.15">
      <c r="A67" s="39"/>
      <c r="B67" s="44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41"/>
      <c r="P67" s="42"/>
      <c r="Q67" s="43"/>
      <c r="R67" s="43"/>
      <c r="S67" s="43"/>
      <c r="T67" s="43"/>
      <c r="U67" s="43"/>
      <c r="V67" s="43"/>
    </row>
    <row r="68" spans="1:36" s="9" customFormat="1" ht="21" customHeight="1" thickBot="1" x14ac:dyDescent="0.2">
      <c r="A68" s="39"/>
      <c r="B68" s="40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41"/>
      <c r="P68" s="42"/>
      <c r="Q68" s="43"/>
      <c r="R68" s="43"/>
      <c r="S68" s="43"/>
      <c r="T68" s="43"/>
      <c r="U68" s="43"/>
      <c r="V68" s="43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</row>
    <row r="69" spans="1:36" ht="21" customHeight="1" x14ac:dyDescent="0.15">
      <c r="A69" s="39"/>
      <c r="B69" s="40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41"/>
      <c r="P69" s="42"/>
      <c r="Q69" s="43"/>
      <c r="R69" s="43"/>
      <c r="S69" s="43"/>
      <c r="T69" s="43"/>
      <c r="U69" s="43"/>
      <c r="V69" s="43"/>
    </row>
    <row r="70" spans="1:36" ht="21" customHeight="1" x14ac:dyDescent="0.15">
      <c r="A70" s="39"/>
      <c r="B70" s="40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41"/>
      <c r="P70" s="42"/>
      <c r="Q70" s="43"/>
      <c r="R70" s="43"/>
      <c r="S70" s="43"/>
      <c r="T70" s="43"/>
      <c r="U70" s="43"/>
      <c r="V70" s="43"/>
    </row>
    <row r="71" spans="1:36" ht="21" customHeight="1" x14ac:dyDescent="0.15">
      <c r="A71" s="39"/>
      <c r="B71" s="40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41"/>
      <c r="P71" s="42"/>
      <c r="Q71" s="43"/>
      <c r="R71" s="43"/>
      <c r="S71" s="43"/>
      <c r="T71" s="43"/>
      <c r="U71" s="43"/>
      <c r="V71" s="43"/>
    </row>
    <row r="72" spans="1:36" ht="21" customHeight="1" x14ac:dyDescent="0.15">
      <c r="A72" s="39"/>
      <c r="B72" s="40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41"/>
      <c r="P72" s="42"/>
      <c r="Q72" s="43"/>
      <c r="R72" s="43"/>
      <c r="S72" s="43"/>
      <c r="T72" s="43"/>
      <c r="U72" s="43"/>
      <c r="V72" s="43"/>
    </row>
    <row r="73" spans="1:36" ht="21" customHeight="1" x14ac:dyDescent="0.15">
      <c r="A73" s="39"/>
      <c r="B73" s="40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41"/>
      <c r="P73" s="42"/>
      <c r="Q73" s="43"/>
      <c r="R73" s="43"/>
      <c r="S73" s="43"/>
      <c r="T73" s="43"/>
      <c r="U73" s="43"/>
      <c r="V73" s="43"/>
    </row>
    <row r="74" spans="1:36" s="45" customFormat="1" ht="21" customHeight="1" x14ac:dyDescent="0.15">
      <c r="A74" s="39"/>
      <c r="B74" s="40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41"/>
      <c r="P74" s="42"/>
      <c r="Q74" s="43"/>
      <c r="R74" s="43"/>
      <c r="S74" s="43"/>
      <c r="T74" s="43"/>
      <c r="U74" s="43"/>
      <c r="V74" s="43"/>
    </row>
    <row r="75" spans="1:36" s="45" customFormat="1" ht="21" customHeight="1" x14ac:dyDescent="0.15">
      <c r="A75" s="39"/>
      <c r="B75" s="40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41"/>
      <c r="P75" s="42"/>
      <c r="Q75" s="43"/>
      <c r="R75" s="43"/>
      <c r="S75" s="43"/>
      <c r="T75" s="43"/>
      <c r="U75" s="43"/>
      <c r="V75" s="43"/>
    </row>
    <row r="76" spans="1:36" s="45" customFormat="1" ht="21" customHeight="1" x14ac:dyDescent="0.15">
      <c r="A76" s="39"/>
      <c r="B76" s="40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41"/>
      <c r="P76" s="42"/>
      <c r="Q76" s="43"/>
      <c r="R76" s="43"/>
      <c r="S76" s="43"/>
      <c r="T76" s="43"/>
      <c r="U76" s="43"/>
      <c r="V76" s="43"/>
    </row>
    <row r="77" spans="1:36" s="45" customFormat="1" ht="21" customHeight="1" x14ac:dyDescent="0.15">
      <c r="A77" s="39"/>
      <c r="B77" s="40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41"/>
      <c r="P77" s="42"/>
      <c r="Q77" s="43"/>
      <c r="R77" s="43"/>
      <c r="S77" s="43"/>
      <c r="T77" s="43"/>
      <c r="U77" s="43"/>
      <c r="V77" s="43"/>
    </row>
    <row r="78" spans="1:36" s="45" customFormat="1" ht="21" customHeight="1" x14ac:dyDescent="0.15">
      <c r="A78" s="39"/>
      <c r="B78" s="40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41"/>
      <c r="P78" s="42"/>
      <c r="Q78" s="43"/>
      <c r="R78" s="43"/>
      <c r="S78" s="43"/>
      <c r="T78" s="43"/>
      <c r="U78" s="43"/>
      <c r="V78" s="43"/>
    </row>
    <row r="79" spans="1:36" s="45" customFormat="1" ht="21" customHeight="1" x14ac:dyDescent="0.15">
      <c r="A79" s="39"/>
      <c r="B79" s="40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41"/>
      <c r="P79" s="42"/>
      <c r="Q79" s="43"/>
      <c r="R79" s="43"/>
      <c r="S79" s="43"/>
      <c r="T79" s="43"/>
      <c r="U79" s="43"/>
      <c r="V79" s="43"/>
    </row>
    <row r="80" spans="1:36" s="45" customFormat="1" ht="21" customHeight="1" x14ac:dyDescent="0.15">
      <c r="A80" s="39"/>
      <c r="B80" s="40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41"/>
      <c r="P80" s="42"/>
      <c r="Q80" s="43"/>
      <c r="R80" s="43"/>
      <c r="S80" s="43"/>
      <c r="T80" s="43"/>
      <c r="U80" s="43"/>
      <c r="V80" s="43"/>
    </row>
    <row r="81" spans="1:22" s="45" customFormat="1" ht="21" customHeight="1" x14ac:dyDescent="0.15">
      <c r="A81" s="39"/>
      <c r="B81" s="40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41"/>
      <c r="P81" s="42"/>
      <c r="Q81" s="43"/>
      <c r="R81" s="43"/>
      <c r="S81" s="43"/>
      <c r="T81" s="43"/>
      <c r="U81" s="43"/>
      <c r="V81" s="43"/>
    </row>
    <row r="82" spans="1:22" s="45" customFormat="1" ht="21" customHeight="1" x14ac:dyDescent="0.15">
      <c r="A82" s="39"/>
      <c r="B82" s="40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41"/>
      <c r="P82" s="42"/>
      <c r="Q82" s="43"/>
      <c r="R82" s="43"/>
      <c r="S82" s="43"/>
      <c r="T82" s="43"/>
      <c r="U82" s="43"/>
      <c r="V82" s="43"/>
    </row>
    <row r="83" spans="1:22" s="45" customFormat="1" ht="21" customHeight="1" x14ac:dyDescent="0.15">
      <c r="A83" s="39"/>
      <c r="B83" s="40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41"/>
      <c r="P83" s="42"/>
      <c r="Q83" s="43"/>
      <c r="R83" s="43"/>
      <c r="S83" s="43"/>
      <c r="T83" s="43"/>
      <c r="U83" s="43"/>
      <c r="V83" s="43"/>
    </row>
    <row r="84" spans="1:22" s="45" customFormat="1" ht="21" customHeight="1" x14ac:dyDescent="0.15">
      <c r="A84" s="39"/>
      <c r="B84" s="40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41"/>
      <c r="P84" s="42"/>
      <c r="Q84" s="43"/>
      <c r="R84" s="43"/>
      <c r="S84" s="43"/>
      <c r="T84" s="43"/>
      <c r="U84" s="43"/>
      <c r="V84" s="43"/>
    </row>
    <row r="85" spans="1:22" s="45" customFormat="1" ht="21" customHeight="1" x14ac:dyDescent="0.15">
      <c r="A85" s="39"/>
      <c r="B85" s="40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41"/>
      <c r="P85" s="42"/>
      <c r="Q85" s="43"/>
      <c r="R85" s="43"/>
      <c r="S85" s="43"/>
      <c r="T85" s="43"/>
      <c r="U85" s="43"/>
      <c r="V85" s="43"/>
    </row>
    <row r="86" spans="1:22" s="45" customFormat="1" ht="21" customHeight="1" x14ac:dyDescent="0.15">
      <c r="A86" s="39"/>
      <c r="B86" s="40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41"/>
      <c r="P86" s="42"/>
      <c r="Q86" s="43"/>
      <c r="R86" s="43"/>
      <c r="S86" s="43"/>
      <c r="T86" s="43"/>
      <c r="U86" s="43"/>
      <c r="V86" s="43"/>
    </row>
    <row r="87" spans="1:22" s="45" customFormat="1" ht="21" customHeight="1" x14ac:dyDescent="0.15">
      <c r="A87" s="39"/>
      <c r="B87" s="40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41"/>
      <c r="P87" s="42"/>
      <c r="Q87" s="43"/>
      <c r="R87" s="43"/>
      <c r="S87" s="43"/>
      <c r="T87" s="43"/>
      <c r="U87" s="43"/>
      <c r="V87" s="43"/>
    </row>
    <row r="88" spans="1:22" s="45" customFormat="1" ht="21" customHeight="1" x14ac:dyDescent="0.15">
      <c r="A88" s="39"/>
      <c r="B88" s="40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41"/>
      <c r="P88" s="42"/>
      <c r="Q88" s="43"/>
      <c r="R88" s="43"/>
      <c r="S88" s="43"/>
      <c r="T88" s="43"/>
      <c r="U88" s="43"/>
      <c r="V88" s="43"/>
    </row>
    <row r="89" spans="1:22" s="45" customFormat="1" ht="21" customHeight="1" x14ac:dyDescent="0.15">
      <c r="A89" s="39"/>
      <c r="B89" s="40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41"/>
      <c r="P89" s="42"/>
      <c r="Q89" s="43"/>
      <c r="R89" s="43"/>
      <c r="S89" s="43"/>
      <c r="T89" s="43"/>
      <c r="U89" s="43"/>
      <c r="V89" s="43"/>
    </row>
    <row r="90" spans="1:22" s="45" customFormat="1" ht="21" customHeight="1" x14ac:dyDescent="0.15">
      <c r="A90" s="39"/>
      <c r="B90" s="40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41"/>
      <c r="P90" s="42"/>
      <c r="Q90" s="43"/>
      <c r="R90" s="43"/>
      <c r="S90" s="43"/>
      <c r="T90" s="43"/>
      <c r="U90" s="43"/>
      <c r="V90" s="43"/>
    </row>
    <row r="91" spans="1:22" s="45" customFormat="1" ht="21" customHeight="1" x14ac:dyDescent="0.15">
      <c r="A91" s="39"/>
      <c r="B91" s="40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41"/>
      <c r="P91" s="42"/>
      <c r="Q91" s="43"/>
      <c r="R91" s="43"/>
      <c r="S91" s="43"/>
      <c r="T91" s="43"/>
      <c r="U91" s="43"/>
      <c r="V91" s="43"/>
    </row>
    <row r="92" spans="1:22" s="45" customFormat="1" ht="21" customHeight="1" x14ac:dyDescent="0.15">
      <c r="A92" s="39"/>
      <c r="B92" s="40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41"/>
      <c r="P92" s="42"/>
      <c r="Q92" s="43"/>
      <c r="R92" s="43"/>
      <c r="S92" s="43"/>
      <c r="T92" s="43"/>
      <c r="U92" s="43"/>
      <c r="V92" s="43"/>
    </row>
    <row r="93" spans="1:22" s="45" customFormat="1" ht="21" customHeight="1" x14ac:dyDescent="0.15">
      <c r="A93" s="39"/>
      <c r="B93" s="40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41"/>
      <c r="P93" s="42"/>
      <c r="Q93" s="43"/>
      <c r="R93" s="43"/>
      <c r="S93" s="43"/>
      <c r="T93" s="43"/>
      <c r="U93" s="43"/>
      <c r="V93" s="43"/>
    </row>
    <row r="94" spans="1:22" s="45" customFormat="1" ht="21" customHeight="1" x14ac:dyDescent="0.15">
      <c r="A94" s="39"/>
      <c r="B94" s="40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41"/>
      <c r="P94" s="42"/>
      <c r="Q94" s="43"/>
      <c r="R94" s="43"/>
      <c r="S94" s="43"/>
      <c r="T94" s="43"/>
      <c r="U94" s="43"/>
      <c r="V94" s="43"/>
    </row>
    <row r="95" spans="1:22" s="45" customFormat="1" ht="21" customHeight="1" x14ac:dyDescent="0.15">
      <c r="A95" s="39"/>
      <c r="B95" s="40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41"/>
      <c r="P95" s="42"/>
      <c r="Q95" s="43"/>
      <c r="R95" s="43"/>
      <c r="S95" s="43"/>
      <c r="T95" s="43"/>
      <c r="U95" s="43"/>
      <c r="V95" s="43"/>
    </row>
    <row r="96" spans="1:22" s="45" customFormat="1" ht="21" customHeight="1" x14ac:dyDescent="0.15">
      <c r="A96" s="39"/>
      <c r="B96" s="40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41"/>
      <c r="P96" s="42"/>
      <c r="Q96" s="43"/>
      <c r="R96" s="43"/>
      <c r="S96" s="43"/>
      <c r="T96" s="43"/>
      <c r="U96" s="43"/>
      <c r="V96" s="43"/>
    </row>
    <row r="97" spans="1:22" s="45" customFormat="1" ht="21" customHeight="1" x14ac:dyDescent="0.15">
      <c r="A97" s="39"/>
      <c r="B97" s="40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41"/>
      <c r="P97" s="42"/>
      <c r="Q97" s="43"/>
      <c r="R97" s="43"/>
      <c r="S97" s="43"/>
      <c r="T97" s="43"/>
      <c r="U97" s="43"/>
      <c r="V97" s="43"/>
    </row>
    <row r="98" spans="1:22" s="45" customFormat="1" ht="21" customHeight="1" x14ac:dyDescent="0.15">
      <c r="A98" s="39"/>
      <c r="B98" s="40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41"/>
      <c r="P98" s="42"/>
      <c r="Q98" s="43"/>
      <c r="R98" s="43"/>
      <c r="S98" s="43"/>
      <c r="T98" s="43"/>
      <c r="U98" s="43"/>
      <c r="V98" s="43"/>
    </row>
    <row r="99" spans="1:22" s="45" customFormat="1" ht="21" customHeight="1" x14ac:dyDescent="0.15">
      <c r="A99" s="39"/>
      <c r="B99" s="40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41"/>
      <c r="P99" s="42"/>
      <c r="Q99" s="43"/>
      <c r="R99" s="43"/>
      <c r="S99" s="43"/>
      <c r="T99" s="43"/>
      <c r="U99" s="43"/>
      <c r="V99" s="43"/>
    </row>
    <row r="100" spans="1:22" s="45" customFormat="1" ht="21" customHeight="1" x14ac:dyDescent="0.15">
      <c r="A100" s="39"/>
      <c r="B100" s="40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41"/>
      <c r="P100" s="42"/>
      <c r="Q100" s="43"/>
      <c r="R100" s="43"/>
      <c r="S100" s="43"/>
      <c r="T100" s="43"/>
      <c r="U100" s="43"/>
      <c r="V100" s="43"/>
    </row>
    <row r="101" spans="1:22" s="45" customFormat="1" ht="21" customHeight="1" x14ac:dyDescent="0.15">
      <c r="A101" s="39"/>
      <c r="B101" s="40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41"/>
      <c r="P101" s="42"/>
      <c r="Q101" s="43"/>
      <c r="R101" s="43"/>
      <c r="S101" s="43"/>
      <c r="T101" s="43"/>
      <c r="U101" s="43"/>
      <c r="V101" s="43"/>
    </row>
    <row r="102" spans="1:22" s="45" customFormat="1" ht="21" customHeight="1" x14ac:dyDescent="0.15">
      <c r="A102" s="39"/>
      <c r="B102" s="40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41"/>
      <c r="P102" s="42"/>
      <c r="Q102" s="43"/>
      <c r="R102" s="43"/>
      <c r="S102" s="43"/>
      <c r="T102" s="43"/>
      <c r="U102" s="43"/>
      <c r="V102" s="43"/>
    </row>
    <row r="103" spans="1:22" s="45" customFormat="1" ht="21" customHeight="1" x14ac:dyDescent="0.15">
      <c r="A103" s="39"/>
      <c r="B103" s="40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41"/>
      <c r="P103" s="42"/>
      <c r="Q103" s="43"/>
      <c r="R103" s="43"/>
      <c r="S103" s="43"/>
      <c r="T103" s="43"/>
      <c r="U103" s="43"/>
      <c r="V103" s="43"/>
    </row>
    <row r="104" spans="1:22" s="45" customFormat="1" ht="21" customHeight="1" x14ac:dyDescent="0.15">
      <c r="A104" s="39"/>
      <c r="B104" s="40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41"/>
      <c r="P104" s="42"/>
      <c r="Q104" s="43"/>
      <c r="R104" s="43"/>
      <c r="S104" s="43"/>
      <c r="T104" s="43"/>
      <c r="U104" s="43"/>
      <c r="V104" s="43"/>
    </row>
    <row r="105" spans="1:22" s="45" customFormat="1" ht="21" customHeight="1" x14ac:dyDescent="0.15">
      <c r="A105" s="39"/>
      <c r="B105" s="40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41"/>
      <c r="P105" s="42"/>
      <c r="Q105" s="43"/>
      <c r="R105" s="43"/>
      <c r="S105" s="43"/>
      <c r="T105" s="43"/>
      <c r="U105" s="43"/>
      <c r="V105" s="43"/>
    </row>
    <row r="106" spans="1:22" s="45" customFormat="1" ht="21" customHeight="1" x14ac:dyDescent="0.15">
      <c r="A106" s="39"/>
      <c r="B106" s="40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41"/>
      <c r="P106" s="42"/>
      <c r="Q106" s="43"/>
      <c r="R106" s="43"/>
      <c r="S106" s="43"/>
      <c r="T106" s="43"/>
      <c r="U106" s="43"/>
      <c r="V106" s="43"/>
    </row>
    <row r="107" spans="1:22" s="45" customFormat="1" ht="21" customHeight="1" x14ac:dyDescent="0.15">
      <c r="A107" s="39"/>
      <c r="B107" s="40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41"/>
      <c r="P107" s="42"/>
      <c r="Q107" s="43"/>
      <c r="R107" s="43"/>
      <c r="S107" s="43"/>
      <c r="T107" s="43"/>
      <c r="U107" s="43"/>
      <c r="V107" s="43"/>
    </row>
    <row r="108" spans="1:22" s="45" customFormat="1" ht="21" customHeight="1" x14ac:dyDescent="0.15">
      <c r="A108" s="39"/>
      <c r="B108" s="40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41"/>
      <c r="P108" s="42"/>
      <c r="Q108" s="43"/>
      <c r="R108" s="43"/>
      <c r="S108" s="43"/>
      <c r="T108" s="43"/>
      <c r="U108" s="43"/>
      <c r="V108" s="43"/>
    </row>
    <row r="109" spans="1:22" s="45" customFormat="1" ht="21" customHeight="1" x14ac:dyDescent="0.15">
      <c r="A109" s="39"/>
      <c r="B109" s="40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41"/>
      <c r="P109" s="42"/>
      <c r="Q109" s="43"/>
      <c r="R109" s="43"/>
      <c r="S109" s="43"/>
      <c r="T109" s="43"/>
      <c r="U109" s="43"/>
      <c r="V109" s="43"/>
    </row>
    <row r="110" spans="1:22" s="45" customFormat="1" ht="21" customHeight="1" x14ac:dyDescent="0.15">
      <c r="A110" s="39"/>
      <c r="B110" s="40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41"/>
      <c r="P110" s="42"/>
      <c r="Q110" s="43"/>
      <c r="R110" s="43"/>
      <c r="S110" s="43"/>
      <c r="T110" s="43"/>
      <c r="U110" s="43"/>
      <c r="V110" s="43"/>
    </row>
    <row r="111" spans="1:22" s="45" customFormat="1" ht="21" customHeight="1" x14ac:dyDescent="0.15">
      <c r="A111" s="39"/>
      <c r="B111" s="40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41"/>
      <c r="P111" s="42"/>
      <c r="Q111" s="43"/>
      <c r="R111" s="43"/>
      <c r="S111" s="43"/>
      <c r="T111" s="43"/>
      <c r="U111" s="43"/>
      <c r="V111" s="43"/>
    </row>
    <row r="112" spans="1:22" s="45" customFormat="1" ht="21" customHeight="1" x14ac:dyDescent="0.15">
      <c r="A112" s="39"/>
      <c r="B112" s="40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41"/>
      <c r="P112" s="42"/>
      <c r="Q112" s="43"/>
      <c r="R112" s="43"/>
      <c r="S112" s="43"/>
      <c r="T112" s="43"/>
      <c r="U112" s="43"/>
      <c r="V112" s="43"/>
    </row>
    <row r="113" spans="1:22" s="45" customFormat="1" ht="21" customHeight="1" x14ac:dyDescent="0.15">
      <c r="A113" s="39"/>
      <c r="B113" s="40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41"/>
      <c r="P113" s="42"/>
      <c r="Q113" s="43"/>
      <c r="R113" s="43"/>
      <c r="S113" s="43"/>
      <c r="T113" s="43"/>
      <c r="U113" s="43"/>
      <c r="V113" s="43"/>
    </row>
    <row r="114" spans="1:22" s="45" customFormat="1" ht="21" customHeight="1" x14ac:dyDescent="0.15">
      <c r="A114" s="39"/>
      <c r="B114" s="40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41"/>
      <c r="P114" s="42"/>
      <c r="Q114" s="43"/>
      <c r="R114" s="43"/>
      <c r="S114" s="43"/>
      <c r="T114" s="43"/>
      <c r="U114" s="43"/>
      <c r="V114" s="43"/>
    </row>
    <row r="115" spans="1:22" s="45" customFormat="1" ht="21" customHeight="1" x14ac:dyDescent="0.15">
      <c r="A115" s="39"/>
      <c r="B115" s="40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41"/>
      <c r="P115" s="42"/>
      <c r="Q115" s="43"/>
      <c r="R115" s="43"/>
      <c r="S115" s="43"/>
      <c r="T115" s="43"/>
      <c r="U115" s="43"/>
      <c r="V115" s="43"/>
    </row>
    <row r="116" spans="1:22" s="45" customFormat="1" ht="21" customHeight="1" x14ac:dyDescent="0.15">
      <c r="A116" s="39"/>
      <c r="B116" s="40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41"/>
      <c r="P116" s="42"/>
      <c r="Q116" s="43"/>
      <c r="R116" s="43"/>
      <c r="S116" s="43"/>
      <c r="T116" s="43"/>
      <c r="U116" s="43"/>
      <c r="V116" s="43"/>
    </row>
    <row r="117" spans="1:22" s="45" customFormat="1" ht="21" customHeight="1" x14ac:dyDescent="0.15">
      <c r="A117" s="39"/>
      <c r="B117" s="40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41"/>
      <c r="P117" s="42"/>
      <c r="Q117" s="43"/>
      <c r="R117" s="43"/>
      <c r="S117" s="43"/>
      <c r="T117" s="43"/>
      <c r="U117" s="43"/>
      <c r="V117" s="43"/>
    </row>
    <row r="118" spans="1:22" s="45" customFormat="1" ht="21" customHeight="1" x14ac:dyDescent="0.15">
      <c r="A118" s="39"/>
      <c r="B118" s="40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41"/>
      <c r="P118" s="42"/>
      <c r="Q118" s="43"/>
      <c r="R118" s="43"/>
      <c r="S118" s="43"/>
      <c r="T118" s="43"/>
      <c r="U118" s="43"/>
      <c r="V118" s="43"/>
    </row>
    <row r="119" spans="1:22" s="45" customFormat="1" ht="21" customHeight="1" x14ac:dyDescent="0.15">
      <c r="A119" s="39"/>
      <c r="B119" s="40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41"/>
      <c r="P119" s="42"/>
      <c r="Q119" s="43"/>
      <c r="R119" s="43"/>
      <c r="S119" s="43"/>
      <c r="T119" s="43"/>
      <c r="U119" s="43"/>
      <c r="V119" s="43"/>
    </row>
    <row r="120" spans="1:22" s="45" customFormat="1" ht="21" customHeight="1" x14ac:dyDescent="0.15">
      <c r="A120" s="39"/>
      <c r="B120" s="40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41"/>
      <c r="P120" s="42"/>
      <c r="Q120" s="43"/>
      <c r="R120" s="43"/>
      <c r="S120" s="43"/>
      <c r="T120" s="43"/>
      <c r="U120" s="43"/>
      <c r="V120" s="43"/>
    </row>
    <row r="121" spans="1:22" s="45" customFormat="1" ht="21" customHeight="1" x14ac:dyDescent="0.15">
      <c r="A121" s="39"/>
      <c r="B121" s="40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41"/>
      <c r="P121" s="42"/>
      <c r="Q121" s="43"/>
      <c r="R121" s="43"/>
      <c r="S121" s="43"/>
      <c r="T121" s="43"/>
      <c r="U121" s="43"/>
      <c r="V121" s="43"/>
    </row>
    <row r="122" spans="1:22" s="45" customFormat="1" ht="21" customHeight="1" x14ac:dyDescent="0.15">
      <c r="A122" s="39"/>
      <c r="B122" s="40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41"/>
      <c r="P122" s="42"/>
      <c r="Q122" s="43"/>
      <c r="R122" s="43"/>
      <c r="S122" s="43"/>
      <c r="T122" s="43"/>
      <c r="U122" s="43"/>
      <c r="V122" s="43"/>
    </row>
    <row r="123" spans="1:22" s="45" customFormat="1" ht="21" customHeight="1" x14ac:dyDescent="0.15">
      <c r="A123" s="39"/>
      <c r="B123" s="40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41"/>
      <c r="P123" s="42"/>
      <c r="Q123" s="43"/>
      <c r="R123" s="43"/>
      <c r="S123" s="43"/>
      <c r="T123" s="43"/>
      <c r="U123" s="43"/>
      <c r="V123" s="43"/>
    </row>
    <row r="124" spans="1:22" s="45" customFormat="1" ht="21" customHeight="1" x14ac:dyDescent="0.15">
      <c r="A124" s="39"/>
      <c r="B124" s="40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41"/>
      <c r="P124" s="42"/>
      <c r="Q124" s="43"/>
      <c r="R124" s="43"/>
      <c r="S124" s="43"/>
      <c r="T124" s="43"/>
      <c r="U124" s="43"/>
      <c r="V124" s="43"/>
    </row>
    <row r="125" spans="1:22" s="45" customFormat="1" ht="21" customHeight="1" x14ac:dyDescent="0.15">
      <c r="A125" s="39"/>
      <c r="B125" s="40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41"/>
      <c r="P125" s="42"/>
      <c r="Q125" s="43"/>
      <c r="R125" s="43"/>
      <c r="S125" s="43"/>
      <c r="T125" s="43"/>
      <c r="U125" s="43"/>
      <c r="V125" s="43"/>
    </row>
    <row r="126" spans="1:22" s="45" customFormat="1" ht="21" customHeight="1" x14ac:dyDescent="0.15">
      <c r="A126" s="39"/>
      <c r="B126" s="40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41"/>
      <c r="P126" s="42"/>
      <c r="Q126" s="43"/>
      <c r="R126" s="43"/>
      <c r="S126" s="43"/>
      <c r="T126" s="43"/>
      <c r="U126" s="43"/>
      <c r="V126" s="43"/>
    </row>
    <row r="127" spans="1:22" s="45" customFormat="1" ht="21" customHeight="1" x14ac:dyDescent="0.15">
      <c r="A127" s="39"/>
      <c r="B127" s="40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41"/>
      <c r="P127" s="42"/>
      <c r="Q127" s="43"/>
      <c r="R127" s="43"/>
      <c r="S127" s="43"/>
      <c r="T127" s="43"/>
      <c r="U127" s="43"/>
      <c r="V127" s="43"/>
    </row>
    <row r="128" spans="1:22" s="45" customFormat="1" ht="21" customHeight="1" x14ac:dyDescent="0.15">
      <c r="A128" s="39"/>
      <c r="B128" s="40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41"/>
      <c r="P128" s="42"/>
      <c r="Q128" s="43"/>
      <c r="R128" s="43"/>
      <c r="S128" s="43"/>
      <c r="T128" s="43"/>
      <c r="U128" s="43"/>
      <c r="V128" s="43"/>
    </row>
    <row r="129" spans="1:22" s="45" customFormat="1" ht="21" customHeight="1" x14ac:dyDescent="0.15">
      <c r="A129" s="39"/>
      <c r="B129" s="40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41"/>
      <c r="P129" s="42"/>
      <c r="Q129" s="43"/>
      <c r="R129" s="43"/>
      <c r="S129" s="43"/>
      <c r="T129" s="43"/>
      <c r="U129" s="43"/>
      <c r="V129" s="43"/>
    </row>
    <row r="130" spans="1:22" s="45" customFormat="1" ht="21" customHeight="1" x14ac:dyDescent="0.15">
      <c r="A130" s="39"/>
      <c r="B130" s="40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41"/>
      <c r="P130" s="42"/>
      <c r="Q130" s="43"/>
      <c r="R130" s="43"/>
      <c r="S130" s="43"/>
      <c r="T130" s="43"/>
      <c r="U130" s="43"/>
      <c r="V130" s="43"/>
    </row>
    <row r="131" spans="1:22" s="45" customFormat="1" ht="21" customHeight="1" x14ac:dyDescent="0.15">
      <c r="A131" s="39"/>
      <c r="B131" s="40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41"/>
      <c r="P131" s="42"/>
      <c r="Q131" s="43"/>
      <c r="R131" s="43"/>
      <c r="S131" s="43"/>
      <c r="T131" s="43"/>
      <c r="U131" s="43"/>
      <c r="V131" s="43"/>
    </row>
    <row r="132" spans="1:22" s="45" customFormat="1" ht="21" customHeight="1" x14ac:dyDescent="0.15">
      <c r="A132" s="39"/>
      <c r="B132" s="40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41"/>
      <c r="P132" s="42"/>
      <c r="Q132" s="43"/>
      <c r="R132" s="43"/>
      <c r="S132" s="43"/>
      <c r="T132" s="43"/>
      <c r="U132" s="43"/>
      <c r="V132" s="43"/>
    </row>
    <row r="133" spans="1:22" s="45" customFormat="1" ht="21" customHeight="1" x14ac:dyDescent="0.15">
      <c r="A133" s="39"/>
      <c r="B133" s="40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41"/>
      <c r="P133" s="42"/>
      <c r="Q133" s="43"/>
      <c r="R133" s="43"/>
      <c r="S133" s="43"/>
      <c r="T133" s="43"/>
      <c r="U133" s="43"/>
      <c r="V133" s="43"/>
    </row>
    <row r="134" spans="1:22" s="45" customFormat="1" ht="21" customHeight="1" x14ac:dyDescent="0.15">
      <c r="A134" s="39"/>
      <c r="B134" s="40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41"/>
      <c r="P134" s="42"/>
      <c r="Q134" s="43"/>
      <c r="R134" s="43"/>
      <c r="S134" s="43"/>
      <c r="T134" s="43"/>
      <c r="U134" s="43"/>
      <c r="V134" s="43"/>
    </row>
    <row r="135" spans="1:22" s="45" customFormat="1" ht="21" customHeight="1" x14ac:dyDescent="0.15">
      <c r="A135" s="39"/>
      <c r="B135" s="40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41"/>
      <c r="P135" s="42"/>
      <c r="Q135" s="43"/>
      <c r="R135" s="43"/>
      <c r="S135" s="43"/>
      <c r="T135" s="43"/>
      <c r="U135" s="43"/>
      <c r="V135" s="43"/>
    </row>
    <row r="136" spans="1:22" s="45" customFormat="1" ht="21" customHeight="1" x14ac:dyDescent="0.15">
      <c r="A136" s="39"/>
      <c r="B136" s="40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41"/>
      <c r="P136" s="42"/>
      <c r="Q136" s="43"/>
      <c r="R136" s="43"/>
      <c r="S136" s="43"/>
      <c r="T136" s="43"/>
      <c r="U136" s="43"/>
      <c r="V136" s="43"/>
    </row>
    <row r="137" spans="1:22" s="45" customFormat="1" ht="21" customHeight="1" x14ac:dyDescent="0.15">
      <c r="A137" s="39"/>
      <c r="B137" s="40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41"/>
      <c r="P137" s="42"/>
      <c r="Q137" s="43"/>
      <c r="R137" s="43"/>
      <c r="S137" s="43"/>
      <c r="T137" s="43"/>
      <c r="U137" s="43"/>
      <c r="V137" s="43"/>
    </row>
    <row r="138" spans="1:22" s="45" customFormat="1" ht="21" customHeight="1" x14ac:dyDescent="0.15">
      <c r="A138" s="39"/>
      <c r="B138" s="40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41"/>
      <c r="P138" s="42"/>
      <c r="Q138" s="43"/>
      <c r="R138" s="43"/>
      <c r="S138" s="43"/>
      <c r="T138" s="43"/>
      <c r="U138" s="43"/>
      <c r="V138" s="43"/>
    </row>
    <row r="139" spans="1:22" s="45" customFormat="1" ht="21" customHeight="1" x14ac:dyDescent="0.15">
      <c r="A139" s="39"/>
      <c r="B139" s="40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41"/>
      <c r="P139" s="42"/>
      <c r="Q139" s="43"/>
      <c r="R139" s="43"/>
      <c r="S139" s="43"/>
      <c r="T139" s="43"/>
      <c r="U139" s="43"/>
      <c r="V139" s="43"/>
    </row>
    <row r="140" spans="1:22" s="45" customFormat="1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22" s="45" customFormat="1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22" s="45" customFormat="1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22" s="45" customFormat="1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22" s="45" customFormat="1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s="45" customFormat="1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s="45" customFormat="1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s="45" customFormat="1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s="45" customFormat="1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s="45" customFormat="1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s="45" customFormat="1" ht="21" customHeight="1" x14ac:dyDescent="0.1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s="45" customFormat="1" ht="21" customHeight="1" x14ac:dyDescent="0.15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s="45" customFormat="1" ht="21" customHeight="1" x14ac:dyDescent="0.1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s="45" customFormat="1" ht="21" customHeight="1" x14ac:dyDescent="0.1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s="45" customFormat="1" ht="21" customHeight="1" x14ac:dyDescent="0.1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s="45" customFormat="1" ht="21" customHeight="1" x14ac:dyDescent="0.1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s="45" customFormat="1" ht="21" customHeight="1" x14ac:dyDescent="0.1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s="45" customFormat="1" ht="21" customHeight="1" x14ac:dyDescent="0.1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s="45" customFormat="1" ht="21" customHeight="1" x14ac:dyDescent="0.1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s="45" customFormat="1" ht="21" customHeight="1" x14ac:dyDescent="0.1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s="45" customFormat="1" ht="21" customHeight="1" x14ac:dyDescent="0.1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s="45" customFormat="1" ht="21" customHeight="1" x14ac:dyDescent="0.1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s="45" customFormat="1" ht="21" customHeight="1" x14ac:dyDescent="0.1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s="45" customFormat="1" ht="21" customHeight="1" x14ac:dyDescent="0.1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s="45" customFormat="1" ht="21" customHeight="1" x14ac:dyDescent="0.1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s="45" customFormat="1" ht="21" customHeight="1" x14ac:dyDescent="0.1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s="45" customFormat="1" ht="21" customHeight="1" x14ac:dyDescent="0.1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s="45" customFormat="1" ht="21" customHeight="1" x14ac:dyDescent="0.1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s="45" customFormat="1" ht="21" customHeight="1" x14ac:dyDescent="0.1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s="45" customFormat="1" ht="21" customHeight="1" x14ac:dyDescent="0.1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s="45" customFormat="1" ht="21" customHeight="1" x14ac:dyDescent="0.1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s="45" customFormat="1" ht="21" customHeight="1" x14ac:dyDescent="0.1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s="45" customFormat="1" ht="21" customHeight="1" x14ac:dyDescent="0.1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s="45" customFormat="1" ht="21" customHeight="1" x14ac:dyDescent="0.1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s="45" customFormat="1" ht="21" customHeight="1" x14ac:dyDescent="0.1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s="45" customFormat="1" ht="21" customHeight="1" x14ac:dyDescent="0.1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s="45" customFormat="1" ht="21" customHeight="1" x14ac:dyDescent="0.1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22" s="45" customFormat="1" ht="21" customHeight="1" x14ac:dyDescent="0.1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22" s="45" customFormat="1" ht="21" customHeight="1" x14ac:dyDescent="0.1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22" s="45" customFormat="1" ht="21" customHeight="1" x14ac:dyDescent="0.1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22" s="45" customFormat="1" ht="21" customHeight="1" x14ac:dyDescent="0.1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22" s="45" customFormat="1" ht="21" customHeight="1" x14ac:dyDescent="0.1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22" s="45" customFormat="1" ht="21" customHeight="1" x14ac:dyDescent="0.1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22" s="45" customFormat="1" ht="21" customHeight="1" x14ac:dyDescent="0.1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22" s="45" customFormat="1" ht="21" customHeight="1" x14ac:dyDescent="0.1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22" s="45" customFormat="1" ht="21" customHeight="1" x14ac:dyDescent="0.1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22" s="45" customFormat="1" ht="21" customHeight="1" x14ac:dyDescent="0.15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22" s="45" customFormat="1" ht="21" customHeight="1" x14ac:dyDescent="0.15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22" s="45" customFormat="1" ht="21" customHeight="1" x14ac:dyDescent="0.15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22" s="45" customFormat="1" ht="21" customHeight="1" x14ac:dyDescent="0.15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22" s="45" customFormat="1" ht="21" customHeight="1" x14ac:dyDescent="0.15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22" s="45" customFormat="1" ht="21" customHeight="1" x14ac:dyDescent="0.15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22" s="45" customFormat="1" ht="21" customHeight="1" x14ac:dyDescent="0.15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s="45" customFormat="1" ht="21" customHeight="1" x14ac:dyDescent="0.15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s="45" customFormat="1" ht="21" customHeight="1" x14ac:dyDescent="0.15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s="45" customFormat="1" ht="21" customHeight="1" x14ac:dyDescent="0.15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s="45" customFormat="1" ht="21" customHeight="1" x14ac:dyDescent="0.15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s="45" customFormat="1" ht="21" customHeight="1" x14ac:dyDescent="0.15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s="45" customFormat="1" ht="21" customHeight="1" x14ac:dyDescent="0.15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s="45" customFormat="1" ht="21" customHeight="1" x14ac:dyDescent="0.1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s="45" customFormat="1" ht="21" customHeight="1" x14ac:dyDescent="0.15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s="45" customFormat="1" ht="21" customHeight="1" x14ac:dyDescent="0.1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s="45" customFormat="1" ht="21" customHeight="1" x14ac:dyDescent="0.1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s="45" customFormat="1" ht="21" customHeight="1" x14ac:dyDescent="0.1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s="45" customFormat="1" ht="21" customHeight="1" x14ac:dyDescent="0.1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s="45" customFormat="1" ht="21" customHeight="1" x14ac:dyDescent="0.1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s="45" customFormat="1" ht="21" customHeight="1" x14ac:dyDescent="0.1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s="45" customFormat="1" ht="21" customHeight="1" x14ac:dyDescent="0.1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s="45" customFormat="1" ht="21" customHeight="1" x14ac:dyDescent="0.1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s="45" customFormat="1" ht="21" customHeight="1" x14ac:dyDescent="0.1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s="45" customFormat="1" ht="21" customHeight="1" x14ac:dyDescent="0.1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s="45" customFormat="1" ht="21" customHeight="1" x14ac:dyDescent="0.1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s="45" customFormat="1" ht="21" customHeight="1" x14ac:dyDescent="0.1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s="45" customFormat="1" ht="21" customHeight="1" x14ac:dyDescent="0.1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8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10</v>
      </c>
      <c r="B1" s="3" t="s">
        <v>11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1">
        <v>668</v>
      </c>
      <c r="B246" s="7" t="str">
        <f>VLOOKUP(A246,[1]characters!$A:$C,3,FALSE)</f>
        <v>アグニ</v>
      </c>
    </row>
    <row r="247" spans="1:2" x14ac:dyDescent="0.15">
      <c r="A247" s="31">
        <v>669</v>
      </c>
      <c r="B247" s="7" t="str">
        <f>VLOOKUP(A247,[1]characters!$A:$C,3,FALSE)</f>
        <v>天地の仲界 アグニ</v>
      </c>
    </row>
    <row r="248" spans="1:2" x14ac:dyDescent="0.15">
      <c r="A248" s="31">
        <v>670</v>
      </c>
      <c r="B248" s="7" t="str">
        <f>VLOOKUP(A248,[1]characters!$A:$C,3,FALSE)</f>
        <v>陽天の噴煙 アグニ</v>
      </c>
    </row>
    <row r="249" spans="1:2" x14ac:dyDescent="0.15">
      <c r="A249" s="31">
        <v>671</v>
      </c>
      <c r="B249" s="7" t="str">
        <f>VLOOKUP(A249,[1]characters!$A:$C,3,FALSE)</f>
        <v>ハヌマーン</v>
      </c>
    </row>
    <row r="250" spans="1:2" x14ac:dyDescent="0.15">
      <c r="A250" s="31">
        <v>672</v>
      </c>
      <c r="B250" s="7" t="str">
        <f>VLOOKUP(A250,[1]characters!$A:$C,3,FALSE)</f>
        <v>西遊韋駄天 ハヌマーン</v>
      </c>
    </row>
    <row r="251" spans="1:2" x14ac:dyDescent="0.15">
      <c r="A251" s="31">
        <v>673</v>
      </c>
      <c r="B251" s="7" t="str">
        <f>VLOOKUP(A251,[1]characters!$A:$C,3,FALSE)</f>
        <v>変幻自在の猿王 ハヌマーン</v>
      </c>
    </row>
    <row r="252" spans="1:2" x14ac:dyDescent="0.15">
      <c r="A252" s="31">
        <v>674</v>
      </c>
      <c r="B252" s="7" t="str">
        <f>VLOOKUP(A252,[1]characters!$A:$C,3,FALSE)</f>
        <v>サラスヴァティ</v>
      </c>
    </row>
    <row r="253" spans="1:2" x14ac:dyDescent="0.15">
      <c r="A253" s="31">
        <v>675</v>
      </c>
      <c r="B253" s="7" t="str">
        <f>VLOOKUP(A253,[1]characters!$A:$C,3,FALSE)</f>
        <v>芸楽の奔流 サラスヴァティ</v>
      </c>
    </row>
    <row r="254" spans="1:2" x14ac:dyDescent="0.15">
      <c r="A254" s="31">
        <v>676</v>
      </c>
      <c r="B254" s="7" t="str">
        <f>VLOOKUP(A254,[1]characters!$A:$C,3,FALSE)</f>
        <v>ヴィシュヌ</v>
      </c>
    </row>
    <row r="255" spans="1:2" x14ac:dyDescent="0.15">
      <c r="A255" s="31">
        <v>677</v>
      </c>
      <c r="B255" s="7" t="str">
        <f>VLOOKUP(A255,[1]characters!$A:$C,3,FALSE)</f>
        <v>武遊闊歩 ヴィシュヌ</v>
      </c>
    </row>
    <row r="256" spans="1:2" x14ac:dyDescent="0.15">
      <c r="A256" s="31">
        <v>770</v>
      </c>
      <c r="B256" s="7" t="str">
        <f>VLOOKUP(A256,[1]characters!$A:$C,3,FALSE)</f>
        <v>ハヅル</v>
      </c>
    </row>
    <row r="257" spans="1:2" x14ac:dyDescent="0.15">
      <c r="A257" s="31">
        <v>771</v>
      </c>
      <c r="B257" s="7" t="str">
        <f>VLOOKUP(A257,[1]characters!$A:$C,3,FALSE)</f>
        <v>天織羽鶴 ハヅル</v>
      </c>
    </row>
    <row r="258" spans="1:2" x14ac:dyDescent="0.15">
      <c r="A258" s="31">
        <v>772</v>
      </c>
      <c r="B258" s="7" t="str">
        <f>VLOOKUP(A258,[1]characters!$A:$C,3,FALSE)</f>
        <v>イナバ</v>
      </c>
    </row>
    <row r="259" spans="1:2" x14ac:dyDescent="0.15">
      <c r="A259" s="31">
        <v>773</v>
      </c>
      <c r="B259" s="7" t="str">
        <f>VLOOKUP(A259,[1]characters!$A:$C,3,FALSE)</f>
        <v>浮跳天兎 イナバ</v>
      </c>
    </row>
    <row r="260" spans="1:2" x14ac:dyDescent="0.15">
      <c r="A260" s="31">
        <v>774</v>
      </c>
      <c r="B260" s="7" t="str">
        <f>VLOOKUP(A260,[1]characters!$A:$C,3,FALSE)</f>
        <v>ミズチ</v>
      </c>
    </row>
    <row r="261" spans="1:2" x14ac:dyDescent="0.15">
      <c r="A261" s="31">
        <v>775</v>
      </c>
      <c r="B261" s="7" t="str">
        <f>VLOOKUP(A261,[1]characters!$A:$C,3,FALSE)</f>
        <v>水底霊竜 ミズチ</v>
      </c>
    </row>
    <row r="262" spans="1:2" x14ac:dyDescent="0.15">
      <c r="A262" s="31">
        <v>776</v>
      </c>
      <c r="B262" s="7" t="str">
        <f>VLOOKUP(A262,[1]characters!$A:$C,3,FALSE)</f>
        <v>水竜底主 ミズチ</v>
      </c>
    </row>
    <row r="263" spans="1:2" x14ac:dyDescent="0.15">
      <c r="A263" s="31">
        <v>777</v>
      </c>
      <c r="B263" s="7" t="str">
        <f>VLOOKUP(A263,[1]characters!$A:$C,3,FALSE)</f>
        <v>ガメック</v>
      </c>
    </row>
    <row r="264" spans="1:2" x14ac:dyDescent="0.15">
      <c r="A264" s="31">
        <v>778</v>
      </c>
      <c r="B264" s="7" t="str">
        <f>VLOOKUP(A264,[1]characters!$A:$C,3,FALSE)</f>
        <v>一亀懸明 ガメック</v>
      </c>
    </row>
    <row r="265" spans="1:2" x14ac:dyDescent="0.15">
      <c r="A265" s="31">
        <v>779</v>
      </c>
      <c r="B265" s="7" t="str">
        <f>VLOOKUP(A265,[1]characters!$A:$C,3,FALSE)</f>
        <v>頑堅咬亀 ガメック</v>
      </c>
    </row>
    <row r="266" spans="1:2" x14ac:dyDescent="0.15">
      <c r="A266" s="31">
        <v>779</v>
      </c>
      <c r="B266" s="7" t="str">
        <f>VLOOKUP(A266,[1]characters!$A:$C,3,FALSE)</f>
        <v>頑堅咬亀 ガメック</v>
      </c>
    </row>
  </sheetData>
  <phoneticPr fontId="1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25" t="s">
        <v>21</v>
      </c>
      <c r="B1" s="25"/>
    </row>
    <row r="2" spans="1:2" x14ac:dyDescent="0.15">
      <c r="A2" s="23" t="s">
        <v>1</v>
      </c>
      <c r="B2" s="24" t="s">
        <v>23</v>
      </c>
    </row>
    <row r="3" spans="1:2" x14ac:dyDescent="0.15">
      <c r="A3" s="6">
        <v>166</v>
      </c>
      <c r="B3" s="24" t="str">
        <f>VLOOKUP(A3,[1]characters!$A:$C,3,FALSE)</f>
        <v>ベリアル</v>
      </c>
    </row>
    <row r="4" spans="1:2" x14ac:dyDescent="0.15">
      <c r="A4" s="6">
        <v>167</v>
      </c>
      <c r="B4" s="24" t="str">
        <f>VLOOKUP(A4,[1]characters!$A:$C,3,FALSE)</f>
        <v>逆徒 ベリアル</v>
      </c>
    </row>
    <row r="5" spans="1:2" x14ac:dyDescent="0.15">
      <c r="A5" s="6">
        <v>168</v>
      </c>
      <c r="B5" s="24" t="str">
        <f>VLOOKUP(A5,[1]characters!$A:$C,3,FALSE)</f>
        <v>猛進の大逆者 ベリアル</v>
      </c>
    </row>
    <row r="6" spans="1:2" x14ac:dyDescent="0.15">
      <c r="A6" s="23">
        <v>169</v>
      </c>
      <c r="B6" s="24" t="str">
        <f>VLOOKUP(A6,[1]characters!$A:$C,3,FALSE)</f>
        <v>オセ</v>
      </c>
    </row>
    <row r="7" spans="1:2" x14ac:dyDescent="0.15">
      <c r="A7" s="23">
        <v>170</v>
      </c>
      <c r="B7" s="24" t="str">
        <f>VLOOKUP(A7,[1]characters!$A:$C,3,FALSE)</f>
        <v>識徒 オセ</v>
      </c>
    </row>
    <row r="8" spans="1:2" x14ac:dyDescent="0.15">
      <c r="A8" s="23">
        <v>171</v>
      </c>
      <c r="B8" s="24" t="str">
        <f>VLOOKUP(A8,[1]characters!$A:$C,3,FALSE)</f>
        <v>精解の預知者 オセ</v>
      </c>
    </row>
    <row r="9" spans="1:2" x14ac:dyDescent="0.15">
      <c r="A9" s="23">
        <v>172</v>
      </c>
      <c r="B9" s="24" t="str">
        <f>VLOOKUP(A9,[1]characters!$A:$C,3,FALSE)</f>
        <v>フォルネウス</v>
      </c>
    </row>
    <row r="10" spans="1:2" x14ac:dyDescent="0.15">
      <c r="A10" s="23">
        <v>173</v>
      </c>
      <c r="B10" s="24" t="str">
        <f>VLOOKUP(A10,[1]characters!$A:$C,3,FALSE)</f>
        <v>公爵 フォルネウス</v>
      </c>
    </row>
    <row r="11" spans="1:2" x14ac:dyDescent="0.15">
      <c r="A11" s="23">
        <v>174</v>
      </c>
      <c r="B11" s="24" t="str">
        <f>VLOOKUP(A11,[1]characters!$A:$C,3,FALSE)</f>
        <v>偽愛の大公爵 フォルネウス</v>
      </c>
    </row>
    <row r="12" spans="1:2" x14ac:dyDescent="0.15">
      <c r="A12" s="23">
        <v>235</v>
      </c>
      <c r="B12" s="24" t="str">
        <f>VLOOKUP(A12,[1]characters!$A:$C,3,FALSE)</f>
        <v>イザナミ</v>
      </c>
    </row>
    <row r="13" spans="1:2" x14ac:dyDescent="0.15">
      <c r="A13" s="23">
        <v>236</v>
      </c>
      <c r="B13" s="24" t="str">
        <f>VLOOKUP(A13,[1]characters!$A:$C,3,FALSE)</f>
        <v>神産 イザナミ</v>
      </c>
    </row>
    <row r="14" spans="1:2" x14ac:dyDescent="0.15">
      <c r="A14" s="23">
        <v>237</v>
      </c>
      <c r="B14" s="24" t="str">
        <f>VLOOKUP(A14,[1]characters!$A:$C,3,FALSE)</f>
        <v>森羅万象の神母 イザナミ</v>
      </c>
    </row>
  </sheetData>
  <phoneticPr fontId="1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tables_7313010</vt:lpstr>
      <vt:lpstr>tables_7331010</vt:lpstr>
      <vt:lpstr>tables_7332010</vt:lpstr>
      <vt:lpstr>tables_7333010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2017-04-30T14:32:23Z</dcterms:modified>
</cp:coreProperties>
</file>