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209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no/BULL_data/master_excel/"/>
    </mc:Choice>
  </mc:AlternateContent>
  <bookViews>
    <workbookView xWindow="0" yWindow="460" windowWidth="38400" windowHeight="19620" tabRatio="740" activeTab="3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  <externalReference r:id="rId18"/>
  </externalReferences>
  <definedNames>
    <definedName name="_xlnm._FilterDatabase" localSheetId="3" hidden="1">enemy_habitat_S!$B$1:$AA$2</definedName>
    <definedName name="_xlnm._FilterDatabase" localSheetId="2" hidden="1">enemy_habitats!$B$1:$AJ$1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stage_hints_failure!$B$1:$M$3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21" l="1"/>
  <c r="I2" i="21"/>
  <c r="J2" i="21"/>
  <c r="G2" i="21"/>
  <c r="F2" i="21"/>
  <c r="D2" i="21"/>
  <c r="C2" i="21"/>
  <c r="C5" i="18"/>
  <c r="C12" i="18"/>
  <c r="D12" i="18"/>
  <c r="C11" i="18"/>
  <c r="D11" i="18"/>
  <c r="C10" i="18"/>
  <c r="D10" i="18"/>
  <c r="C9" i="18"/>
  <c r="D9" i="18"/>
  <c r="C8" i="18"/>
  <c r="D8" i="18"/>
  <c r="C7" i="18"/>
  <c r="D7" i="18"/>
  <c r="C6" i="18"/>
  <c r="D6" i="18"/>
  <c r="B6" i="21"/>
  <c r="I6" i="21"/>
  <c r="J6" i="21"/>
  <c r="G6" i="21"/>
  <c r="F6" i="21"/>
  <c r="D6" i="21"/>
  <c r="C6" i="21"/>
  <c r="A5" i="18"/>
  <c r="D5" i="18"/>
  <c r="A4" i="18"/>
  <c r="C4" i="18"/>
  <c r="D4" i="18"/>
  <c r="A3" i="18"/>
  <c r="C3" i="18"/>
  <c r="D3" i="18"/>
  <c r="B5" i="21"/>
  <c r="I5" i="21"/>
  <c r="J5" i="21"/>
  <c r="G5" i="21"/>
  <c r="F5" i="21"/>
  <c r="D5" i="21"/>
  <c r="C5" i="21"/>
  <c r="B4" i="21"/>
  <c r="I4" i="21"/>
  <c r="J4" i="21"/>
  <c r="G4" i="21"/>
  <c r="F4" i="21"/>
  <c r="D4" i="21"/>
  <c r="C4" i="21"/>
  <c r="O10" i="9"/>
  <c r="N10" i="9"/>
  <c r="M10" i="9"/>
  <c r="L10" i="9"/>
  <c r="K10" i="9"/>
  <c r="J10" i="9"/>
  <c r="I10" i="9"/>
  <c r="H10" i="9"/>
  <c r="G10" i="9"/>
  <c r="E10" i="9"/>
  <c r="D10" i="9"/>
  <c r="A10" i="9"/>
  <c r="G9" i="10"/>
  <c r="H9" i="10"/>
  <c r="I9" i="10"/>
  <c r="J9" i="10"/>
  <c r="K9" i="10"/>
  <c r="M9" i="10"/>
  <c r="T9" i="10"/>
  <c r="U9" i="10"/>
  <c r="V9" i="10"/>
  <c r="W9" i="10"/>
  <c r="X9" i="10"/>
  <c r="D9" i="9"/>
  <c r="J9" i="11"/>
  <c r="A9" i="9"/>
  <c r="E9" i="9"/>
  <c r="G9" i="9"/>
  <c r="H9" i="9"/>
  <c r="I9" i="9"/>
  <c r="J9" i="9"/>
  <c r="K9" i="9"/>
  <c r="L9" i="9"/>
  <c r="M9" i="9"/>
  <c r="N9" i="9"/>
  <c r="O9" i="9"/>
  <c r="I17" i="9"/>
  <c r="G15" i="10"/>
  <c r="G4" i="10"/>
  <c r="J17" i="11"/>
  <c r="J16" i="11"/>
  <c r="J15" i="11"/>
  <c r="J14" i="11"/>
  <c r="J13" i="11"/>
  <c r="J12" i="11"/>
  <c r="J11" i="11"/>
  <c r="J10" i="11"/>
  <c r="J8" i="11"/>
  <c r="J7" i="11"/>
  <c r="J6" i="11"/>
  <c r="J5" i="11"/>
  <c r="J4" i="11"/>
  <c r="J3" i="11"/>
  <c r="J2" i="11"/>
  <c r="E2" i="9"/>
  <c r="E3" i="9"/>
  <c r="E4" i="9"/>
  <c r="E5" i="9"/>
  <c r="E6" i="9"/>
  <c r="E7" i="9"/>
  <c r="E8" i="9"/>
  <c r="E11" i="9"/>
  <c r="E12" i="9"/>
  <c r="E13" i="9"/>
  <c r="E14" i="9"/>
  <c r="E15" i="9"/>
  <c r="E16" i="9"/>
  <c r="E17" i="9"/>
  <c r="D2" i="9"/>
  <c r="D3" i="9"/>
  <c r="D4" i="9"/>
  <c r="D5" i="9"/>
  <c r="D6" i="9"/>
  <c r="D7" i="9"/>
  <c r="D8" i="9"/>
  <c r="D11" i="9"/>
  <c r="D12" i="9"/>
  <c r="D13" i="9"/>
  <c r="D14" i="9"/>
  <c r="D15" i="9"/>
  <c r="D16" i="9"/>
  <c r="D17" i="9"/>
  <c r="G2" i="10"/>
  <c r="G3" i="10"/>
  <c r="M17" i="10"/>
  <c r="T17" i="10"/>
  <c r="W17" i="10"/>
  <c r="V17" i="10"/>
  <c r="X17" i="10"/>
  <c r="U17" i="10"/>
  <c r="Y17" i="10"/>
  <c r="N17" i="10"/>
  <c r="Q17" i="10"/>
  <c r="P17" i="10"/>
  <c r="R17" i="10"/>
  <c r="O17" i="10"/>
  <c r="S17" i="10"/>
  <c r="G17" i="10"/>
  <c r="J17" i="10"/>
  <c r="I17" i="10"/>
  <c r="K17" i="10"/>
  <c r="H17" i="10"/>
  <c r="L17" i="10"/>
  <c r="M16" i="10"/>
  <c r="T16" i="10"/>
  <c r="W16" i="10"/>
  <c r="V16" i="10"/>
  <c r="X16" i="10"/>
  <c r="U16" i="10"/>
  <c r="Y16" i="10"/>
  <c r="N16" i="10"/>
  <c r="Q16" i="10"/>
  <c r="P16" i="10"/>
  <c r="R16" i="10"/>
  <c r="O16" i="10"/>
  <c r="S16" i="10"/>
  <c r="G16" i="10"/>
  <c r="J16" i="10"/>
  <c r="I16" i="10"/>
  <c r="K16" i="10"/>
  <c r="H16" i="10"/>
  <c r="L16" i="10"/>
  <c r="M15" i="10"/>
  <c r="T15" i="10"/>
  <c r="W15" i="10"/>
  <c r="V15" i="10"/>
  <c r="X15" i="10"/>
  <c r="U15" i="10"/>
  <c r="Y15" i="10"/>
  <c r="N15" i="10"/>
  <c r="Q15" i="10"/>
  <c r="P15" i="10"/>
  <c r="R15" i="10"/>
  <c r="O15" i="10"/>
  <c r="S15" i="10"/>
  <c r="J15" i="10"/>
  <c r="I15" i="10"/>
  <c r="K15" i="10"/>
  <c r="H15" i="10"/>
  <c r="L15" i="10"/>
  <c r="M14" i="10"/>
  <c r="T14" i="10"/>
  <c r="W14" i="10"/>
  <c r="V14" i="10"/>
  <c r="X14" i="10"/>
  <c r="U14" i="10"/>
  <c r="Y14" i="10"/>
  <c r="N14" i="10"/>
  <c r="Q14" i="10"/>
  <c r="P14" i="10"/>
  <c r="R14" i="10"/>
  <c r="O14" i="10"/>
  <c r="S14" i="10"/>
  <c r="G14" i="10"/>
  <c r="J14" i="10"/>
  <c r="I14" i="10"/>
  <c r="K14" i="10"/>
  <c r="H14" i="10"/>
  <c r="L14" i="10"/>
  <c r="M13" i="10"/>
  <c r="T13" i="10"/>
  <c r="W13" i="10"/>
  <c r="V13" i="10"/>
  <c r="X13" i="10"/>
  <c r="U13" i="10"/>
  <c r="Y13" i="10"/>
  <c r="N13" i="10"/>
  <c r="Q13" i="10"/>
  <c r="P13" i="10"/>
  <c r="R13" i="10"/>
  <c r="O13" i="10"/>
  <c r="S13" i="10"/>
  <c r="G13" i="10"/>
  <c r="J13" i="10"/>
  <c r="I13" i="10"/>
  <c r="K13" i="10"/>
  <c r="H13" i="10"/>
  <c r="L13" i="10"/>
  <c r="O13" i="9"/>
  <c r="O2" i="9"/>
  <c r="O3" i="9"/>
  <c r="O4" i="9"/>
  <c r="O5" i="9"/>
  <c r="O6" i="9"/>
  <c r="O7" i="9"/>
  <c r="O8" i="9"/>
  <c r="O11" i="9"/>
  <c r="O12" i="9"/>
  <c r="O14" i="9"/>
  <c r="O15" i="9"/>
  <c r="O16" i="9"/>
  <c r="O17" i="9"/>
  <c r="N17" i="9"/>
  <c r="N16" i="9"/>
  <c r="N15" i="9"/>
  <c r="N14" i="9"/>
  <c r="N13" i="9"/>
  <c r="M5" i="9"/>
  <c r="M4" i="9"/>
  <c r="M3" i="9"/>
  <c r="M2" i="9"/>
  <c r="M11" i="9"/>
  <c r="M8" i="9"/>
  <c r="M7" i="9"/>
  <c r="M15" i="9"/>
  <c r="M14" i="9"/>
  <c r="M13" i="9"/>
  <c r="M17" i="9"/>
  <c r="L16" i="9"/>
  <c r="L15" i="9"/>
  <c r="L12" i="9"/>
  <c r="L11" i="9"/>
  <c r="L8" i="9"/>
  <c r="L7" i="9"/>
  <c r="L5" i="9"/>
  <c r="L3" i="9"/>
  <c r="K17" i="9"/>
  <c r="K16" i="9"/>
  <c r="K15" i="9"/>
  <c r="K14" i="9"/>
  <c r="K13" i="9"/>
  <c r="K12" i="9"/>
  <c r="K11" i="9"/>
  <c r="K8" i="9"/>
  <c r="K7" i="9"/>
  <c r="K6" i="9"/>
  <c r="K5" i="9"/>
  <c r="K4" i="9"/>
  <c r="K3" i="9"/>
  <c r="K2" i="9"/>
  <c r="J16" i="9"/>
  <c r="J15" i="9"/>
  <c r="J14" i="9"/>
  <c r="J12" i="9"/>
  <c r="J11" i="9"/>
  <c r="J8" i="9"/>
  <c r="J7" i="9"/>
  <c r="J6" i="9"/>
  <c r="J5" i="9"/>
  <c r="J3" i="9"/>
  <c r="J2" i="9"/>
  <c r="I16" i="9"/>
  <c r="I15" i="9"/>
  <c r="I14" i="9"/>
  <c r="I13" i="9"/>
  <c r="I12" i="9"/>
  <c r="I11" i="9"/>
  <c r="I8" i="9"/>
  <c r="I7" i="9"/>
  <c r="I5" i="9"/>
  <c r="I4" i="9"/>
  <c r="I3" i="9"/>
  <c r="I2" i="9"/>
  <c r="H17" i="9"/>
  <c r="H16" i="9"/>
  <c r="H15" i="9"/>
  <c r="H14" i="9"/>
  <c r="H13" i="9"/>
  <c r="H12" i="9"/>
  <c r="H11" i="9"/>
  <c r="H8" i="9"/>
  <c r="H7" i="9"/>
  <c r="H6" i="9"/>
  <c r="H5" i="9"/>
  <c r="H4" i="9"/>
  <c r="H3" i="9"/>
  <c r="H2" i="9"/>
  <c r="G17" i="9"/>
  <c r="G16" i="9"/>
  <c r="G15" i="9"/>
  <c r="G13" i="9"/>
  <c r="G12" i="9"/>
  <c r="G11" i="9"/>
  <c r="G8" i="9"/>
  <c r="G7" i="9"/>
  <c r="G6" i="9"/>
  <c r="G4" i="9"/>
  <c r="G3" i="9"/>
  <c r="M12" i="10"/>
  <c r="T12" i="10"/>
  <c r="W12" i="10"/>
  <c r="V12" i="10"/>
  <c r="X12" i="10"/>
  <c r="U12" i="10"/>
  <c r="Y12" i="10"/>
  <c r="N12" i="10"/>
  <c r="Q12" i="10"/>
  <c r="P12" i="10"/>
  <c r="R12" i="10"/>
  <c r="O12" i="10"/>
  <c r="S12" i="10"/>
  <c r="G12" i="10"/>
  <c r="J12" i="10"/>
  <c r="I12" i="10"/>
  <c r="K12" i="10"/>
  <c r="H12" i="10"/>
  <c r="L12" i="10"/>
  <c r="M11" i="10"/>
  <c r="T11" i="10"/>
  <c r="W11" i="10"/>
  <c r="V11" i="10"/>
  <c r="X11" i="10"/>
  <c r="U11" i="10"/>
  <c r="Y11" i="10"/>
  <c r="N11" i="10"/>
  <c r="Q11" i="10"/>
  <c r="P11" i="10"/>
  <c r="R11" i="10"/>
  <c r="O11" i="10"/>
  <c r="S11" i="10"/>
  <c r="G11" i="10"/>
  <c r="J11" i="10"/>
  <c r="I11" i="10"/>
  <c r="K11" i="10"/>
  <c r="H11" i="10"/>
  <c r="L11" i="10"/>
  <c r="M10" i="10"/>
  <c r="T10" i="10"/>
  <c r="W10" i="10"/>
  <c r="V10" i="10"/>
  <c r="X10" i="10"/>
  <c r="U10" i="10"/>
  <c r="Y10" i="10"/>
  <c r="N10" i="10"/>
  <c r="Q10" i="10"/>
  <c r="P10" i="10"/>
  <c r="R10" i="10"/>
  <c r="O10" i="10"/>
  <c r="S10" i="10"/>
  <c r="G10" i="10"/>
  <c r="J10" i="10"/>
  <c r="I10" i="10"/>
  <c r="K10" i="10"/>
  <c r="H10" i="10"/>
  <c r="L10" i="10"/>
  <c r="M8" i="10"/>
  <c r="T8" i="10"/>
  <c r="W8" i="10"/>
  <c r="V8" i="10"/>
  <c r="X8" i="10"/>
  <c r="U8" i="10"/>
  <c r="Y8" i="10"/>
  <c r="N8" i="10"/>
  <c r="Q8" i="10"/>
  <c r="P8" i="10"/>
  <c r="R8" i="10"/>
  <c r="O8" i="10"/>
  <c r="S8" i="10"/>
  <c r="G8" i="10"/>
  <c r="J8" i="10"/>
  <c r="I8" i="10"/>
  <c r="K8" i="10"/>
  <c r="H8" i="10"/>
  <c r="L8" i="10"/>
  <c r="M7" i="10"/>
  <c r="T7" i="10"/>
  <c r="W7" i="10"/>
  <c r="V7" i="10"/>
  <c r="X7" i="10"/>
  <c r="U7" i="10"/>
  <c r="Y7" i="10"/>
  <c r="N7" i="10"/>
  <c r="Q7" i="10"/>
  <c r="P7" i="10"/>
  <c r="R7" i="10"/>
  <c r="O7" i="10"/>
  <c r="S7" i="10"/>
  <c r="G7" i="10"/>
  <c r="J7" i="10"/>
  <c r="I7" i="10"/>
  <c r="K7" i="10"/>
  <c r="H7" i="10"/>
  <c r="L7" i="10"/>
  <c r="M6" i="10"/>
  <c r="T6" i="10"/>
  <c r="W6" i="10"/>
  <c r="V6" i="10"/>
  <c r="X6" i="10"/>
  <c r="U6" i="10"/>
  <c r="Y6" i="10"/>
  <c r="N6" i="10"/>
  <c r="Q6" i="10"/>
  <c r="P6" i="10"/>
  <c r="R6" i="10"/>
  <c r="O6" i="10"/>
  <c r="S6" i="10"/>
  <c r="G6" i="10"/>
  <c r="J6" i="10"/>
  <c r="I6" i="10"/>
  <c r="K6" i="10"/>
  <c r="H6" i="10"/>
  <c r="L6" i="10"/>
  <c r="M5" i="10"/>
  <c r="T5" i="10"/>
  <c r="W5" i="10"/>
  <c r="V5" i="10"/>
  <c r="X5" i="10"/>
  <c r="U5" i="10"/>
  <c r="Y5" i="10"/>
  <c r="N5" i="10"/>
  <c r="Q5" i="10"/>
  <c r="P5" i="10"/>
  <c r="R5" i="10"/>
  <c r="O5" i="10"/>
  <c r="S5" i="10"/>
  <c r="G5" i="10"/>
  <c r="J5" i="10"/>
  <c r="I5" i="10"/>
  <c r="K5" i="10"/>
  <c r="H5" i="10"/>
  <c r="L5" i="10"/>
  <c r="M4" i="10"/>
  <c r="T4" i="10"/>
  <c r="W4" i="10"/>
  <c r="V4" i="10"/>
  <c r="X4" i="10"/>
  <c r="U4" i="10"/>
  <c r="Y4" i="10"/>
  <c r="N4" i="10"/>
  <c r="Q4" i="10"/>
  <c r="P4" i="10"/>
  <c r="R4" i="10"/>
  <c r="O4" i="10"/>
  <c r="S4" i="10"/>
  <c r="J4" i="10"/>
  <c r="I4" i="10"/>
  <c r="K4" i="10"/>
  <c r="H4" i="10"/>
  <c r="L4" i="10"/>
  <c r="M3" i="10"/>
  <c r="T3" i="10"/>
  <c r="W3" i="10"/>
  <c r="V3" i="10"/>
  <c r="X3" i="10"/>
  <c r="U3" i="10"/>
  <c r="Y3" i="10"/>
  <c r="N3" i="10"/>
  <c r="Q3" i="10"/>
  <c r="P3" i="10"/>
  <c r="R3" i="10"/>
  <c r="O3" i="10"/>
  <c r="S3" i="10"/>
  <c r="J3" i="10"/>
  <c r="I3" i="10"/>
  <c r="K3" i="10"/>
  <c r="H3" i="10"/>
  <c r="L3" i="10"/>
  <c r="M2" i="10"/>
  <c r="T2" i="10"/>
  <c r="W2" i="10"/>
  <c r="V2" i="10"/>
  <c r="X2" i="10"/>
  <c r="U2" i="10"/>
  <c r="Y2" i="10"/>
  <c r="N2" i="10"/>
  <c r="Q2" i="10"/>
  <c r="P2" i="10"/>
  <c r="R2" i="10"/>
  <c r="O2" i="10"/>
  <c r="S2" i="10"/>
  <c r="J2" i="10"/>
  <c r="I2" i="10"/>
  <c r="K2" i="10"/>
  <c r="H2" i="10"/>
  <c r="L2" i="10"/>
  <c r="N2" i="9"/>
  <c r="N3" i="9"/>
  <c r="N4" i="9"/>
  <c r="N5" i="9"/>
  <c r="N6" i="9"/>
  <c r="N7" i="9"/>
  <c r="N8" i="9"/>
  <c r="N11" i="9"/>
  <c r="N12" i="9"/>
  <c r="A17" i="9"/>
  <c r="A16" i="9"/>
  <c r="A15" i="9"/>
  <c r="A14" i="9"/>
  <c r="A13" i="9"/>
  <c r="A12" i="9"/>
  <c r="A11" i="9"/>
  <c r="A8" i="9"/>
  <c r="A5" i="9"/>
  <c r="A7" i="9"/>
  <c r="A6" i="9"/>
  <c r="A4" i="9"/>
  <c r="A3" i="9"/>
  <c r="A2" i="9"/>
  <c r="X2" i="1"/>
  <c r="Y2" i="7"/>
  <c r="X3" i="1"/>
  <c r="A2" i="1"/>
  <c r="N2" i="7"/>
  <c r="V7" i="1"/>
  <c r="AD7" i="1"/>
  <c r="AF7" i="1"/>
  <c r="AI7" i="1"/>
  <c r="AG7" i="1"/>
  <c r="AE7" i="1"/>
  <c r="X7" i="1"/>
  <c r="T7" i="1"/>
  <c r="Q7" i="1"/>
  <c r="P7" i="1"/>
  <c r="O7" i="1"/>
  <c r="N7" i="1"/>
  <c r="M7" i="1"/>
  <c r="H7" i="1"/>
  <c r="G2" i="2"/>
  <c r="A2" i="2"/>
  <c r="G3" i="2"/>
  <c r="A3" i="2"/>
  <c r="G4" i="2"/>
  <c r="A4" i="2"/>
  <c r="G5" i="2"/>
  <c r="A5" i="2"/>
  <c r="J7" i="1"/>
  <c r="I7" i="1"/>
  <c r="D7" i="1"/>
  <c r="F7" i="1"/>
  <c r="E7" i="1"/>
  <c r="A7" i="1"/>
  <c r="AD6" i="1"/>
  <c r="AF6" i="1"/>
  <c r="AI6" i="1"/>
  <c r="AG6" i="1"/>
  <c r="AE6" i="1"/>
  <c r="X6" i="1"/>
  <c r="V6" i="1"/>
  <c r="T6" i="1"/>
  <c r="Q6" i="1"/>
  <c r="P6" i="1"/>
  <c r="O6" i="1"/>
  <c r="N6" i="1"/>
  <c r="M6" i="1"/>
  <c r="H6" i="1"/>
  <c r="J6" i="1"/>
  <c r="I6" i="1"/>
  <c r="D6" i="1"/>
  <c r="F6" i="1"/>
  <c r="E6" i="1"/>
  <c r="A6" i="1"/>
  <c r="AD5" i="1"/>
  <c r="AF5" i="1"/>
  <c r="AI5" i="1"/>
  <c r="AG5" i="1"/>
  <c r="AE5" i="1"/>
  <c r="AC5" i="1"/>
  <c r="X5" i="1"/>
  <c r="V5" i="1"/>
  <c r="T5" i="1"/>
  <c r="Q5" i="1"/>
  <c r="P5" i="1"/>
  <c r="O5" i="1"/>
  <c r="N5" i="1"/>
  <c r="M5" i="1"/>
  <c r="H5" i="1"/>
  <c r="J5" i="1"/>
  <c r="I5" i="1"/>
  <c r="D5" i="1"/>
  <c r="F5" i="1"/>
  <c r="E5" i="1"/>
  <c r="A5" i="1"/>
  <c r="AD4" i="1"/>
  <c r="AF4" i="1"/>
  <c r="AI4" i="1"/>
  <c r="AG4" i="1"/>
  <c r="AE4" i="1"/>
  <c r="X4" i="1"/>
  <c r="V4" i="1"/>
  <c r="T4" i="1"/>
  <c r="Q4" i="1"/>
  <c r="P4" i="1"/>
  <c r="O4" i="1"/>
  <c r="N4" i="1"/>
  <c r="M4" i="1"/>
  <c r="H4" i="1"/>
  <c r="J4" i="1"/>
  <c r="I4" i="1"/>
  <c r="D4" i="1"/>
  <c r="F4" i="1"/>
  <c r="E4" i="1"/>
  <c r="A4" i="1"/>
  <c r="AD3" i="1"/>
  <c r="AF3" i="1"/>
  <c r="AI3" i="1"/>
  <c r="AG3" i="1"/>
  <c r="AE3" i="1"/>
  <c r="V3" i="1"/>
  <c r="T3" i="1"/>
  <c r="Q3" i="1"/>
  <c r="P3" i="1"/>
  <c r="O3" i="1"/>
  <c r="N3" i="1"/>
  <c r="M3" i="1"/>
  <c r="H3" i="1"/>
  <c r="J3" i="1"/>
  <c r="I3" i="1"/>
  <c r="D3" i="1"/>
  <c r="F3" i="1"/>
  <c r="E3" i="1"/>
  <c r="A3" i="1"/>
  <c r="H5" i="2"/>
  <c r="E5" i="2"/>
  <c r="D5" i="2"/>
  <c r="H2" i="1"/>
  <c r="B5" i="2"/>
  <c r="H4" i="2"/>
  <c r="E4" i="2"/>
  <c r="D4" i="2"/>
  <c r="B4" i="2"/>
  <c r="H3" i="2"/>
  <c r="E3" i="2"/>
  <c r="D3" i="2"/>
  <c r="B3" i="2"/>
  <c r="W2" i="7"/>
  <c r="U2" i="7"/>
  <c r="V2" i="1"/>
  <c r="T2" i="1"/>
  <c r="N3" i="22"/>
  <c r="G3" i="22"/>
  <c r="F3" i="22"/>
  <c r="D3" i="22"/>
  <c r="C3" i="22"/>
  <c r="A3" i="22"/>
  <c r="E13" i="16"/>
  <c r="N2" i="22"/>
  <c r="G2" i="22"/>
  <c r="F2" i="22"/>
  <c r="D2" i="22"/>
  <c r="C2" i="22"/>
  <c r="A2" i="22"/>
  <c r="B3" i="19"/>
  <c r="C3" i="19"/>
  <c r="D3" i="19"/>
  <c r="F3" i="19"/>
  <c r="G3" i="19"/>
  <c r="B4" i="19"/>
  <c r="C4" i="19"/>
  <c r="D4" i="19"/>
  <c r="F4" i="19"/>
  <c r="G4" i="19"/>
  <c r="B5" i="19"/>
  <c r="C5" i="19"/>
  <c r="D5" i="19"/>
  <c r="F5" i="19"/>
  <c r="G5" i="19"/>
  <c r="B6" i="19"/>
  <c r="C6" i="19"/>
  <c r="D6" i="19"/>
  <c r="F6" i="19"/>
  <c r="G6" i="19"/>
  <c r="B7" i="19"/>
  <c r="C7" i="19"/>
  <c r="D7" i="19"/>
  <c r="F7" i="19"/>
  <c r="G7" i="19"/>
  <c r="B8" i="19"/>
  <c r="C8" i="19"/>
  <c r="D8" i="19"/>
  <c r="F8" i="19"/>
  <c r="G8" i="19"/>
  <c r="B9" i="19"/>
  <c r="C9" i="19"/>
  <c r="D9" i="19"/>
  <c r="F9" i="19"/>
  <c r="G9" i="19"/>
  <c r="B10" i="19"/>
  <c r="C10" i="19"/>
  <c r="D10" i="19"/>
  <c r="F10" i="19"/>
  <c r="G10" i="19"/>
  <c r="B11" i="19"/>
  <c r="C11" i="19"/>
  <c r="D11" i="19"/>
  <c r="F11" i="19"/>
  <c r="G11" i="19"/>
  <c r="B12" i="19"/>
  <c r="C12" i="19"/>
  <c r="D12" i="19"/>
  <c r="F12" i="19"/>
  <c r="G12" i="19"/>
  <c r="B13" i="19"/>
  <c r="C13" i="19"/>
  <c r="D13" i="19"/>
  <c r="F13" i="19"/>
  <c r="G13" i="19"/>
  <c r="B14" i="19"/>
  <c r="C14" i="19"/>
  <c r="D14" i="19"/>
  <c r="F14" i="19"/>
  <c r="G14" i="19"/>
  <c r="B15" i="19"/>
  <c r="C15" i="19"/>
  <c r="D15" i="19"/>
  <c r="F15" i="19"/>
  <c r="G15" i="19"/>
  <c r="B16" i="19"/>
  <c r="C16" i="19"/>
  <c r="D16" i="19"/>
  <c r="F16" i="19"/>
  <c r="G16" i="19"/>
  <c r="B2" i="19"/>
  <c r="C2" i="19"/>
  <c r="D2" i="19"/>
  <c r="F2" i="19"/>
  <c r="G2" i="19"/>
  <c r="K2" i="19"/>
  <c r="L2" i="19"/>
  <c r="K3" i="19"/>
  <c r="L3" i="19"/>
  <c r="K4" i="19"/>
  <c r="L4" i="19"/>
  <c r="K5" i="19"/>
  <c r="L5" i="19"/>
  <c r="K6" i="19"/>
  <c r="L6" i="19"/>
  <c r="K7" i="19"/>
  <c r="L7" i="19"/>
  <c r="K8" i="19"/>
  <c r="L8" i="19"/>
  <c r="K9" i="19"/>
  <c r="L9" i="19"/>
  <c r="K10" i="19"/>
  <c r="L10" i="19"/>
  <c r="K11" i="19"/>
  <c r="L11" i="19"/>
  <c r="K12" i="19"/>
  <c r="L12" i="19"/>
  <c r="K13" i="19"/>
  <c r="L13" i="19"/>
  <c r="K14" i="19"/>
  <c r="L14" i="19"/>
  <c r="K15" i="19"/>
  <c r="L15" i="19"/>
  <c r="K16" i="19"/>
  <c r="L16" i="19"/>
  <c r="B3" i="21"/>
  <c r="I3" i="21"/>
  <c r="J3" i="21"/>
  <c r="G3" i="21"/>
  <c r="F3" i="21"/>
  <c r="D3" i="21"/>
  <c r="C3" i="21"/>
  <c r="E12" i="16"/>
  <c r="E11" i="16"/>
  <c r="E10" i="16"/>
  <c r="A2" i="18"/>
  <c r="C2" i="18"/>
  <c r="D2" i="18"/>
  <c r="E9" i="16"/>
  <c r="R2" i="7"/>
  <c r="Q2" i="7"/>
  <c r="P2" i="7"/>
  <c r="O2" i="7"/>
  <c r="AD2" i="1"/>
  <c r="AG2" i="1"/>
  <c r="AF2" i="1"/>
  <c r="AE2" i="1"/>
  <c r="Q2" i="1"/>
  <c r="P2" i="1"/>
  <c r="O2" i="1"/>
  <c r="N2" i="1"/>
  <c r="M2" i="1"/>
  <c r="H2" i="7"/>
  <c r="J2" i="7"/>
  <c r="E8" i="16"/>
  <c r="E7" i="16"/>
  <c r="E6" i="16"/>
  <c r="E5" i="16"/>
  <c r="E4" i="16"/>
  <c r="E3" i="16"/>
  <c r="E2" i="16"/>
  <c r="AI2" i="1"/>
  <c r="J2" i="1"/>
  <c r="I2" i="1"/>
  <c r="D2" i="1"/>
  <c r="F2" i="1"/>
  <c r="E2" i="1"/>
  <c r="A2" i="7"/>
  <c r="I2" i="7"/>
  <c r="D2" i="7"/>
  <c r="F2" i="7"/>
  <c r="E2" i="7"/>
  <c r="D2" i="2"/>
  <c r="E2" i="2"/>
  <c r="H2" i="2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<sst xmlns="http://schemas.openxmlformats.org/spreadsheetml/2006/main" count="627" uniqueCount="312">
  <si>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</si>
  <si>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</si>
  <si>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</si>
  <si>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</si>
  <si>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</si>
  <si>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</si>
  <si>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</si>
  <si>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</si>
  <si>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</si>
  <si>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</si>
  <si>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</si>
  <si>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</si>
  <si>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</si>
  <si>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</si>
  <si>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</si>
  <si>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</si>
  <si>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</si>
  <si>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</si>
  <si>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</si>
  <si>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</si>
  <si>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</si>
  <si>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</si>
  <si>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</si>
  <si>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</si>
  <si>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</si>
  <si>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</si>
  <si>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</si>
  <si>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</si>
  <si>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</si>
  <si>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</si>
  <si>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</si>
  <si>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</si>
  <si>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</si>
  <si>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</si>
  <si>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</si>
  <si>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</si>
  <si>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</si>
  <si>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</si>
  <si>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</si>
  <si>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</si>
  <si>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</si>
  <si>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</si>
  <si>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</si>
  <si>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</si>
  <si>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</si>
  <si>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</si>
  <si>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</si>
  <si>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</si>
  <si>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</si>
  <si>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</si>
  <si>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</si>
  <si>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</si>
  <si>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</si>
  <si>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</si>
  <si>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</si>
  <si>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</si>
  <si>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</si>
  <si>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</si>
  <si>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</si>
  <si>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</si>
  <si>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</si>
  <si>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</si>
  <si>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</si>
  <si>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</si>
  <si>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</si>
  <si>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</si>
  <si>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</si>
  <si>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</si>
  <si>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</si>
  <si>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</si>
  <si>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</si>
  <si>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</si>
  <si>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</si>
  <si>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</si>
  <si>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</si>
  <si>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</si>
  <si>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</si>
  <si>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</si>
  <si>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</si>
  <si>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</si>
  <si>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</si>
  <si>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</si>
  <si>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</si>
  <si>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</si>
  <si>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</si>
  <si>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</si>
  <si>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</si>
  <si>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</si>
  <si>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</si>
  <si>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</si>
  <si>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</si>
  <si>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</si>
  <si>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</si>
  <si>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</si>
  <si>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</si>
  <si>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</si>
  <si>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</si>
  <si>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</si>
  <si>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</si>
  <si>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</si>
  <si>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</si>
  <si>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</si>
  <si>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</si>
  <si>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</si>
  <si>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</si>
  <si>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</si>
  <si>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</si>
  <si>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</si>
  <si>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</si>
  <si>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</si>
  <si>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</si>
  <si>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</si>
  <si>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</si>
  <si>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</si>
  <si>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</si>
  <si>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</si>
  <si>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</si>
  <si>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</si>
  <si>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</si>
  <si>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</si>
  <si>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</si>
  <si>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</si>
  <si>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</si>
  <si>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</si>
  <si>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</si>
  <si>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</si>
  <si>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</si>
  <si>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</si>
  <si>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</si>
  <si>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</si>
  <si>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</si>
  <si>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</si>
  <si>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</si>
  <si>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</si>
  <si>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</si>
  <si>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</si>
  <si>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</si>
  <si>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</si>
  <si>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</si>
  <si>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</si>
  <si>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</si>
  <si>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</si>
  <si>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</si>
  <si>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</si>
  <si>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</si>
  <si>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</si>
  <si>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</si>
  <si>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</si>
  <si>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</si>
  <si>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</si>
  <si>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</si>
  <si>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</si>
  <si>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</si>
  <si>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</si>
  <si>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</si>
  <si>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</si>
  <si>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</si>
  <si>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</si>
  <si>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</si>
  <si>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</si>
  <si>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</si>
  <si>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</si>
  <si>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</si>
  <si>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</si>
  <si>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</si>
  <si>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</si>
  <si>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</si>
  <si>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</si>
  <si>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null</t>
    <phoneticPr fontId="5"/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</si>
  <si>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</si>
  <si>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</si>
  <si>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</si>
  <si>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</si>
  <si>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</si>
  <si>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</si>
  <si>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</si>
  <si>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</si>
  <si>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</si>
  <si>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</si>
  <si>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</si>
  <si>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</si>
  <si>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</si>
  <si>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</si>
  <si>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</si>
  <si>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</si>
  <si>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</si>
  <si>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</si>
  <si>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</si>
  <si>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</si>
  <si>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</si>
  <si>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</si>
  <si>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</si>
  <si>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</si>
  <si>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</si>
  <si>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</si>
  <si>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</si>
  <si>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</si>
  <si>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</si>
  <si>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NULL</t>
    <phoneticPr fontId="5"/>
  </si>
  <si>
    <t>complete</t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</si>
  <si>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</si>
  <si>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</si>
  <si>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</si>
  <si>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</si>
  <si>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</si>
  <si>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</si>
  <si>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</si>
  <si>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</si>
  <si>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</si>
  <si>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NULL</t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</si>
  <si>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</si>
  <si>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</si>
  <si>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</si>
  <si>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</si>
  <si>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</si>
  <si>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</si>
  <si>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</si>
  <si>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</si>
  <si>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</si>
  <si>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</si>
  <si>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</si>
  <si>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</si>
  <si>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</si>
  <si>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</si>
  <si>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</si>
  <si>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</si>
  <si>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</si>
  <si>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clear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</si>
  <si>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</si>
  <si>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</si>
  <si>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</si>
  <si>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</si>
  <si>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</si>
  <si>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</si>
  <si>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</si>
  <si>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</si>
  <si>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</si>
  <si>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</si>
  <si>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</si>
  <si>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</si>
  <si>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</si>
  <si>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</si>
  <si>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</si>
  <si>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</si>
  <si>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</si>
  <si>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</si>
  <si>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</si>
  <si>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</si>
  <si>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</si>
  <si>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</si>
  <si>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</si>
  <si>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</si>
  <si>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</si>
  <si>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skip</t>
    <phoneticPr fontId="7"/>
  </si>
  <si>
    <t>hp</t>
    <phoneticPr fontId="5"/>
  </si>
  <si>
    <t>attack</t>
    <phoneticPr fontId="5"/>
  </si>
  <si>
    <t>攻略のヒント</t>
    <rPh sb="0" eb="2">
      <t>コウリャク</t>
    </rPh>
    <phoneticPr fontId="5"/>
  </si>
  <si>
    <t>null</t>
    <phoneticPr fontId="5"/>
  </si>
  <si>
    <t>old</t>
  </si>
  <si>
    <t>2回連続攻撃</t>
    <rPh sb="1" eb="6">
      <t>k</t>
    </rPh>
    <phoneticPr fontId="5"/>
  </si>
  <si>
    <t>緑パネル3個プロテクト</t>
    <rPh sb="0" eb="1">
      <t>ミドr</t>
    </rPh>
    <rPh sb="5" eb="6">
      <t>コ</t>
    </rPh>
    <phoneticPr fontId="5"/>
  </si>
  <si>
    <t>単体攻撃+緑パネル2個プロテクト</t>
    <rPh sb="0" eb="4">
      <t>タンタ</t>
    </rPh>
    <rPh sb="5" eb="6">
      <t>ミドr</t>
    </rPh>
    <rPh sb="10" eb="11">
      <t>k</t>
    </rPh>
    <phoneticPr fontId="5"/>
  </si>
  <si>
    <t>緑パネル10個プロテクト+4個ランダムプロテクト</t>
  </si>
  <si>
    <t>全体攻撃</t>
  </si>
  <si>
    <t>緑パネル8個プロテクト+ランダム3個プロテクト</t>
    <phoneticPr fontId="5"/>
  </si>
  <si>
    <t>赤パネルを緑パネルに変換+緑パネル全てプロテクト</t>
    <phoneticPr fontId="5"/>
  </si>
  <si>
    <t>単体攻撃+緑パネル3個プロテクト</t>
    <phoneticPr fontId="5"/>
  </si>
  <si>
    <t>緑パネル吸収+吸収した数に応じて強力な攻撃</t>
  </si>
  <si>
    <t>[effect:rush, count:2, val:0.6]</t>
    <phoneticPr fontId="5"/>
  </si>
  <si>
    <t>[effect:spread, val:0.5, animation:enemy_spread]</t>
    <phoneticPr fontId="5"/>
  </si>
  <si>
    <t>[effect:panel_freeze, target:normal, color:block_green, count:3]</t>
    <phoneticPr fontId="5"/>
  </si>
  <si>
    <t>[effect:rush, count:1, val:1],[effect:panel_freeze, target:normal, color:block_green, count:2]</t>
    <phoneticPr fontId="5"/>
  </si>
  <si>
    <t>[effect:panel_freeze, target:normal, color:block_green, count:10],[effect:panel_freeze, target:block_all, count:4]</t>
    <phoneticPr fontId="5"/>
  </si>
  <si>
    <t>[effect:panel_freeze, target:normal, color:block_green, count:8],[effect:panel_freeze, target:block_all, count:3]</t>
    <phoneticPr fontId="5"/>
  </si>
  <si>
    <t>[effect:force_change_block, new_block:block_green, target:block_red, ignore01:crash, count:0, val:0, animation:change_block],[effect:panel_freeze, target:normal, color:block_green, count:-1]</t>
    <phoneticPr fontId="5"/>
  </si>
  <si>
    <t>[effect:rush, count:1, val:1],[effect:panel_freeze, target:normal, color:block_green, count:3]</t>
    <phoneticPr fontId="5"/>
  </si>
  <si>
    <t>Cパネル破壊+攻撃力UP</t>
    <rPh sb="4" eb="6">
      <t>ハカ</t>
    </rPh>
    <rPh sb="7" eb="10">
      <t>コウゲキリョクky</t>
    </rPh>
    <phoneticPr fontId="5"/>
  </si>
  <si>
    <t xml:space="preserve">[effect:spread, val:0.3, animation:enemy_spread],[effect:panel_freeze, target:crash, count:-1]    </t>
    <phoneticPr fontId="5"/>
  </si>
  <si>
    <t>全体攻撃+Cパネル全てプロテクト</t>
    <rPh sb="0" eb="4">
      <t>ゼンタ</t>
    </rPh>
    <rPh sb="9" eb="10">
      <t>スベt</t>
    </rPh>
    <phoneticPr fontId="5"/>
  </si>
  <si>
    <t>ピーターパンはHPが半分以下になると
Cパネルを吸収して攻撃力を上げてきます
Cパネルを処理してダメージを与えましょう</t>
    <rPh sb="10" eb="14">
      <t>ハンブn</t>
    </rPh>
    <rPh sb="24" eb="26">
      <t>キュウシュ</t>
    </rPh>
    <rPh sb="28" eb="31">
      <t>コウゲk</t>
    </rPh>
    <rPh sb="45" eb="47">
      <t>sy</t>
    </rPh>
    <rPh sb="54" eb="55">
      <t>アタ</t>
    </rPh>
    <phoneticPr fontId="5"/>
  </si>
  <si>
    <t>ゆららのHPはとても多いです
ファータを倒すとゆららのHPが減少します</t>
    <rPh sb="10" eb="11">
      <t>オオ</t>
    </rPh>
    <rPh sb="21" eb="22">
      <t>タオs</t>
    </rPh>
    <rPh sb="31" eb="33">
      <t>ゲンショ</t>
    </rPh>
    <phoneticPr fontId="5"/>
  </si>
  <si>
    <t>[effect:suicide, target:enemy_all, val:0.5, dead_type:escape, animation:enemy_suicide]</t>
    <phoneticPr fontId="5"/>
  </si>
  <si>
    <t>アウリはプロテクトを多用してくるので
スキルを使いプロテクトを処理しましょう</t>
    <rPh sb="10" eb="12">
      <t>タヨ</t>
    </rPh>
    <rPh sb="23" eb="24">
      <t>ツカ</t>
    </rPh>
    <rPh sb="31" eb="33">
      <t>ショr</t>
    </rPh>
    <phoneticPr fontId="5"/>
  </si>
  <si>
    <t>何見てんだよ</t>
    <rPh sb="0" eb="2">
      <t>ナニm</t>
    </rPh>
    <phoneticPr fontId="5"/>
  </si>
  <si>
    <t>子供のままで何が悪い</t>
    <rPh sb="0" eb="2">
      <t>コドm</t>
    </rPh>
    <rPh sb="6" eb="7">
      <t>ナニg</t>
    </rPh>
    <phoneticPr fontId="5"/>
  </si>
  <si>
    <t>えい</t>
    <phoneticPr fontId="5"/>
  </si>
  <si>
    <t>そい</t>
    <phoneticPr fontId="5"/>
  </si>
  <si>
    <t>[effect:panel_freeze, target:block_all, count:4]</t>
    <phoneticPr fontId="5"/>
  </si>
  <si>
    <t>パネルを4個プロテクト状態にする</t>
    <phoneticPr fontId="5"/>
  </si>
  <si>
    <t>そーれ</t>
    <phoneticPr fontId="5"/>
  </si>
  <si>
    <t>元気？</t>
    <rPh sb="0" eb="2">
      <t>ゲンk</t>
    </rPh>
    <phoneticPr fontId="5"/>
  </si>
  <si>
    <t>ようこそ！</t>
    <phoneticPr fontId="5"/>
  </si>
  <si>
    <t>それ！</t>
    <phoneticPr fontId="5"/>
  </si>
  <si>
    <t>いくよー！</t>
    <phoneticPr fontId="5"/>
  </si>
  <si>
    <t>痛いじゃないか！</t>
    <rPh sb="0" eb="1">
      <t>イタイ</t>
    </rPh>
    <phoneticPr fontId="5"/>
  </si>
  <si>
    <t>これでどうかな？</t>
    <phoneticPr fontId="5"/>
  </si>
  <si>
    <t>どーん！</t>
    <phoneticPr fontId="5"/>
  </si>
  <si>
    <t>そーれ！</t>
    <phoneticPr fontId="5"/>
  </si>
  <si>
    <t>プレゼント</t>
    <phoneticPr fontId="5"/>
  </si>
  <si>
    <t>link</t>
  </si>
  <si>
    <t>unit</t>
  </si>
  <si>
    <t>アウリのHPが一定以下になった時
緑パネルを吸収した強力な攻撃がきます
フィーバーで使われる前に押し切りましょう</t>
    <rPh sb="9" eb="11">
      <t>イッt</t>
    </rPh>
    <rPh sb="15" eb="16">
      <t>トk</t>
    </rPh>
    <rPh sb="17" eb="18">
      <t>ミドr</t>
    </rPh>
    <rPh sb="26" eb="28">
      <t>キュウシュ</t>
    </rPh>
    <rPh sb="43" eb="44">
      <t>ツカ</t>
    </rPh>
    <phoneticPr fontId="5"/>
  </si>
  <si>
    <t>頑張れ</t>
    <rPh sb="0" eb="2">
      <t>ガンバr</t>
    </rPh>
    <phoneticPr fontId="5"/>
  </si>
  <si>
    <t>防御力UP+赤パネル全てプロテクト</t>
    <rPh sb="0" eb="3">
      <t>ボウギョリョク</t>
    </rPh>
    <rPh sb="6" eb="7">
      <t>アk</t>
    </rPh>
    <rPh sb="10" eb="11">
      <t>スベt</t>
    </rPh>
    <phoneticPr fontId="5"/>
  </si>
  <si>
    <t>[effect:enhance_enemy, target:myself, turn:5, status:defense, val:1200, calc:add, animation:enemy_enhance_defense],[effect:panel_freeze, target:normal, color:block_red, count:-1]</t>
    <phoneticPr fontId="5"/>
  </si>
  <si>
    <t>[effect:heal, target:enemy_technical, val:0.5, animation:enemy_heal]</t>
    <phoneticPr fontId="5"/>
  </si>
  <si>
    <t>[effect:break_heal_ratio, target:myself, val:0, lowest_val:0, count:-1, block01:crash],[effect:enhance_enemy, target:enemy_one, turn:5, status:attack, val:0.3]</t>
    <phoneticPr fontId="5"/>
  </si>
  <si>
    <t>ゆららのHP回復</t>
    <rPh sb="6" eb="8">
      <t>ゼンタ</t>
    </rPh>
    <phoneticPr fontId="5"/>
  </si>
  <si>
    <t>逃げるのです！</t>
    <rPh sb="0" eb="1">
      <t>ニg</t>
    </rPh>
    <phoneticPr fontId="5"/>
  </si>
  <si>
    <t>[effect:break_attack_fix, target:unit_all, val:250, lowest_val:300, count:20, block01:block_green]</t>
    <phoneticPr fontId="5"/>
  </si>
  <si>
    <t>殴る</t>
    <rPh sb="0" eb="1">
      <t>ナグr</t>
    </rPh>
    <phoneticPr fontId="5"/>
  </si>
  <si>
    <t>転んだ</t>
    <rPh sb="0" eb="1">
      <t>コロンd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</si>
</sst>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4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  <font>
      <sz val="10"/>
      <color theme="1"/>
      <name val="Arial"/>
    </font>
    <font>
      <sz val="12"/>
      <color theme="1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</borders>
  <cellStyleXfs count="706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38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6" fillId="6" borderId="7" xfId="0" applyFont="1" applyFill="1" applyBorder="1" applyAlignment="1">
      <alignment horizontal="center" vertical="center"/>
    </xf>
    <xf numFmtId="0" fontId="16" fillId="3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6" fillId="0" borderId="3" xfId="0" applyFont="1" applyFill="1" applyBorder="1" applyAlignment="1">
      <alignment vertical="center"/>
    </xf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31" fillId="14" borderId="7" xfId="0" applyFont="1" applyFill="1" applyBorder="1"/>
    <xf numFmtId="38" fontId="16" fillId="14" borderId="7" xfId="628" applyFont="1" applyFill="1" applyBorder="1" applyAlignment="1"/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0" borderId="23" xfId="0" applyFont="1" applyFill="1" applyBorder="1" applyAlignment="1">
      <alignment vertical="center"/>
    </xf>
    <xf numFmtId="0" fontId="16" fillId="3" borderId="23" xfId="0" applyFont="1" applyFill="1" applyBorder="1" applyAlignment="1">
      <alignment horizontal="left" vertical="center"/>
    </xf>
    <xf numFmtId="0" fontId="16" fillId="3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3" borderId="24" xfId="0" applyFont="1" applyFill="1" applyBorder="1" applyAlignment="1">
      <alignment vertical="center"/>
    </xf>
    <xf numFmtId="0" fontId="14" fillId="7" borderId="7" xfId="0" applyFont="1" applyFill="1" applyBorder="1" applyAlignment="1">
      <alignment vertical="center"/>
    </xf>
    <xf numFmtId="0" fontId="16" fillId="0" borderId="7" xfId="0" applyFont="1" applyBorder="1" applyAlignment="1">
      <alignment vertical="center"/>
    </xf>
    <xf numFmtId="0" fontId="14" fillId="7" borderId="12" xfId="0" applyFont="1" applyFill="1" applyBorder="1" applyAlignment="1">
      <alignment vertical="center"/>
    </xf>
    <xf numFmtId="0" fontId="16" fillId="0" borderId="12" xfId="0" applyFont="1" applyBorder="1" applyAlignment="1">
      <alignment vertical="center"/>
    </xf>
    <xf numFmtId="0" fontId="14" fillId="7" borderId="25" xfId="0" applyFont="1" applyFill="1" applyBorder="1" applyAlignment="1">
      <alignment vertical="center"/>
    </xf>
    <xf numFmtId="0" fontId="16" fillId="0" borderId="23" xfId="0" applyFont="1" applyBorder="1" applyAlignment="1">
      <alignment vertical="center"/>
    </xf>
    <xf numFmtId="0" fontId="14" fillId="7" borderId="26" xfId="0" applyFont="1" applyFill="1" applyBorder="1" applyAlignment="1">
      <alignment vertical="center"/>
    </xf>
    <xf numFmtId="0" fontId="14" fillId="7" borderId="2" xfId="0" applyFont="1" applyFill="1" applyBorder="1" applyAlignment="1">
      <alignment vertical="center"/>
    </xf>
    <xf numFmtId="0" fontId="16" fillId="0" borderId="2" xfId="0" applyFont="1" applyBorder="1" applyAlignment="1">
      <alignment vertical="center"/>
    </xf>
    <xf numFmtId="0" fontId="14" fillId="7" borderId="27" xfId="0" applyFont="1" applyFill="1" applyBorder="1" applyAlignment="1">
      <alignment vertical="center"/>
    </xf>
    <xf numFmtId="0" fontId="16" fillId="0" borderId="24" xfId="0" applyFont="1" applyBorder="1" applyAlignment="1">
      <alignment vertical="center"/>
    </xf>
    <xf numFmtId="0" fontId="16" fillId="0" borderId="23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/>
    </xf>
    <xf numFmtId="0" fontId="52" fillId="0" borderId="7" xfId="0" applyFont="1" applyBorder="1"/>
    <xf numFmtId="0" fontId="4" fillId="0" borderId="28" xfId="0" applyFont="1" applyBorder="1" applyAlignment="1">
      <alignment vertical="center"/>
    </xf>
    <xf numFmtId="0" fontId="6" fillId="0" borderId="29" xfId="0" applyFont="1" applyFill="1" applyBorder="1" applyAlignment="1">
      <alignment vertical="center"/>
    </xf>
    <xf numFmtId="0" fontId="11" fillId="0" borderId="12" xfId="0" applyFont="1" applyBorder="1" applyAlignment="1">
      <alignment vertical="center"/>
    </xf>
    <xf numFmtId="0" fontId="52" fillId="0" borderId="0" xfId="0" applyFont="1"/>
    <xf numFmtId="38" fontId="16" fillId="0" borderId="7" xfId="628" applyFont="1" applyFill="1" applyBorder="1" applyAlignment="1">
      <alignment wrapText="1"/>
    </xf>
    <xf numFmtId="0" fontId="16" fillId="0" borderId="2" xfId="0" applyFont="1" applyFill="1" applyBorder="1" applyAlignment="1">
      <alignment horizontal="left" vertical="center"/>
    </xf>
    <xf numFmtId="0" fontId="16" fillId="0" borderId="7" xfId="0" applyFont="1" applyBorder="1"/>
    <xf numFmtId="0" fontId="53" fillId="0" borderId="1" xfId="0" applyFont="1" applyBorder="1" applyAlignment="1">
      <alignment horizontal="right" vertical="center"/>
    </xf>
  </cellXfs>
  <cellStyles count="706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赤字強調" xfId="431"/>
    <cellStyle name="青字強調" xfId="43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tyles" Target="styles.xml"/><Relationship Id="rId21" Type="http://schemas.openxmlformats.org/officeDocument/2006/relationships/sharedStrings" Target="sharedStrings.xml"/><Relationship Id="rId22" Type="http://schemas.openxmlformats.org/officeDocument/2006/relationships/calcChain" Target="calcChain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externalLink" Target="externalLinks/externalLink7.xml"/><Relationship Id="rId19" Type="http://schemas.openxmlformats.org/officeDocument/2006/relationships/theme" Target="theme/theme1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StageHintMasterData_template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30050</v>
          </cell>
        </row>
        <row r="183">
          <cell r="A183">
            <v>38101</v>
          </cell>
        </row>
        <row r="184">
          <cell r="A184">
            <v>39001</v>
          </cell>
        </row>
        <row r="185">
          <cell r="A185">
            <v>39002</v>
          </cell>
        </row>
        <row r="186">
          <cell r="A186">
            <v>39003</v>
          </cell>
        </row>
        <row r="187">
          <cell r="A187">
            <v>39004</v>
          </cell>
        </row>
        <row r="188">
          <cell r="A188">
            <v>39005</v>
          </cell>
        </row>
        <row r="189">
          <cell r="A189">
            <v>39006</v>
          </cell>
        </row>
        <row r="190">
          <cell r="A190">
            <v>39007</v>
          </cell>
        </row>
        <row r="191">
          <cell r="A191">
            <v>39008</v>
          </cell>
        </row>
        <row r="192">
          <cell r="A192">
            <v>39009</v>
          </cell>
        </row>
        <row r="193">
          <cell r="A193">
            <v>39010</v>
          </cell>
        </row>
        <row r="194">
          <cell r="A194">
            <v>39011</v>
          </cell>
        </row>
        <row r="195">
          <cell r="A195">
            <v>39012</v>
          </cell>
        </row>
        <row r="196">
          <cell r="A196">
            <v>39013</v>
          </cell>
        </row>
        <row r="197">
          <cell r="A197">
            <v>39014</v>
          </cell>
        </row>
        <row r="198">
          <cell r="A198">
            <v>40001</v>
          </cell>
        </row>
        <row r="199">
          <cell r="A199">
            <v>40002</v>
          </cell>
        </row>
        <row r="200">
          <cell r="A200">
            <v>40003</v>
          </cell>
        </row>
        <row r="201">
          <cell r="A201">
            <v>40004</v>
          </cell>
        </row>
        <row r="202">
          <cell r="A202">
            <v>40005</v>
          </cell>
        </row>
        <row r="203">
          <cell r="A203">
            <v>40006</v>
          </cell>
        </row>
        <row r="204">
          <cell r="A204">
            <v>40007</v>
          </cell>
        </row>
        <row r="205">
          <cell r="A205">
            <v>40008</v>
          </cell>
        </row>
        <row r="206">
          <cell r="A206">
            <v>40009</v>
          </cell>
        </row>
        <row r="207">
          <cell r="A207">
            <v>40010</v>
          </cell>
        </row>
        <row r="208">
          <cell r="A208">
            <v>40011</v>
          </cell>
        </row>
        <row r="209">
          <cell r="A209">
            <v>40012</v>
          </cell>
        </row>
        <row r="210">
          <cell r="A210">
            <v>40013</v>
          </cell>
        </row>
        <row r="211">
          <cell r="A211">
            <v>40014</v>
          </cell>
        </row>
        <row r="212">
          <cell r="A212">
            <v>40015</v>
          </cell>
        </row>
        <row r="213">
          <cell r="A213">
            <v>40016</v>
          </cell>
        </row>
        <row r="214">
          <cell r="A214">
            <v>40017</v>
          </cell>
        </row>
        <row r="215">
          <cell r="A215">
            <v>40018</v>
          </cell>
        </row>
        <row r="216">
          <cell r="A216">
            <v>40019</v>
          </cell>
        </row>
        <row r="217">
          <cell r="A217">
            <v>40021</v>
          </cell>
        </row>
        <row r="218">
          <cell r="A218">
            <v>40022</v>
          </cell>
        </row>
        <row r="219">
          <cell r="A219">
            <v>40023</v>
          </cell>
        </row>
        <row r="220">
          <cell r="A220">
            <v>40024</v>
          </cell>
        </row>
        <row r="221">
          <cell r="A221">
            <v>40025</v>
          </cell>
        </row>
        <row r="222">
          <cell r="A222">
            <v>40026</v>
          </cell>
        </row>
        <row r="223">
          <cell r="A223">
            <v>40027</v>
          </cell>
        </row>
        <row r="224">
          <cell r="A224">
            <v>40028</v>
          </cell>
        </row>
        <row r="225">
          <cell r="A225">
            <v>40029</v>
          </cell>
        </row>
        <row r="226">
          <cell r="A226">
            <v>40030</v>
          </cell>
        </row>
        <row r="227">
          <cell r="A227">
            <v>40031</v>
          </cell>
        </row>
        <row r="228">
          <cell r="A228">
            <v>40032</v>
          </cell>
        </row>
        <row r="229">
          <cell r="A229">
            <v>40033</v>
          </cell>
        </row>
        <row r="230">
          <cell r="A230">
            <v>40034</v>
          </cell>
        </row>
        <row r="231">
          <cell r="A231">
            <v>40035</v>
          </cell>
        </row>
        <row r="232">
          <cell r="A232">
            <v>40036</v>
          </cell>
        </row>
        <row r="233">
          <cell r="A233">
            <v>40037</v>
          </cell>
        </row>
        <row r="234">
          <cell r="A234">
            <v>40038</v>
          </cell>
        </row>
        <row r="235">
          <cell r="A235">
            <v>40039</v>
          </cell>
        </row>
        <row r="236">
          <cell r="A236">
            <v>40040</v>
          </cell>
        </row>
        <row r="237">
          <cell r="A237">
            <v>40041</v>
          </cell>
        </row>
        <row r="238">
          <cell r="A238">
            <v>40042</v>
          </cell>
        </row>
        <row r="239">
          <cell r="A239">
            <v>40043</v>
          </cell>
        </row>
        <row r="240">
          <cell r="A240">
            <v>40044</v>
          </cell>
        </row>
        <row r="241">
          <cell r="A241">
            <v>40045</v>
          </cell>
        </row>
        <row r="242">
          <cell r="A242">
            <v>40046</v>
          </cell>
        </row>
        <row r="243">
          <cell r="A243">
            <v>48001</v>
          </cell>
        </row>
        <row r="244">
          <cell r="A244">
            <v>48002</v>
          </cell>
        </row>
        <row r="245">
          <cell r="A245">
            <v>48003</v>
          </cell>
        </row>
        <row r="246">
          <cell r="A246">
            <v>48004</v>
          </cell>
        </row>
        <row r="247">
          <cell r="A247">
            <v>48005</v>
          </cell>
        </row>
        <row r="248">
          <cell r="A248">
            <v>48006</v>
          </cell>
        </row>
        <row r="249">
          <cell r="A249">
            <v>48007</v>
          </cell>
        </row>
        <row r="250">
          <cell r="A250">
            <v>48008</v>
          </cell>
        </row>
        <row r="251">
          <cell r="A251">
            <v>48009</v>
          </cell>
        </row>
        <row r="252">
          <cell r="A252">
            <v>48010</v>
          </cell>
        </row>
        <row r="253">
          <cell r="A253">
            <v>48011</v>
          </cell>
        </row>
        <row r="254">
          <cell r="A254">
            <v>48012</v>
          </cell>
        </row>
        <row r="255">
          <cell r="A255">
            <v>48013</v>
          </cell>
        </row>
        <row r="256">
          <cell r="A256">
            <v>48014</v>
          </cell>
        </row>
        <row r="257">
          <cell r="A257">
            <v>48101</v>
          </cell>
        </row>
        <row r="258">
          <cell r="A258">
            <v>48501</v>
          </cell>
        </row>
        <row r="259">
          <cell r="A259">
            <v>48502</v>
          </cell>
        </row>
        <row r="260">
          <cell r="A260">
            <v>48503</v>
          </cell>
        </row>
        <row r="261">
          <cell r="A261">
            <v>48701</v>
          </cell>
        </row>
        <row r="262">
          <cell r="A262">
            <v>48702</v>
          </cell>
        </row>
        <row r="263">
          <cell r="A263">
            <v>41001</v>
          </cell>
        </row>
        <row r="264">
          <cell r="A264">
            <v>41002</v>
          </cell>
        </row>
        <row r="265">
          <cell r="A265">
            <v>41003</v>
          </cell>
        </row>
        <row r="266">
          <cell r="A266">
            <v>41004</v>
          </cell>
        </row>
        <row r="267">
          <cell r="A267">
            <v>41005</v>
          </cell>
        </row>
        <row r="268">
          <cell r="A268">
            <v>41006</v>
          </cell>
        </row>
        <row r="269">
          <cell r="A269">
            <v>41007</v>
          </cell>
        </row>
        <row r="270">
          <cell r="A270">
            <v>41008</v>
          </cell>
        </row>
        <row r="271">
          <cell r="A271">
            <v>41009</v>
          </cell>
        </row>
        <row r="272">
          <cell r="A272">
            <v>41010</v>
          </cell>
        </row>
        <row r="273">
          <cell r="A273">
            <v>41011</v>
          </cell>
        </row>
        <row r="274">
          <cell r="A274">
            <v>41012</v>
          </cell>
        </row>
        <row r="275">
          <cell r="A275">
            <v>41013</v>
          </cell>
        </row>
        <row r="276">
          <cell r="A276">
            <v>41014</v>
          </cell>
        </row>
        <row r="277">
          <cell r="A277">
            <v>41015</v>
          </cell>
        </row>
        <row r="278">
          <cell r="A278">
            <v>47001</v>
          </cell>
        </row>
        <row r="279">
          <cell r="A279">
            <v>47002</v>
          </cell>
        </row>
        <row r="280">
          <cell r="A280">
            <v>47003</v>
          </cell>
        </row>
        <row r="281">
          <cell r="A281">
            <v>47004</v>
          </cell>
        </row>
        <row r="282">
          <cell r="A282">
            <v>47005</v>
          </cell>
        </row>
        <row r="283">
          <cell r="A283">
            <v>47006</v>
          </cell>
        </row>
        <row r="284">
          <cell r="A284">
            <v>47007</v>
          </cell>
        </row>
        <row r="285">
          <cell r="A285">
            <v>47008</v>
          </cell>
        </row>
        <row r="286">
          <cell r="A286">
            <v>47009</v>
          </cell>
        </row>
        <row r="287">
          <cell r="A287">
            <v>47010</v>
          </cell>
        </row>
        <row r="288">
          <cell r="A288">
            <v>47011</v>
          </cell>
        </row>
        <row r="289">
          <cell r="A289">
            <v>47012</v>
          </cell>
        </row>
        <row r="290">
          <cell r="A290">
            <v>47013</v>
          </cell>
        </row>
        <row r="291">
          <cell r="A291">
            <v>47014</v>
          </cell>
        </row>
        <row r="292">
          <cell r="A292">
            <v>49001</v>
          </cell>
        </row>
        <row r="293">
          <cell r="A293">
            <v>49002</v>
          </cell>
        </row>
        <row r="294">
          <cell r="A294">
            <v>49003</v>
          </cell>
        </row>
        <row r="295">
          <cell r="A295">
            <v>49004</v>
          </cell>
        </row>
        <row r="296">
          <cell r="A296">
            <v>49005</v>
          </cell>
        </row>
        <row r="297">
          <cell r="A297">
            <v>49006</v>
          </cell>
        </row>
        <row r="298">
          <cell r="A298">
            <v>49007</v>
          </cell>
        </row>
        <row r="299">
          <cell r="A299">
            <v>49008</v>
          </cell>
        </row>
        <row r="300">
          <cell r="A300">
            <v>49009</v>
          </cell>
        </row>
        <row r="301">
          <cell r="A301">
            <v>49010</v>
          </cell>
        </row>
        <row r="302">
          <cell r="A302">
            <v>49011</v>
          </cell>
        </row>
        <row r="303">
          <cell r="A303">
            <v>49012</v>
          </cell>
        </row>
        <row r="304">
          <cell r="A304">
            <v>49013</v>
          </cell>
        </row>
        <row r="305">
          <cell r="A305">
            <v>49014</v>
          </cell>
        </row>
        <row r="306">
          <cell r="A306">
            <v>49015</v>
          </cell>
        </row>
        <row r="307">
          <cell r="A307">
            <v>49016</v>
          </cell>
        </row>
        <row r="308">
          <cell r="A308">
            <v>50001</v>
          </cell>
        </row>
        <row r="309">
          <cell r="A309">
            <v>50002</v>
          </cell>
        </row>
        <row r="310">
          <cell r="A310">
            <v>50003</v>
          </cell>
        </row>
        <row r="311">
          <cell r="A311">
            <v>50004</v>
          </cell>
        </row>
        <row r="312">
          <cell r="A312">
            <v>50005</v>
          </cell>
        </row>
        <row r="313">
          <cell r="A313">
            <v>50006</v>
          </cell>
        </row>
        <row r="314">
          <cell r="A314">
            <v>50007</v>
          </cell>
        </row>
        <row r="315">
          <cell r="A315">
            <v>50008</v>
          </cell>
        </row>
        <row r="316">
          <cell r="A316">
            <v>50009</v>
          </cell>
        </row>
        <row r="317">
          <cell r="A317">
            <v>50010</v>
          </cell>
        </row>
        <row r="318">
          <cell r="A318">
            <v>50011</v>
          </cell>
        </row>
        <row r="319">
          <cell r="A319">
            <v>50012</v>
          </cell>
        </row>
        <row r="320">
          <cell r="A320">
            <v>50013</v>
          </cell>
        </row>
        <row r="321">
          <cell r="A321">
            <v>50014</v>
          </cell>
        </row>
        <row r="322">
          <cell r="A322">
            <v>50015</v>
          </cell>
        </row>
        <row r="323">
          <cell r="A323">
            <v>50016</v>
          </cell>
        </row>
        <row r="324">
          <cell r="A324">
            <v>51001</v>
          </cell>
        </row>
        <row r="325">
          <cell r="A325">
            <v>51002</v>
          </cell>
        </row>
        <row r="326">
          <cell r="A326">
            <v>58001</v>
          </cell>
        </row>
        <row r="327">
          <cell r="A327">
            <v>58002</v>
          </cell>
        </row>
        <row r="328">
          <cell r="A328">
            <v>58003</v>
          </cell>
        </row>
        <row r="329">
          <cell r="A329">
            <v>58101</v>
          </cell>
        </row>
        <row r="330">
          <cell r="A330">
            <v>59001</v>
          </cell>
        </row>
        <row r="331">
          <cell r="A331">
            <v>59002</v>
          </cell>
        </row>
        <row r="332">
          <cell r="A332">
            <v>59003</v>
          </cell>
        </row>
        <row r="333">
          <cell r="A333">
            <v>60001</v>
          </cell>
        </row>
        <row r="334">
          <cell r="A334">
            <v>60002</v>
          </cell>
        </row>
        <row r="335">
          <cell r="A335">
            <v>60003</v>
          </cell>
        </row>
        <row r="336">
          <cell r="A336">
            <v>60004</v>
          </cell>
        </row>
        <row r="337">
          <cell r="A337">
            <v>60005</v>
          </cell>
        </row>
        <row r="338">
          <cell r="A338">
            <v>60006</v>
          </cell>
        </row>
        <row r="339">
          <cell r="A339">
            <v>60007</v>
          </cell>
        </row>
        <row r="340">
          <cell r="A340">
            <v>60010</v>
          </cell>
        </row>
        <row r="341">
          <cell r="A341">
            <v>60011</v>
          </cell>
        </row>
        <row r="342">
          <cell r="A342">
            <v>61011</v>
          </cell>
        </row>
        <row r="343">
          <cell r="A343">
            <v>60012</v>
          </cell>
        </row>
        <row r="344">
          <cell r="A344">
            <v>60013</v>
          </cell>
        </row>
        <row r="345">
          <cell r="A345">
            <v>60014</v>
          </cell>
        </row>
        <row r="346">
          <cell r="A346">
            <v>60015</v>
          </cell>
        </row>
        <row r="347">
          <cell r="A347">
            <v>60016</v>
          </cell>
        </row>
        <row r="348">
          <cell r="A348">
            <v>60017</v>
          </cell>
        </row>
        <row r="349">
          <cell r="A349">
            <v>60018</v>
          </cell>
        </row>
        <row r="350">
          <cell r="A350">
            <v>60019</v>
          </cell>
        </row>
        <row r="351">
          <cell r="A351">
            <v>60020</v>
          </cell>
        </row>
        <row r="352">
          <cell r="A352">
            <v>60025</v>
          </cell>
        </row>
        <row r="353">
          <cell r="A353">
            <v>60026</v>
          </cell>
        </row>
        <row r="354">
          <cell r="A354">
            <v>60027</v>
          </cell>
        </row>
        <row r="355">
          <cell r="A355">
            <v>60028</v>
          </cell>
        </row>
        <row r="356">
          <cell r="A356">
            <v>60029</v>
          </cell>
        </row>
        <row r="357">
          <cell r="A357">
            <v>60030</v>
          </cell>
        </row>
        <row r="358">
          <cell r="A358">
            <v>60031</v>
          </cell>
        </row>
        <row r="359">
          <cell r="A359">
            <v>65523</v>
          </cell>
        </row>
        <row r="360">
          <cell r="A360">
            <v>65524</v>
          </cell>
        </row>
        <row r="361">
          <cell r="A361">
            <v>65525</v>
          </cell>
        </row>
        <row r="362">
          <cell r="A362">
            <v>65526</v>
          </cell>
        </row>
        <row r="363">
          <cell r="A363">
            <v>65527</v>
          </cell>
        </row>
        <row r="364">
          <cell r="A364">
            <v>65528</v>
          </cell>
        </row>
        <row r="365">
          <cell r="A365">
            <v>65529</v>
          </cell>
        </row>
        <row r="366">
          <cell r="A366">
            <v>65530</v>
          </cell>
        </row>
        <row r="367">
          <cell r="A367">
            <v>65531</v>
          </cell>
        </row>
        <row r="368">
          <cell r="A368">
            <v>65532</v>
          </cell>
        </row>
        <row r="369">
          <cell r="A369">
            <v>65533</v>
          </cell>
        </row>
        <row r="370">
          <cell r="A370">
            <v>65534</v>
          </cell>
        </row>
        <row r="371">
          <cell r="A371">
            <v>65535</v>
          </cell>
        </row>
        <row r="372">
          <cell r="A372">
            <v>60021</v>
          </cell>
        </row>
        <row r="373">
          <cell r="A373">
            <v>60022</v>
          </cell>
        </row>
        <row r="374">
          <cell r="A374">
            <v>60023</v>
          </cell>
        </row>
        <row r="375">
          <cell r="A375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  <cell r="AM2" t="str">
            <v>stage_type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30050_1</v>
          </cell>
        </row>
        <row r="665">
          <cell r="A665" t="str">
            <v>30050_2</v>
          </cell>
        </row>
        <row r="666">
          <cell r="A666" t="str">
            <v>30050_3</v>
          </cell>
        </row>
        <row r="667">
          <cell r="A667" t="str">
            <v>38101_1</v>
          </cell>
        </row>
        <row r="668">
          <cell r="A668" t="str">
            <v>38101_2</v>
          </cell>
        </row>
        <row r="669">
          <cell r="A669" t="str">
            <v>38101_3</v>
          </cell>
        </row>
        <row r="670">
          <cell r="A670" t="str">
            <v>39001_1</v>
          </cell>
        </row>
        <row r="671">
          <cell r="A671" t="str">
            <v>39001_2</v>
          </cell>
        </row>
        <row r="672">
          <cell r="A672" t="str">
            <v>39001_3</v>
          </cell>
        </row>
        <row r="673">
          <cell r="A673" t="str">
            <v>39001_4</v>
          </cell>
        </row>
        <row r="674">
          <cell r="A674" t="str">
            <v>39001_5</v>
          </cell>
        </row>
        <row r="675">
          <cell r="A675" t="str">
            <v>39002_1</v>
          </cell>
        </row>
        <row r="676">
          <cell r="A676" t="str">
            <v>39002_2</v>
          </cell>
        </row>
        <row r="677">
          <cell r="A677" t="str">
            <v>39002_3</v>
          </cell>
        </row>
        <row r="678">
          <cell r="A678" t="str">
            <v>39002_4</v>
          </cell>
        </row>
        <row r="679">
          <cell r="A679" t="str">
            <v>39003_1</v>
          </cell>
        </row>
        <row r="680">
          <cell r="A680" t="str">
            <v>39003_2</v>
          </cell>
        </row>
        <row r="681">
          <cell r="A681" t="str">
            <v>39003_3</v>
          </cell>
        </row>
        <row r="682">
          <cell r="A682" t="str">
            <v>39003_4</v>
          </cell>
        </row>
        <row r="683">
          <cell r="A683" t="str">
            <v>39004_1</v>
          </cell>
        </row>
        <row r="684">
          <cell r="A684" t="str">
            <v>39004_2</v>
          </cell>
        </row>
        <row r="685">
          <cell r="A685" t="str">
            <v>39004_3</v>
          </cell>
        </row>
        <row r="686">
          <cell r="A686" t="str">
            <v>39004_4</v>
          </cell>
        </row>
        <row r="687">
          <cell r="A687" t="str">
            <v>39005_1</v>
          </cell>
        </row>
        <row r="688">
          <cell r="A688" t="str">
            <v>39005_2</v>
          </cell>
        </row>
        <row r="689">
          <cell r="A689" t="str">
            <v>39005_3</v>
          </cell>
        </row>
        <row r="690">
          <cell r="A690" t="str">
            <v>39005_4</v>
          </cell>
        </row>
        <row r="691">
          <cell r="A691" t="str">
            <v>39005_5</v>
          </cell>
        </row>
        <row r="692">
          <cell r="A692" t="str">
            <v>39006_1</v>
          </cell>
        </row>
        <row r="693">
          <cell r="A693" t="str">
            <v>39006_2</v>
          </cell>
        </row>
        <row r="694">
          <cell r="A694" t="str">
            <v>39006_3</v>
          </cell>
        </row>
        <row r="695">
          <cell r="A695" t="str">
            <v>39006_4</v>
          </cell>
        </row>
        <row r="696">
          <cell r="A696" t="str">
            <v>39007_1</v>
          </cell>
        </row>
        <row r="697">
          <cell r="A697" t="str">
            <v>39007_2</v>
          </cell>
        </row>
        <row r="698">
          <cell r="A698" t="str">
            <v>39007_3</v>
          </cell>
        </row>
        <row r="699">
          <cell r="A699" t="str">
            <v>39007_4</v>
          </cell>
        </row>
        <row r="700">
          <cell r="A700" t="str">
            <v>39008_1</v>
          </cell>
        </row>
        <row r="701">
          <cell r="A701" t="str">
            <v>39008_2</v>
          </cell>
        </row>
        <row r="702">
          <cell r="A702" t="str">
            <v>39008_3</v>
          </cell>
        </row>
        <row r="703">
          <cell r="A703" t="str">
            <v>39008_4</v>
          </cell>
        </row>
        <row r="704">
          <cell r="A704" t="str">
            <v>39008_5</v>
          </cell>
        </row>
        <row r="705">
          <cell r="A705" t="str">
            <v>39009_1</v>
          </cell>
        </row>
        <row r="706">
          <cell r="A706" t="str">
            <v>39009_2</v>
          </cell>
        </row>
        <row r="707">
          <cell r="A707" t="str">
            <v>39009_3</v>
          </cell>
        </row>
        <row r="708">
          <cell r="A708" t="str">
            <v>39009_4</v>
          </cell>
        </row>
        <row r="709">
          <cell r="A709" t="str">
            <v>39009_5</v>
          </cell>
        </row>
        <row r="710">
          <cell r="A710" t="str">
            <v>39010_1</v>
          </cell>
        </row>
        <row r="711">
          <cell r="A711" t="str">
            <v>39010_2</v>
          </cell>
        </row>
        <row r="712">
          <cell r="A712" t="str">
            <v>39010_3</v>
          </cell>
        </row>
        <row r="713">
          <cell r="A713" t="str">
            <v>39010_4</v>
          </cell>
        </row>
        <row r="714">
          <cell r="A714" t="str">
            <v>39011_1</v>
          </cell>
        </row>
        <row r="715">
          <cell r="A715" t="str">
            <v>39011_2</v>
          </cell>
        </row>
        <row r="716">
          <cell r="A716" t="str">
            <v>39011_3</v>
          </cell>
        </row>
        <row r="717">
          <cell r="A717" t="str">
            <v>39011_4</v>
          </cell>
        </row>
        <row r="718">
          <cell r="A718" t="str">
            <v>39012_1</v>
          </cell>
        </row>
        <row r="719">
          <cell r="A719" t="str">
            <v>39012_2</v>
          </cell>
        </row>
        <row r="720">
          <cell r="A720" t="str">
            <v>39012_3</v>
          </cell>
        </row>
        <row r="721">
          <cell r="A721" t="str">
            <v>39012_4</v>
          </cell>
        </row>
        <row r="722">
          <cell r="A722" t="str">
            <v>39012_5</v>
          </cell>
        </row>
        <row r="723">
          <cell r="A723" t="str">
            <v>39013_1</v>
          </cell>
        </row>
        <row r="724">
          <cell r="A724" t="str">
            <v>39013_2</v>
          </cell>
        </row>
        <row r="725">
          <cell r="A725" t="str">
            <v>39013_3</v>
          </cell>
        </row>
        <row r="726">
          <cell r="A726" t="str">
            <v>39013_4</v>
          </cell>
        </row>
        <row r="727">
          <cell r="A727" t="str">
            <v>39014_1</v>
          </cell>
        </row>
        <row r="728">
          <cell r="A728" t="str">
            <v>39014_2</v>
          </cell>
        </row>
        <row r="729">
          <cell r="A729" t="str">
            <v>40001_1</v>
          </cell>
        </row>
        <row r="730">
          <cell r="A730" t="str">
            <v>40002_1</v>
          </cell>
        </row>
        <row r="731">
          <cell r="A731" t="str">
            <v>40002_2</v>
          </cell>
        </row>
        <row r="732">
          <cell r="A732" t="str">
            <v>40002_3</v>
          </cell>
        </row>
        <row r="733">
          <cell r="A733" t="str">
            <v>40003_1</v>
          </cell>
        </row>
        <row r="734">
          <cell r="A734" t="str">
            <v>40004_1</v>
          </cell>
        </row>
        <row r="735">
          <cell r="A735" t="str">
            <v>40005_1</v>
          </cell>
        </row>
        <row r="736">
          <cell r="A736" t="str">
            <v>40006_1</v>
          </cell>
        </row>
        <row r="737">
          <cell r="A737" t="str">
            <v>40007_1</v>
          </cell>
        </row>
        <row r="738">
          <cell r="A738" t="str">
            <v>40008_1</v>
          </cell>
        </row>
        <row r="739">
          <cell r="A739" t="str">
            <v>40009_1</v>
          </cell>
        </row>
        <row r="740">
          <cell r="A740" t="str">
            <v>40010_1</v>
          </cell>
        </row>
        <row r="741">
          <cell r="A741" t="str">
            <v>40011_1</v>
          </cell>
        </row>
        <row r="742">
          <cell r="A742" t="str">
            <v>40012_1</v>
          </cell>
        </row>
        <row r="743">
          <cell r="A743" t="str">
            <v>40013_1</v>
          </cell>
        </row>
        <row r="744">
          <cell r="A744" t="str">
            <v>40014_1</v>
          </cell>
        </row>
        <row r="745">
          <cell r="A745" t="str">
            <v>40015_1</v>
          </cell>
        </row>
        <row r="746">
          <cell r="A746" t="str">
            <v>40016_1</v>
          </cell>
        </row>
        <row r="747">
          <cell r="A747" t="str">
            <v>40016_2</v>
          </cell>
        </row>
        <row r="748">
          <cell r="A748" t="str">
            <v>40017_1</v>
          </cell>
        </row>
        <row r="749">
          <cell r="A749" t="str">
            <v>40017_2</v>
          </cell>
        </row>
        <row r="750">
          <cell r="A750" t="str">
            <v>40017_3</v>
          </cell>
        </row>
        <row r="751">
          <cell r="A751" t="str">
            <v>40018_1</v>
          </cell>
        </row>
        <row r="752">
          <cell r="A752" t="str">
            <v>40018_2</v>
          </cell>
        </row>
        <row r="753">
          <cell r="A753" t="str">
            <v>40018_3</v>
          </cell>
        </row>
        <row r="754">
          <cell r="A754" t="str">
            <v>40019_1</v>
          </cell>
        </row>
        <row r="755">
          <cell r="A755" t="str">
            <v>40019_2</v>
          </cell>
        </row>
        <row r="756">
          <cell r="A756" t="str">
            <v>40019_3</v>
          </cell>
        </row>
        <row r="757">
          <cell r="A757" t="str">
            <v>40021_1</v>
          </cell>
        </row>
        <row r="758">
          <cell r="A758" t="str">
            <v>40021_2</v>
          </cell>
        </row>
        <row r="759">
          <cell r="A759" t="str">
            <v>40022_1</v>
          </cell>
        </row>
        <row r="760">
          <cell r="A760" t="str">
            <v>40022_2</v>
          </cell>
        </row>
        <row r="761">
          <cell r="A761" t="str">
            <v>40023_1</v>
          </cell>
        </row>
        <row r="762">
          <cell r="A762" t="str">
            <v>40023_2</v>
          </cell>
        </row>
        <row r="763">
          <cell r="A763" t="str">
            <v>40024_1</v>
          </cell>
        </row>
        <row r="764">
          <cell r="A764" t="str">
            <v>40024_2</v>
          </cell>
        </row>
        <row r="765">
          <cell r="A765" t="str">
            <v>40025_1</v>
          </cell>
        </row>
        <row r="766">
          <cell r="A766" t="str">
            <v>40025_2</v>
          </cell>
        </row>
        <row r="767">
          <cell r="A767" t="str">
            <v>40026_1</v>
          </cell>
        </row>
        <row r="768">
          <cell r="A768" t="str">
            <v>40026_2</v>
          </cell>
        </row>
        <row r="769">
          <cell r="A769" t="str">
            <v>40027_1</v>
          </cell>
        </row>
        <row r="770">
          <cell r="A770" t="str">
            <v>40027_2</v>
          </cell>
        </row>
        <row r="771">
          <cell r="A771" t="str">
            <v>40028_1</v>
          </cell>
        </row>
        <row r="772">
          <cell r="A772" t="str">
            <v>40028_2</v>
          </cell>
        </row>
        <row r="773">
          <cell r="A773" t="str">
            <v>40029_1</v>
          </cell>
        </row>
        <row r="774">
          <cell r="A774" t="str">
            <v>40029_2</v>
          </cell>
        </row>
        <row r="775">
          <cell r="A775" t="str">
            <v>40030_1</v>
          </cell>
        </row>
        <row r="776">
          <cell r="A776" t="str">
            <v>40030_2</v>
          </cell>
        </row>
        <row r="777">
          <cell r="A777" t="str">
            <v>40031_1</v>
          </cell>
        </row>
        <row r="778">
          <cell r="A778" t="str">
            <v>40031_2</v>
          </cell>
        </row>
        <row r="779">
          <cell r="A779" t="str">
            <v>40032_1</v>
          </cell>
        </row>
        <row r="780">
          <cell r="A780" t="str">
            <v>40032_2</v>
          </cell>
        </row>
        <row r="781">
          <cell r="A781" t="str">
            <v>40033_1</v>
          </cell>
        </row>
        <row r="782">
          <cell r="A782" t="str">
            <v>40033_2</v>
          </cell>
        </row>
        <row r="783">
          <cell r="A783" t="str">
            <v>40034_1</v>
          </cell>
        </row>
        <row r="784">
          <cell r="A784" t="str">
            <v>40034_2</v>
          </cell>
        </row>
        <row r="785">
          <cell r="A785" t="str">
            <v>40035_1</v>
          </cell>
        </row>
        <row r="786">
          <cell r="A786" t="str">
            <v>40035_2</v>
          </cell>
        </row>
        <row r="787">
          <cell r="A787" t="str">
            <v>40036_1</v>
          </cell>
        </row>
        <row r="788">
          <cell r="A788" t="str">
            <v>40036_2</v>
          </cell>
        </row>
        <row r="789">
          <cell r="A789" t="str">
            <v>40037_1</v>
          </cell>
        </row>
        <row r="790">
          <cell r="A790" t="str">
            <v>40037_2</v>
          </cell>
        </row>
        <row r="791">
          <cell r="A791" t="str">
            <v>40038_1</v>
          </cell>
        </row>
        <row r="792">
          <cell r="A792" t="str">
            <v>40038_2</v>
          </cell>
        </row>
        <row r="793">
          <cell r="A793" t="str">
            <v>40039_1</v>
          </cell>
        </row>
        <row r="794">
          <cell r="A794" t="str">
            <v>40039_2</v>
          </cell>
        </row>
        <row r="795">
          <cell r="A795" t="str">
            <v>40040_1</v>
          </cell>
        </row>
        <row r="796">
          <cell r="A796" t="str">
            <v>40040_2</v>
          </cell>
        </row>
        <row r="797">
          <cell r="A797" t="str">
            <v>40041_1</v>
          </cell>
        </row>
        <row r="798">
          <cell r="A798" t="str">
            <v>40041_2</v>
          </cell>
        </row>
        <row r="799">
          <cell r="A799" t="str">
            <v>40042_1</v>
          </cell>
        </row>
        <row r="800">
          <cell r="A800" t="str">
            <v>40042_2</v>
          </cell>
        </row>
        <row r="801">
          <cell r="A801" t="str">
            <v>40043_1</v>
          </cell>
        </row>
        <row r="802">
          <cell r="A802" t="str">
            <v>40043_2</v>
          </cell>
        </row>
        <row r="803">
          <cell r="A803" t="str">
            <v>40044_1</v>
          </cell>
        </row>
        <row r="804">
          <cell r="A804" t="str">
            <v>40044_2</v>
          </cell>
        </row>
        <row r="805">
          <cell r="A805" t="str">
            <v>40045_1</v>
          </cell>
        </row>
        <row r="806">
          <cell r="A806" t="str">
            <v>40045_2</v>
          </cell>
        </row>
        <row r="807">
          <cell r="A807" t="str">
            <v>40046_1</v>
          </cell>
        </row>
        <row r="808">
          <cell r="A808" t="str">
            <v>40046_2</v>
          </cell>
        </row>
        <row r="809">
          <cell r="A809" t="str">
            <v>41001_1</v>
          </cell>
        </row>
        <row r="810">
          <cell r="A810" t="str">
            <v>41001_2</v>
          </cell>
        </row>
        <row r="811">
          <cell r="A811" t="str">
            <v>41001_3</v>
          </cell>
        </row>
        <row r="812">
          <cell r="A812" t="str">
            <v>41002_1</v>
          </cell>
        </row>
        <row r="813">
          <cell r="A813" t="str">
            <v>41002_2</v>
          </cell>
        </row>
        <row r="814">
          <cell r="A814" t="str">
            <v>41002_3</v>
          </cell>
        </row>
        <row r="815">
          <cell r="A815" t="str">
            <v>41003_1</v>
          </cell>
        </row>
        <row r="816">
          <cell r="A816" t="str">
            <v>41003_2</v>
          </cell>
        </row>
        <row r="817">
          <cell r="A817" t="str">
            <v>41003_3</v>
          </cell>
        </row>
        <row r="818">
          <cell r="A818" t="str">
            <v>41004_1</v>
          </cell>
        </row>
        <row r="819">
          <cell r="A819" t="str">
            <v>41004_2</v>
          </cell>
        </row>
        <row r="820">
          <cell r="A820" t="str">
            <v>41004_3</v>
          </cell>
        </row>
        <row r="821">
          <cell r="A821" t="str">
            <v>41005_1</v>
          </cell>
        </row>
        <row r="822">
          <cell r="A822" t="str">
            <v>41005_2</v>
          </cell>
        </row>
        <row r="823">
          <cell r="A823" t="str">
            <v>41005_3</v>
          </cell>
        </row>
        <row r="824">
          <cell r="A824" t="str">
            <v>41006_1</v>
          </cell>
        </row>
        <row r="825">
          <cell r="A825" t="str">
            <v>41006_2</v>
          </cell>
        </row>
        <row r="826">
          <cell r="A826" t="str">
            <v>41006_3</v>
          </cell>
        </row>
        <row r="827">
          <cell r="A827" t="str">
            <v>41007_1</v>
          </cell>
        </row>
        <row r="828">
          <cell r="A828" t="str">
            <v>41007_2</v>
          </cell>
        </row>
        <row r="829">
          <cell r="A829" t="str">
            <v>41007_3</v>
          </cell>
        </row>
        <row r="830">
          <cell r="A830" t="str">
            <v>41008_1</v>
          </cell>
        </row>
        <row r="831">
          <cell r="A831" t="str">
            <v>41008_2</v>
          </cell>
        </row>
        <row r="832">
          <cell r="A832" t="str">
            <v>41008_3</v>
          </cell>
        </row>
        <row r="833">
          <cell r="A833" t="str">
            <v>41009_1</v>
          </cell>
        </row>
        <row r="834">
          <cell r="A834" t="str">
            <v>41009_2</v>
          </cell>
        </row>
        <row r="835">
          <cell r="A835" t="str">
            <v>41009_3</v>
          </cell>
        </row>
        <row r="836">
          <cell r="A836" t="str">
            <v>41010_1</v>
          </cell>
        </row>
        <row r="837">
          <cell r="A837" t="str">
            <v>41010_2</v>
          </cell>
        </row>
        <row r="838">
          <cell r="A838" t="str">
            <v>41010_3</v>
          </cell>
        </row>
        <row r="839">
          <cell r="A839" t="str">
            <v>41011_1</v>
          </cell>
        </row>
        <row r="840">
          <cell r="A840" t="str">
            <v>41011_2</v>
          </cell>
        </row>
        <row r="841">
          <cell r="A841" t="str">
            <v>41012_1</v>
          </cell>
        </row>
        <row r="842">
          <cell r="A842" t="str">
            <v>41012_2</v>
          </cell>
        </row>
        <row r="843">
          <cell r="A843" t="str">
            <v>41013_1</v>
          </cell>
        </row>
        <row r="844">
          <cell r="A844" t="str">
            <v>41013_2</v>
          </cell>
        </row>
        <row r="845">
          <cell r="A845" t="str">
            <v>41014_1</v>
          </cell>
        </row>
        <row r="846">
          <cell r="A846" t="str">
            <v>41014_2</v>
          </cell>
        </row>
        <row r="847">
          <cell r="A847" t="str">
            <v>41015_1</v>
          </cell>
        </row>
        <row r="848">
          <cell r="A848" t="str">
            <v>41015_2</v>
          </cell>
        </row>
        <row r="849">
          <cell r="A849" t="str">
            <v>47001_1</v>
          </cell>
        </row>
        <row r="850">
          <cell r="A850" t="str">
            <v>47001_2</v>
          </cell>
        </row>
        <row r="851">
          <cell r="A851" t="str">
            <v>47002_1</v>
          </cell>
        </row>
        <row r="852">
          <cell r="A852" t="str">
            <v>47002_2</v>
          </cell>
        </row>
        <row r="853">
          <cell r="A853" t="str">
            <v>47003_1</v>
          </cell>
        </row>
        <row r="854">
          <cell r="A854" t="str">
            <v>47003_2</v>
          </cell>
        </row>
        <row r="855">
          <cell r="A855" t="str">
            <v>47003_3</v>
          </cell>
        </row>
        <row r="856">
          <cell r="A856" t="str">
            <v>47003_4</v>
          </cell>
        </row>
        <row r="857">
          <cell r="A857" t="str">
            <v>47004_1</v>
          </cell>
        </row>
        <row r="858">
          <cell r="A858" t="str">
            <v>47004_2</v>
          </cell>
        </row>
        <row r="859">
          <cell r="A859" t="str">
            <v>47004_3</v>
          </cell>
        </row>
        <row r="860">
          <cell r="A860" t="str">
            <v>47004_4</v>
          </cell>
        </row>
        <row r="861">
          <cell r="A861" t="str">
            <v>47005_1</v>
          </cell>
        </row>
        <row r="862">
          <cell r="A862" t="str">
            <v>47006_1</v>
          </cell>
        </row>
        <row r="863">
          <cell r="A863" t="str">
            <v>47006_2</v>
          </cell>
        </row>
        <row r="864">
          <cell r="A864" t="str">
            <v>47007_1</v>
          </cell>
        </row>
        <row r="865">
          <cell r="A865" t="str">
            <v>47007_2</v>
          </cell>
        </row>
        <row r="866">
          <cell r="A866" t="str">
            <v>47008_1</v>
          </cell>
        </row>
        <row r="867">
          <cell r="A867" t="str">
            <v>47008_2</v>
          </cell>
        </row>
        <row r="868">
          <cell r="A868" t="str">
            <v>47009_1</v>
          </cell>
        </row>
        <row r="869">
          <cell r="A869" t="str">
            <v>47009_2</v>
          </cell>
        </row>
        <row r="870">
          <cell r="A870" t="str">
            <v>47010_1</v>
          </cell>
        </row>
        <row r="871">
          <cell r="A871" t="str">
            <v>47010_2</v>
          </cell>
        </row>
        <row r="872">
          <cell r="A872" t="str">
            <v>47011_1</v>
          </cell>
        </row>
        <row r="873">
          <cell r="A873" t="str">
            <v>47012_1</v>
          </cell>
        </row>
        <row r="874">
          <cell r="A874" t="str">
            <v>47012_2</v>
          </cell>
        </row>
        <row r="875">
          <cell r="A875" t="str">
            <v>47013_1</v>
          </cell>
        </row>
        <row r="876">
          <cell r="A876" t="str">
            <v>47013_2</v>
          </cell>
        </row>
        <row r="877">
          <cell r="A877" t="str">
            <v>47013_3</v>
          </cell>
        </row>
        <row r="878">
          <cell r="A878" t="str">
            <v>47013_4</v>
          </cell>
        </row>
        <row r="879">
          <cell r="A879" t="str">
            <v>47014_1</v>
          </cell>
        </row>
        <row r="880">
          <cell r="A880" t="str">
            <v>47014_2</v>
          </cell>
        </row>
        <row r="881">
          <cell r="A881" t="str">
            <v>47014_3</v>
          </cell>
        </row>
        <row r="882">
          <cell r="A882" t="str">
            <v>48001_1</v>
          </cell>
        </row>
        <row r="883">
          <cell r="A883" t="str">
            <v>48002_1</v>
          </cell>
        </row>
        <row r="884">
          <cell r="A884" t="str">
            <v>48002_2</v>
          </cell>
        </row>
        <row r="885">
          <cell r="A885" t="str">
            <v>48002_3</v>
          </cell>
        </row>
        <row r="886">
          <cell r="A886" t="str">
            <v>48003_1</v>
          </cell>
        </row>
        <row r="887">
          <cell r="A887" t="str">
            <v>48003_2</v>
          </cell>
        </row>
        <row r="888">
          <cell r="A888" t="str">
            <v>48004_1</v>
          </cell>
        </row>
        <row r="889">
          <cell r="A889" t="str">
            <v>48004_2</v>
          </cell>
        </row>
        <row r="890">
          <cell r="A890" t="str">
            <v>48005_1</v>
          </cell>
        </row>
        <row r="891">
          <cell r="A891" t="str">
            <v>48005_2</v>
          </cell>
        </row>
        <row r="892">
          <cell r="A892" t="str">
            <v>48006_1</v>
          </cell>
        </row>
        <row r="893">
          <cell r="A893" t="str">
            <v>48006_2</v>
          </cell>
        </row>
        <row r="894">
          <cell r="A894" t="str">
            <v>48007_1</v>
          </cell>
        </row>
        <row r="895">
          <cell r="A895" t="str">
            <v>48007_2</v>
          </cell>
        </row>
        <row r="896">
          <cell r="A896" t="str">
            <v>48008_1</v>
          </cell>
        </row>
        <row r="897">
          <cell r="A897" t="str">
            <v>48008_2</v>
          </cell>
        </row>
        <row r="898">
          <cell r="A898" t="str">
            <v>48009_1</v>
          </cell>
        </row>
        <row r="899">
          <cell r="A899" t="str">
            <v>48009_2</v>
          </cell>
        </row>
        <row r="900">
          <cell r="A900" t="str">
            <v>48010_1</v>
          </cell>
        </row>
        <row r="901">
          <cell r="A901" t="str">
            <v>48011_1</v>
          </cell>
        </row>
        <row r="902">
          <cell r="A902" t="str">
            <v>48011_2</v>
          </cell>
        </row>
        <row r="903">
          <cell r="A903" t="str">
            <v>48012_1</v>
          </cell>
        </row>
        <row r="904">
          <cell r="A904" t="str">
            <v>48012_2</v>
          </cell>
        </row>
        <row r="905">
          <cell r="A905" t="str">
            <v>48013_1</v>
          </cell>
        </row>
        <row r="906">
          <cell r="A906" t="str">
            <v>48013_2</v>
          </cell>
        </row>
        <row r="907">
          <cell r="A907" t="str">
            <v>48014_1</v>
          </cell>
        </row>
        <row r="908">
          <cell r="A908" t="str">
            <v>48014_2</v>
          </cell>
        </row>
        <row r="909">
          <cell r="A909" t="str">
            <v>48101_1</v>
          </cell>
        </row>
        <row r="910">
          <cell r="A910" t="str">
            <v>48101_2</v>
          </cell>
        </row>
        <row r="911">
          <cell r="A911" t="str">
            <v>48501_1</v>
          </cell>
        </row>
        <row r="912">
          <cell r="A912" t="str">
            <v>48501_2</v>
          </cell>
        </row>
        <row r="913">
          <cell r="A913" t="str">
            <v>48502_1</v>
          </cell>
        </row>
        <row r="914">
          <cell r="A914" t="str">
            <v>48502_2</v>
          </cell>
        </row>
        <row r="915">
          <cell r="A915" t="str">
            <v>48503_1</v>
          </cell>
        </row>
        <row r="916">
          <cell r="A916" t="str">
            <v>48503_2</v>
          </cell>
        </row>
        <row r="917">
          <cell r="A917" t="str">
            <v>48701_1</v>
          </cell>
        </row>
        <row r="918">
          <cell r="A918" t="str">
            <v>48701_2</v>
          </cell>
        </row>
        <row r="919">
          <cell r="A919" t="str">
            <v>48702_1</v>
          </cell>
        </row>
        <row r="920">
          <cell r="A920" t="str">
            <v>48702_2</v>
          </cell>
        </row>
        <row r="921">
          <cell r="A921" t="str">
            <v>49001_1</v>
          </cell>
        </row>
        <row r="922">
          <cell r="A922" t="str">
            <v>49002_1</v>
          </cell>
        </row>
        <row r="923">
          <cell r="A923" t="str">
            <v>49002_2</v>
          </cell>
        </row>
        <row r="924">
          <cell r="A924" t="str">
            <v>49003_1</v>
          </cell>
        </row>
        <row r="925">
          <cell r="A925" t="str">
            <v>49003_2</v>
          </cell>
        </row>
        <row r="926">
          <cell r="A926" t="str">
            <v>49004_1</v>
          </cell>
        </row>
        <row r="927">
          <cell r="A927" t="str">
            <v>49004_2</v>
          </cell>
        </row>
        <row r="928">
          <cell r="A928" t="str">
            <v>49004_3</v>
          </cell>
        </row>
        <row r="929">
          <cell r="A929" t="str">
            <v>49005_1</v>
          </cell>
        </row>
        <row r="930">
          <cell r="A930" t="str">
            <v>49006_1</v>
          </cell>
        </row>
        <row r="931">
          <cell r="A931" t="str">
            <v>49006_2</v>
          </cell>
        </row>
        <row r="932">
          <cell r="A932" t="str">
            <v>49007_1</v>
          </cell>
        </row>
        <row r="933">
          <cell r="A933" t="str">
            <v>49007_2</v>
          </cell>
        </row>
        <row r="934">
          <cell r="A934" t="str">
            <v>49007_3</v>
          </cell>
        </row>
        <row r="935">
          <cell r="A935" t="str">
            <v>49008_1</v>
          </cell>
        </row>
        <row r="936">
          <cell r="A936" t="str">
            <v>49009_1</v>
          </cell>
        </row>
        <row r="937">
          <cell r="A937" t="str">
            <v>49010_1</v>
          </cell>
        </row>
        <row r="938">
          <cell r="A938" t="str">
            <v>49011_1</v>
          </cell>
        </row>
        <row r="939">
          <cell r="A939" t="str">
            <v>49012_1</v>
          </cell>
        </row>
        <row r="940">
          <cell r="A940" t="str">
            <v>49013_1</v>
          </cell>
        </row>
        <row r="941">
          <cell r="A941" t="str">
            <v>49014_1</v>
          </cell>
        </row>
        <row r="942">
          <cell r="A942" t="str">
            <v>49014_2</v>
          </cell>
        </row>
        <row r="943">
          <cell r="A943" t="str">
            <v>49015_1</v>
          </cell>
        </row>
        <row r="944">
          <cell r="A944" t="str">
            <v>49015_2</v>
          </cell>
        </row>
        <row r="945">
          <cell r="A945" t="str">
            <v>49015_3</v>
          </cell>
        </row>
        <row r="946">
          <cell r="A946" t="str">
            <v>49016_1</v>
          </cell>
        </row>
        <row r="947">
          <cell r="A947" t="str">
            <v>49016_2</v>
          </cell>
        </row>
        <row r="948">
          <cell r="A948" t="str">
            <v>50001_1</v>
          </cell>
        </row>
        <row r="949">
          <cell r="A949" t="str">
            <v>50002_1</v>
          </cell>
        </row>
        <row r="950">
          <cell r="A950" t="str">
            <v>50003_1</v>
          </cell>
        </row>
        <row r="951">
          <cell r="A951" t="str">
            <v>50004_1</v>
          </cell>
        </row>
        <row r="952">
          <cell r="A952" t="str">
            <v>50005_1</v>
          </cell>
        </row>
        <row r="953">
          <cell r="A953" t="str">
            <v>50006_1</v>
          </cell>
        </row>
        <row r="954">
          <cell r="A954" t="str">
            <v>50007_1</v>
          </cell>
        </row>
        <row r="955">
          <cell r="A955" t="str">
            <v>50008_1</v>
          </cell>
        </row>
        <row r="956">
          <cell r="A956" t="str">
            <v>50009_1</v>
          </cell>
        </row>
        <row r="957">
          <cell r="A957" t="str">
            <v>50010_1</v>
          </cell>
        </row>
        <row r="958">
          <cell r="A958" t="str">
            <v>50011_1</v>
          </cell>
        </row>
        <row r="959">
          <cell r="A959" t="str">
            <v>50012_1</v>
          </cell>
        </row>
        <row r="960">
          <cell r="A960" t="str">
            <v>50013_1</v>
          </cell>
        </row>
        <row r="961">
          <cell r="A961" t="str">
            <v>50014_1</v>
          </cell>
        </row>
        <row r="962">
          <cell r="A962" t="str">
            <v>50015_1</v>
          </cell>
        </row>
        <row r="963">
          <cell r="A963" t="str">
            <v>50016_1</v>
          </cell>
        </row>
        <row r="964">
          <cell r="A964" t="str">
            <v>51001_1</v>
          </cell>
        </row>
        <row r="965">
          <cell r="A965" t="str">
            <v>51002_1</v>
          </cell>
        </row>
        <row r="966">
          <cell r="A966" t="str">
            <v>58001_1</v>
          </cell>
        </row>
        <row r="967">
          <cell r="A967" t="str">
            <v>58002_1</v>
          </cell>
        </row>
        <row r="968">
          <cell r="A968" t="str">
            <v>58003_1</v>
          </cell>
        </row>
        <row r="969">
          <cell r="A969" t="str">
            <v>58101_1</v>
          </cell>
        </row>
        <row r="970">
          <cell r="A970" t="str">
            <v>59001_1</v>
          </cell>
        </row>
        <row r="971">
          <cell r="A971" t="str">
            <v>59002_1</v>
          </cell>
        </row>
        <row r="972">
          <cell r="A972" t="str">
            <v>59003_1</v>
          </cell>
        </row>
        <row r="973">
          <cell r="A973" t="str">
            <v>59003_2</v>
          </cell>
        </row>
        <row r="974">
          <cell r="A974" t="str">
            <v>60001_1</v>
          </cell>
        </row>
        <row r="975">
          <cell r="A975" t="str">
            <v>60002_1</v>
          </cell>
        </row>
        <row r="976">
          <cell r="A976" t="str">
            <v>60002_2</v>
          </cell>
        </row>
        <row r="977">
          <cell r="A977" t="str">
            <v>60003_1</v>
          </cell>
        </row>
        <row r="978">
          <cell r="A978" t="str">
            <v>60003_2</v>
          </cell>
        </row>
        <row r="979">
          <cell r="A979" t="str">
            <v>60003_3</v>
          </cell>
        </row>
        <row r="980">
          <cell r="A980" t="str">
            <v>60004_1</v>
          </cell>
        </row>
        <row r="981">
          <cell r="A981" t="str">
            <v>60005_1</v>
          </cell>
        </row>
        <row r="982">
          <cell r="A982" t="str">
            <v>60006_1</v>
          </cell>
        </row>
        <row r="983">
          <cell r="A983" t="str">
            <v>60006_2</v>
          </cell>
        </row>
        <row r="984">
          <cell r="A984" t="str">
            <v>60006_3</v>
          </cell>
        </row>
        <row r="985">
          <cell r="A985" t="str">
            <v>60007_1</v>
          </cell>
        </row>
        <row r="986">
          <cell r="A986" t="str">
            <v>60007_2</v>
          </cell>
        </row>
        <row r="987">
          <cell r="A987" t="str">
            <v>60007_3</v>
          </cell>
        </row>
        <row r="988">
          <cell r="A988" t="str">
            <v>60010_1</v>
          </cell>
        </row>
        <row r="989">
          <cell r="A989" t="str">
            <v>60011_1</v>
          </cell>
        </row>
        <row r="990">
          <cell r="A990" t="str">
            <v>60011_2</v>
          </cell>
        </row>
        <row r="991">
          <cell r="A991" t="str">
            <v>60012_1</v>
          </cell>
        </row>
        <row r="992">
          <cell r="A992" t="str">
            <v>60013_1</v>
          </cell>
        </row>
        <row r="993">
          <cell r="A993" t="str">
            <v>60013_2</v>
          </cell>
        </row>
        <row r="994">
          <cell r="A994" t="str">
            <v>60013_3</v>
          </cell>
        </row>
        <row r="995">
          <cell r="A995" t="str">
            <v>60014_1</v>
          </cell>
        </row>
        <row r="996">
          <cell r="A996" t="str">
            <v>60015_1</v>
          </cell>
        </row>
        <row r="997">
          <cell r="A997" t="str">
            <v>60016_1</v>
          </cell>
        </row>
        <row r="998">
          <cell r="A998" t="str">
            <v>60017_1</v>
          </cell>
        </row>
        <row r="999">
          <cell r="A999" t="str">
            <v>60018_1</v>
          </cell>
        </row>
        <row r="1000">
          <cell r="A1000" t="str">
            <v>60019_1</v>
          </cell>
        </row>
        <row r="1001">
          <cell r="A1001" t="str">
            <v>60020_1</v>
          </cell>
        </row>
        <row r="1002">
          <cell r="A1002" t="str">
            <v>60021_3</v>
          </cell>
        </row>
        <row r="1003">
          <cell r="A1003" t="str">
            <v>60022_3</v>
          </cell>
        </row>
        <row r="1004">
          <cell r="A1004" t="str">
            <v>60023_3</v>
          </cell>
        </row>
        <row r="1005">
          <cell r="A1005" t="str">
            <v>60024_3</v>
          </cell>
        </row>
        <row r="1006">
          <cell r="A1006" t="str">
            <v>60025_1</v>
          </cell>
        </row>
        <row r="1007">
          <cell r="A1007" t="str">
            <v>60026_1</v>
          </cell>
        </row>
        <row r="1008">
          <cell r="A1008" t="str">
            <v>61011_1</v>
          </cell>
        </row>
        <row r="1009">
          <cell r="A1009" t="str">
            <v>60027_1</v>
          </cell>
        </row>
        <row r="1010">
          <cell r="A1010" t="str">
            <v>60028_1</v>
          </cell>
        </row>
        <row r="1011">
          <cell r="A1011" t="str">
            <v>60029_1</v>
          </cell>
        </row>
        <row r="1012">
          <cell r="A1012" t="str">
            <v>60030_1</v>
          </cell>
        </row>
        <row r="1013">
          <cell r="A1013" t="str">
            <v>60031_1</v>
          </cell>
        </row>
        <row r="1014">
          <cell r="A1014" t="str">
            <v>65523_1</v>
          </cell>
        </row>
        <row r="1015">
          <cell r="A1015" t="str">
            <v>65523_2</v>
          </cell>
        </row>
        <row r="1016">
          <cell r="A1016" t="str">
            <v>65523_3</v>
          </cell>
        </row>
        <row r="1017">
          <cell r="A1017" t="str">
            <v>65524_1</v>
          </cell>
        </row>
        <row r="1018">
          <cell r="A1018" t="str">
            <v>65524_2</v>
          </cell>
        </row>
        <row r="1019">
          <cell r="A1019" t="str">
            <v>65525_1</v>
          </cell>
        </row>
        <row r="1020">
          <cell r="A1020" t="str">
            <v>65526_1</v>
          </cell>
        </row>
        <row r="1021">
          <cell r="A1021" t="str">
            <v>65526_2</v>
          </cell>
        </row>
        <row r="1022">
          <cell r="A1022" t="str">
            <v>65527_1</v>
          </cell>
        </row>
        <row r="1023">
          <cell r="A1023" t="str">
            <v>65528_1</v>
          </cell>
        </row>
        <row r="1024">
          <cell r="A1024" t="str">
            <v>65529_1</v>
          </cell>
        </row>
        <row r="1025">
          <cell r="A1025" t="str">
            <v>65530_1</v>
          </cell>
        </row>
        <row r="1026">
          <cell r="A1026" t="str">
            <v>65531_1</v>
          </cell>
        </row>
        <row r="1027">
          <cell r="A1027" t="str">
            <v>65531_2</v>
          </cell>
        </row>
        <row r="1028">
          <cell r="A1028" t="str">
            <v>65532_1</v>
          </cell>
        </row>
        <row r="1029">
          <cell r="A1029" t="str">
            <v>65532_2</v>
          </cell>
        </row>
        <row r="1030">
          <cell r="A1030" t="str">
            <v>65533_1</v>
          </cell>
        </row>
        <row r="1031">
          <cell r="A1031" t="str">
            <v>65533_2</v>
          </cell>
        </row>
        <row r="1032">
          <cell r="A1032" t="str">
            <v>65534_1</v>
          </cell>
        </row>
        <row r="1033">
          <cell r="A1033" t="str">
            <v>65535_1</v>
          </cell>
        </row>
        <row r="1034">
          <cell r="A1034" t="str">
            <v>65535_2</v>
          </cell>
        </row>
        <row r="1035">
          <cell r="A1035" t="str">
            <v>65535_3</v>
          </cell>
        </row>
        <row r="1036">
          <cell r="A1036" t="str">
            <v>65535_4</v>
          </cell>
        </row>
        <row r="1037">
          <cell r="A1037" t="str">
            <v>65535_5</v>
          </cell>
        </row>
        <row r="1038">
          <cell r="A1038" t="str">
            <v>65535_6</v>
          </cell>
        </row>
        <row r="1039">
          <cell r="A1039" t="str">
            <v>65535_7</v>
          </cell>
        </row>
        <row r="1040">
          <cell r="A1040" t="str">
            <v>65535_8</v>
          </cell>
        </row>
        <row r="1041">
          <cell r="A1041" t="str">
            <v>65535_9</v>
          </cell>
        </row>
        <row r="1042">
          <cell r="A1042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1342</v>
          </cell>
        </row>
        <row r="1324">
          <cell r="A1324">
            <v>1343</v>
          </cell>
        </row>
        <row r="1325">
          <cell r="A1325">
            <v>1351</v>
          </cell>
        </row>
        <row r="1326">
          <cell r="A1326">
            <v>1352</v>
          </cell>
        </row>
        <row r="1327">
          <cell r="A1327">
            <v>1353</v>
          </cell>
        </row>
        <row r="1328">
          <cell r="A1328">
            <v>1354</v>
          </cell>
        </row>
        <row r="1329">
          <cell r="A1329">
            <v>1355</v>
          </cell>
        </row>
        <row r="1330">
          <cell r="A1330">
            <v>1356</v>
          </cell>
        </row>
        <row r="1331">
          <cell r="A1331">
            <v>1357</v>
          </cell>
        </row>
        <row r="1332">
          <cell r="A1332">
            <v>1358</v>
          </cell>
        </row>
        <row r="1333">
          <cell r="A1333">
            <v>1359</v>
          </cell>
        </row>
        <row r="1334">
          <cell r="A1334">
            <v>1360</v>
          </cell>
        </row>
        <row r="1335">
          <cell r="A1335">
            <v>1362</v>
          </cell>
        </row>
        <row r="1336">
          <cell r="A1336">
            <v>1363</v>
          </cell>
        </row>
        <row r="1337">
          <cell r="A1337">
            <v>1364</v>
          </cell>
        </row>
        <row r="1338">
          <cell r="A1338">
            <v>1373</v>
          </cell>
        </row>
        <row r="1339">
          <cell r="A1339">
            <v>1374</v>
          </cell>
        </row>
        <row r="1340">
          <cell r="A1340">
            <v>1375</v>
          </cell>
        </row>
        <row r="1341">
          <cell r="A1341">
            <v>1376</v>
          </cell>
        </row>
        <row r="1342">
          <cell r="A1342">
            <v>1379</v>
          </cell>
        </row>
        <row r="1343">
          <cell r="A1343">
            <v>1380</v>
          </cell>
        </row>
        <row r="1344">
          <cell r="A1344">
            <v>1405</v>
          </cell>
        </row>
        <row r="1345">
          <cell r="A1345">
            <v>1407</v>
          </cell>
        </row>
        <row r="1346">
          <cell r="A1346">
            <v>1408</v>
          </cell>
        </row>
        <row r="1347">
          <cell r="A1347">
            <v>1409</v>
          </cell>
        </row>
        <row r="1348">
          <cell r="A1348">
            <v>1410</v>
          </cell>
        </row>
        <row r="1349">
          <cell r="A1349">
            <v>1431</v>
          </cell>
        </row>
        <row r="1350">
          <cell r="A1350">
            <v>1432</v>
          </cell>
        </row>
        <row r="1351">
          <cell r="A1351">
            <v>1436</v>
          </cell>
        </row>
        <row r="1352">
          <cell r="A1352">
            <v>1437</v>
          </cell>
        </row>
        <row r="1353">
          <cell r="A1353">
            <v>1438</v>
          </cell>
        </row>
        <row r="1354">
          <cell r="A1354">
            <v>1439</v>
          </cell>
        </row>
        <row r="1355">
          <cell r="A1355">
            <v>1440</v>
          </cell>
        </row>
        <row r="1356">
          <cell r="A1356">
            <v>1441</v>
          </cell>
        </row>
        <row r="1357">
          <cell r="A1357">
            <v>1442</v>
          </cell>
        </row>
        <row r="1358">
          <cell r="A1358">
            <v>1443</v>
          </cell>
        </row>
        <row r="1359">
          <cell r="A1359">
            <v>1444</v>
          </cell>
        </row>
        <row r="1360">
          <cell r="A1360">
            <v>1445</v>
          </cell>
        </row>
        <row r="1361">
          <cell r="A1361">
            <v>1446</v>
          </cell>
        </row>
        <row r="1362">
          <cell r="A1362">
            <v>1447</v>
          </cell>
        </row>
        <row r="1363">
          <cell r="A1363">
            <v>1448</v>
          </cell>
        </row>
        <row r="1364">
          <cell r="A1364">
            <v>1449</v>
          </cell>
        </row>
        <row r="1365">
          <cell r="A1365">
            <v>1450</v>
          </cell>
        </row>
        <row r="1366">
          <cell r="A1366">
            <v>1451</v>
          </cell>
        </row>
        <row r="1367">
          <cell r="A1367">
            <v>1466</v>
          </cell>
        </row>
        <row r="1368">
          <cell r="A1368">
            <v>1467</v>
          </cell>
        </row>
        <row r="1369">
          <cell r="A1369">
            <v>1468</v>
          </cell>
        </row>
        <row r="1370">
          <cell r="A1370">
            <v>1469</v>
          </cell>
        </row>
        <row r="1371">
          <cell r="A1371">
            <v>1470</v>
          </cell>
        </row>
        <row r="1372">
          <cell r="A1372">
            <v>1471</v>
          </cell>
        </row>
        <row r="1373">
          <cell r="A1373">
            <v>1495</v>
          </cell>
        </row>
        <row r="1374">
          <cell r="A1374">
            <v>1496</v>
          </cell>
        </row>
        <row r="1375">
          <cell r="A1375">
            <v>1497</v>
          </cell>
        </row>
        <row r="1376">
          <cell r="A1376">
            <v>1498</v>
          </cell>
        </row>
        <row r="1377">
          <cell r="A1377">
            <v>1499</v>
          </cell>
        </row>
        <row r="1378">
          <cell r="A1378">
            <v>1500</v>
          </cell>
        </row>
        <row r="1379">
          <cell r="A1379">
            <v>1501</v>
          </cell>
        </row>
        <row r="1380">
          <cell r="A1380">
            <v>1502</v>
          </cell>
        </row>
        <row r="1381">
          <cell r="A1381">
            <v>1503</v>
          </cell>
        </row>
        <row r="1382">
          <cell r="A1382">
            <v>1504</v>
          </cell>
        </row>
        <row r="1383">
          <cell r="A1383">
            <v>1505</v>
          </cell>
        </row>
        <row r="1384">
          <cell r="A1384">
            <v>1506</v>
          </cell>
        </row>
        <row r="1385">
          <cell r="A1385">
            <v>1507</v>
          </cell>
        </row>
        <row r="1386">
          <cell r="A1386">
            <v>1508</v>
          </cell>
        </row>
        <row r="1387">
          <cell r="A1387">
            <v>1509</v>
          </cell>
        </row>
        <row r="1388">
          <cell r="A1388">
            <v>1510</v>
          </cell>
        </row>
        <row r="1389">
          <cell r="A1389">
            <v>1511</v>
          </cell>
        </row>
        <row r="1390">
          <cell r="A1390">
            <v>1512</v>
          </cell>
        </row>
        <row r="1391">
          <cell r="A1391">
            <v>1523</v>
          </cell>
        </row>
        <row r="1392">
          <cell r="A1392">
            <v>1524</v>
          </cell>
        </row>
        <row r="1393">
          <cell r="A1393">
            <v>1525</v>
          </cell>
        </row>
        <row r="1394">
          <cell r="A1394">
            <v>1526</v>
          </cell>
        </row>
        <row r="1395">
          <cell r="A1395">
            <v>1551</v>
          </cell>
        </row>
        <row r="1396">
          <cell r="A1396">
            <v>1552</v>
          </cell>
        </row>
        <row r="1397">
          <cell r="A1397">
            <v>1553</v>
          </cell>
        </row>
        <row r="1398">
          <cell r="A1398">
            <v>1554</v>
          </cell>
        </row>
        <row r="1399">
          <cell r="A1399">
            <v>1555</v>
          </cell>
        </row>
        <row r="1400">
          <cell r="A1400">
            <v>1556</v>
          </cell>
        </row>
        <row r="1401">
          <cell r="A1401">
            <v>1557</v>
          </cell>
        </row>
        <row r="1402">
          <cell r="A1402">
            <v>1558</v>
          </cell>
        </row>
        <row r="1403">
          <cell r="A1403">
            <v>1559</v>
          </cell>
        </row>
        <row r="1404">
          <cell r="A1404">
            <v>1560</v>
          </cell>
        </row>
        <row r="1405">
          <cell r="A1405">
            <v>1561</v>
          </cell>
        </row>
        <row r="1406">
          <cell r="A1406">
            <v>1562</v>
          </cell>
        </row>
        <row r="1407">
          <cell r="A1407">
            <v>1563</v>
          </cell>
        </row>
        <row r="1408">
          <cell r="A1408">
            <v>1564</v>
          </cell>
        </row>
        <row r="1409">
          <cell r="A1409">
            <v>1565</v>
          </cell>
        </row>
        <row r="1410">
          <cell r="A1410">
            <v>1566</v>
          </cell>
        </row>
        <row r="1411">
          <cell r="A1411">
            <v>1567</v>
          </cell>
        </row>
        <row r="1412">
          <cell r="A1412">
            <v>1568</v>
          </cell>
        </row>
        <row r="1413">
          <cell r="A1413">
            <v>1569</v>
          </cell>
        </row>
        <row r="1414">
          <cell r="A1414">
            <v>1570</v>
          </cell>
        </row>
        <row r="1415">
          <cell r="A1415">
            <v>1571</v>
          </cell>
        </row>
        <row r="1416">
          <cell r="A1416">
            <v>1572</v>
          </cell>
        </row>
        <row r="1417">
          <cell r="A1417">
            <v>1573</v>
          </cell>
        </row>
        <row r="1418">
          <cell r="A1418">
            <v>1574</v>
          </cell>
        </row>
        <row r="1419">
          <cell r="A1419">
            <v>1575</v>
          </cell>
        </row>
        <row r="1420">
          <cell r="A1420">
            <v>1576</v>
          </cell>
        </row>
        <row r="1421">
          <cell r="A1421">
            <v>1577</v>
          </cell>
        </row>
        <row r="1422">
          <cell r="A1422">
            <v>1578</v>
          </cell>
        </row>
        <row r="1423">
          <cell r="A1423">
            <v>1579</v>
          </cell>
        </row>
        <row r="1424">
          <cell r="A1424">
            <v>1580</v>
          </cell>
        </row>
        <row r="1425">
          <cell r="A1425">
            <v>1581</v>
          </cell>
        </row>
        <row r="1426">
          <cell r="A1426">
            <v>1582</v>
          </cell>
        </row>
        <row r="1427">
          <cell r="A1427">
            <v>1583</v>
          </cell>
        </row>
        <row r="1428">
          <cell r="A1428">
            <v>1584</v>
          </cell>
        </row>
        <row r="1429">
          <cell r="A1429">
            <v>1585</v>
          </cell>
        </row>
        <row r="1430">
          <cell r="A1430">
            <v>1586</v>
          </cell>
        </row>
        <row r="1431">
          <cell r="A1431">
            <v>1587</v>
          </cell>
        </row>
        <row r="1432">
          <cell r="A1432">
            <v>1588</v>
          </cell>
        </row>
        <row r="1433">
          <cell r="A1433">
            <v>5001</v>
          </cell>
        </row>
        <row r="1434">
          <cell r="A1434">
            <v>5002</v>
          </cell>
        </row>
        <row r="1435">
          <cell r="A1435">
            <v>5003</v>
          </cell>
        </row>
        <row r="1436">
          <cell r="A1436">
            <v>5004</v>
          </cell>
        </row>
        <row r="1437">
          <cell r="A1437">
            <v>5005</v>
          </cell>
        </row>
        <row r="1438">
          <cell r="A1438">
            <v>5006</v>
          </cell>
        </row>
        <row r="1439">
          <cell r="A1439">
            <v>5007</v>
          </cell>
        </row>
        <row r="1440">
          <cell r="A1440">
            <v>5008</v>
          </cell>
        </row>
        <row r="1441">
          <cell r="A1441">
            <v>6001</v>
          </cell>
        </row>
        <row r="1442">
          <cell r="A1442">
            <v>6002</v>
          </cell>
        </row>
        <row r="1443">
          <cell r="A1443">
            <v>6003</v>
          </cell>
        </row>
        <row r="1444">
          <cell r="A1444">
            <v>6004</v>
          </cell>
        </row>
        <row r="1445">
          <cell r="A1445">
            <v>6005</v>
          </cell>
        </row>
        <row r="1446">
          <cell r="A1446">
            <v>6006</v>
          </cell>
        </row>
        <row r="1447">
          <cell r="A1447">
            <v>6007</v>
          </cell>
        </row>
        <row r="1448">
          <cell r="A1448">
            <v>6008</v>
          </cell>
        </row>
        <row r="1449">
          <cell r="A1449">
            <v>6009</v>
          </cell>
        </row>
        <row r="1450">
          <cell r="A1450">
            <v>6010</v>
          </cell>
        </row>
        <row r="1451">
          <cell r="A1451">
            <v>6011</v>
          </cell>
        </row>
        <row r="1452">
          <cell r="A1452">
            <v>6012</v>
          </cell>
        </row>
        <row r="1453">
          <cell r="A1453">
            <v>6013</v>
          </cell>
        </row>
        <row r="1454">
          <cell r="A1454">
            <v>6014</v>
          </cell>
        </row>
        <row r="1455">
          <cell r="A1455">
            <v>6015</v>
          </cell>
        </row>
        <row r="1456">
          <cell r="A1456">
            <v>6016</v>
          </cell>
        </row>
        <row r="1457">
          <cell r="A1457">
            <v>6017</v>
          </cell>
        </row>
        <row r="1458">
          <cell r="A1458">
            <v>6018</v>
          </cell>
        </row>
        <row r="1459">
          <cell r="A1459">
            <v>6019</v>
          </cell>
        </row>
        <row r="1460">
          <cell r="A1460">
            <v>6020</v>
          </cell>
        </row>
        <row r="1461">
          <cell r="A1461">
            <v>8001</v>
          </cell>
        </row>
        <row r="1462">
          <cell r="A1462">
            <v>8002</v>
          </cell>
        </row>
        <row r="1463">
          <cell r="A1463">
            <v>8003</v>
          </cell>
        </row>
        <row r="1464">
          <cell r="A1464">
            <v>8004</v>
          </cell>
        </row>
        <row r="1465">
          <cell r="A1465">
            <v>8005</v>
          </cell>
        </row>
        <row r="1466">
          <cell r="A1466">
            <v>8006</v>
          </cell>
        </row>
        <row r="1467">
          <cell r="A1467">
            <v>8007</v>
          </cell>
        </row>
        <row r="1468">
          <cell r="A1468">
            <v>8008</v>
          </cell>
        </row>
        <row r="1469">
          <cell r="A1469">
            <v>8009</v>
          </cell>
        </row>
        <row r="1470">
          <cell r="A1470">
            <v>8010</v>
          </cell>
        </row>
        <row r="1471">
          <cell r="A1471">
            <v>8011</v>
          </cell>
        </row>
        <row r="1472">
          <cell r="A1472">
            <v>8012</v>
          </cell>
        </row>
        <row r="1473">
          <cell r="A1473">
            <v>8013</v>
          </cell>
        </row>
        <row r="1474">
          <cell r="A1474">
            <v>8014</v>
          </cell>
        </row>
        <row r="1475">
          <cell r="A1475">
            <v>8015</v>
          </cell>
        </row>
        <row r="1476">
          <cell r="A1476">
            <v>8016</v>
          </cell>
        </row>
        <row r="1477">
          <cell r="A1477">
            <v>8017</v>
          </cell>
        </row>
        <row r="1478">
          <cell r="A1478">
            <v>8018</v>
          </cell>
        </row>
        <row r="1479">
          <cell r="A1479">
            <v>8019</v>
          </cell>
        </row>
        <row r="1480">
          <cell r="A1480">
            <v>8020</v>
          </cell>
        </row>
        <row r="1481">
          <cell r="A1481">
            <v>8021</v>
          </cell>
        </row>
        <row r="1482">
          <cell r="A1482">
            <v>8022</v>
          </cell>
        </row>
        <row r="1483">
          <cell r="A1483">
            <v>8023</v>
          </cell>
        </row>
        <row r="1484">
          <cell r="A1484">
            <v>8024</v>
          </cell>
        </row>
        <row r="1485">
          <cell r="A1485">
            <v>8025</v>
          </cell>
        </row>
        <row r="1486">
          <cell r="A1486">
            <v>8026</v>
          </cell>
        </row>
        <row r="1487">
          <cell r="A1487">
            <v>8027</v>
          </cell>
        </row>
        <row r="1488">
          <cell r="A1488">
            <v>8028</v>
          </cell>
        </row>
        <row r="1489">
          <cell r="A1489">
            <v>8029</v>
          </cell>
        </row>
        <row r="1490">
          <cell r="A1490">
            <v>8030</v>
          </cell>
        </row>
        <row r="1491">
          <cell r="A1491">
            <v>8031</v>
          </cell>
        </row>
        <row r="1492">
          <cell r="A1492">
            <v>8032</v>
          </cell>
        </row>
        <row r="1493">
          <cell r="A1493">
            <v>8033</v>
          </cell>
        </row>
        <row r="1494">
          <cell r="A1494">
            <v>8034</v>
          </cell>
        </row>
        <row r="1495">
          <cell r="A1495">
            <v>8035</v>
          </cell>
        </row>
        <row r="1496">
          <cell r="A1496">
            <v>8036</v>
          </cell>
        </row>
        <row r="1497">
          <cell r="A1497">
            <v>8037</v>
          </cell>
        </row>
        <row r="1498">
          <cell r="A1498">
            <v>8038</v>
          </cell>
        </row>
        <row r="1499">
          <cell r="A1499">
            <v>8039</v>
          </cell>
        </row>
        <row r="1500">
          <cell r="A1500">
            <v>8040</v>
          </cell>
        </row>
        <row r="1501">
          <cell r="A1501">
            <v>8041</v>
          </cell>
        </row>
        <row r="1502">
          <cell r="A1502">
            <v>8042</v>
          </cell>
        </row>
        <row r="1503">
          <cell r="A1503">
            <v>8043</v>
          </cell>
        </row>
        <row r="1504">
          <cell r="A1504">
            <v>8044</v>
          </cell>
        </row>
        <row r="1505">
          <cell r="A1505">
            <v>8045</v>
          </cell>
        </row>
        <row r="1506">
          <cell r="A1506">
            <v>8046</v>
          </cell>
        </row>
        <row r="1507">
          <cell r="A1507">
            <v>8047</v>
          </cell>
        </row>
        <row r="1508">
          <cell r="A1508">
            <v>8048</v>
          </cell>
        </row>
        <row r="1509">
          <cell r="A1509">
            <v>8049</v>
          </cell>
        </row>
        <row r="1510">
          <cell r="A1510">
            <v>8050</v>
          </cell>
        </row>
        <row r="1511">
          <cell r="A1511">
            <v>8051</v>
          </cell>
        </row>
        <row r="1512">
          <cell r="A1512">
            <v>8052</v>
          </cell>
        </row>
        <row r="1513">
          <cell r="A1513">
            <v>8053</v>
          </cell>
        </row>
        <row r="1514">
          <cell r="A1514">
            <v>8054</v>
          </cell>
        </row>
        <row r="1515">
          <cell r="A1515">
            <v>8055</v>
          </cell>
        </row>
        <row r="1516">
          <cell r="A1516">
            <v>8056</v>
          </cell>
        </row>
        <row r="1517">
          <cell r="A1517">
            <v>8057</v>
          </cell>
        </row>
        <row r="1518">
          <cell r="A1518">
            <v>8058</v>
          </cell>
        </row>
        <row r="1519">
          <cell r="A1519">
            <v>8059</v>
          </cell>
        </row>
        <row r="1520">
          <cell r="A1520">
            <v>8060</v>
          </cell>
        </row>
        <row r="1521">
          <cell r="A1521">
            <v>8061</v>
          </cell>
        </row>
        <row r="1522">
          <cell r="A1522">
            <v>8062</v>
          </cell>
        </row>
        <row r="1523">
          <cell r="A1523">
            <v>8063</v>
          </cell>
        </row>
        <row r="1524">
          <cell r="A1524">
            <v>8064</v>
          </cell>
        </row>
        <row r="1525">
          <cell r="A1525">
            <v>8065</v>
          </cell>
        </row>
        <row r="1526">
          <cell r="A1526">
            <v>8066</v>
          </cell>
        </row>
        <row r="1527">
          <cell r="A1527">
            <v>8067</v>
          </cell>
        </row>
        <row r="1528">
          <cell r="A1528">
            <v>8068</v>
          </cell>
        </row>
        <row r="1529">
          <cell r="A1529">
            <v>8069</v>
          </cell>
        </row>
        <row r="1530">
          <cell r="A1530">
            <v>8070</v>
          </cell>
        </row>
        <row r="1531">
          <cell r="A1531">
            <v>8071</v>
          </cell>
        </row>
        <row r="1532">
          <cell r="A1532">
            <v>8072</v>
          </cell>
        </row>
        <row r="1533">
          <cell r="A1533">
            <v>8073</v>
          </cell>
        </row>
        <row r="1534">
          <cell r="A1534">
            <v>8074</v>
          </cell>
        </row>
        <row r="1535">
          <cell r="A1535">
            <v>8077</v>
          </cell>
        </row>
        <row r="1536">
          <cell r="A1536">
            <v>8078</v>
          </cell>
        </row>
        <row r="1537">
          <cell r="A1537">
            <v>8079</v>
          </cell>
        </row>
        <row r="1538">
          <cell r="A1538">
            <v>8080</v>
          </cell>
        </row>
        <row r="1539">
          <cell r="A1539">
            <v>8081</v>
          </cell>
        </row>
        <row r="1540">
          <cell r="A1540">
            <v>8082</v>
          </cell>
        </row>
        <row r="1541">
          <cell r="A1541">
            <v>8083</v>
          </cell>
        </row>
        <row r="1542">
          <cell r="A1542">
            <v>8084</v>
          </cell>
        </row>
        <row r="1543">
          <cell r="A1543">
            <v>8085</v>
          </cell>
        </row>
        <row r="1544">
          <cell r="A1544">
            <v>8086</v>
          </cell>
        </row>
        <row r="1545">
          <cell r="A1545">
            <v>8087</v>
          </cell>
        </row>
        <row r="1546">
          <cell r="A1546">
            <v>8088</v>
          </cell>
        </row>
        <row r="1547">
          <cell r="A1547">
            <v>8089</v>
          </cell>
        </row>
        <row r="1548">
          <cell r="A1548">
            <v>8090</v>
          </cell>
        </row>
        <row r="1549">
          <cell r="A1549">
            <v>8095</v>
          </cell>
        </row>
        <row r="1550">
          <cell r="A1550">
            <v>8096</v>
          </cell>
        </row>
        <row r="1551">
          <cell r="A1551">
            <v>8097</v>
          </cell>
        </row>
        <row r="1552">
          <cell r="A1552">
            <v>8098</v>
          </cell>
        </row>
        <row r="1553">
          <cell r="A1553">
            <v>8099</v>
          </cell>
        </row>
        <row r="1554">
          <cell r="A1554">
            <v>8100</v>
          </cell>
        </row>
        <row r="1555">
          <cell r="A1555">
            <v>8101</v>
          </cell>
        </row>
        <row r="1556">
          <cell r="A1556">
            <v>8102</v>
          </cell>
        </row>
        <row r="1557">
          <cell r="A1557">
            <v>8103</v>
          </cell>
        </row>
        <row r="1558">
          <cell r="A1558">
            <v>8104</v>
          </cell>
        </row>
        <row r="1559">
          <cell r="A1559">
            <v>8105</v>
          </cell>
        </row>
        <row r="1560">
          <cell r="A1560">
            <v>8106</v>
          </cell>
        </row>
        <row r="1561">
          <cell r="A1561">
            <v>8111</v>
          </cell>
        </row>
        <row r="1562">
          <cell r="A1562">
            <v>8112</v>
          </cell>
        </row>
        <row r="1563">
          <cell r="A1563">
            <v>8113</v>
          </cell>
        </row>
        <row r="1564">
          <cell r="A1564">
            <v>8114</v>
          </cell>
        </row>
        <row r="1565">
          <cell r="A1565">
            <v>8115</v>
          </cell>
        </row>
        <row r="1566">
          <cell r="A1566">
            <v>8116</v>
          </cell>
        </row>
        <row r="1567">
          <cell r="A1567">
            <v>8117</v>
          </cell>
        </row>
        <row r="1568">
          <cell r="A1568">
            <v>8118</v>
          </cell>
        </row>
        <row r="1569">
          <cell r="A1569">
            <v>8119</v>
          </cell>
        </row>
        <row r="1570">
          <cell r="A1570">
            <v>8120</v>
          </cell>
        </row>
        <row r="1571">
          <cell r="A1571">
            <v>8121</v>
          </cell>
        </row>
        <row r="1572">
          <cell r="A1572">
            <v>8122</v>
          </cell>
        </row>
        <row r="1573">
          <cell r="A1573">
            <v>8127</v>
          </cell>
        </row>
        <row r="1574">
          <cell r="A1574">
            <v>8128</v>
          </cell>
        </row>
        <row r="1575">
          <cell r="A1575">
            <v>8129</v>
          </cell>
        </row>
        <row r="1576">
          <cell r="A1576">
            <v>8130</v>
          </cell>
        </row>
        <row r="1577">
          <cell r="A1577">
            <v>8131</v>
          </cell>
        </row>
        <row r="1578">
          <cell r="A1578">
            <v>8132</v>
          </cell>
        </row>
        <row r="1579">
          <cell r="A1579">
            <v>8133</v>
          </cell>
        </row>
        <row r="1580">
          <cell r="A1580">
            <v>8134</v>
          </cell>
        </row>
        <row r="1581">
          <cell r="A1581">
            <v>8135</v>
          </cell>
        </row>
        <row r="1582">
          <cell r="A1582">
            <v>8136</v>
          </cell>
        </row>
        <row r="1583">
          <cell r="A1583">
            <v>8137</v>
          </cell>
        </row>
        <row r="1584">
          <cell r="A1584">
            <v>8138</v>
          </cell>
        </row>
        <row r="1585">
          <cell r="A1585">
            <v>9001</v>
          </cell>
        </row>
        <row r="1586">
          <cell r="A1586">
            <v>9002</v>
          </cell>
        </row>
        <row r="1587">
          <cell r="A1587">
            <v>9003</v>
          </cell>
        </row>
        <row r="1588">
          <cell r="A1588">
            <v>9004</v>
          </cell>
        </row>
        <row r="1589">
          <cell r="A1589">
            <v>9005</v>
          </cell>
        </row>
        <row r="1590">
          <cell r="A1590">
            <v>9006</v>
          </cell>
        </row>
        <row r="1591">
          <cell r="A1591">
            <v>9007</v>
          </cell>
        </row>
        <row r="1592">
          <cell r="A1592">
            <v>9008</v>
          </cell>
        </row>
        <row r="1593">
          <cell r="A1593">
            <v>10101</v>
          </cell>
        </row>
        <row r="1594">
          <cell r="A1594">
            <v>10102</v>
          </cell>
        </row>
        <row r="1595">
          <cell r="A1595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1393</v>
          </cell>
        </row>
        <row r="1391">
          <cell r="A1391">
            <v>1394</v>
          </cell>
        </row>
        <row r="1392">
          <cell r="A1392">
            <v>1395</v>
          </cell>
        </row>
        <row r="1393">
          <cell r="A1393">
            <v>1399</v>
          </cell>
        </row>
        <row r="1394">
          <cell r="A1394">
            <v>1400</v>
          </cell>
        </row>
        <row r="1395">
          <cell r="A1395">
            <v>1401</v>
          </cell>
        </row>
        <row r="1396">
          <cell r="A1396">
            <v>1402</v>
          </cell>
        </row>
        <row r="1397">
          <cell r="A1397">
            <v>1403</v>
          </cell>
        </row>
        <row r="1398">
          <cell r="A1398">
            <v>1404</v>
          </cell>
        </row>
        <row r="1399">
          <cell r="A1399">
            <v>1405</v>
          </cell>
        </row>
        <row r="1400">
          <cell r="A1400">
            <v>1406</v>
          </cell>
        </row>
        <row r="1401">
          <cell r="A1401">
            <v>1407</v>
          </cell>
        </row>
        <row r="1402">
          <cell r="A1402">
            <v>1408</v>
          </cell>
        </row>
        <row r="1403">
          <cell r="A1403">
            <v>1409</v>
          </cell>
        </row>
        <row r="1404">
          <cell r="A1404">
            <v>1410</v>
          </cell>
        </row>
        <row r="1405">
          <cell r="A1405">
            <v>1411</v>
          </cell>
        </row>
        <row r="1406">
          <cell r="A1406">
            <v>1412</v>
          </cell>
        </row>
        <row r="1407">
          <cell r="A1407">
            <v>1413</v>
          </cell>
        </row>
        <row r="1408">
          <cell r="A1408">
            <v>1414</v>
          </cell>
        </row>
        <row r="1409">
          <cell r="A1409">
            <v>1415</v>
          </cell>
        </row>
        <row r="1410">
          <cell r="A1410">
            <v>1416</v>
          </cell>
        </row>
        <row r="1411">
          <cell r="A1411">
            <v>1417</v>
          </cell>
        </row>
        <row r="1412">
          <cell r="A1412">
            <v>1418</v>
          </cell>
        </row>
        <row r="1413">
          <cell r="A1413">
            <v>1419</v>
          </cell>
        </row>
        <row r="1414">
          <cell r="A1414">
            <v>1420</v>
          </cell>
        </row>
        <row r="1415">
          <cell r="A1415">
            <v>1421</v>
          </cell>
        </row>
        <row r="1416">
          <cell r="A1416">
            <v>1422</v>
          </cell>
        </row>
        <row r="1417">
          <cell r="A1417">
            <v>1423</v>
          </cell>
        </row>
        <row r="1418">
          <cell r="A1418">
            <v>1424</v>
          </cell>
        </row>
        <row r="1419">
          <cell r="A1419">
            <v>1425</v>
          </cell>
        </row>
        <row r="1420">
          <cell r="A1420">
            <v>1426</v>
          </cell>
        </row>
        <row r="1421">
          <cell r="A1421">
            <v>1427</v>
          </cell>
        </row>
        <row r="1422">
          <cell r="A1422">
            <v>1428</v>
          </cell>
        </row>
        <row r="1423">
          <cell r="A1423">
            <v>1431</v>
          </cell>
        </row>
        <row r="1424">
          <cell r="A1424">
            <v>1432</v>
          </cell>
        </row>
        <row r="1425">
          <cell r="A1425">
            <v>1433</v>
          </cell>
        </row>
        <row r="1426">
          <cell r="A1426">
            <v>1434</v>
          </cell>
        </row>
        <row r="1427">
          <cell r="A1427">
            <v>1435</v>
          </cell>
        </row>
        <row r="1428">
          <cell r="A1428">
            <v>1436</v>
          </cell>
        </row>
        <row r="1429">
          <cell r="A1429">
            <v>1437</v>
          </cell>
        </row>
        <row r="1430">
          <cell r="A1430">
            <v>1438</v>
          </cell>
        </row>
        <row r="1431">
          <cell r="A1431">
            <v>1439</v>
          </cell>
        </row>
        <row r="1432">
          <cell r="A1432">
            <v>1440</v>
          </cell>
        </row>
        <row r="1433">
          <cell r="A1433">
            <v>1441</v>
          </cell>
        </row>
        <row r="1434">
          <cell r="A1434">
            <v>1442</v>
          </cell>
        </row>
        <row r="1435">
          <cell r="A1435">
            <v>1443</v>
          </cell>
        </row>
        <row r="1436">
          <cell r="A1436">
            <v>1444</v>
          </cell>
        </row>
        <row r="1437">
          <cell r="A1437">
            <v>1445</v>
          </cell>
        </row>
        <row r="1438">
          <cell r="A1438">
            <v>1446</v>
          </cell>
        </row>
        <row r="1439">
          <cell r="A1439">
            <v>1447</v>
          </cell>
        </row>
        <row r="1440">
          <cell r="A1440">
            <v>1448</v>
          </cell>
        </row>
        <row r="1441">
          <cell r="A1441">
            <v>1449</v>
          </cell>
        </row>
        <row r="1442">
          <cell r="A1442">
            <v>1450</v>
          </cell>
        </row>
        <row r="1443">
          <cell r="A1443">
            <v>1451</v>
          </cell>
        </row>
        <row r="1444">
          <cell r="A1444">
            <v>1452</v>
          </cell>
        </row>
        <row r="1445">
          <cell r="A1445">
            <v>1453</v>
          </cell>
        </row>
        <row r="1446">
          <cell r="A1446">
            <v>1454</v>
          </cell>
        </row>
        <row r="1447">
          <cell r="A1447">
            <v>1455</v>
          </cell>
        </row>
        <row r="1448">
          <cell r="A1448">
            <v>1456</v>
          </cell>
        </row>
        <row r="1449">
          <cell r="A1449">
            <v>1457</v>
          </cell>
        </row>
        <row r="1450">
          <cell r="A1450">
            <v>1458</v>
          </cell>
        </row>
        <row r="1451">
          <cell r="A1451">
            <v>1459</v>
          </cell>
        </row>
        <row r="1452">
          <cell r="A1452">
            <v>1460</v>
          </cell>
        </row>
        <row r="1453">
          <cell r="A1453">
            <v>1461</v>
          </cell>
        </row>
        <row r="1454">
          <cell r="A1454">
            <v>1462</v>
          </cell>
        </row>
        <row r="1455">
          <cell r="A1455">
            <v>1463</v>
          </cell>
        </row>
        <row r="1456">
          <cell r="A1456">
            <v>1464</v>
          </cell>
        </row>
        <row r="1457">
          <cell r="A1457">
            <v>1465</v>
          </cell>
        </row>
        <row r="1458">
          <cell r="A1458">
            <v>1466</v>
          </cell>
        </row>
        <row r="1459">
          <cell r="A1459">
            <v>1467</v>
          </cell>
        </row>
        <row r="1460">
          <cell r="A1460">
            <v>1468</v>
          </cell>
        </row>
        <row r="1461">
          <cell r="A1461">
            <v>1469</v>
          </cell>
        </row>
        <row r="1462">
          <cell r="A1462">
            <v>1470</v>
          </cell>
        </row>
        <row r="1463">
          <cell r="A1463">
            <v>1471</v>
          </cell>
        </row>
        <row r="1464">
          <cell r="A1464">
            <v>1488</v>
          </cell>
        </row>
        <row r="1465">
          <cell r="A1465">
            <v>1489</v>
          </cell>
        </row>
        <row r="1466">
          <cell r="A1466">
            <v>1490</v>
          </cell>
        </row>
        <row r="1467">
          <cell r="A1467">
            <v>1491</v>
          </cell>
        </row>
        <row r="1468">
          <cell r="A1468">
            <v>1495</v>
          </cell>
        </row>
        <row r="1469">
          <cell r="A1469">
            <v>1496</v>
          </cell>
        </row>
        <row r="1470">
          <cell r="A1470">
            <v>1497</v>
          </cell>
        </row>
        <row r="1471">
          <cell r="A1471">
            <v>1498</v>
          </cell>
        </row>
        <row r="1472">
          <cell r="A1472">
            <v>1499</v>
          </cell>
        </row>
        <row r="1473">
          <cell r="A1473">
            <v>1500</v>
          </cell>
        </row>
        <row r="1474">
          <cell r="A1474">
            <v>1501</v>
          </cell>
        </row>
        <row r="1475">
          <cell r="A1475">
            <v>1502</v>
          </cell>
        </row>
        <row r="1476">
          <cell r="A1476">
            <v>1503</v>
          </cell>
        </row>
        <row r="1477">
          <cell r="A1477">
            <v>1504</v>
          </cell>
        </row>
        <row r="1478">
          <cell r="A1478">
            <v>1505</v>
          </cell>
        </row>
        <row r="1479">
          <cell r="A1479">
            <v>1506</v>
          </cell>
        </row>
        <row r="1480">
          <cell r="A1480">
            <v>1507</v>
          </cell>
        </row>
        <row r="1481">
          <cell r="A1481">
            <v>1508</v>
          </cell>
        </row>
        <row r="1482">
          <cell r="A1482">
            <v>1509</v>
          </cell>
        </row>
        <row r="1483">
          <cell r="A1483">
            <v>1510</v>
          </cell>
        </row>
        <row r="1484">
          <cell r="A1484">
            <v>1511</v>
          </cell>
        </row>
        <row r="1485">
          <cell r="A1485">
            <v>1512</v>
          </cell>
        </row>
        <row r="1486">
          <cell r="A1486">
            <v>1513</v>
          </cell>
        </row>
        <row r="1487">
          <cell r="A1487">
            <v>1514</v>
          </cell>
        </row>
        <row r="1488">
          <cell r="A1488">
            <v>1515</v>
          </cell>
        </row>
        <row r="1489">
          <cell r="A1489">
            <v>1516</v>
          </cell>
        </row>
        <row r="1490">
          <cell r="A1490">
            <v>1517</v>
          </cell>
        </row>
        <row r="1491">
          <cell r="A1491">
            <v>1518</v>
          </cell>
        </row>
        <row r="1492">
          <cell r="A1492">
            <v>1519</v>
          </cell>
        </row>
        <row r="1493">
          <cell r="A1493">
            <v>1520</v>
          </cell>
        </row>
        <row r="1494">
          <cell r="A1494">
            <v>1521</v>
          </cell>
        </row>
        <row r="1495">
          <cell r="A1495">
            <v>1522</v>
          </cell>
        </row>
        <row r="1496">
          <cell r="A1496">
            <v>1523</v>
          </cell>
        </row>
        <row r="1497">
          <cell r="A1497">
            <v>1524</v>
          </cell>
        </row>
        <row r="1498">
          <cell r="A1498">
            <v>1525</v>
          </cell>
        </row>
        <row r="1499">
          <cell r="A1499">
            <v>1526</v>
          </cell>
        </row>
        <row r="1500">
          <cell r="A1500">
            <v>1527</v>
          </cell>
        </row>
        <row r="1501">
          <cell r="A1501">
            <v>1528</v>
          </cell>
        </row>
        <row r="1502">
          <cell r="A1502">
            <v>1529</v>
          </cell>
        </row>
        <row r="1503">
          <cell r="A1503">
            <v>1530</v>
          </cell>
        </row>
        <row r="1504">
          <cell r="A1504">
            <v>1531</v>
          </cell>
        </row>
        <row r="1505">
          <cell r="A1505">
            <v>1532</v>
          </cell>
        </row>
        <row r="1506">
          <cell r="A1506">
            <v>1533</v>
          </cell>
        </row>
        <row r="1507">
          <cell r="A1507">
            <v>1534</v>
          </cell>
        </row>
        <row r="1508">
          <cell r="A1508">
            <v>1535</v>
          </cell>
        </row>
        <row r="1509">
          <cell r="A1509">
            <v>1536</v>
          </cell>
        </row>
        <row r="1510">
          <cell r="A1510">
            <v>1537</v>
          </cell>
        </row>
        <row r="1511">
          <cell r="A1511">
            <v>1538</v>
          </cell>
        </row>
        <row r="1512">
          <cell r="A1512">
            <v>1539</v>
          </cell>
        </row>
        <row r="1513">
          <cell r="A1513">
            <v>1540</v>
          </cell>
        </row>
        <row r="1514">
          <cell r="A1514">
            <v>1541</v>
          </cell>
        </row>
        <row r="1515">
          <cell r="A1515">
            <v>1542</v>
          </cell>
        </row>
        <row r="1516">
          <cell r="A1516">
            <v>1543</v>
          </cell>
        </row>
        <row r="1517">
          <cell r="A1517">
            <v>1544</v>
          </cell>
        </row>
        <row r="1518">
          <cell r="A1518">
            <v>1545</v>
          </cell>
        </row>
        <row r="1519">
          <cell r="A1519">
            <v>1546</v>
          </cell>
        </row>
        <row r="1520">
          <cell r="A1520">
            <v>1547</v>
          </cell>
        </row>
        <row r="1521">
          <cell r="A1521">
            <v>1548</v>
          </cell>
        </row>
        <row r="1522">
          <cell r="A1522">
            <v>1549</v>
          </cell>
        </row>
        <row r="1523">
          <cell r="A1523">
            <v>1550</v>
          </cell>
        </row>
        <row r="1524">
          <cell r="A1524">
            <v>1551</v>
          </cell>
        </row>
        <row r="1525">
          <cell r="A1525">
            <v>1552</v>
          </cell>
        </row>
        <row r="1526">
          <cell r="A1526">
            <v>1553</v>
          </cell>
        </row>
        <row r="1527">
          <cell r="A1527">
            <v>1554</v>
          </cell>
        </row>
        <row r="1528">
          <cell r="A1528">
            <v>1555</v>
          </cell>
        </row>
        <row r="1529">
          <cell r="A1529">
            <v>1556</v>
          </cell>
        </row>
        <row r="1530">
          <cell r="A1530">
            <v>1557</v>
          </cell>
        </row>
        <row r="1531">
          <cell r="A1531">
            <v>1558</v>
          </cell>
        </row>
        <row r="1532">
          <cell r="A1532">
            <v>1559</v>
          </cell>
        </row>
        <row r="1533">
          <cell r="A1533">
            <v>1560</v>
          </cell>
        </row>
        <row r="1534">
          <cell r="A1534">
            <v>1561</v>
          </cell>
        </row>
        <row r="1535">
          <cell r="A1535">
            <v>1562</v>
          </cell>
        </row>
        <row r="1536">
          <cell r="A1536">
            <v>1563</v>
          </cell>
        </row>
        <row r="1537">
          <cell r="A1537">
            <v>1564</v>
          </cell>
        </row>
        <row r="1538">
          <cell r="A1538">
            <v>1565</v>
          </cell>
        </row>
        <row r="1539">
          <cell r="A1539">
            <v>1566</v>
          </cell>
        </row>
        <row r="1540">
          <cell r="A1540">
            <v>1567</v>
          </cell>
        </row>
        <row r="1541">
          <cell r="A1541">
            <v>1568</v>
          </cell>
        </row>
        <row r="1542">
          <cell r="A1542">
            <v>1569</v>
          </cell>
        </row>
        <row r="1543">
          <cell r="A1543">
            <v>1570</v>
          </cell>
        </row>
        <row r="1544">
          <cell r="A1544">
            <v>1571</v>
          </cell>
        </row>
        <row r="1545">
          <cell r="A1545">
            <v>1572</v>
          </cell>
        </row>
        <row r="1546">
          <cell r="A1546">
            <v>1573</v>
          </cell>
        </row>
        <row r="1547">
          <cell r="A1547">
            <v>1574</v>
          </cell>
        </row>
        <row r="1548">
          <cell r="A1548">
            <v>1575</v>
          </cell>
        </row>
        <row r="1549">
          <cell r="A1549">
            <v>1576</v>
          </cell>
        </row>
        <row r="1550">
          <cell r="A1550">
            <v>1577</v>
          </cell>
        </row>
        <row r="1551">
          <cell r="A1551">
            <v>1578</v>
          </cell>
        </row>
        <row r="1552">
          <cell r="A1552">
            <v>1579</v>
          </cell>
        </row>
        <row r="1553">
          <cell r="A1553">
            <v>1580</v>
          </cell>
        </row>
        <row r="1554">
          <cell r="A1554">
            <v>1581</v>
          </cell>
        </row>
        <row r="1555">
          <cell r="A1555">
            <v>1582</v>
          </cell>
        </row>
        <row r="1556">
          <cell r="A1556">
            <v>1583</v>
          </cell>
        </row>
        <row r="1557">
          <cell r="A1557">
            <v>1584</v>
          </cell>
        </row>
        <row r="1558">
          <cell r="A1558">
            <v>1585</v>
          </cell>
        </row>
        <row r="1559">
          <cell r="A1559">
            <v>1586</v>
          </cell>
        </row>
        <row r="1560">
          <cell r="A1560">
            <v>1587</v>
          </cell>
        </row>
        <row r="1561">
          <cell r="A1561">
            <v>1588</v>
          </cell>
        </row>
        <row r="1562">
          <cell r="A1562">
            <v>1603</v>
          </cell>
        </row>
        <row r="1563">
          <cell r="A1563">
            <v>1604</v>
          </cell>
        </row>
        <row r="1564">
          <cell r="A1564">
            <v>1613</v>
          </cell>
        </row>
        <row r="1565">
          <cell r="A1565">
            <v>1614</v>
          </cell>
        </row>
        <row r="1566">
          <cell r="A1566">
            <v>1615</v>
          </cell>
        </row>
        <row r="1567">
          <cell r="A1567">
            <v>1616</v>
          </cell>
        </row>
        <row r="1568">
          <cell r="A1568">
            <v>1617</v>
          </cell>
        </row>
        <row r="1569">
          <cell r="A1569">
            <v>1618</v>
          </cell>
        </row>
        <row r="1570">
          <cell r="A1570">
            <v>1619</v>
          </cell>
        </row>
        <row r="1571">
          <cell r="A1571">
            <v>1620</v>
          </cell>
        </row>
        <row r="1572">
          <cell r="A1572">
            <v>1621</v>
          </cell>
        </row>
        <row r="1573">
          <cell r="A1573">
            <v>1622</v>
          </cell>
        </row>
        <row r="1574">
          <cell r="A1574">
            <v>1623</v>
          </cell>
        </row>
        <row r="1575">
          <cell r="A1575">
            <v>1624</v>
          </cell>
        </row>
        <row r="1576">
          <cell r="A1576">
            <v>1687</v>
          </cell>
        </row>
        <row r="1577">
          <cell r="A1577">
            <v>1688</v>
          </cell>
        </row>
        <row r="1578">
          <cell r="A1578">
            <v>1689</v>
          </cell>
        </row>
        <row r="1579">
          <cell r="A1579">
            <v>1690</v>
          </cell>
        </row>
        <row r="1580">
          <cell r="A1580">
            <v>1691</v>
          </cell>
        </row>
        <row r="1581">
          <cell r="A1581">
            <v>1692</v>
          </cell>
        </row>
        <row r="1582">
          <cell r="A1582">
            <v>1693</v>
          </cell>
        </row>
        <row r="1583">
          <cell r="A1583">
            <v>1694</v>
          </cell>
        </row>
        <row r="1584">
          <cell r="A1584">
            <v>1695</v>
          </cell>
        </row>
        <row r="1585">
          <cell r="A1585">
            <v>1696</v>
          </cell>
        </row>
        <row r="1586">
          <cell r="A1586">
            <v>5001</v>
          </cell>
        </row>
        <row r="1587">
          <cell r="A1587">
            <v>5002</v>
          </cell>
        </row>
        <row r="1588">
          <cell r="A1588">
            <v>5003</v>
          </cell>
        </row>
        <row r="1589">
          <cell r="A1589">
            <v>5004</v>
          </cell>
        </row>
        <row r="1590">
          <cell r="A1590">
            <v>5005</v>
          </cell>
        </row>
        <row r="1591">
          <cell r="A1591">
            <v>5006</v>
          </cell>
        </row>
        <row r="1592">
          <cell r="A1592">
            <v>5007</v>
          </cell>
        </row>
        <row r="1593">
          <cell r="A1593">
            <v>5008</v>
          </cell>
        </row>
        <row r="1594">
          <cell r="A1594">
            <v>6001</v>
          </cell>
        </row>
        <row r="1595">
          <cell r="A1595">
            <v>6002</v>
          </cell>
        </row>
        <row r="1596">
          <cell r="A1596">
            <v>6003</v>
          </cell>
        </row>
        <row r="1597">
          <cell r="A1597">
            <v>6004</v>
          </cell>
        </row>
        <row r="1598">
          <cell r="A1598">
            <v>6005</v>
          </cell>
        </row>
        <row r="1599">
          <cell r="A1599">
            <v>6006</v>
          </cell>
        </row>
        <row r="1600">
          <cell r="A1600">
            <v>6007</v>
          </cell>
        </row>
        <row r="1601">
          <cell r="A1601">
            <v>6008</v>
          </cell>
        </row>
        <row r="1602">
          <cell r="A1602">
            <v>6009</v>
          </cell>
        </row>
        <row r="1603">
          <cell r="A1603">
            <v>6010</v>
          </cell>
        </row>
        <row r="1604">
          <cell r="A1604">
            <v>6011</v>
          </cell>
        </row>
        <row r="1605">
          <cell r="A1605">
            <v>6012</v>
          </cell>
        </row>
        <row r="1606">
          <cell r="A1606">
            <v>6013</v>
          </cell>
        </row>
        <row r="1607">
          <cell r="A1607">
            <v>6014</v>
          </cell>
        </row>
        <row r="1608">
          <cell r="A1608">
            <v>6015</v>
          </cell>
        </row>
        <row r="1609">
          <cell r="A1609">
            <v>6016</v>
          </cell>
        </row>
        <row r="1610">
          <cell r="A1610">
            <v>6017</v>
          </cell>
        </row>
        <row r="1611">
          <cell r="A1611">
            <v>6018</v>
          </cell>
        </row>
        <row r="1612">
          <cell r="A1612">
            <v>6019</v>
          </cell>
        </row>
        <row r="1613">
          <cell r="A1613">
            <v>6020</v>
          </cell>
        </row>
        <row r="1614">
          <cell r="A1614">
            <v>8001</v>
          </cell>
        </row>
        <row r="1615">
          <cell r="A1615">
            <v>8002</v>
          </cell>
        </row>
        <row r="1616">
          <cell r="A1616">
            <v>8003</v>
          </cell>
        </row>
        <row r="1617">
          <cell r="A1617">
            <v>8004</v>
          </cell>
        </row>
        <row r="1618">
          <cell r="A1618">
            <v>8005</v>
          </cell>
        </row>
        <row r="1619">
          <cell r="A1619">
            <v>8006</v>
          </cell>
        </row>
        <row r="1620">
          <cell r="A1620">
            <v>8007</v>
          </cell>
        </row>
        <row r="1621">
          <cell r="A1621">
            <v>8008</v>
          </cell>
        </row>
        <row r="1622">
          <cell r="A1622">
            <v>8009</v>
          </cell>
        </row>
        <row r="1623">
          <cell r="A1623">
            <v>8010</v>
          </cell>
        </row>
        <row r="1624">
          <cell r="A1624">
            <v>8011</v>
          </cell>
        </row>
        <row r="1625">
          <cell r="A1625">
            <v>8012</v>
          </cell>
        </row>
        <row r="1626">
          <cell r="A1626">
            <v>8013</v>
          </cell>
        </row>
        <row r="1627">
          <cell r="A1627">
            <v>8014</v>
          </cell>
        </row>
        <row r="1628">
          <cell r="A1628">
            <v>8015</v>
          </cell>
        </row>
        <row r="1629">
          <cell r="A1629">
            <v>8016</v>
          </cell>
        </row>
        <row r="1630">
          <cell r="A1630">
            <v>8017</v>
          </cell>
        </row>
        <row r="1631">
          <cell r="A1631">
            <v>8018</v>
          </cell>
        </row>
        <row r="1632">
          <cell r="A1632">
            <v>8019</v>
          </cell>
        </row>
        <row r="1633">
          <cell r="A1633">
            <v>8020</v>
          </cell>
        </row>
        <row r="1634">
          <cell r="A1634">
            <v>8021</v>
          </cell>
        </row>
        <row r="1635">
          <cell r="A1635">
            <v>8022</v>
          </cell>
        </row>
        <row r="1636">
          <cell r="A1636">
            <v>8023</v>
          </cell>
        </row>
        <row r="1637">
          <cell r="A1637">
            <v>8024</v>
          </cell>
        </row>
        <row r="1638">
          <cell r="A1638">
            <v>8025</v>
          </cell>
        </row>
        <row r="1639">
          <cell r="A1639">
            <v>8026</v>
          </cell>
        </row>
        <row r="1640">
          <cell r="A1640">
            <v>8027</v>
          </cell>
        </row>
        <row r="1641">
          <cell r="A1641">
            <v>8028</v>
          </cell>
        </row>
        <row r="1642">
          <cell r="A1642">
            <v>8029</v>
          </cell>
        </row>
        <row r="1643">
          <cell r="A1643">
            <v>8030</v>
          </cell>
        </row>
        <row r="1644">
          <cell r="A1644">
            <v>8031</v>
          </cell>
        </row>
        <row r="1645">
          <cell r="A1645">
            <v>8032</v>
          </cell>
        </row>
        <row r="1646">
          <cell r="A1646">
            <v>8033</v>
          </cell>
        </row>
        <row r="1647">
          <cell r="A1647">
            <v>8034</v>
          </cell>
        </row>
        <row r="1648">
          <cell r="A1648">
            <v>8035</v>
          </cell>
        </row>
        <row r="1649">
          <cell r="A1649">
            <v>8036</v>
          </cell>
        </row>
        <row r="1650">
          <cell r="A1650">
            <v>8037</v>
          </cell>
        </row>
        <row r="1651">
          <cell r="A1651">
            <v>8038</v>
          </cell>
        </row>
        <row r="1652">
          <cell r="A1652">
            <v>8039</v>
          </cell>
        </row>
        <row r="1653">
          <cell r="A1653">
            <v>8040</v>
          </cell>
        </row>
        <row r="1654">
          <cell r="A1654">
            <v>8041</v>
          </cell>
        </row>
        <row r="1655">
          <cell r="A1655">
            <v>8042</v>
          </cell>
        </row>
        <row r="1656">
          <cell r="A1656">
            <v>8043</v>
          </cell>
        </row>
        <row r="1657">
          <cell r="A1657">
            <v>8044</v>
          </cell>
        </row>
        <row r="1658">
          <cell r="A1658">
            <v>8045</v>
          </cell>
        </row>
        <row r="1659">
          <cell r="A1659">
            <v>8046</v>
          </cell>
        </row>
        <row r="1660">
          <cell r="A1660">
            <v>8047</v>
          </cell>
        </row>
        <row r="1661">
          <cell r="A1661">
            <v>8048</v>
          </cell>
        </row>
        <row r="1662">
          <cell r="A1662">
            <v>8049</v>
          </cell>
        </row>
        <row r="1663">
          <cell r="A1663">
            <v>8050</v>
          </cell>
        </row>
        <row r="1664">
          <cell r="A1664">
            <v>8051</v>
          </cell>
        </row>
        <row r="1665">
          <cell r="A1665">
            <v>8052</v>
          </cell>
        </row>
        <row r="1666">
          <cell r="A1666">
            <v>8053</v>
          </cell>
        </row>
        <row r="1667">
          <cell r="A1667">
            <v>8054</v>
          </cell>
        </row>
        <row r="1668">
          <cell r="A1668">
            <v>8055</v>
          </cell>
        </row>
        <row r="1669">
          <cell r="A1669">
            <v>8056</v>
          </cell>
        </row>
        <row r="1670">
          <cell r="A1670">
            <v>8057</v>
          </cell>
        </row>
        <row r="1671">
          <cell r="A1671">
            <v>8058</v>
          </cell>
        </row>
        <row r="1672">
          <cell r="A1672">
            <v>8059</v>
          </cell>
        </row>
        <row r="1673">
          <cell r="A1673">
            <v>8060</v>
          </cell>
        </row>
        <row r="1674">
          <cell r="A1674">
            <v>8061</v>
          </cell>
        </row>
        <row r="1675">
          <cell r="A1675">
            <v>8062</v>
          </cell>
        </row>
        <row r="1676">
          <cell r="A1676">
            <v>8063</v>
          </cell>
        </row>
        <row r="1677">
          <cell r="A1677">
            <v>8064</v>
          </cell>
        </row>
        <row r="1678">
          <cell r="A1678">
            <v>8065</v>
          </cell>
        </row>
        <row r="1679">
          <cell r="A1679">
            <v>8066</v>
          </cell>
        </row>
        <row r="1680">
          <cell r="A1680">
            <v>8067</v>
          </cell>
        </row>
        <row r="1681">
          <cell r="A1681">
            <v>8068</v>
          </cell>
        </row>
        <row r="1682">
          <cell r="A1682">
            <v>8069</v>
          </cell>
        </row>
        <row r="1683">
          <cell r="A1683">
            <v>8070</v>
          </cell>
        </row>
        <row r="1684">
          <cell r="A1684">
            <v>8071</v>
          </cell>
        </row>
        <row r="1685">
          <cell r="A1685">
            <v>8072</v>
          </cell>
        </row>
        <row r="1686">
          <cell r="A1686">
            <v>8073</v>
          </cell>
        </row>
        <row r="1687">
          <cell r="A1687">
            <v>8074</v>
          </cell>
        </row>
        <row r="1688">
          <cell r="A1688">
            <v>8075</v>
          </cell>
        </row>
        <row r="1689">
          <cell r="A1689">
            <v>8076</v>
          </cell>
        </row>
        <row r="1690">
          <cell r="A1690">
            <v>8077</v>
          </cell>
        </row>
        <row r="1691">
          <cell r="A1691">
            <v>8078</v>
          </cell>
        </row>
        <row r="1692">
          <cell r="A1692">
            <v>8079</v>
          </cell>
        </row>
        <row r="1693">
          <cell r="A1693">
            <v>8080</v>
          </cell>
        </row>
        <row r="1694">
          <cell r="A1694">
            <v>8081</v>
          </cell>
        </row>
        <row r="1695">
          <cell r="A1695">
            <v>8082</v>
          </cell>
        </row>
        <row r="1696">
          <cell r="A1696">
            <v>8083</v>
          </cell>
        </row>
        <row r="1697">
          <cell r="A1697">
            <v>8084</v>
          </cell>
        </row>
        <row r="1698">
          <cell r="A1698">
            <v>8085</v>
          </cell>
        </row>
        <row r="1699">
          <cell r="A1699">
            <v>8086</v>
          </cell>
        </row>
        <row r="1700">
          <cell r="A1700">
            <v>8087</v>
          </cell>
        </row>
        <row r="1701">
          <cell r="A1701">
            <v>8088</v>
          </cell>
        </row>
        <row r="1702">
          <cell r="A1702">
            <v>8089</v>
          </cell>
        </row>
        <row r="1703">
          <cell r="A1703">
            <v>8090</v>
          </cell>
        </row>
        <row r="1704">
          <cell r="A1704">
            <v>8095</v>
          </cell>
        </row>
        <row r="1705">
          <cell r="A1705">
            <v>8096</v>
          </cell>
        </row>
        <row r="1706">
          <cell r="A1706">
            <v>8097</v>
          </cell>
        </row>
        <row r="1707">
          <cell r="A1707">
            <v>8098</v>
          </cell>
        </row>
        <row r="1708">
          <cell r="A1708">
            <v>8099</v>
          </cell>
        </row>
        <row r="1709">
          <cell r="A1709">
            <v>8100</v>
          </cell>
        </row>
        <row r="1710">
          <cell r="A1710">
            <v>8101</v>
          </cell>
        </row>
        <row r="1711">
          <cell r="A1711">
            <v>8102</v>
          </cell>
        </row>
        <row r="1712">
          <cell r="A1712">
            <v>8103</v>
          </cell>
        </row>
        <row r="1713">
          <cell r="A1713">
            <v>8104</v>
          </cell>
        </row>
        <row r="1714">
          <cell r="A1714">
            <v>8105</v>
          </cell>
        </row>
        <row r="1715">
          <cell r="A1715">
            <v>8106</v>
          </cell>
        </row>
        <row r="1716">
          <cell r="A1716">
            <v>8111</v>
          </cell>
        </row>
        <row r="1717">
          <cell r="A1717">
            <v>8112</v>
          </cell>
        </row>
        <row r="1718">
          <cell r="A1718">
            <v>8113</v>
          </cell>
        </row>
        <row r="1719">
          <cell r="A1719">
            <v>8114</v>
          </cell>
        </row>
        <row r="1720">
          <cell r="A1720">
            <v>8115</v>
          </cell>
        </row>
        <row r="1721">
          <cell r="A1721">
            <v>8116</v>
          </cell>
        </row>
        <row r="1722">
          <cell r="A1722">
            <v>8117</v>
          </cell>
        </row>
        <row r="1723">
          <cell r="A1723">
            <v>8118</v>
          </cell>
        </row>
        <row r="1724">
          <cell r="A1724">
            <v>8119</v>
          </cell>
        </row>
        <row r="1725">
          <cell r="A1725">
            <v>8120</v>
          </cell>
        </row>
        <row r="1726">
          <cell r="A1726">
            <v>8121</v>
          </cell>
        </row>
        <row r="1727">
          <cell r="A1727">
            <v>8122</v>
          </cell>
        </row>
        <row r="1728">
          <cell r="A1728">
            <v>8123</v>
          </cell>
        </row>
        <row r="1729">
          <cell r="A1729">
            <v>8124</v>
          </cell>
        </row>
        <row r="1730">
          <cell r="A1730">
            <v>8125</v>
          </cell>
        </row>
        <row r="1731">
          <cell r="A1731">
            <v>8126</v>
          </cell>
        </row>
        <row r="1732">
          <cell r="A1732">
            <v>8127</v>
          </cell>
        </row>
        <row r="1733">
          <cell r="A1733">
            <v>8128</v>
          </cell>
        </row>
        <row r="1734">
          <cell r="A1734">
            <v>8129</v>
          </cell>
        </row>
        <row r="1735">
          <cell r="A1735">
            <v>8130</v>
          </cell>
        </row>
        <row r="1736">
          <cell r="A1736">
            <v>8131</v>
          </cell>
        </row>
        <row r="1737">
          <cell r="A1737">
            <v>8132</v>
          </cell>
        </row>
        <row r="1738">
          <cell r="A1738">
            <v>8133</v>
          </cell>
        </row>
        <row r="1739">
          <cell r="A1739">
            <v>8134</v>
          </cell>
        </row>
        <row r="1740">
          <cell r="A1740">
            <v>8135</v>
          </cell>
        </row>
        <row r="1741">
          <cell r="A1741">
            <v>8136</v>
          </cell>
        </row>
        <row r="1742">
          <cell r="A1742">
            <v>8137</v>
          </cell>
        </row>
        <row r="1743">
          <cell r="A1743">
            <v>8138</v>
          </cell>
        </row>
        <row r="1744">
          <cell r="A1744">
            <v>9001</v>
          </cell>
        </row>
        <row r="1745">
          <cell r="A1745">
            <v>9002</v>
          </cell>
        </row>
        <row r="1746">
          <cell r="A1746">
            <v>9003</v>
          </cell>
        </row>
        <row r="1747">
          <cell r="A1747">
            <v>9004</v>
          </cell>
        </row>
        <row r="1748">
          <cell r="A1748">
            <v>9005</v>
          </cell>
        </row>
        <row r="1749">
          <cell r="A1749">
            <v>9006</v>
          </cell>
        </row>
        <row r="1750">
          <cell r="A1750">
            <v>9007</v>
          </cell>
        </row>
        <row r="1751">
          <cell r="A1751">
            <v>9008</v>
          </cell>
        </row>
        <row r="1752">
          <cell r="A1752">
            <v>10001</v>
          </cell>
        </row>
        <row r="1753">
          <cell r="A1753">
            <v>10002</v>
          </cell>
        </row>
        <row r="1754">
          <cell r="A1754">
            <v>10003</v>
          </cell>
        </row>
        <row r="1755">
          <cell r="A1755">
            <v>10004</v>
          </cell>
        </row>
        <row r="1756">
          <cell r="A1756">
            <v>10005</v>
          </cell>
        </row>
        <row r="1757">
          <cell r="A1757">
            <v>10006</v>
          </cell>
        </row>
        <row r="1758">
          <cell r="A1758">
            <v>10007</v>
          </cell>
        </row>
        <row r="1759">
          <cell r="A1759">
            <v>10008</v>
          </cell>
        </row>
        <row r="1760">
          <cell r="A1760">
            <v>10009</v>
          </cell>
        </row>
        <row r="1761">
          <cell r="A1761">
            <v>10010</v>
          </cell>
        </row>
        <row r="1762">
          <cell r="A1762">
            <v>10011</v>
          </cell>
        </row>
        <row r="1763">
          <cell r="A1763">
            <v>10012</v>
          </cell>
        </row>
        <row r="1764">
          <cell r="A1764">
            <v>10013</v>
          </cell>
        </row>
        <row r="1765">
          <cell r="A1765">
            <v>10014</v>
          </cell>
        </row>
        <row r="1766">
          <cell r="A1766">
            <v>10015</v>
          </cell>
        </row>
        <row r="1767">
          <cell r="A1767">
            <v>10016</v>
          </cell>
        </row>
        <row r="1768">
          <cell r="A1768">
            <v>10017</v>
          </cell>
        </row>
        <row r="1769">
          <cell r="A1769">
            <v>10018</v>
          </cell>
        </row>
        <row r="1770">
          <cell r="A1770">
            <v>10019</v>
          </cell>
        </row>
        <row r="1771">
          <cell r="A1771">
            <v>10020</v>
          </cell>
        </row>
        <row r="1772">
          <cell r="A1772">
            <v>10021</v>
          </cell>
        </row>
        <row r="1773">
          <cell r="A1773">
            <v>10022</v>
          </cell>
        </row>
        <row r="1774">
          <cell r="A1774">
            <v>10023</v>
          </cell>
        </row>
        <row r="1775">
          <cell r="A1775">
            <v>10024</v>
          </cell>
        </row>
        <row r="1776">
          <cell r="A1776">
            <v>10025</v>
          </cell>
        </row>
        <row r="1777">
          <cell r="A1777">
            <v>10026</v>
          </cell>
        </row>
        <row r="1778">
          <cell r="A1778">
            <v>10027</v>
          </cell>
        </row>
        <row r="1779">
          <cell r="A1779">
            <v>10028</v>
          </cell>
        </row>
        <row r="1780">
          <cell r="A1780">
            <v>10029</v>
          </cell>
        </row>
        <row r="1781">
          <cell r="A1781">
            <v>10030</v>
          </cell>
        </row>
        <row r="1782">
          <cell r="A1782">
            <v>10031</v>
          </cell>
        </row>
        <row r="1783">
          <cell r="A1783">
            <v>10032</v>
          </cell>
        </row>
        <row r="1784">
          <cell r="A1784">
            <v>10033</v>
          </cell>
        </row>
        <row r="1785">
          <cell r="A1785">
            <v>10034</v>
          </cell>
        </row>
        <row r="1786">
          <cell r="A1786">
            <v>10035</v>
          </cell>
        </row>
        <row r="1787">
          <cell r="A1787">
            <v>10036</v>
          </cell>
        </row>
        <row r="1788">
          <cell r="A1788">
            <v>10037</v>
          </cell>
        </row>
        <row r="1789">
          <cell r="A1789">
            <v>10038</v>
          </cell>
        </row>
        <row r="1790">
          <cell r="A1790">
            <v>10039</v>
          </cell>
        </row>
        <row r="1791">
          <cell r="A1791">
            <v>10040</v>
          </cell>
        </row>
        <row r="1792">
          <cell r="A1792">
            <v>10041</v>
          </cell>
        </row>
        <row r="1793">
          <cell r="A1793">
            <v>10042</v>
          </cell>
        </row>
        <row r="1794">
          <cell r="A1794">
            <v>10043</v>
          </cell>
        </row>
        <row r="1795">
          <cell r="A1795">
            <v>10044</v>
          </cell>
        </row>
        <row r="1796">
          <cell r="A1796">
            <v>10045</v>
          </cell>
        </row>
        <row r="1797">
          <cell r="A1797">
            <v>10046</v>
          </cell>
        </row>
        <row r="1798">
          <cell r="A1798">
            <v>10047</v>
          </cell>
        </row>
        <row r="1799">
          <cell r="A1799">
            <v>10048</v>
          </cell>
        </row>
        <row r="1800">
          <cell r="A1800">
            <v>10049</v>
          </cell>
        </row>
        <row r="1801">
          <cell r="A1801">
            <v>10050</v>
          </cell>
        </row>
        <row r="1802">
          <cell r="A1802">
            <v>10051</v>
          </cell>
        </row>
        <row r="1803">
          <cell r="A1803">
            <v>10052</v>
          </cell>
        </row>
        <row r="1804">
          <cell r="A1804">
            <v>10053</v>
          </cell>
        </row>
        <row r="1805">
          <cell r="A1805">
            <v>10054</v>
          </cell>
        </row>
        <row r="1806">
          <cell r="A1806">
            <v>10055</v>
          </cell>
        </row>
        <row r="1807">
          <cell r="A1807">
            <v>10056</v>
          </cell>
        </row>
        <row r="1808">
          <cell r="A1808">
            <v>10057</v>
          </cell>
        </row>
        <row r="1809">
          <cell r="A1809">
            <v>10058</v>
          </cell>
        </row>
        <row r="1810">
          <cell r="A1810">
            <v>10059</v>
          </cell>
        </row>
        <row r="1811">
          <cell r="A1811">
            <v>10060</v>
          </cell>
        </row>
        <row r="1812">
          <cell r="A1812">
            <v>10061</v>
          </cell>
        </row>
        <row r="1813">
          <cell r="A1813">
            <v>10062</v>
          </cell>
        </row>
        <row r="1814">
          <cell r="A1814">
            <v>10063</v>
          </cell>
        </row>
        <row r="1815">
          <cell r="A1815">
            <v>10064</v>
          </cell>
        </row>
        <row r="1816">
          <cell r="A1816">
            <v>10065</v>
          </cell>
        </row>
        <row r="1817">
          <cell r="A1817">
            <v>10066</v>
          </cell>
        </row>
        <row r="1818">
          <cell r="A1818">
            <v>10067</v>
          </cell>
        </row>
        <row r="1819">
          <cell r="A1819">
            <v>10068</v>
          </cell>
        </row>
        <row r="1820">
          <cell r="A1820">
            <v>10069</v>
          </cell>
        </row>
        <row r="1821">
          <cell r="A1821">
            <v>10070</v>
          </cell>
        </row>
        <row r="1822">
          <cell r="A1822">
            <v>10071</v>
          </cell>
        </row>
        <row r="1823">
          <cell r="A1823">
            <v>10072</v>
          </cell>
        </row>
        <row r="1824">
          <cell r="A1824">
            <v>10073</v>
          </cell>
        </row>
        <row r="1825">
          <cell r="A1825">
            <v>10074</v>
          </cell>
        </row>
        <row r="1826">
          <cell r="A1826">
            <v>10075</v>
          </cell>
        </row>
        <row r="1827">
          <cell r="A1827">
            <v>10076</v>
          </cell>
        </row>
        <row r="1828">
          <cell r="A1828">
            <v>10077</v>
          </cell>
        </row>
        <row r="1829">
          <cell r="A1829">
            <v>10078</v>
          </cell>
        </row>
        <row r="1830">
          <cell r="A1830">
            <v>10079</v>
          </cell>
        </row>
        <row r="1831">
          <cell r="A1831">
            <v>10080</v>
          </cell>
        </row>
        <row r="1832">
          <cell r="A1832">
            <v>10081</v>
          </cell>
        </row>
        <row r="1833">
          <cell r="A1833">
            <v>10082</v>
          </cell>
        </row>
        <row r="1834">
          <cell r="A1834">
            <v>10083</v>
          </cell>
        </row>
        <row r="1835">
          <cell r="A1835">
            <v>10084</v>
          </cell>
        </row>
        <row r="1836">
          <cell r="A1836">
            <v>10085</v>
          </cell>
        </row>
        <row r="1837">
          <cell r="A1837">
            <v>10086</v>
          </cell>
        </row>
        <row r="1838">
          <cell r="A1838">
            <v>10087</v>
          </cell>
        </row>
        <row r="1839">
          <cell r="A1839">
            <v>10088</v>
          </cell>
        </row>
        <row r="1840">
          <cell r="A1840">
            <v>10089</v>
          </cell>
        </row>
        <row r="1841">
          <cell r="A1841">
            <v>10090</v>
          </cell>
        </row>
        <row r="1842">
          <cell r="A1842">
            <v>10101</v>
          </cell>
        </row>
        <row r="1843">
          <cell r="A1843">
            <v>10102</v>
          </cell>
        </row>
        <row r="1844">
          <cell r="A1844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stage_hints"/>
      <sheetName val="Sheet1"/>
      <sheetName val="Sheet2"/>
    </sheetNames>
    <sheetDataSet>
      <sheetData sheetId="0"/>
      <sheetData sheetId="1">
        <row r="1">
          <cell r="A1" t="str">
            <v>hint_id</v>
          </cell>
          <cell r="B1" t="str">
            <v>language</v>
          </cell>
          <cell r="C1" t="str">
            <v>title</v>
          </cell>
          <cell r="D1" t="str">
            <v>hint</v>
          </cell>
        </row>
        <row r="2">
          <cell r="A2">
            <v>1</v>
          </cell>
          <cell r="B2" t="str">
            <v>ja</v>
          </cell>
          <cell r="C2" t="str">
            <v>長くつなげて大ダメージ</v>
          </cell>
          <cell r="D2" t="str">
            <v>パネルを長くつなげるほど_x000D_大ダメージを与えることができます</v>
          </cell>
        </row>
        <row r="3">
          <cell r="A3">
            <v>2</v>
          </cell>
          <cell r="B3" t="str">
            <v>ja</v>
          </cell>
          <cell r="C3" t="str">
            <v>属性の相性</v>
          </cell>
          <cell r="D3" t="str">
            <v>赤＞青　青＞黄　黄＞緑　緑＞赤_x000D_敵属性に最適なパーティがオススメです</v>
          </cell>
        </row>
        <row r="4">
          <cell r="A4">
            <v>3</v>
          </cell>
          <cell r="B4" t="str">
            <v>ja</v>
          </cell>
          <cell r="C4" t="str">
            <v>ターゲット</v>
          </cell>
          <cell r="D4" t="str">
            <v>敵ユニットをタップすると_x000D_その敵を狙い撃ちできます</v>
          </cell>
        </row>
        <row r="5">
          <cell r="A5">
            <v>4</v>
          </cell>
          <cell r="B5" t="str">
            <v>ja</v>
          </cell>
          <cell r="C5" t="str">
            <v>ボーナスクエスト</v>
          </cell>
          <cell r="D5" t="str">
            <v>ノーマルクエストを進めると_x000D_嬉しいボーナスクエストが登場します</v>
          </cell>
        </row>
        <row r="6">
          <cell r="A6">
            <v>5</v>
          </cell>
          <cell r="B6" t="str">
            <v>ja</v>
          </cell>
          <cell r="C6" t="str">
            <v>ユニット強化でレベルアップ</v>
          </cell>
          <cell r="D6" t="str">
            <v>「ユニット強化」でレベルアップすると_x000D_勝てない敵にも勝てるようになります</v>
          </cell>
        </row>
        <row r="7">
          <cell r="A7">
            <v>6</v>
          </cell>
          <cell r="B7" t="str">
            <v>ja</v>
          </cell>
          <cell r="C7" t="str">
            <v>ユニット強化の属性ボーナス</v>
          </cell>
          <cell r="D7" t="str">
            <v>同属性ユニットを強化素材にすると_x000D_経験値が多くもらえます</v>
          </cell>
        </row>
        <row r="8">
          <cell r="A8">
            <v>7</v>
          </cell>
          <cell r="B8" t="str">
            <v>ja</v>
          </cell>
          <cell r="C8" t="str">
            <v>メタルダックで経験値を獲得</v>
          </cell>
          <cell r="D8" t="str">
            <v>「メタルなアヒル」を強化素材にすると_x000D_大量の経験値がもらえます</v>
          </cell>
        </row>
        <row r="9">
          <cell r="A9">
            <v>8</v>
          </cell>
          <cell r="B9" t="str">
            <v>ja</v>
          </cell>
          <cell r="C9" t="str">
            <v>ゲリラクエストは要チェック</v>
          </cell>
          <cell r="D9" t="str">
            <v>時間限定の「アヒル捕獲作戦」では_x000D_経験値素材ユニットが多く手に入ります</v>
          </cell>
        </row>
        <row r="10">
          <cell r="A10">
            <v>9</v>
          </cell>
          <cell r="B10" t="str">
            <v>ja</v>
          </cell>
          <cell r="C10" t="str">
            <v>ゴールドダックでビットを獲得</v>
          </cell>
          <cell r="D10" t="str">
            <v>「ゴールドなアヒル」を売却すると_x000D_大量のビットがもらえます</v>
          </cell>
        </row>
        <row r="11">
          <cell r="A11">
            <v>10</v>
          </cell>
          <cell r="B11" t="str">
            <v>ja</v>
          </cell>
          <cell r="C11" t="str">
            <v>土日に大量のビットを獲得</v>
          </cell>
          <cell r="D11" t="str">
            <v>土日限定の「ゴールドカジノ」では_x000D_売却素材ユニットが多く手に入ります</v>
          </cell>
        </row>
        <row r="12">
          <cell r="A12">
            <v>11</v>
          </cell>
          <cell r="B12" t="str">
            <v>ja</v>
          </cell>
          <cell r="C12" t="str">
            <v>ゲリラクエストは要チェック</v>
          </cell>
          <cell r="D12" t="str">
            <v>時間限定の「アヒル捕獲作戦」では_x000D_経験値素材ユニットが多く手に入ります</v>
          </cell>
        </row>
        <row r="13">
          <cell r="A13">
            <v>12</v>
          </cell>
          <cell r="B13" t="str">
            <v>ja</v>
          </cell>
          <cell r="C13" t="str">
            <v>ユニットのお気に入り登録</v>
          </cell>
          <cell r="D13" t="str">
            <v>大事なユニットを誤って消さないように_x000D_フォルダから「お気に入り登録」しましょう</v>
          </cell>
        </row>
        <row r="14">
          <cell r="A14">
            <v>13</v>
          </cell>
          <cell r="B14" t="str">
            <v>ja</v>
          </cell>
          <cell r="C14" t="str">
            <v>ユニットの覚醒</v>
          </cell>
          <cell r="D14" t="str">
            <v>ユニットを覚醒させると_x000D_比べものにならない強さが手に入ります</v>
          </cell>
        </row>
        <row r="15">
          <cell r="A15">
            <v>14</v>
          </cell>
          <cell r="B15" t="str">
            <v>ja</v>
          </cell>
          <cell r="C15" t="str">
            <v>覚醒するにはレベルを最大に</v>
          </cell>
          <cell r="D15" t="str">
            <v>覚醒するにはユニットのレベルを_x000D_最大まで上げる必要があります</v>
          </cell>
        </row>
        <row r="16">
          <cell r="A16">
            <v>15</v>
          </cell>
          <cell r="B16" t="str">
            <v>ja</v>
          </cell>
          <cell r="C16" t="str">
            <v>覚醒素材を獲得</v>
          </cell>
          <cell r="D16" t="str">
            <v>「曜日クエスト」では_x000D_ユニットの覚醒に必要な素材が手に入ります</v>
          </cell>
        </row>
        <row r="17">
          <cell r="A17">
            <v>16</v>
          </cell>
          <cell r="B17" t="str">
            <v>ja</v>
          </cell>
          <cell r="C17" t="str">
            <v>マルチプレイのメリット（その1）</v>
          </cell>
          <cell r="D17" t="str">
            <v>他のプレイヤーとマルチプレイで遊ぶと_x000D_ポリゴンがもらえます（100人まで）</v>
          </cell>
        </row>
        <row r="18">
          <cell r="A18">
            <v>17</v>
          </cell>
          <cell r="B18" t="str">
            <v>ja</v>
          </cell>
          <cell r="C18" t="str">
            <v>リンクガチャ</v>
          </cell>
          <cell r="D18" t="str">
            <v>無料のリンクガチャを回して_x000D_経験値素材や売却素材を獲得しましょう</v>
          </cell>
        </row>
        <row r="19">
          <cell r="A19">
            <v>18</v>
          </cell>
          <cell r="B19" t="str">
            <v>ja</v>
          </cell>
          <cell r="C19" t="str">
            <v>マルチプレイのメリット（その2）</v>
          </cell>
          <cell r="D19" t="str">
            <v>マルチプレイならリンクが2倍もらえます_x000D_リンクガチャをたくさん回しましょう</v>
          </cell>
        </row>
        <row r="20">
          <cell r="A20">
            <v>19</v>
          </cell>
          <cell r="B20" t="str">
            <v>ja</v>
          </cell>
          <cell r="C20" t="str">
            <v>ソロ専用タワーオブザクイーン</v>
          </cell>
          <cell r="D20" t="str">
            <v>ソロ専用の「タワーオブザクイーン」は_x000D_期間限定で定期的に開催されます_x000D_ここでしか獲得できない報酬もあるようです</v>
          </cell>
        </row>
        <row r="21">
          <cell r="A21">
            <v>20</v>
          </cell>
          <cell r="B21" t="str">
            <v>ja</v>
          </cell>
          <cell r="C21" t="str">
            <v>マルチプレイのメリット（その3）</v>
          </cell>
          <cell r="D21" t="str">
            <v>マルチプレイへの参加はエナジー消費ゼロ_x000D_いつでも好きなだけ遊ぶことができます</v>
          </cell>
        </row>
        <row r="22">
          <cell r="A22">
            <v>21</v>
          </cell>
          <cell r="B22" t="str">
            <v>ja</v>
          </cell>
          <cell r="C22" t="str">
            <v>スキルを有効に</v>
          </cell>
          <cell r="D22" t="str">
            <v>ターン経過でユニットのスキルが使えます_x000D_強力スキルでバトルを有利に進めましょう</v>
          </cell>
        </row>
        <row r="23">
          <cell r="A23">
            <v>22</v>
          </cell>
          <cell r="B23" t="str">
            <v>ja</v>
          </cell>
          <cell r="C23" t="str">
            <v>フィーバーで一発逆転（その1）</v>
          </cell>
          <cell r="D23" t="str">
            <v>フィーバーは攻撃と回復を兼ね備えます_x000D_ピンチからの一発逆転を狙いましょう</v>
          </cell>
        </row>
        <row r="24">
          <cell r="A24">
            <v>23</v>
          </cell>
          <cell r="B24" t="str">
            <v>ja</v>
          </cell>
          <cell r="C24" t="str">
            <v>フィーバーで一発逆転（その2）</v>
          </cell>
          <cell r="D24" t="str">
            <v>フィーバー中は虹色のボムパネルを狙って_x000D_画面上のパネルを一気に破壊しましょう</v>
          </cell>
        </row>
        <row r="25">
          <cell r="A25">
            <v>24</v>
          </cell>
          <cell r="B25" t="str">
            <v>ja</v>
          </cell>
          <cell r="C25" t="str">
            <v>果実を使って限界突破</v>
          </cell>
          <cell r="D25" t="str">
            <v>攻めの果実 癒しの果実_x000D_生命の果実をユニット強化に使うと_x000D_ステータスが限界突破します（計99個迄）</v>
          </cell>
        </row>
        <row r="26">
          <cell r="A26">
            <v>25</v>
          </cell>
          <cell r="B26" t="str">
            <v>ja</v>
          </cell>
          <cell r="C26" t="str">
            <v>スキルレベルアップ</v>
          </cell>
          <cell r="D26" t="str">
            <v>「秘術の果実」を強化に使うと_x000D_スキルレベルを上げることができます</v>
          </cell>
        </row>
        <row r="27">
          <cell r="A27">
            <v>26</v>
          </cell>
          <cell r="B27" t="str">
            <v>ja</v>
          </cell>
          <cell r="C27" t="str">
            <v>スキルレベルの効果</v>
          </cell>
          <cell r="D27" t="str">
            <v>スキルレベルが上がると_x000D_短いターンでスキルを使うことができます</v>
          </cell>
        </row>
        <row r="28">
          <cell r="A28">
            <v>27</v>
          </cell>
          <cell r="B28" t="str">
            <v>ja</v>
          </cell>
          <cell r="C28" t="str">
            <v>ホーム画面からデッキを編成</v>
          </cell>
          <cell r="D28" t="str">
            <v>ホーム画面でユニットを長押しすると_x000D_すぐにパーティ編成に移動できます</v>
          </cell>
        </row>
        <row r="29">
          <cell r="A29">
            <v>28</v>
          </cell>
          <cell r="B29" t="str">
            <v>ja</v>
          </cell>
          <cell r="C29" t="str">
            <v>ステータス情報は長押しで</v>
          </cell>
          <cell r="D29" t="str">
            <v>ユニットのアイコンを長押しすると_x000D_ステータス情報を確認することができます</v>
          </cell>
        </row>
        <row r="30">
          <cell r="A30">
            <v>29</v>
          </cell>
          <cell r="B30" t="str">
            <v>ja</v>
          </cell>
          <cell r="C30" t="str">
            <v>「バグ」のメリット</v>
          </cell>
          <cell r="D30" t="str">
            <v>ユニットの「バグ」を増やすと_x000D_報酬をもらえる確率がアップします</v>
          </cell>
        </row>
        <row r="31">
          <cell r="A31">
            <v>30</v>
          </cell>
          <cell r="B31" t="str">
            <v>ja</v>
          </cell>
          <cell r="C31" t="str">
            <v>「バグ」の増やし方</v>
          </cell>
          <cell r="D31" t="str">
            <v>同じユニット同士を強化で合成すると_x000D_「バグ」を増やすことができます</v>
          </cell>
        </row>
        <row r="32">
          <cell r="A32">
            <v>31</v>
          </cell>
          <cell r="B32" t="str">
            <v>ja</v>
          </cell>
          <cell r="C32" t="str">
            <v>イベントはお知らせでチェック</v>
          </cell>
          <cell r="D32" t="str">
            <v>イベント限定ユニットを取り忘れないように_x000D_お知らせをこまめにチェックしましょう</v>
          </cell>
        </row>
        <row r="33">
          <cell r="A33">
            <v>38</v>
          </cell>
          <cell r="B33" t="str">
            <v>ja</v>
          </cell>
          <cell r="C33" t="str">
            <v>お邪魔パネルはフィーバーで</v>
          </cell>
          <cell r="D33" t="str">
            <v>つなげて消せない「お邪魔パネル」は_x000D_フィーバーで下へ落としてしまいましょう</v>
          </cell>
        </row>
        <row r="34">
          <cell r="A34">
            <v>32</v>
          </cell>
          <cell r="B34" t="str">
            <v>ja</v>
          </cell>
          <cell r="C34" t="str">
            <v>敵の連続攻撃には</v>
          </cell>
          <cell r="D34" t="str">
            <v>カウンタースキルを持つユニットがいれば_x000D_ダメージ回数分の反撃ができます</v>
          </cell>
        </row>
        <row r="35">
          <cell r="A35">
            <v>33</v>
          </cell>
          <cell r="B35" t="str">
            <v>ja</v>
          </cell>
          <cell r="C35" t="str">
            <v>敵のカウンター攻撃には</v>
          </cell>
          <cell r="D35" t="str">
            <v>カウンターブレイクスキルを持っていれば_x000D_敵のカウンターを解除して攻撃ができます</v>
          </cell>
        </row>
        <row r="36">
          <cell r="A36">
            <v>34</v>
          </cell>
          <cell r="B36" t="str">
            <v>ja</v>
          </cell>
          <cell r="C36" t="str">
            <v>ステータスをスキルで下げられたら</v>
          </cell>
          <cell r="D36" t="str">
            <v>ステータスダウンのスキルを受けたら_x000D_ステータスアップスキルで上書きしましょう</v>
          </cell>
        </row>
        <row r="37">
          <cell r="A37">
            <v>35</v>
          </cell>
          <cell r="B37" t="str">
            <v>ja</v>
          </cell>
          <cell r="C37" t="str">
            <v>敵のステータスがスキルで上がったら</v>
          </cell>
          <cell r="D37" t="str">
            <v>敵のステータスがスキルでアップしたときは_x000D_ステータスダウンスキルで上書きしましょう</v>
          </cell>
        </row>
        <row r="38">
          <cell r="A38">
            <v>36</v>
          </cell>
          <cell r="B38" t="str">
            <v>ja</v>
          </cell>
          <cell r="C38" t="str">
            <v>タワーオブザクイーンのボス</v>
          </cell>
          <cell r="D38" t="str">
            <v>「タワーオブザクイーン」最上階のボスは_x000D_15階の初回クリア報酬で獲得できるほか_x000D_その階にて低確率でドロップもします</v>
          </cell>
        </row>
        <row r="39">
          <cell r="A39">
            <v>37</v>
          </cell>
          <cell r="B39" t="str">
            <v>ja</v>
          </cell>
          <cell r="C39" t="str">
            <v>限界突破値の引き継ぎ</v>
          </cell>
          <cell r="D39" t="str">
            <v>同じユニットを強化で合成すると_x000D_限界突破値を引き継げます（覚醒前後も可）</v>
          </cell>
        </row>
        <row r="40">
          <cell r="A40">
            <v>39</v>
          </cell>
          <cell r="B40" t="str">
            <v>ja</v>
          </cell>
          <cell r="C40" t="str">
            <v>システム適合者を確認</v>
          </cell>
          <cell r="D40" t="str">
            <v>ALICEが 「アナタ」を呼んでいます</v>
          </cell>
        </row>
        <row r="41">
          <cell r="A41">
            <v>40</v>
          </cell>
          <cell r="B41" t="str">
            <v>ja</v>
          </cell>
          <cell r="C41" t="str">
            <v>ケロケロを使って経験値を獲得</v>
          </cell>
          <cell r="D41" t="str">
            <v>「ケロケロ」を育てて_x000D_「メタルフロッグ」に覚醒させましょう_x000D__x000D_超大量の経験値素材になります</v>
          </cell>
        </row>
        <row r="42">
          <cell r="A42">
            <v>65535</v>
          </cell>
          <cell r="B42" t="str">
            <v>ja</v>
          </cell>
          <cell r="C42" t="str">
            <v>文字数テスト</v>
          </cell>
          <cell r="D42" t="str">
            <v>チャレンジタワー15F、20F、25Fのボスは_x000D_一定確率でドロップするようです</v>
          </cell>
        </row>
        <row r="43">
          <cell r="A43">
            <v>50002001</v>
          </cell>
          <cell r="B43" t="str">
            <v>ja</v>
          </cell>
          <cell r="C43" t="str">
            <v>オーディン事件の真相</v>
          </cell>
          <cell r="D43" t="str">
            <v>オーディンは女王勢力を内側から_x000D_抑えていた。_x000D_貴方の力を認めたオーディンは_x000D_女王事件の事を託し、_x000D_再びALICEの守護に就いた</v>
          </cell>
        </row>
      </sheetData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E21" sqref="E21"/>
    </sheetView>
  </sheetViews>
  <sheetFormatPr baseColWidth="12" defaultRowHeight="15" x14ac:dyDescent="0.15"/>
  <cols>
    <col min="2" max="2" width="20.83203125" customWidth="1"/>
    <col min="5" max="5" width="26.83203125" bestFit="1" customWidth="1"/>
    <col min="6" max="6" width="22.1640625" bestFit="1" customWidth="1"/>
  </cols>
  <sheetData>
    <row r="1" spans="1:30" x14ac:dyDescent="0.15">
      <c r="A1" s="58" t="s">
        <v>129</v>
      </c>
      <c r="B1" s="53" t="s">
        <v>99</v>
      </c>
      <c r="C1" s="53" t="s">
        <v>100</v>
      </c>
      <c r="D1" s="53" t="s">
        <v>101</v>
      </c>
      <c r="E1" s="53" t="s">
        <v>102</v>
      </c>
      <c r="F1" s="53" t="s">
        <v>103</v>
      </c>
      <c r="G1" s="53" t="s">
        <v>104</v>
      </c>
      <c r="H1" s="53"/>
      <c r="I1" s="53"/>
      <c r="J1" s="53"/>
      <c r="K1" s="53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  <c r="W1" s="54"/>
      <c r="X1" s="54"/>
      <c r="Y1" s="54"/>
      <c r="Z1" s="54"/>
      <c r="AA1" s="54"/>
      <c r="AB1" s="54"/>
      <c r="AC1" s="54"/>
      <c r="AD1" s="54"/>
    </row>
    <row r="2" spans="1:30" x14ac:dyDescent="0.15">
      <c r="A2" s="59" t="s">
        <v>258</v>
      </c>
      <c r="B2" s="55" t="s">
        <v>105</v>
      </c>
      <c r="C2" s="61">
        <v>65534</v>
      </c>
      <c r="D2" s="55" t="s">
        <v>106</v>
      </c>
      <c r="E2" s="54" t="str">
        <f>B2&amp;C2&amp;D2</f>
        <v>floors_65534.tmp</v>
      </c>
      <c r="F2" s="55" t="s">
        <v>107</v>
      </c>
      <c r="G2" s="56" t="s">
        <v>0</v>
      </c>
      <c r="H2" s="56" t="s">
        <v>1</v>
      </c>
      <c r="I2" s="56" t="s">
        <v>13</v>
      </c>
      <c r="J2" s="56" t="s">
        <v>14</v>
      </c>
      <c r="K2" s="56" t="s">
        <v>15</v>
      </c>
      <c r="L2" s="55"/>
      <c r="M2" s="55"/>
      <c r="N2" s="55"/>
      <c r="O2" s="55"/>
      <c r="P2" s="55"/>
      <c r="Q2" s="55"/>
      <c r="R2" s="55"/>
      <c r="S2" s="55"/>
      <c r="T2" s="55"/>
      <c r="U2" s="55"/>
      <c r="V2" s="55"/>
      <c r="W2" s="55"/>
      <c r="X2" s="55"/>
      <c r="Y2" s="55"/>
      <c r="Z2" s="55"/>
      <c r="AA2" s="55"/>
      <c r="AB2" s="55"/>
      <c r="AC2" s="55"/>
      <c r="AD2" s="55"/>
    </row>
    <row r="3" spans="1:30" x14ac:dyDescent="0.15">
      <c r="A3" s="59" t="s">
        <v>258</v>
      </c>
      <c r="B3" s="55" t="s">
        <v>108</v>
      </c>
      <c r="C3" s="61">
        <v>65534</v>
      </c>
      <c r="D3" s="55" t="s">
        <v>106</v>
      </c>
      <c r="E3" s="54" t="str">
        <f>B3&amp;C3&amp;D3</f>
        <v>enemy_habitats_65534.tmp</v>
      </c>
      <c r="F3" s="55" t="s">
        <v>109</v>
      </c>
      <c r="G3" s="56" t="s">
        <v>0</v>
      </c>
      <c r="H3" s="56" t="s">
        <v>1</v>
      </c>
      <c r="I3" s="56" t="s">
        <v>13</v>
      </c>
      <c r="J3" s="56" t="s">
        <v>2</v>
      </c>
      <c r="K3" s="56" t="s">
        <v>3</v>
      </c>
      <c r="L3" s="56" t="s">
        <v>47</v>
      </c>
      <c r="M3" s="56" t="s">
        <v>49</v>
      </c>
      <c r="N3" s="56" t="s">
        <v>51</v>
      </c>
      <c r="O3" s="56" t="s">
        <v>22</v>
      </c>
      <c r="P3" s="56" t="s">
        <v>5</v>
      </c>
      <c r="Q3" s="56" t="s">
        <v>6</v>
      </c>
      <c r="R3" s="56" t="s">
        <v>7</v>
      </c>
      <c r="S3" s="56" t="s">
        <v>8</v>
      </c>
      <c r="T3" s="56" t="s">
        <v>9</v>
      </c>
      <c r="U3" s="56" t="s">
        <v>10</v>
      </c>
      <c r="V3" s="56" t="s">
        <v>11</v>
      </c>
      <c r="W3" s="56" t="s">
        <v>12</v>
      </c>
      <c r="X3" s="56" t="s">
        <v>37</v>
      </c>
      <c r="Y3" s="56" t="s">
        <v>39</v>
      </c>
      <c r="Z3" s="56" t="s">
        <v>41</v>
      </c>
      <c r="AA3" s="56" t="s">
        <v>43</v>
      </c>
      <c r="AB3" s="56" t="s">
        <v>45</v>
      </c>
      <c r="AC3" s="56" t="s">
        <v>54</v>
      </c>
      <c r="AD3" s="56" t="s">
        <v>178</v>
      </c>
    </row>
    <row r="4" spans="1:30" x14ac:dyDescent="0.15">
      <c r="A4" s="59" t="s">
        <v>258</v>
      </c>
      <c r="B4" s="55" t="s">
        <v>110</v>
      </c>
      <c r="C4" s="61">
        <v>65534</v>
      </c>
      <c r="D4" s="55" t="s">
        <v>106</v>
      </c>
      <c r="E4" s="54" t="str">
        <f>B4&amp;C4&amp;D4</f>
        <v>enemy_habitat_S_65534.tmp</v>
      </c>
      <c r="F4" s="55" t="s">
        <v>111</v>
      </c>
      <c r="G4" s="56" t="s">
        <v>0</v>
      </c>
      <c r="H4" s="56" t="s">
        <v>1</v>
      </c>
      <c r="I4" s="56" t="s">
        <v>13</v>
      </c>
      <c r="J4" s="56" t="s">
        <v>54</v>
      </c>
      <c r="K4" s="56" t="s">
        <v>55</v>
      </c>
      <c r="L4" s="56" t="s">
        <v>56</v>
      </c>
      <c r="M4" s="56" t="s">
        <v>57</v>
      </c>
      <c r="N4" s="56" t="s">
        <v>58</v>
      </c>
      <c r="O4" s="56" t="s">
        <v>59</v>
      </c>
      <c r="P4" s="56" t="s">
        <v>48</v>
      </c>
      <c r="Q4" s="56" t="s">
        <v>50</v>
      </c>
      <c r="R4" s="56" t="s">
        <v>52</v>
      </c>
      <c r="S4" s="55"/>
      <c r="T4" s="55"/>
      <c r="U4" s="55"/>
      <c r="V4" s="55"/>
      <c r="W4" s="55"/>
      <c r="X4" s="55"/>
      <c r="Y4" s="55"/>
      <c r="Z4" s="55"/>
      <c r="AA4" s="55"/>
      <c r="AB4" s="55"/>
      <c r="AC4" s="55"/>
      <c r="AD4" s="55"/>
    </row>
    <row r="5" spans="1:30" x14ac:dyDescent="0.15">
      <c r="A5" s="59" t="s">
        <v>258</v>
      </c>
      <c r="B5" s="55" t="s">
        <v>112</v>
      </c>
      <c r="C5" s="61">
        <v>65534</v>
      </c>
      <c r="D5" s="55" t="s">
        <v>106</v>
      </c>
      <c r="E5" s="54" t="str">
        <f>B5&amp;C5&amp;D5</f>
        <v>enemy_skill_sets_65534.tmp</v>
      </c>
      <c r="F5" s="55" t="s">
        <v>113</v>
      </c>
      <c r="G5" s="57" t="s">
        <v>22</v>
      </c>
      <c r="H5" s="57" t="s">
        <v>98</v>
      </c>
      <c r="I5" s="57" t="s">
        <v>93</v>
      </c>
      <c r="J5" s="55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5"/>
      <c r="AB5" s="55"/>
      <c r="AC5" s="55"/>
      <c r="AD5" s="55"/>
    </row>
    <row r="6" spans="1:30" x14ac:dyDescent="0.15">
      <c r="A6" s="59" t="s">
        <v>258</v>
      </c>
      <c r="B6" s="55" t="s">
        <v>114</v>
      </c>
      <c r="C6" s="61">
        <v>65534</v>
      </c>
      <c r="D6" s="55" t="s">
        <v>115</v>
      </c>
      <c r="E6" s="54" t="str">
        <f t="shared" ref="E6:E10" si="0">B6&amp;C6&amp;D6</f>
        <v>enemy_skills_tmp_65534.tmp</v>
      </c>
      <c r="F6" s="55" t="s">
        <v>89</v>
      </c>
      <c r="G6" s="56" t="s">
        <v>79</v>
      </c>
      <c r="H6" s="56" t="s">
        <v>80</v>
      </c>
      <c r="I6" s="56" t="s">
        <v>81</v>
      </c>
      <c r="J6" s="55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5"/>
      <c r="AB6" s="55"/>
      <c r="AC6" s="55"/>
      <c r="AD6" s="55"/>
    </row>
    <row r="7" spans="1:30" x14ac:dyDescent="0.15">
      <c r="A7" s="59" t="s">
        <v>258</v>
      </c>
      <c r="B7" s="55" t="s">
        <v>116</v>
      </c>
      <c r="C7" s="61">
        <v>65534</v>
      </c>
      <c r="D7" s="55" t="s">
        <v>106</v>
      </c>
      <c r="E7" s="54" t="str">
        <f>B7&amp;C7&amp;D7</f>
        <v>enemy_skills_i18n_65534.tmp</v>
      </c>
      <c r="F7" s="55" t="s">
        <v>117</v>
      </c>
      <c r="G7" s="56" t="s">
        <v>79</v>
      </c>
      <c r="H7" s="56" t="s">
        <v>90</v>
      </c>
      <c r="I7" s="56" t="s">
        <v>91</v>
      </c>
      <c r="J7" s="56" t="s">
        <v>92</v>
      </c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5"/>
      <c r="AB7" s="55"/>
      <c r="AC7" s="55"/>
      <c r="AD7" s="55"/>
    </row>
    <row r="8" spans="1:30" x14ac:dyDescent="0.15">
      <c r="A8" s="59" t="s">
        <v>258</v>
      </c>
      <c r="B8" s="55" t="s">
        <v>118</v>
      </c>
      <c r="C8" s="61">
        <v>65534</v>
      </c>
      <c r="D8" s="55" t="s">
        <v>119</v>
      </c>
      <c r="E8" s="54" t="str">
        <f t="shared" si="0"/>
        <v>enemy_skill_triggers_65534.tmp</v>
      </c>
      <c r="F8" s="55" t="s">
        <v>120</v>
      </c>
      <c r="G8" s="56" t="s">
        <v>93</v>
      </c>
      <c r="H8" s="56" t="s">
        <v>94</v>
      </c>
      <c r="I8" s="56" t="s">
        <v>95</v>
      </c>
      <c r="J8" s="56" t="s">
        <v>96</v>
      </c>
      <c r="K8" s="56" t="s">
        <v>121</v>
      </c>
      <c r="L8" s="56" t="s">
        <v>97</v>
      </c>
      <c r="M8" s="56" t="s">
        <v>122</v>
      </c>
      <c r="N8" s="56" t="s">
        <v>123</v>
      </c>
      <c r="O8" s="56" t="s">
        <v>124</v>
      </c>
      <c r="P8" s="56" t="s">
        <v>67</v>
      </c>
      <c r="Q8" s="55"/>
      <c r="R8" s="55"/>
      <c r="S8" s="55"/>
      <c r="T8" s="55"/>
      <c r="U8" s="55"/>
      <c r="V8" s="55"/>
      <c r="W8" s="55"/>
      <c r="X8" s="55"/>
      <c r="Y8" s="55"/>
      <c r="Z8" s="55"/>
      <c r="AA8" s="55"/>
      <c r="AB8" s="55"/>
      <c r="AC8" s="55"/>
      <c r="AD8" s="55"/>
    </row>
    <row r="9" spans="1:30" x14ac:dyDescent="0.15">
      <c r="A9" s="59" t="s">
        <v>258</v>
      </c>
      <c r="B9" s="66" t="s">
        <v>177</v>
      </c>
      <c r="C9" s="61">
        <v>65534</v>
      </c>
      <c r="D9" s="66" t="s">
        <v>171</v>
      </c>
      <c r="E9" s="67" t="str">
        <f t="shared" si="0"/>
        <v>stage_bug_bonuses_65534.tmp</v>
      </c>
      <c r="F9" s="66" t="s">
        <v>172</v>
      </c>
      <c r="G9" s="63" t="s">
        <v>149</v>
      </c>
      <c r="H9" s="63" t="s">
        <v>173</v>
      </c>
      <c r="I9" s="63" t="s">
        <v>174</v>
      </c>
      <c r="J9" s="65" t="s">
        <v>175</v>
      </c>
      <c r="K9" s="63" t="s">
        <v>176</v>
      </c>
      <c r="L9" s="63" t="s">
        <v>155</v>
      </c>
      <c r="M9" s="63" t="s">
        <v>156</v>
      </c>
      <c r="N9" s="63" t="s">
        <v>157</v>
      </c>
      <c r="O9" s="63" t="s">
        <v>158</v>
      </c>
      <c r="P9" s="63" t="s">
        <v>159</v>
      </c>
      <c r="Q9" s="63" t="s">
        <v>160</v>
      </c>
      <c r="R9" s="63" t="s">
        <v>161</v>
      </c>
      <c r="S9" s="63" t="s">
        <v>162</v>
      </c>
      <c r="T9" s="63" t="s">
        <v>163</v>
      </c>
      <c r="U9" s="63" t="s">
        <v>164</v>
      </c>
      <c r="V9" s="63" t="s">
        <v>165</v>
      </c>
      <c r="W9" s="63" t="s">
        <v>166</v>
      </c>
      <c r="X9" s="55"/>
      <c r="Y9" s="55"/>
      <c r="Z9" s="55"/>
      <c r="AA9" s="55"/>
      <c r="AB9" s="55"/>
      <c r="AC9" s="55"/>
      <c r="AD9" s="55"/>
    </row>
    <row r="10" spans="1:30" s="74" customFormat="1" x14ac:dyDescent="0.15">
      <c r="A10" s="59" t="s">
        <v>258</v>
      </c>
      <c r="B10" s="66" t="s">
        <v>200</v>
      </c>
      <c r="C10" s="61">
        <v>65534</v>
      </c>
      <c r="D10" s="66" t="s">
        <v>180</v>
      </c>
      <c r="E10" s="67" t="str">
        <f t="shared" si="0"/>
        <v>stage_hints_data_c_65534.tmp</v>
      </c>
      <c r="F10" s="66" t="s">
        <v>208</v>
      </c>
      <c r="G10" s="72" t="s">
        <v>181</v>
      </c>
      <c r="H10" s="72" t="s">
        <v>173</v>
      </c>
      <c r="I10" s="73" t="s">
        <v>182</v>
      </c>
      <c r="J10" s="65" t="s">
        <v>183</v>
      </c>
      <c r="K10" s="65" t="s">
        <v>184</v>
      </c>
      <c r="L10" s="101"/>
      <c r="M10" s="101"/>
      <c r="N10" s="101"/>
      <c r="O10" s="101"/>
      <c r="P10" s="101"/>
      <c r="Q10" s="101"/>
      <c r="R10" s="101"/>
      <c r="S10" s="101"/>
      <c r="T10" s="101"/>
      <c r="U10" s="101"/>
      <c r="V10" s="101"/>
      <c r="W10" s="101"/>
      <c r="X10" s="101"/>
      <c r="Y10" s="101"/>
      <c r="Z10" s="101"/>
      <c r="AA10" s="101"/>
      <c r="AB10" s="101"/>
      <c r="AC10" s="101"/>
      <c r="AD10" s="101"/>
    </row>
    <row r="11" spans="1:30" s="74" customFormat="1" x14ac:dyDescent="0.15">
      <c r="A11" s="59" t="s">
        <v>258</v>
      </c>
      <c r="B11" s="66" t="s">
        <v>201</v>
      </c>
      <c r="C11" s="61">
        <v>65534</v>
      </c>
      <c r="D11" s="66" t="s">
        <v>171</v>
      </c>
      <c r="E11" s="67" t="str">
        <f t="shared" ref="E11:E13" si="1">B11&amp;C11&amp;D11</f>
        <v>stage_hints_data_f_65534.tmp</v>
      </c>
      <c r="F11" s="66" t="s">
        <v>210</v>
      </c>
      <c r="G11" s="72" t="s">
        <v>181</v>
      </c>
      <c r="H11" s="72" t="s">
        <v>173</v>
      </c>
      <c r="I11" s="73" t="s">
        <v>182</v>
      </c>
      <c r="J11" s="65" t="s">
        <v>183</v>
      </c>
      <c r="K11" s="65" t="s">
        <v>184</v>
      </c>
      <c r="L11" s="101"/>
      <c r="M11" s="101"/>
      <c r="N11" s="101"/>
      <c r="O11" s="101"/>
      <c r="P11" s="101"/>
      <c r="Q11" s="101"/>
      <c r="R11" s="101"/>
      <c r="S11" s="101"/>
      <c r="T11" s="101"/>
      <c r="U11" s="101"/>
      <c r="V11" s="101"/>
      <c r="W11" s="101"/>
      <c r="X11" s="101"/>
      <c r="Y11" s="101"/>
      <c r="Z11" s="101"/>
      <c r="AA11" s="101"/>
      <c r="AB11" s="101"/>
      <c r="AC11" s="101"/>
      <c r="AD11" s="101"/>
    </row>
    <row r="12" spans="1:30" s="74" customFormat="1" x14ac:dyDescent="0.15">
      <c r="A12" s="59" t="s">
        <v>258</v>
      </c>
      <c r="B12" s="66" t="s">
        <v>202</v>
      </c>
      <c r="C12" s="61">
        <v>65534</v>
      </c>
      <c r="D12" s="66" t="s">
        <v>171</v>
      </c>
      <c r="E12" s="67" t="str">
        <f t="shared" si="1"/>
        <v>stage_hints_i18n_65534.tmp</v>
      </c>
      <c r="F12" s="66" t="s">
        <v>211</v>
      </c>
      <c r="G12" s="73" t="s">
        <v>203</v>
      </c>
      <c r="H12" s="94" t="s">
        <v>204</v>
      </c>
      <c r="I12" s="72" t="s">
        <v>205</v>
      </c>
      <c r="J12" s="102" t="s">
        <v>206</v>
      </c>
      <c r="K12" s="65" t="s">
        <v>207</v>
      </c>
      <c r="L12" s="101"/>
      <c r="M12" s="101"/>
      <c r="N12" s="101"/>
      <c r="O12" s="101"/>
      <c r="P12" s="101"/>
      <c r="Q12" s="101"/>
      <c r="R12" s="101"/>
      <c r="S12" s="101"/>
      <c r="T12" s="101"/>
      <c r="U12" s="101"/>
      <c r="V12" s="101"/>
      <c r="W12" s="101"/>
      <c r="X12" s="101"/>
      <c r="Y12" s="101"/>
      <c r="Z12" s="101"/>
      <c r="AA12" s="101"/>
      <c r="AB12" s="101"/>
      <c r="AC12" s="101"/>
      <c r="AD12" s="101"/>
    </row>
    <row r="13" spans="1:30" s="74" customFormat="1" x14ac:dyDescent="0.15">
      <c r="A13" s="66" t="s">
        <v>253</v>
      </c>
      <c r="B13" s="66" t="s">
        <v>252</v>
      </c>
      <c r="C13" s="61">
        <v>65534</v>
      </c>
      <c r="D13" s="66" t="s">
        <v>233</v>
      </c>
      <c r="E13" s="67" t="str">
        <f t="shared" si="1"/>
        <v>stage_bonuses_65534.tmp</v>
      </c>
      <c r="F13" s="66" t="s">
        <v>232</v>
      </c>
      <c r="G13" s="72" t="s">
        <v>234</v>
      </c>
      <c r="H13" s="72" t="s">
        <v>235</v>
      </c>
      <c r="I13" s="72" t="s">
        <v>236</v>
      </c>
      <c r="J13" s="72" t="s">
        <v>237</v>
      </c>
      <c r="K13" s="72" t="s">
        <v>238</v>
      </c>
      <c r="L13" s="72" t="s">
        <v>239</v>
      </c>
      <c r="M13" s="72" t="s">
        <v>240</v>
      </c>
      <c r="N13" s="72" t="s">
        <v>241</v>
      </c>
      <c r="O13" s="72" t="s">
        <v>242</v>
      </c>
      <c r="P13" s="72" t="s">
        <v>243</v>
      </c>
      <c r="Q13" s="72" t="s">
        <v>244</v>
      </c>
      <c r="R13" s="72" t="s">
        <v>245</v>
      </c>
      <c r="S13" s="72" t="s">
        <v>246</v>
      </c>
      <c r="T13" s="72" t="s">
        <v>247</v>
      </c>
      <c r="U13" s="72" t="s">
        <v>248</v>
      </c>
      <c r="V13" s="72" t="s">
        <v>249</v>
      </c>
      <c r="W13" s="72" t="s">
        <v>250</v>
      </c>
      <c r="X13" s="72" t="s">
        <v>251</v>
      </c>
      <c r="Y13" s="101"/>
      <c r="Z13" s="101"/>
      <c r="AA13" s="101"/>
      <c r="AB13" s="101"/>
      <c r="AC13" s="101"/>
      <c r="AD13" s="101"/>
    </row>
  </sheetData>
  <phoneticPr fontId="5"/>
  <dataValidations count="1">
    <dataValidation type="list" allowBlank="1" showInputMessage="1" showErrorMessage="1" sqref="A2:A12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5"/>
  <sheetViews>
    <sheetView showGridLines="0" workbookViewId="0">
      <pane ySplit="1" topLeftCell="A2" activePane="bottomLeft" state="frozen"/>
      <selection activeCell="V2" sqref="V2:X34"/>
      <selection pane="bottomLeft" activeCell="R15" sqref="R1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65534_1-1</v>
      </c>
      <c r="B2" s="16" t="str">
        <f>IF(COUNTIF(enemy_habitats!$H:$H,A2),"OK","NG")</f>
        <v>OK</v>
      </c>
      <c r="C2" s="7">
        <v>65534</v>
      </c>
      <c r="D2" s="11" t="str">
        <f ca="1">VLOOKUP($C2,OFFSET([2]quests!$A$1,0,0,COUNTA([2]quests!$A:$A),MATCH(D$1,[2]quests!$1:$1,0)-MATCH($C$1,[2]quests!$1:$1,0)+1),MATCH(D$1,[2]quests!$1:$1,0)-MATCH($C$1,[2]quests!$1:$1,0)+1,FALSE)</f>
        <v>【LB大野】検証クエスト</v>
      </c>
      <c r="E2" s="18" t="str">
        <f ca="1">VLOOKUP($C2,OFFSET([2]quests!$A$1,0,0,COUNTA([2]quests!$A:$A),MATCH(E$1,[2]quests!$1:$1,0)-MATCH($C$1,[2]quests!$1:$1,0)+1),MATCH(E$1,[2]quests!$1:$1,0)-MATCH($C$1,[2]quests!$1:$1,0)+1,FALSE)</f>
        <v>検証</v>
      </c>
      <c r="F2" s="21">
        <v>1</v>
      </c>
      <c r="G2" s="23" t="str">
        <f>C2&amp;"_"&amp;F2</f>
        <v>65534_1</v>
      </c>
      <c r="H2" s="15" t="str">
        <f ca="1">VLOOKUP($G2,OFFSET([2]stages!$A$1,0,0,COUNTA([2]stages!$A:$A),MATCH(H$1,[2]stages!$2:$2,0)-MATCH($G$1,[2]stages!$2:$2,0)+1),MATCH(H$1,[2]stages!$2:$2,0)-MATCH($G$1,[2]stages!$2:$2,0)+1,FALSE)</f>
        <v>【LB大野】検証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65534_1-2</v>
      </c>
      <c r="B3" s="16" t="str">
        <f>IF(COUNTIF(enemy_habitats!$H:$H,A3),"OK","NG")</f>
        <v>OK</v>
      </c>
      <c r="C3" s="7">
        <v>65534</v>
      </c>
      <c r="D3" s="11" t="str">
        <f ca="1">VLOOKUP($C3,OFFSET([2]quests!$A$1,0,0,COUNTA([2]quests!$A:$A),MATCH(D$1,[2]quests!$1:$1,0)-MATCH($C$1,[2]quests!$1:$1,0)+1),MATCH(D$1,[2]quests!$1:$1,0)-MATCH($C$1,[2]quests!$1:$1,0)+1,FALSE)</f>
        <v>【LB大野】検証クエスト</v>
      </c>
      <c r="E3" s="18" t="str">
        <f ca="1">VLOOKUP($C3,OFFSET([2]quests!$A$1,0,0,COUNTA([2]quests!$A:$A),MATCH(E$1,[2]quests!$1:$1,0)-MATCH($C$1,[2]quests!$1:$1,0)+1),MATCH(E$1,[2]quests!$1:$1,0)-MATCH($C$1,[2]quests!$1:$1,0)+1,FALSE)</f>
        <v>検証</v>
      </c>
      <c r="F3" s="21">
        <v>1</v>
      </c>
      <c r="G3" s="23" t="str">
        <f>C3&amp;"_"&amp;F3</f>
        <v>65534_1</v>
      </c>
      <c r="H3" s="15" t="str">
        <f ca="1">VLOOKUP($G3,OFFSET([2]stages!$A$1,0,0,COUNTA([2]stages!$A:$A),MATCH(H$1,[2]stages!$2:$2,0)-MATCH($G$1,[2]stages!$2:$2,0)+1),MATCH(H$1,[2]stages!$2:$2,0)-MATCH($G$1,[2]stages!$2:$2,0)+1,FALSE)</f>
        <v>【LB大野】検証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>G4&amp;"-"&amp;I4</f>
        <v>65534_1-3</v>
      </c>
      <c r="B4" s="16" t="str">
        <f>IF(COUNTIF(enemy_habitats!$H:$H,A4),"OK","NG")</f>
        <v>OK</v>
      </c>
      <c r="C4" s="7">
        <v>65534</v>
      </c>
      <c r="D4" s="11" t="str">
        <f ca="1">VLOOKUP($C4,OFFSET([2]quests!$A$1,0,0,COUNTA([2]quests!$A:$A),MATCH(D$1,[2]quests!$1:$1,0)-MATCH($C$1,[2]quests!$1:$1,0)+1),MATCH(D$1,[2]quests!$1:$1,0)-MATCH($C$1,[2]quests!$1:$1,0)+1,FALSE)</f>
        <v>【LB大野】検証クエスト</v>
      </c>
      <c r="E4" s="18" t="str">
        <f ca="1">VLOOKUP($C4,OFFSET([2]quests!$A$1,0,0,COUNTA([2]quests!$A:$A),MATCH(E$1,[2]quests!$1:$1,0)-MATCH($C$1,[2]quests!$1:$1,0)+1),MATCH(E$1,[2]quests!$1:$1,0)-MATCH($C$1,[2]quests!$1:$1,0)+1,FALSE)</f>
        <v>検証</v>
      </c>
      <c r="F4" s="21">
        <v>1</v>
      </c>
      <c r="G4" s="23" t="str">
        <f>C4&amp;"_"&amp;F4</f>
        <v>65534_1</v>
      </c>
      <c r="H4" s="15" t="str">
        <f ca="1">VLOOKUP($G4,OFFSET([2]stages!$A$1,0,0,COUNTA([2]stages!$A:$A),MATCH(H$1,[2]stages!$2:$2,0)-MATCH($G$1,[2]stages!$2:$2,0)+1),MATCH(H$1,[2]stages!$2:$2,0)-MATCH($G$1,[2]stages!$2:$2,0)+1,FALSE)</f>
        <v>【LB大野】検証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>G5&amp;"-"&amp;I5</f>
        <v>65534_1-4</v>
      </c>
      <c r="B5" s="16" t="str">
        <f>IF(COUNTIF(enemy_habitats!$H:$H,A5),"OK","NG")</f>
        <v>OK</v>
      </c>
      <c r="C5" s="7">
        <v>65534</v>
      </c>
      <c r="D5" s="11" t="str">
        <f ca="1">VLOOKUP($C5,OFFSET([2]quests!$A$1,0,0,COUNTA([2]quests!$A:$A),MATCH(D$1,[2]quests!$1:$1,0)-MATCH($C$1,[2]quests!$1:$1,0)+1),MATCH(D$1,[2]quests!$1:$1,0)-MATCH($C$1,[2]quests!$1:$1,0)+1,FALSE)</f>
        <v>【LB大野】検証クエスト</v>
      </c>
      <c r="E5" s="18" t="str">
        <f ca="1">VLOOKUP($C5,OFFSET([2]quests!$A$1,0,0,COUNTA([2]quests!$A:$A),MATCH(E$1,[2]quests!$1:$1,0)-MATCH($C$1,[2]quests!$1:$1,0)+1),MATCH(E$1,[2]quests!$1:$1,0)-MATCH($C$1,[2]quests!$1:$1,0)+1,FALSE)</f>
        <v>検証</v>
      </c>
      <c r="F5" s="21">
        <v>1</v>
      </c>
      <c r="G5" s="23" t="str">
        <f>C5&amp;"_"&amp;F5</f>
        <v>65534_1</v>
      </c>
      <c r="H5" s="15" t="str">
        <f ca="1">VLOOKUP($G5,OFFSET([2]stages!$A$1,0,0,COUNTA([2]stages!$A:$A),MATCH(H$1,[2]stages!$2:$2,0)-MATCH($G$1,[2]stages!$2:$2,0)+1),MATCH(H$1,[2]stages!$2:$2,0)-MATCH($G$1,[2]stages!$2:$2,0)+1,FALSE)</f>
        <v>【LB大野】検証</v>
      </c>
      <c r="I5" s="21">
        <v>4</v>
      </c>
      <c r="J5" s="12">
        <v>60</v>
      </c>
      <c r="K5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7"/>
  <sheetViews>
    <sheetView showGridLines="0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V14" sqref="V14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5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40.5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8.83203125" style="13" bestFit="1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103" t="s">
        <v>254</v>
      </c>
      <c r="U1" s="26" t="s">
        <v>50</v>
      </c>
      <c r="V1" s="103" t="s">
        <v>255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179</v>
      </c>
    </row>
    <row r="2" spans="1:42" ht="21" customHeight="1" x14ac:dyDescent="0.15">
      <c r="A2" s="16" t="str">
        <f t="shared" ref="A2:A7" si="0">B2&amp;"_"&amp;C2&amp;"-"&amp;G2&amp;"/"&amp;L2&amp;"&lt;lv"&amp;R2&amp;"&gt;s"&amp;AC2</f>
        <v>65534_1-1/24&lt;lv80&gt;s1</v>
      </c>
      <c r="B2" s="22">
        <v>65534</v>
      </c>
      <c r="C2" s="21">
        <v>1</v>
      </c>
      <c r="D2" s="2" t="str">
        <f t="shared" ref="D2:D7" si="1">B2&amp;"_"&amp;C2</f>
        <v>65534_1</v>
      </c>
      <c r="E2" s="4" t="str">
        <f ca="1">VLOOKUP($B2,OFFSET([2]quests!$A$1,0,0,COUNTA([2]quests!$A:$A),MATCH(E$1,[2]quests!$1:$1,0)-MATCH($B$1,[2]quests!$1:$1,0)+1),MATCH(E$1,[2]quests!$1:$1,0)-MATCH($B$1,[2]quests!$1:$1,0)+1,FALSE)</f>
        <v>【LB大野】検証クエスト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【LB大野】検証</v>
      </c>
      <c r="G2" s="21">
        <v>1</v>
      </c>
      <c r="H2" s="15" t="str">
        <f t="shared" ref="H2:H7" si="2">B2&amp;"_"&amp;C2&amp;"-"&amp;G2</f>
        <v>65534_1-1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24</v>
      </c>
      <c r="M2" s="17" t="str">
        <f ca="1">VLOOKUP($L2,OFFSET([3]enemies!$A$1,0,0,COUNTA([3]enemies!$A:$A),MATCH(M$1,[3]enemies!$1:$1,0)-MATCH($L$1,[3]enemies!$1:$1,0)+1),MATCH(M$1,[3]enemies!$1:$1,0)-MATCH($L$1,[3]enemies!$1:$1,0)+1,FALSE)</f>
        <v>天翔のミール</v>
      </c>
      <c r="N2" s="17" t="str">
        <f ca="1">VLOOKUP($L2,OFFSET([3]enemies!$A$1,0,0,COUNTA([3]enemies!$A:$A),MATCH(N$1,[3]enemies!$1:$1,0)-MATCH($L$1,[3]enemies!$1:$1,0)+1),MATCH(N$1,[3]enemies!$1:$1,0)-MATCH($L$1,[3]enemies!$1:$1,0)+1,FALSE)</f>
        <v>green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Drop1N</v>
      </c>
      <c r="P2" s="17" t="str">
        <f ca="1">VLOOKUP($L2,OFFSET([3]enemies!$A$1,0,0,COUNTA([3]enemies!$A:$A),MATCH(P$1,[3]enemies!$1:$1,0)-MATCH($L$1,[3]enemies!$1:$1,0)+1),MATCH(P$1,[3]enemies!$1:$1,0)-MATCH($L$1,[3]enemies!$1:$1,0)+1,FALSE)</f>
        <v>animal</v>
      </c>
      <c r="Q2" s="17">
        <f ca="1">VLOOKUP($L2,OFFSET([3]enemies!$A$1,0,0,COUNTA([3]enemies!$A:$A),MATCH(Q$1,[3]enemies!$1:$1,0)-MATCH($L$1,[3]enemies!$1:$1,0)+1),MATCH(Q$1,[3]enemies!$1:$1,0)-MATCH($L$1,[3]enemies!$1:$1,0)+1,FALSE)</f>
        <v>15</v>
      </c>
      <c r="R2" s="5">
        <v>80</v>
      </c>
      <c r="S2" s="25">
        <v>0.4</v>
      </c>
      <c r="T2" s="104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9643.2000000000007</v>
      </c>
      <c r="U2" s="25">
        <v>0.2</v>
      </c>
      <c r="V2" s="104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896.2</v>
      </c>
      <c r="W2" s="5">
        <v>0</v>
      </c>
      <c r="X2" s="4" t="e">
        <f ca="1">VLOOKUP($Y2,OFFSET(enemy_skill_sets!$B$1,0,0,COUNTA(enemy_skill_sets!$B:$B),MATCH(M$1,enemy_skill_sets!$1:$1,0)-MATCH($Y$1,enemy_skill_sets!$1:$1,0)+2),MATCH(M$1,enemy_skill_sets!$1:$1,0)-MATCH($Y$1,enemy_skill_sets!$1:$1,0)+2,FALSE)</f>
        <v>#N/A</v>
      </c>
      <c r="Y2" s="60">
        <v>0</v>
      </c>
      <c r="Z2" s="6">
        <v>2</v>
      </c>
      <c r="AA2" s="6">
        <v>100</v>
      </c>
      <c r="AB2" s="6">
        <v>0</v>
      </c>
      <c r="AC2" s="17">
        <v>1</v>
      </c>
      <c r="AD2" s="24">
        <f t="shared" ref="AD2:AD7" si="3">L2</f>
        <v>24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天翔のミール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2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Drop1N</v>
      </c>
      <c r="AH2" s="7">
        <v>1</v>
      </c>
      <c r="AI2" s="24">
        <f t="shared" ref="AI2:AI7" ca="1" si="4">AF2</f>
        <v>2</v>
      </c>
      <c r="AJ2" s="8">
        <v>60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8">
        <v>1</v>
      </c>
    </row>
    <row r="3" spans="1:42" ht="21" customHeight="1" x14ac:dyDescent="0.15">
      <c r="A3" s="16" t="str">
        <f t="shared" si="0"/>
        <v>65534_1-1/68&lt;lv80&gt;s3</v>
      </c>
      <c r="B3" s="22">
        <v>65534</v>
      </c>
      <c r="C3" s="21">
        <v>1</v>
      </c>
      <c r="D3" s="2" t="str">
        <f t="shared" si="1"/>
        <v>65534_1</v>
      </c>
      <c r="E3" s="4" t="str">
        <f ca="1">VLOOKUP($B3,OFFSET([2]quests!$A$1,0,0,COUNTA([2]quests!$A:$A),MATCH(E$1,[2]quests!$1:$1,0)-MATCH($B$1,[2]quests!$1:$1,0)+1),MATCH(E$1,[2]quests!$1:$1,0)-MATCH($B$1,[2]quests!$1:$1,0)+1,FALSE)</f>
        <v>【LB大野】検証クエスト</v>
      </c>
      <c r="F3" s="4" t="str">
        <f ca="1">VLOOKUP($D3,OFFSET([2]stages!$A$1,0,0,COUNTA([2]stages!$A:$A),MATCH(F$1,[2]stages!$2:$2,0)-MATCH($D$1,[2]stages!$2:$2,0)+1),MATCH(F$1,[2]stages!$2:$2,0)-MATCH($D$1,[2]stages!$2:$2,0)+1,FALSE)</f>
        <v>【LB大野】検証</v>
      </c>
      <c r="G3" s="21">
        <v>1</v>
      </c>
      <c r="H3" s="15" t="str">
        <f t="shared" si="2"/>
        <v>65534_1-1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 t="s">
        <v>53</v>
      </c>
      <c r="L3" s="20">
        <v>68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ストール</v>
      </c>
      <c r="N3" s="17" t="str">
        <f ca="1">VLOOKUP($L3,OFFSET([3]enemies!$A$1,0,0,COUNTA([3]enemies!$A:$A),MATCH(N$1,[3]enemies!$1:$1,0)-MATCH($L$1,[3]enemies!$1:$1,0)+1),MATCH(N$1,[3]enemies!$1:$1,0)-MATCH($L$1,[3]enemies!$1:$1,0)+1,FALSE)</f>
        <v>green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Drop1S</v>
      </c>
      <c r="P3" s="17" t="str">
        <f ca="1">VLOOKUP($L3,OFFSET([3]enemies!$A$1,0,0,COUNTA([3]enemies!$A:$A),MATCH(P$1,[3]enemies!$1:$1,0)-MATCH($L$1,[3]enemies!$1:$1,0)+1),MATCH(P$1,[3]enemies!$1:$1,0)-MATCH($L$1,[3]enemies!$1:$1,0)+1,FALSE)</f>
        <v>animal</v>
      </c>
      <c r="Q3" s="17">
        <f ca="1">VLOOKUP($L3,OFFSET([3]enemies!$A$1,0,0,COUNTA([3]enemies!$A:$A),MATCH(Q$1,[3]enemies!$1:$1,0)-MATCH($L$1,[3]enemies!$1:$1,0)+1),MATCH(Q$1,[3]enemies!$1:$1,0)-MATCH($L$1,[3]enemies!$1:$1,0)+1,FALSE)</f>
        <v>15</v>
      </c>
      <c r="R3" s="5">
        <v>80</v>
      </c>
      <c r="S3" s="25">
        <v>0.5</v>
      </c>
      <c r="T3" s="104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12054</v>
      </c>
      <c r="U3" s="25">
        <v>0.4</v>
      </c>
      <c r="V3" s="104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1792.4</v>
      </c>
      <c r="W3" s="5">
        <v>0</v>
      </c>
      <c r="X3" s="4" t="e">
        <f ca="1">VLOOKUP($Y3,OFFSET(enemy_skill_sets!$B$1,0,0,COUNTA(enemy_skill_sets!$B:$B),MATCH(M$1,enemy_skill_sets!$1:$1,0)-MATCH($Y$1,enemy_skill_sets!$1:$1,0)+2),MATCH(M$1,enemy_skill_sets!$1:$1,0)-MATCH($Y$1,enemy_skill_sets!$1:$1,0)+2,FALSE)</f>
        <v>#N/A</v>
      </c>
      <c r="Y3" s="131">
        <v>0</v>
      </c>
      <c r="Z3" s="6">
        <v>2</v>
      </c>
      <c r="AA3" s="6">
        <v>100</v>
      </c>
      <c r="AB3" s="6">
        <v>0</v>
      </c>
      <c r="AC3" s="17">
        <v>3</v>
      </c>
      <c r="AD3" s="24">
        <f t="shared" si="3"/>
        <v>68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ストール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2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Drop1S</v>
      </c>
      <c r="AH3" s="7">
        <v>1</v>
      </c>
      <c r="AI3" s="24">
        <f t="shared" ca="1" si="4"/>
        <v>2</v>
      </c>
      <c r="AJ3" s="8">
        <v>60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8">
        <v>1</v>
      </c>
    </row>
    <row r="4" spans="1:42" ht="21" customHeight="1" thickBot="1" x14ac:dyDescent="0.2">
      <c r="A4" s="16" t="str">
        <f t="shared" si="0"/>
        <v>65534_1-2/392&lt;lv80&gt;s2</v>
      </c>
      <c r="B4" s="22">
        <v>65534</v>
      </c>
      <c r="C4" s="21">
        <v>1</v>
      </c>
      <c r="D4" s="2" t="str">
        <f t="shared" si="1"/>
        <v>65534_1</v>
      </c>
      <c r="E4" s="4" t="str">
        <f ca="1">VLOOKUP($B4,OFFSET([2]quests!$A$1,0,0,COUNTA([2]quests!$A:$A),MATCH(E$1,[2]quests!$1:$1,0)-MATCH($B$1,[2]quests!$1:$1,0)+1),MATCH(E$1,[2]quests!$1:$1,0)-MATCH($B$1,[2]quests!$1:$1,0)+1,FALSE)</f>
        <v>【LB大野】検証クエスト</v>
      </c>
      <c r="F4" s="4" t="str">
        <f ca="1">VLOOKUP($D4,OFFSET([2]stages!$A$1,0,0,COUNTA([2]stages!$A:$A),MATCH(F$1,[2]stages!$2:$2,0)-MATCH($D$1,[2]stages!$2:$2,0)+1),MATCH(F$1,[2]stages!$2:$2,0)-MATCH($D$1,[2]stages!$2:$2,0)+1,FALSE)</f>
        <v>【LB大野】検証</v>
      </c>
      <c r="G4" s="21">
        <v>2</v>
      </c>
      <c r="H4" s="15" t="str">
        <f t="shared" si="2"/>
        <v>65534_1-2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392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ピーターパン</v>
      </c>
      <c r="N4" s="17" t="str">
        <f ca="1">VLOOKUP($L4,OFFSET([3]enemies!$A$1,0,0,COUNTA([3]enemies!$A:$A),MATCH(N$1,[3]enemies!$1:$1,0)-MATCH($L$1,[3]enemies!$1:$1,0)+1),MATCH(N$1,[3]enemies!$1:$1,0)-MATCH($L$1,[3]enemies!$1:$1,0)+1,FALSE)</f>
        <v>green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PremiumS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human</v>
      </c>
      <c r="Q4" s="17">
        <f ca="1">VLOOKUP($L4,OFFSET([3]enemies!$A$1,0,0,COUNTA([3]enemies!$A:$A),MATCH(Q$1,[3]enemies!$1:$1,0)-MATCH($L$1,[3]enemies!$1:$1,0)+1),MATCH(Q$1,[3]enemies!$1:$1,0)-MATCH($L$1,[3]enemies!$1:$1,0)+1,FALSE)</f>
        <v>25</v>
      </c>
      <c r="R4" s="5">
        <v>80</v>
      </c>
      <c r="S4" s="25">
        <v>0.8</v>
      </c>
      <c r="T4" s="104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75016.800000000003</v>
      </c>
      <c r="U4" s="25">
        <v>0.5</v>
      </c>
      <c r="V4" s="104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5127</v>
      </c>
      <c r="W4" s="5">
        <v>0</v>
      </c>
      <c r="X4" s="17" t="str">
        <f ca="1">VLOOKUP($Y4,OFFSET(enemy_skill_sets!$B$1,0,0,COUNTA(enemy_skill_sets!$B:$B),MATCH(M$1,enemy_skill_sets!$1:$1,0)-MATCH($Y$1,enemy_skill_sets!$1:$1,0)+2),MATCH(M$1,enemy_skill_sets!$1:$1,0)-MATCH($Y$1,enemy_skill_sets!$1:$1,0)+2,FALSE)</f>
        <v>緑パネル3個プロテクト</v>
      </c>
      <c r="Y4" s="45">
        <v>65534103</v>
      </c>
      <c r="Z4" s="130">
        <v>1</v>
      </c>
      <c r="AA4" s="6">
        <v>100</v>
      </c>
      <c r="AB4" s="6">
        <v>1</v>
      </c>
      <c r="AC4" s="17">
        <v>2</v>
      </c>
      <c r="AD4" s="24">
        <f t="shared" si="3"/>
        <v>392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ピーターパン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3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4" s="7">
        <v>1</v>
      </c>
      <c r="AI4" s="24">
        <f t="shared" ca="1" si="4"/>
        <v>3</v>
      </c>
      <c r="AJ4" s="8">
        <v>60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8">
        <v>1</v>
      </c>
    </row>
    <row r="5" spans="1:42" ht="21" customHeight="1" x14ac:dyDescent="0.15">
      <c r="A5" s="16" t="str">
        <f t="shared" ca="1" si="0"/>
        <v>65534_1-3/362&lt;lv80&gt;s3</v>
      </c>
      <c r="B5" s="22">
        <v>65534</v>
      </c>
      <c r="C5" s="21">
        <v>1</v>
      </c>
      <c r="D5" s="2" t="str">
        <f t="shared" si="1"/>
        <v>65534_1</v>
      </c>
      <c r="E5" s="4" t="str">
        <f ca="1">VLOOKUP($B5,OFFSET([2]quests!$A$1,0,0,COUNTA([2]quests!$A:$A),MATCH(E$1,[2]quests!$1:$1,0)-MATCH($B$1,[2]quests!$1:$1,0)+1),MATCH(E$1,[2]quests!$1:$1,0)-MATCH($B$1,[2]quests!$1:$1,0)+1,FALSE)</f>
        <v>【LB大野】検証クエスト</v>
      </c>
      <c r="F5" s="4" t="str">
        <f ca="1">VLOOKUP($D5,OFFSET([2]stages!$A$1,0,0,COUNTA([2]stages!$A:$A),MATCH(F$1,[2]stages!$2:$2,0)-MATCH($D$1,[2]stages!$2:$2,0)+1),MATCH(F$1,[2]stages!$2:$2,0)-MATCH($D$1,[2]stages!$2:$2,0)+1,FALSE)</f>
        <v>【LB大野】検証</v>
      </c>
      <c r="G5" s="21">
        <v>3</v>
      </c>
      <c r="H5" s="15" t="str">
        <f t="shared" si="2"/>
        <v>65534_1-3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 t="s">
        <v>53</v>
      </c>
      <c r="L5" s="20">
        <v>362</v>
      </c>
      <c r="M5" s="17" t="str">
        <f ca="1">VLOOKUP($L5,OFFSET([3]enemies!$A$1,0,0,COUNTA([3]enemies!$A:$A),MATCH(M$1,[3]enemies!$1:$1,0)-MATCH($L$1,[3]enemies!$1:$1,0)+1),MATCH(M$1,[3]enemies!$1:$1,0)-MATCH($L$1,[3]enemies!$1:$1,0)+1,FALSE)</f>
        <v>ゆらら</v>
      </c>
      <c r="N5" s="17" t="str">
        <f ca="1">VLOOKUP($L5,OFFSET([3]enemies!$A$1,0,0,COUNTA([3]enemies!$A:$A),MATCH(N$1,[3]enemies!$1:$1,0)-MATCH($L$1,[3]enemies!$1:$1,0)+1),MATCH(N$1,[3]enemies!$1:$1,0)-MATCH($L$1,[3]enemies!$1:$1,0)+1,FALSE)</f>
        <v>green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Drop1S</v>
      </c>
      <c r="P5" s="17" t="str">
        <f ca="1">VLOOKUP($L5,OFFSET([3]enemies!$A$1,0,0,COUNTA([3]enemies!$A:$A),MATCH(P$1,[3]enemies!$1:$1,0)-MATCH($L$1,[3]enemies!$1:$1,0)+1),MATCH(P$1,[3]enemies!$1:$1,0)-MATCH($L$1,[3]enemies!$1:$1,0)+1,FALSE)</f>
        <v>animal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80</v>
      </c>
      <c r="S5" s="25">
        <v>4.2</v>
      </c>
      <c r="T5" s="104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62844.600000000006</v>
      </c>
      <c r="U5" s="25">
        <v>0.3</v>
      </c>
      <c r="V5" s="104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1423.2</v>
      </c>
      <c r="W5" s="5">
        <v>0</v>
      </c>
      <c r="X5" s="4" t="str">
        <f ca="1">VLOOKUP($Y5,OFFSET(enemy_skill_sets!$B$1,0,0,COUNTA(enemy_skill_sets!$B:$B),MATCH(M$1,enemy_skill_sets!$1:$1,0)-MATCH($Y$1,enemy_skill_sets!$1:$1,0)+2),MATCH(M$1,enemy_skill_sets!$1:$1,0)-MATCH($Y$1,enemy_skill_sets!$1:$1,0)+2,FALSE)</f>
        <v>単体攻撃+緑パネル2個プロテクト</v>
      </c>
      <c r="Y5" s="110">
        <v>65534104</v>
      </c>
      <c r="Z5" s="6">
        <v>2</v>
      </c>
      <c r="AA5" s="6">
        <v>100</v>
      </c>
      <c r="AB5" s="6">
        <v>0</v>
      </c>
      <c r="AC5" s="17">
        <f ca="1">VLOOKUP($L5,OFFSET([3]enemies!$A$1,0,0,COUNTA([3]enemies!$A:$A),MATCH(AC$1,[3]enemies!$1:$1,0)-MATCH($L$1,[3]enemies!$1:$1,0)+1),MATCH(AC$1,[3]enemies!$1:$1,0)-MATCH($L$1,[3]enemies!$1:$1,0)+1,FALSE)</f>
        <v>3</v>
      </c>
      <c r="AD5" s="24">
        <f t="shared" si="3"/>
        <v>362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ゆらら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Drop1S</v>
      </c>
      <c r="AH5" s="7">
        <v>1</v>
      </c>
      <c r="AI5" s="24">
        <f t="shared" ca="1" si="4"/>
        <v>2</v>
      </c>
      <c r="AJ5" s="8">
        <v>60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8">
        <v>1</v>
      </c>
    </row>
    <row r="6" spans="1:42" ht="21" customHeight="1" thickBot="1" x14ac:dyDescent="0.2">
      <c r="A6" s="16" t="str">
        <f t="shared" si="0"/>
        <v>65534_1-3/476&lt;lv80&gt;s2</v>
      </c>
      <c r="B6" s="22">
        <v>65534</v>
      </c>
      <c r="C6" s="21">
        <v>1</v>
      </c>
      <c r="D6" s="2" t="str">
        <f t="shared" si="1"/>
        <v>65534_1</v>
      </c>
      <c r="E6" s="4" t="str">
        <f ca="1">VLOOKUP($B6,OFFSET([2]quests!$A$1,0,0,COUNTA([2]quests!$A:$A),MATCH(E$1,[2]quests!$1:$1,0)-MATCH($B$1,[2]quests!$1:$1,0)+1),MATCH(E$1,[2]quests!$1:$1,0)-MATCH($B$1,[2]quests!$1:$1,0)+1,FALSE)</f>
        <v>【LB大野】検証クエスト</v>
      </c>
      <c r="F6" s="4" t="str">
        <f ca="1">VLOOKUP($D6,OFFSET([2]stages!$A$1,0,0,COUNTA([2]stages!$A:$A),MATCH(F$1,[2]stages!$2:$2,0)-MATCH($D$1,[2]stages!$2:$2,0)+1),MATCH(F$1,[2]stages!$2:$2,0)-MATCH($D$1,[2]stages!$2:$2,0)+1,FALSE)</f>
        <v>【LB大野】検証</v>
      </c>
      <c r="G6" s="21">
        <v>3</v>
      </c>
      <c r="H6" s="15" t="str">
        <f t="shared" si="2"/>
        <v>65534_1-3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 t="s">
        <v>53</v>
      </c>
      <c r="L6" s="20">
        <v>476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ファータ</v>
      </c>
      <c r="N6" s="17" t="str">
        <f ca="1">VLOOKUP($L6,OFFSET([3]enemies!$A$1,0,0,COUNTA([3]enemies!$A:$A),MATCH(N$1,[3]enemies!$1:$1,0)-MATCH($L$1,[3]enemies!$1:$1,0)+1),MATCH(N$1,[3]enemies!$1:$1,0)-MATCH($L$1,[3]enemies!$1:$1,0)+1,FALSE)</f>
        <v>green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PremiumS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unknown</v>
      </c>
      <c r="Q6" s="17">
        <f ca="1">VLOOKUP($L6,OFFSET([3]enemies!$A$1,0,0,COUNTA([3]enemies!$A:$A),MATCH(Q$1,[3]enemies!$1:$1,0)-MATCH($L$1,[3]enemies!$1:$1,0)+1),MATCH(Q$1,[3]enemies!$1:$1,0)-MATCH($L$1,[3]enemies!$1:$1,0)+1,FALSE)</f>
        <v>25</v>
      </c>
      <c r="R6" s="5">
        <v>80</v>
      </c>
      <c r="S6" s="25">
        <v>0.6</v>
      </c>
      <c r="T6" s="104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47883</v>
      </c>
      <c r="U6" s="25">
        <v>0.4</v>
      </c>
      <c r="V6" s="104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2429.6</v>
      </c>
      <c r="W6" s="5">
        <v>0</v>
      </c>
      <c r="X6" s="4" t="str">
        <f ca="1">VLOOKUP($Y6,OFFSET(enemy_skill_sets!$B$1,0,0,COUNTA(enemy_skill_sets!$B:$B),MATCH(M$1,enemy_skill_sets!$1:$1,0)-MATCH($Y$1,enemy_skill_sets!$1:$1,0)+2),MATCH(M$1,enemy_skill_sets!$1:$1,0)-MATCH($Y$1,enemy_skill_sets!$1:$1,0)+2,FALSE)</f>
        <v>パネルを4個プロテクト状態にする</v>
      </c>
      <c r="Y6" s="45">
        <v>65534105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476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ファータ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3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PremiumS</v>
      </c>
      <c r="AH6" s="7">
        <v>1</v>
      </c>
      <c r="AI6" s="24">
        <f t="shared" ca="1" si="4"/>
        <v>3</v>
      </c>
      <c r="AJ6" s="8">
        <v>60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8">
        <v>1</v>
      </c>
    </row>
    <row r="7" spans="1:42" ht="21" customHeight="1" x14ac:dyDescent="0.15">
      <c r="A7" s="16" t="str">
        <f t="shared" si="0"/>
        <v>65534_1-4/1324&lt;lv80&gt;s2</v>
      </c>
      <c r="B7" s="22">
        <v>65534</v>
      </c>
      <c r="C7" s="21">
        <v>1</v>
      </c>
      <c r="D7" s="2" t="str">
        <f t="shared" si="1"/>
        <v>65534_1</v>
      </c>
      <c r="E7" s="4" t="str">
        <f ca="1">VLOOKUP($B7,OFFSET([2]quests!$A$1,0,0,COUNTA([2]quests!$A:$A),MATCH(E$1,[2]quests!$1:$1,0)-MATCH($B$1,[2]quests!$1:$1,0)+1),MATCH(E$1,[2]quests!$1:$1,0)-MATCH($B$1,[2]quests!$1:$1,0)+1,FALSE)</f>
        <v>【LB大野】検証クエスト</v>
      </c>
      <c r="F7" s="4" t="str">
        <f ca="1">VLOOKUP($D7,OFFSET([2]stages!$A$1,0,0,COUNTA([2]stages!$A:$A),MATCH(F$1,[2]stages!$2:$2,0)-MATCH($D$1,[2]stages!$2:$2,0)+1),MATCH(F$1,[2]stages!$2:$2,0)-MATCH($D$1,[2]stages!$2:$2,0)+1,FALSE)</f>
        <v>【LB大野】検証</v>
      </c>
      <c r="G7" s="21">
        <v>4</v>
      </c>
      <c r="H7" s="15" t="str">
        <f t="shared" si="2"/>
        <v>65534_1-4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1</v>
      </c>
      <c r="L7" s="20">
        <v>1324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アウリ</v>
      </c>
      <c r="N7" s="17" t="str">
        <f ca="1">VLOOKUP($L7,OFFSET([3]enemies!$A$1,0,0,COUNTA([3]enemies!$A:$A),MATCH(N$1,[3]enemies!$1:$1,0)-MATCH($L$1,[3]enemies!$1:$1,0)+1),MATCH(N$1,[3]enemies!$1:$1,0)-MATCH($L$1,[3]enemies!$1:$1,0)+1,FALSE)</f>
        <v>green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Drop2N</v>
      </c>
      <c r="P7" s="17" t="str">
        <f ca="1">VLOOKUP($L7,OFFSET([3]enemies!$A$1,0,0,COUNTA([3]enemies!$A:$A),MATCH(P$1,[3]enemies!$1:$1,0)-MATCH($L$1,[3]enemies!$1:$1,0)+1),MATCH(P$1,[3]enemies!$1:$1,0)-MATCH($L$1,[3]enemies!$1:$1,0)+1,FALSE)</f>
        <v>animal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80</v>
      </c>
      <c r="S7" s="25">
        <v>1</v>
      </c>
      <c r="T7" s="104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117213</v>
      </c>
      <c r="U7" s="25">
        <v>0.4</v>
      </c>
      <c r="V7" s="104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3235.2000000000003</v>
      </c>
      <c r="W7" s="5">
        <v>0</v>
      </c>
      <c r="X7" s="4" t="str">
        <f ca="1">VLOOKUP($Y7,OFFSET(enemy_skill_sets!$B$1,0,0,COUNTA(enemy_skill_sets!$B:$B),MATCH(M$1,enemy_skill_sets!$1:$1,0)-MATCH($Y$1,enemy_skill_sets!$1:$1,0)+2),MATCH(M$1,enemy_skill_sets!$1:$1,0)-MATCH($Y$1,enemy_skill_sets!$1:$1,0)+2,FALSE)</f>
        <v>緑パネル10個プロテクト+4個ランダムプロテクト</v>
      </c>
      <c r="Y7" s="110">
        <v>65534106</v>
      </c>
      <c r="Z7" s="6">
        <v>1</v>
      </c>
      <c r="AA7" s="6">
        <v>100</v>
      </c>
      <c r="AB7" s="6">
        <v>1</v>
      </c>
      <c r="AC7" s="17">
        <v>2</v>
      </c>
      <c r="AD7" s="24">
        <f t="shared" si="3"/>
        <v>1324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アウリ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Drop2N</v>
      </c>
      <c r="AH7" s="7">
        <v>1</v>
      </c>
      <c r="AI7" s="24">
        <f t="shared" ca="1" si="4"/>
        <v>4</v>
      </c>
      <c r="AJ7" s="8">
        <v>60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8">
        <v>1</v>
      </c>
    </row>
  </sheetData>
  <sheetProtection selectLockedCells="1" selectUnlockedCells="1"/>
  <autoFilter ref="B1:AJ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2"/>
  <sheetViews>
    <sheetView showGridLines="0" tabSelected="1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V8" sqref="V8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8.832031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thickBot="1" x14ac:dyDescent="0.2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103" t="s">
        <v>254</v>
      </c>
      <c r="V1" s="26" t="s">
        <v>50</v>
      </c>
      <c r="W1" s="103" t="s">
        <v>255</v>
      </c>
      <c r="X1" s="26" t="s">
        <v>52</v>
      </c>
      <c r="Y1" s="28" t="s">
        <v>128</v>
      </c>
      <c r="Z1" s="29" t="s">
        <v>127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65534_1-4/1325&lt;lv80&gt;sq1st2</v>
      </c>
      <c r="B2" s="22">
        <v>65534</v>
      </c>
      <c r="C2" s="21">
        <v>1</v>
      </c>
      <c r="D2" s="2" t="str">
        <f>B2&amp;"_"&amp;C2</f>
        <v>65534_1</v>
      </c>
      <c r="E2" s="4" t="str">
        <f ca="1">VLOOKUP($B2,OFFSET([2]quests!$A$1,0,0,COUNTA([2]quests!$A:$A),MATCH(E$1,[2]quests!$1:$1,0)-MATCH($B$1,[2]quests!$1:$1,0)+1),MATCH(E$1,[2]quests!$1:$1,0)-MATCH($B$1,[2]quests!$1:$1,0)+1,FALSE)</f>
        <v>【LB大野】検証クエスト</v>
      </c>
      <c r="F2" s="4" t="str">
        <f ca="1">VLOOKUP($D2,OFFSET([2]stages!$A$1,0,0,COUNTA([2]stages!$A:$A),MATCH(F$1,[2]stages!$2:$2,0)-MATCH($D$1,[2]stages!$2:$2,0)+1),MATCH(F$1,[2]stages!$2:$2,0)-MATCH($D$1,[2]stages!$2:$2,0)+1,FALSE)</f>
        <v>【LB大野】検証</v>
      </c>
      <c r="G2" s="21">
        <v>4</v>
      </c>
      <c r="H2" s="15" t="str">
        <f>B2&amp;"_"&amp;C2&amp;"-"&amp;G2</f>
        <v>65534_1-4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1325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阿吽の神護犬 アウリ</v>
      </c>
      <c r="O2" s="17" t="str">
        <f ca="1">VLOOKUP($M2,OFFSET([3]enemies!$A$1,0,0,COUNTA([3]enemies!$A:$A),MATCH(O$1,[3]enemies!$1:$1,0)-MATCH($M$1,[3]enemies!$1:$1,0)+1),MATCH(O$1,[3]enemies!$1:$1,0)-MATCH($M$1,[3]enemies!$1:$1,0)+1,FALSE)</f>
        <v>green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animal</v>
      </c>
      <c r="R2" s="17">
        <f ca="1">VLOOKUP($M2,OFFSET([3]enemies!$A$1,0,0,COUNTA([3]enemies!$A:$A),MATCH(R$1,[3]enemies!$1:$1,0)-MATCH($M$1,[3]enemies!$1:$1,0)+1),MATCH(R$1,[3]enemies!$1:$1,0)-MATCH($M$1,[3]enemies!$1:$1,0)+1,FALSE)</f>
        <v>60</v>
      </c>
      <c r="S2" s="5">
        <v>80</v>
      </c>
      <c r="T2" s="25">
        <v>1.3</v>
      </c>
      <c r="U2" s="104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152376.9</v>
      </c>
      <c r="V2" s="25">
        <v>0.3</v>
      </c>
      <c r="W2" s="104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2331.2999999999997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110">
        <v>65534107</v>
      </c>
      <c r="AA2" s="69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7"/>
  <sheetViews>
    <sheetView showGridLines="0" workbookViewId="0">
      <pane xSplit="5" ySplit="1" topLeftCell="F2" activePane="bottomRight" state="frozen"/>
      <selection pane="topRight"/>
      <selection pane="bottomLeft"/>
      <selection pane="bottomRight" activeCell="P11" sqref="P11"/>
    </sheetView>
  </sheetViews>
  <sheetFormatPr baseColWidth="12" defaultColWidth="12.83203125" defaultRowHeight="25" customHeight="1" outlineLevelCol="1" x14ac:dyDescent="0.15"/>
  <cols>
    <col min="1" max="1" width="17.1640625" style="115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116" bestFit="1" customWidth="1"/>
    <col min="17" max="17" width="9.6640625" style="116" customWidth="1"/>
    <col min="18" max="18" width="56.5" style="116" bestFit="1" customWidth="1"/>
    <col min="19" max="16384" width="12.83203125" style="116"/>
  </cols>
  <sheetData>
    <row r="1" spans="1:18" s="123" customFormat="1" ht="25" customHeight="1" thickBot="1" x14ac:dyDescent="0.2">
      <c r="A1" s="122" t="s">
        <v>60</v>
      </c>
      <c r="B1" s="106" t="s">
        <v>61</v>
      </c>
      <c r="C1" s="106" t="s">
        <v>62</v>
      </c>
      <c r="D1" s="107" t="s">
        <v>63</v>
      </c>
      <c r="E1" s="107" t="s">
        <v>64</v>
      </c>
      <c r="F1" s="51" t="s">
        <v>65</v>
      </c>
      <c r="G1" s="43" t="s">
        <v>66</v>
      </c>
      <c r="H1" s="43" t="s">
        <v>68</v>
      </c>
      <c r="I1" s="43" t="s">
        <v>69</v>
      </c>
      <c r="J1" s="43" t="s">
        <v>70</v>
      </c>
      <c r="K1" s="43" t="s">
        <v>71</v>
      </c>
      <c r="L1" s="43" t="s">
        <v>72</v>
      </c>
      <c r="M1" s="43" t="s">
        <v>73</v>
      </c>
      <c r="N1" s="43" t="s">
        <v>74</v>
      </c>
      <c r="O1" s="43" t="s">
        <v>75</v>
      </c>
      <c r="P1" s="107" t="s">
        <v>76</v>
      </c>
      <c r="Q1" s="107" t="s">
        <v>77</v>
      </c>
      <c r="R1" s="107" t="s">
        <v>78</v>
      </c>
    </row>
    <row r="2" spans="1:18" s="120" customFormat="1" ht="25" customHeight="1" thickBot="1" x14ac:dyDescent="0.2">
      <c r="A2" s="119" t="str">
        <f t="shared" ref="A2:A17" si="0">B2&amp;"_"&amp;C2</f>
        <v>65534103_65534300</v>
      </c>
      <c r="B2" s="110">
        <v>65534103</v>
      </c>
      <c r="C2" s="110">
        <v>65534300</v>
      </c>
      <c r="D2" s="111" t="str">
        <f ca="1">VLOOKUP($C2,OFFSET(enemy_skills!$A$1,0,0,COUNTA(enemy_skills!$A:$A),MATCH(D$1,enemy_skills!$1:$1,0)-MATCH("enemy_skill_id",enemy_skills!$1:$1,0)+1),MATCH(D$1,enemy_skills!$1:$1,0)-MATCH("enemy_skill_id",enemy_skills!$1:$1,0)+1,FALSE)</f>
        <v>何見てんだよ</v>
      </c>
      <c r="E2" s="111" t="str">
        <f ca="1">VLOOKUP($C2,OFFSET(enemy_skills!$A$1,0,0,COUNTA(enemy_skills!$A:$A),MATCH(E$1,enemy_skills!$1:$1,0)-MATCH("enemy_skill_id",enemy_skills!$1:$1,0)+1),MATCH(E$1,enemy_skills!$1:$1,0)-MATCH("enemy_skill_id",enemy_skills!$1:$1,0)+1,FALSE)</f>
        <v>緑パネル3個プロテクト</v>
      </c>
      <c r="F2" s="110">
        <v>65534300</v>
      </c>
      <c r="G2" s="112">
        <v>1</v>
      </c>
      <c r="H2" s="112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2" s="112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150</v>
      </c>
      <c r="J2" s="112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12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12">
        <v>1</v>
      </c>
      <c r="M2" s="112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12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12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150</v>
      </c>
      <c r="P2" s="110"/>
      <c r="Q2" s="110"/>
      <c r="R2" s="110"/>
    </row>
    <row r="3" spans="1:18" ht="25" customHeight="1" thickBot="1" x14ac:dyDescent="0.2">
      <c r="A3" s="121" t="str">
        <f t="shared" si="0"/>
        <v>65534103_65534301</v>
      </c>
      <c r="B3" s="45">
        <v>65534103</v>
      </c>
      <c r="C3" s="45">
        <v>65534301</v>
      </c>
      <c r="D3" s="111" t="str">
        <f ca="1">VLOOKUP($C3,OFFSET(enemy_skills!$A$1,0,0,COUNTA(enemy_skills!$A:$A),MATCH(D$1,enemy_skills!$1:$1,0)-MATCH("enemy_skill_id",enemy_skills!$1:$1,0)+1),MATCH(D$1,enemy_skills!$1:$1,0)-MATCH("enemy_skill_id",enemy_skills!$1:$1,0)+1,FALSE)</f>
        <v>殴る</v>
      </c>
      <c r="E3" s="111" t="str">
        <f ca="1">VLOOKUP($C3,OFFSET(enemy_skills!$A$1,0,0,COUNTA(enemy_skills!$A:$A),MATCH(E$1,enemy_skills!$1:$1,0)-MATCH("enemy_skill_id",enemy_skills!$1:$1,0)+1),MATCH(E$1,enemy_skills!$1:$1,0)-MATCH("enemy_skill_id",enemy_skills!$1:$1,0)+1,FALSE)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3" s="45">
        <v>65534401</v>
      </c>
      <c r="G3" s="46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6" t="str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3" s="46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6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6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6" t="str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" s="46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6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6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5"/>
      <c r="Q3" s="45"/>
      <c r="R3" s="45"/>
    </row>
    <row r="4" spans="1:18" s="125" customFormat="1" ht="25" customHeight="1" thickBot="1" x14ac:dyDescent="0.2">
      <c r="A4" s="124" t="str">
        <f t="shared" si="0"/>
        <v>65534103_65534302</v>
      </c>
      <c r="B4" s="113">
        <v>65534103</v>
      </c>
      <c r="C4" s="113">
        <v>65534302</v>
      </c>
      <c r="D4" s="111" t="str">
        <f ca="1">VLOOKUP($C4,OFFSET(enemy_skills!$A$1,0,0,COUNTA(enemy_skills!$A:$A),MATCH(D$1,enemy_skills!$1:$1,0)-MATCH("enemy_skill_id",enemy_skills!$1:$1,0)+1),MATCH(D$1,enemy_skills!$1:$1,0)-MATCH("enemy_skill_id",enemy_skills!$1:$1,0)+1,FALSE)</f>
        <v>子供のままで何が悪い</v>
      </c>
      <c r="E4" s="111" t="str">
        <f ca="1">VLOOKUP($C4,OFFSET(enemy_skills!$A$1,0,0,COUNTA(enemy_skills!$A:$A),MATCH(E$1,enemy_skills!$1:$1,0)-MATCH("enemy_skill_id",enemy_skills!$1:$1,0)+1),MATCH(E$1,enemy_skills!$1:$1,0)-MATCH("enemy_skill_id",enemy_skills!$1:$1,0)+1,FALSE)</f>
        <v>Cパネル破壊+攻撃力UP</v>
      </c>
      <c r="F4" s="113">
        <v>65534402</v>
      </c>
      <c r="G4" s="114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14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4" s="114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114">
        <v>50</v>
      </c>
      <c r="K4" s="114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14">
        <v>1</v>
      </c>
      <c r="M4" s="114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4" s="114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14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13"/>
      <c r="Q4" s="113"/>
      <c r="R4" s="113"/>
    </row>
    <row r="5" spans="1:18" s="120" customFormat="1" ht="25" customHeight="1" thickBot="1" x14ac:dyDescent="0.2">
      <c r="A5" s="119" t="str">
        <f t="shared" si="0"/>
        <v>65534104_65534500</v>
      </c>
      <c r="B5" s="110">
        <v>65534104</v>
      </c>
      <c r="C5" s="110">
        <v>65534500</v>
      </c>
      <c r="D5" s="111" t="str">
        <f ca="1">VLOOKUP($C5,OFFSET(enemy_skills!$A$1,0,0,COUNTA(enemy_skills!$A:$A),MATCH(D$1,enemy_skills!$1:$1,0)-MATCH("enemy_skill_id",enemy_skills!$1:$1,0)+1),MATCH(D$1,enemy_skills!$1:$1,0)-MATCH("enemy_skill_id",enemy_skills!$1:$1,0)+1,FALSE)</f>
        <v>えい</v>
      </c>
      <c r="E5" s="111" t="str">
        <f ca="1">VLOOKUP($C5,OFFSET(enemy_skills!$A$1,0,0,COUNTA(enemy_skills!$A:$A),MATCH(E$1,enemy_skills!$1:$1,0)-MATCH("enemy_skill_id",enemy_skills!$1:$1,0)+1),MATCH(E$1,enemy_skills!$1:$1,0)-MATCH("enemy_skill_id",enemy_skills!$1:$1,0)+1,FALSE)</f>
        <v>単体攻撃+緑パネル2個プロテクト</v>
      </c>
      <c r="F5" s="110">
        <v>65534500</v>
      </c>
      <c r="G5" s="112">
        <v>1</v>
      </c>
      <c r="H5" s="112" t="str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5" s="112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12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12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12" t="str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" s="112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12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12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10"/>
      <c r="Q5" s="110"/>
      <c r="R5" s="110"/>
    </row>
    <row r="6" spans="1:18" ht="25" customHeight="1" thickBot="1" x14ac:dyDescent="0.2">
      <c r="A6" s="121" t="str">
        <f t="shared" si="0"/>
        <v>65534104_65534501</v>
      </c>
      <c r="B6" s="45">
        <v>65534104</v>
      </c>
      <c r="C6" s="45">
        <v>65534501</v>
      </c>
      <c r="D6" s="111" t="str">
        <f ca="1">VLOOKUP($C6,OFFSET(enemy_skills!$A$1,0,0,COUNTA(enemy_skills!$A:$A),MATCH(D$1,enemy_skills!$1:$1,0)-MATCH("enemy_skill_id",enemy_skills!$1:$1,0)+1),MATCH(D$1,enemy_skills!$1:$1,0)-MATCH("enemy_skill_id",enemy_skills!$1:$1,0)+1,FALSE)</f>
        <v>そい</v>
      </c>
      <c r="E6" s="111" t="str">
        <f ca="1">VLOOKUP($C6,OFFSET(enemy_skills!$A$1,0,0,COUNTA(enemy_skills!$A:$A),MATCH(E$1,enemy_skills!$1:$1,0)-MATCH("enemy_skill_id",enemy_skills!$1:$1,0)+1),MATCH(E$1,enemy_skills!$1:$1,0)-MATCH("enemy_skill_id",enemy_skills!$1:$1,0)+1,FALSE)</f>
        <v>単体攻撃+緑パネル2個プロテクト</v>
      </c>
      <c r="F6" s="45">
        <v>65534501</v>
      </c>
      <c r="G6" s="46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6" t="str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6" s="46">
        <v>50</v>
      </c>
      <c r="J6" s="46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6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6">
        <v>2</v>
      </c>
      <c r="M6" s="46">
        <v>4</v>
      </c>
      <c r="N6" s="46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6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5"/>
      <c r="Q6" s="45"/>
      <c r="R6" s="45"/>
    </row>
    <row r="7" spans="1:18" ht="25" customHeight="1" thickBot="1" x14ac:dyDescent="0.2">
      <c r="A7" s="121" t="str">
        <f t="shared" si="0"/>
        <v>65534105_65534700</v>
      </c>
      <c r="B7" s="45">
        <v>65534105</v>
      </c>
      <c r="C7" s="45">
        <v>65534700</v>
      </c>
      <c r="D7" s="111" t="str">
        <f ca="1">VLOOKUP($C7,OFFSET(enemy_skills!$A$1,0,0,COUNTA(enemy_skills!$A:$A),MATCH(D$1,enemy_skills!$1:$1,0)-MATCH("enemy_skill_id",enemy_skills!$1:$1,0)+1),MATCH(D$1,enemy_skills!$1:$1,0)-MATCH("enemy_skill_id",enemy_skills!$1:$1,0)+1,FALSE)</f>
        <v>そーれ</v>
      </c>
      <c r="E7" s="111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パネルを4個プロテクト状態にする</v>
      </c>
      <c r="F7" s="45">
        <v>65534700</v>
      </c>
      <c r="G7" s="4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" s="4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7" s="4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4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4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4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4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4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4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45"/>
      <c r="Q7" s="45"/>
      <c r="R7" s="45"/>
    </row>
    <row r="8" spans="1:18" s="125" customFormat="1" ht="25" customHeight="1" thickBot="1" x14ac:dyDescent="0.2">
      <c r="A8" s="124" t="str">
        <f t="shared" si="0"/>
        <v>65534105_65534701</v>
      </c>
      <c r="B8" s="113">
        <v>65534105</v>
      </c>
      <c r="C8" s="113">
        <v>65534701</v>
      </c>
      <c r="D8" s="111" t="str">
        <f ca="1">VLOOKUP($C8,OFFSET(enemy_skills!$A$1,0,0,COUNTA(enemy_skills!$A:$A),MATCH(D$1,enemy_skills!$1:$1,0)-MATCH("enemy_skill_id",enemy_skills!$1:$1,0)+1),MATCH(D$1,enemy_skills!$1:$1,0)-MATCH("enemy_skill_id",enemy_skills!$1:$1,0)+1,FALSE)</f>
        <v>元気？</v>
      </c>
      <c r="E8" s="111" t="str">
        <f ca="1">VLOOKUP($C8,OFFSET(enemy_skills!$A$1,0,0,COUNTA(enemy_skills!$A:$A),MATCH(E$1,enemy_skills!$1:$1,0)-MATCH("enemy_skill_id",enemy_skills!$1:$1,0)+1),MATCH(E$1,enemy_skills!$1:$1,0)-MATCH("enemy_skill_id",enemy_skills!$1:$1,0)+1,FALSE)</f>
        <v>ゆららのHP回復</v>
      </c>
      <c r="F8" s="113">
        <v>65534701</v>
      </c>
      <c r="G8" s="114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" s="114" t="str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8" s="114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14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14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14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2</v>
      </c>
      <c r="M8" s="114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8" s="114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14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13"/>
      <c r="Q8" s="113"/>
      <c r="R8" s="113"/>
    </row>
    <row r="9" spans="1:18" s="125" customFormat="1" ht="25" customHeight="1" thickBot="1" x14ac:dyDescent="0.2">
      <c r="A9" s="124" t="str">
        <f t="shared" ref="A9" si="1">B9&amp;"_"&amp;C9</f>
        <v>65534104_65534502</v>
      </c>
      <c r="B9" s="113">
        <v>65534104</v>
      </c>
      <c r="C9" s="45">
        <v>65534502</v>
      </c>
      <c r="D9" s="111" t="str">
        <f ca="1">VLOOKUP($C9,OFFSET(enemy_skills!$A$1,0,0,COUNTA(enemy_skills!$A:$A),MATCH(D$1,enemy_skills!$1:$1,0)-MATCH("enemy_skill_id",enemy_skills!$1:$1,0)+1),MATCH(D$1,enemy_skills!$1:$1,0)-MATCH("enemy_skill_id",enemy_skills!$1:$1,0)+1,FALSE)</f>
        <v>逃げるのです！</v>
      </c>
      <c r="E9" s="111" t="str">
        <f ca="1">VLOOKUP($C9,OFFSET(enemy_skills!$A$1,0,0,COUNTA(enemy_skills!$A:$A),MATCH(E$1,enemy_skills!$1:$1,0)-MATCH("enemy_skill_id",enemy_skills!$1:$1,0)+1),MATCH(E$1,enemy_skills!$1:$1,0)-MATCH("enemy_skill_id",enemy_skills!$1:$1,0)+1,FALSE)</f>
        <v>転んだ</v>
      </c>
      <c r="F9" s="45">
        <v>65534502</v>
      </c>
      <c r="G9" s="11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114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" s="11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" s="11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11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114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11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114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476</v>
      </c>
      <c r="O9" s="11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" s="113"/>
      <c r="Q9" s="113"/>
      <c r="R9" s="113"/>
    </row>
    <row r="10" spans="1:18" s="125" customFormat="1" ht="25" customHeight="1" thickBot="1" x14ac:dyDescent="0.2">
      <c r="A10" s="124" t="str">
        <f t="shared" ref="A10" si="2">B10&amp;"_"&amp;C10</f>
        <v>65534106_65534800</v>
      </c>
      <c r="B10" s="113">
        <v>65534106</v>
      </c>
      <c r="C10" s="45">
        <v>65534800</v>
      </c>
      <c r="D10" s="111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ようこそ！</v>
      </c>
      <c r="E10" s="111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緑パネル10個プロテクト+4個ランダムプロテクト</v>
      </c>
      <c r="F10" s="45">
        <v>65534800</v>
      </c>
      <c r="G10" s="11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" s="11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0" s="11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" s="11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11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114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" s="11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11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11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" s="113"/>
      <c r="Q10" s="113"/>
      <c r="R10" s="113"/>
    </row>
    <row r="11" spans="1:18" ht="25" customHeight="1" thickBot="1" x14ac:dyDescent="0.2">
      <c r="A11" s="121" t="str">
        <f t="shared" si="0"/>
        <v>65534106_65534801</v>
      </c>
      <c r="B11" s="110">
        <v>65534106</v>
      </c>
      <c r="C11" s="45">
        <v>65534801</v>
      </c>
      <c r="D11" s="111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それ！</v>
      </c>
      <c r="E11" s="111" t="str">
        <f ca="1">VLOOKUP($C11,OFFSET(enemy_skills!$A$1,0,0,COUNTA(enemy_skills!$A:$A),MATCH(E$1,enemy_skills!$1:$1,0)-MATCH("enemy_skill_id",enemy_skills!$1:$1,0)+1),MATCH(E$1,enemy_skills!$1:$1,0)-MATCH("enemy_skill_id",enemy_skills!$1:$1,0)+1,FALSE)</f>
        <v>全体攻撃+Cパネル全てプロテクト</v>
      </c>
      <c r="F11" s="45">
        <v>65534801</v>
      </c>
      <c r="G11" s="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46" t="str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1" s="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46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2</v>
      </c>
      <c r="N11" s="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45"/>
      <c r="Q11" s="45"/>
      <c r="R11" s="45"/>
    </row>
    <row r="12" spans="1:18" ht="25" customHeight="1" thickBot="1" x14ac:dyDescent="0.2">
      <c r="A12" s="121" t="str">
        <f t="shared" si="0"/>
        <v>65534106_65534802</v>
      </c>
      <c r="B12" s="110">
        <v>65534106</v>
      </c>
      <c r="C12" s="45">
        <v>65534802</v>
      </c>
      <c r="D12" s="111" t="str">
        <f ca="1">VLOOKUP($C12,OFFSET(enemy_skills!$A$1,0,0,COUNTA(enemy_skills!$A:$A),MATCH(D$1,enemy_skills!$1:$1,0)-MATCH("enemy_skill_id",enemy_skills!$1:$1,0)+1),MATCH(D$1,enemy_skills!$1:$1,0)-MATCH("enemy_skill_id",enemy_skills!$1:$1,0)+1,FALSE)</f>
        <v>いくよー！</v>
      </c>
      <c r="E12" s="111" t="str">
        <f ca="1">VLOOKUP($C12,OFFSET(enemy_skills!$A$1,0,0,COUNTA(enemy_skills!$A:$A),MATCH(E$1,enemy_skills!$1:$1,0)-MATCH("enemy_skill_id",enemy_skills!$1:$1,0)+1),MATCH(E$1,enemy_skills!$1:$1,0)-MATCH("enemy_skill_id",enemy_skills!$1:$1,0)+1,FALSE)</f>
        <v>緑パネル8個プロテクト+ランダム3個プロテクト</v>
      </c>
      <c r="F12" s="45">
        <v>65534802</v>
      </c>
      <c r="G12" s="46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2" s="46" t="str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2" s="46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60</v>
      </c>
      <c r="J12" s="46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46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46" t="str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2" s="46">
        <v>4</v>
      </c>
      <c r="N12" s="46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46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60</v>
      </c>
      <c r="P12" s="45"/>
      <c r="Q12" s="45"/>
      <c r="R12" s="45"/>
    </row>
    <row r="13" spans="1:18" s="125" customFormat="1" ht="25" customHeight="1" thickBot="1" x14ac:dyDescent="0.2">
      <c r="A13" s="124" t="str">
        <f t="shared" si="0"/>
        <v>65534106_65534803</v>
      </c>
      <c r="B13" s="110">
        <v>65534106</v>
      </c>
      <c r="C13" s="113">
        <v>65534803</v>
      </c>
      <c r="D13" s="111" t="str">
        <f ca="1">VLOOKUP($C13,OFFSET(enemy_skills!$A$1,0,0,COUNTA(enemy_skills!$A:$A),MATCH(D$1,enemy_skills!$1:$1,0)-MATCH("enemy_skill_id",enemy_skills!$1:$1,0)+1),MATCH(D$1,enemy_skills!$1:$1,0)-MATCH("enemy_skill_id",enemy_skills!$1:$1,0)+1,FALSE)</f>
        <v>痛いじゃないか！</v>
      </c>
      <c r="E13" s="111" t="str">
        <f ca="1">VLOOKUP($C13,OFFSET(enemy_skills!$A$1,0,0,COUNTA(enemy_skills!$A:$A),MATCH(E$1,enemy_skills!$1:$1,0)-MATCH("enemy_skill_id",enemy_skills!$1:$1,0)+1),MATCH(E$1,enemy_skills!$1:$1,0)-MATCH("enemy_skill_id",enemy_skills!$1:$1,0)+1,FALSE)</f>
        <v>防御力UP+赤パネル全てプロテクト</v>
      </c>
      <c r="F13" s="113">
        <v>65534803</v>
      </c>
      <c r="G13" s="11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3" s="114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300</v>
      </c>
      <c r="I13" s="11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114">
        <v>50</v>
      </c>
      <c r="K13" s="11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114">
        <v>1</v>
      </c>
      <c r="M13" s="114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3" s="114" t="str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3" s="46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113"/>
      <c r="Q13" s="113"/>
      <c r="R13" s="113"/>
    </row>
    <row r="14" spans="1:18" s="118" customFormat="1" ht="25" customHeight="1" thickBot="1" x14ac:dyDescent="0.2">
      <c r="A14" s="117" t="str">
        <f t="shared" si="0"/>
        <v>65534107_65534910</v>
      </c>
      <c r="B14" s="110">
        <v>65534107</v>
      </c>
      <c r="C14" s="108">
        <v>65534910</v>
      </c>
      <c r="D14" s="111" t="str">
        <f ca="1">VLOOKUP($C14,OFFSET(enemy_skills!$A$1,0,0,COUNTA(enemy_skills!$A:$A),MATCH(D$1,enemy_skills!$1:$1,0)-MATCH("enemy_skill_id",enemy_skills!$1:$1,0)+1),MATCH(D$1,enemy_skills!$1:$1,0)-MATCH("enemy_skill_id",enemy_skills!$1:$1,0)+1,FALSE)</f>
        <v>これでどうかな？</v>
      </c>
      <c r="E14" s="111" t="str">
        <f ca="1">VLOOKUP($C14,OFFSET(enemy_skills!$A$1,0,0,COUNTA(enemy_skills!$A:$A),MATCH(E$1,enemy_skills!$1:$1,0)-MATCH("enemy_skill_id",enemy_skills!$1:$1,0)+1),MATCH(E$1,enemy_skills!$1:$1,0)-MATCH("enemy_skill_id",enemy_skills!$1:$1,0)+1,FALSE)</f>
        <v>赤パネルを緑パネルに変換+緑パネル全てプロテクト</v>
      </c>
      <c r="F14" s="108">
        <v>65534910</v>
      </c>
      <c r="G14" s="109">
        <v>1</v>
      </c>
      <c r="H14" s="109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50</v>
      </c>
      <c r="I14" s="109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109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109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109">
        <v>1</v>
      </c>
      <c r="M14" s="109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109" t="str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4" s="109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108"/>
      <c r="Q14" s="108"/>
      <c r="R14" s="108"/>
    </row>
    <row r="15" spans="1:18" ht="25" customHeight="1" thickBot="1" x14ac:dyDescent="0.2">
      <c r="A15" s="115" t="str">
        <f t="shared" si="0"/>
        <v>65534107_65534911</v>
      </c>
      <c r="B15" s="110">
        <v>65534107</v>
      </c>
      <c r="C15" s="45">
        <v>65534911</v>
      </c>
      <c r="D15" s="111" t="str">
        <f ca="1">VLOOKUP($C15,OFFSET(enemy_skills!$A$1,0,0,COUNTA(enemy_skills!$A:$A),MATCH(D$1,enemy_skills!$1:$1,0)-MATCH("enemy_skill_id",enemy_skills!$1:$1,0)+1),MATCH(D$1,enemy_skills!$1:$1,0)-MATCH("enemy_skill_id",enemy_skills!$1:$1,0)+1,FALSE)</f>
        <v>どーん！</v>
      </c>
      <c r="E15" s="111" t="str">
        <f ca="1">VLOOKUP($C15,OFFSET(enemy_skills!$A$1,0,0,COUNTA(enemy_skills!$A:$A),MATCH(E$1,enemy_skills!$1:$1,0)-MATCH("enemy_skill_id",enemy_skills!$1:$1,0)+1),MATCH(E$1,enemy_skills!$1:$1,0)-MATCH("enemy_skill_id",enemy_skills!$1:$1,0)+1,FALSE)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5" s="45">
        <v>65534911</v>
      </c>
      <c r="G15" s="46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5" s="46" t="str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5" s="46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65</v>
      </c>
      <c r="J15" s="46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6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6" t="str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5" s="46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6" t="str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5" s="46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65</v>
      </c>
      <c r="P15" s="45"/>
      <c r="Q15" s="45"/>
      <c r="R15" s="45"/>
    </row>
    <row r="16" spans="1:18" ht="25" customHeight="1" thickBot="1" x14ac:dyDescent="0.2">
      <c r="A16" s="115" t="str">
        <f t="shared" si="0"/>
        <v>65534107_65534912</v>
      </c>
      <c r="B16" s="110">
        <v>65534107</v>
      </c>
      <c r="C16" s="45">
        <v>65534912</v>
      </c>
      <c r="D16" s="111" t="str">
        <f ca="1">VLOOKUP($C16,OFFSET(enemy_skills!$A$1,0,0,COUNTA(enemy_skills!$A:$A),MATCH(D$1,enemy_skills!$1:$1,0)-MATCH("enemy_skill_id",enemy_skills!$1:$1,0)+1),MATCH(D$1,enemy_skills!$1:$1,0)-MATCH("enemy_skill_id",enemy_skills!$1:$1,0)+1,FALSE)</f>
        <v>そーれ！</v>
      </c>
      <c r="E16" s="111" t="str">
        <f ca="1">VLOOKUP($C16,OFFSET(enemy_skills!$A$1,0,0,COUNTA(enemy_skills!$A:$A),MATCH(E$1,enemy_skills!$1:$1,0)-MATCH("enemy_skill_id",enemy_skills!$1:$1,0)+1),MATCH(E$1,enemy_skills!$1:$1,0)-MATCH("enemy_skill_id",enemy_skills!$1:$1,0)+1,FALSE)</f>
        <v>単体攻撃+緑パネル3個プロテクト</v>
      </c>
      <c r="F16" s="45">
        <v>65534912</v>
      </c>
      <c r="G16" s="46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6" s="46" t="str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null</v>
      </c>
      <c r="I16" s="46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6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6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6" t="str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6" s="46">
        <v>2</v>
      </c>
      <c r="N16" s="46" t="str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6" s="46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5"/>
      <c r="Q16" s="45"/>
      <c r="R16" s="45"/>
    </row>
    <row r="17" spans="1:18" ht="25" customHeight="1" x14ac:dyDescent="0.15">
      <c r="A17" s="115" t="str">
        <f t="shared" si="0"/>
        <v>65534107_65534913</v>
      </c>
      <c r="B17" s="110">
        <v>65534107</v>
      </c>
      <c r="C17" s="45">
        <v>65534913</v>
      </c>
      <c r="D17" s="111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プレゼント</v>
      </c>
      <c r="E17" s="111" t="str">
        <f ca="1">VLOOKUP($C17,OFFSET(enemy_skills!$A$1,0,0,COUNTA(enemy_skills!$A:$A),MATCH(E$1,enemy_skills!$1:$1,0)-MATCH("enemy_skill_id",enemy_skills!$1:$1,0)+1),MATCH(E$1,enemy_skills!$1:$1,0)-MATCH("enemy_skill_id",enemy_skills!$1:$1,0)+1,FALSE)</f>
        <v>緑パネル吸収+吸収した数に応じて強力な攻撃</v>
      </c>
      <c r="F17" s="45">
        <v>65534913</v>
      </c>
      <c r="G17" s="46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7" s="46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6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6">
        <v>25</v>
      </c>
      <c r="K17" s="46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6">
        <v>1</v>
      </c>
      <c r="M17" s="46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1</v>
      </c>
      <c r="N17" s="46" t="str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7" s="46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5"/>
      <c r="Q17" s="45"/>
      <c r="R17" s="45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22"/>
  <sheetViews>
    <sheetView showGridLines="0" workbookViewId="0">
      <pane ySplit="1" topLeftCell="A2" activePane="bottomLeft" state="frozenSplit"/>
      <selection pane="bottomLeft" activeCell="E25" sqref="E25"/>
    </sheetView>
  </sheetViews>
  <sheetFormatPr baseColWidth="12" defaultColWidth="12.83203125" defaultRowHeight="21" customHeight="1" outlineLevelCol="1" x14ac:dyDescent="0.15"/>
  <cols>
    <col min="1" max="1" width="12.83203125" style="47"/>
    <col min="2" max="2" width="67.1640625" style="47" customWidth="1"/>
    <col min="3" max="4" width="12.83203125" style="47"/>
    <col min="5" max="5" width="23.6640625" style="47" bestFit="1" customWidth="1"/>
    <col min="6" max="6" width="44.1640625" style="47" bestFit="1" customWidth="1"/>
    <col min="7" max="7" width="52" style="47" customWidth="1" outlineLevel="1"/>
    <col min="8" max="8" width="18.33203125" style="47" customWidth="1" outlineLevel="1"/>
    <col min="9" max="11" width="18.6640625" style="47" customWidth="1" outlineLevel="1"/>
    <col min="12" max="12" width="23.6640625" style="47" customWidth="1"/>
    <col min="13" max="18" width="23.6640625" style="47" customWidth="1" outlineLevel="1"/>
    <col min="19" max="19" width="23.6640625" style="47" customWidth="1"/>
    <col min="20" max="24" width="23.6640625" style="47" customWidth="1" outlineLevel="1"/>
    <col min="25" max="25" width="23.6640625" style="47" customWidth="1"/>
    <col min="26" max="27" width="12.83203125" style="47"/>
    <col min="28" max="28" width="44.5" style="47" customWidth="1"/>
    <col min="29" max="16384" width="12.83203125" style="47"/>
  </cols>
  <sheetData>
    <row r="1" spans="1:28" ht="21" customHeight="1" thickBot="1" x14ac:dyDescent="0.2">
      <c r="A1" s="40" t="s">
        <v>79</v>
      </c>
      <c r="B1" s="40" t="s">
        <v>80</v>
      </c>
      <c r="C1" s="40" t="s">
        <v>81</v>
      </c>
      <c r="D1" s="40" t="s">
        <v>125</v>
      </c>
      <c r="E1" s="40" t="s">
        <v>82</v>
      </c>
      <c r="F1" s="40" t="s">
        <v>83</v>
      </c>
      <c r="G1" s="41" t="s">
        <v>131</v>
      </c>
      <c r="H1" s="41" t="s">
        <v>137</v>
      </c>
      <c r="I1" s="41" t="s">
        <v>139</v>
      </c>
      <c r="J1" s="41" t="s">
        <v>138</v>
      </c>
      <c r="K1" s="41" t="s">
        <v>140</v>
      </c>
      <c r="L1" s="41" t="s">
        <v>132</v>
      </c>
      <c r="M1" s="41" t="s">
        <v>130</v>
      </c>
      <c r="N1" s="41" t="s">
        <v>133</v>
      </c>
      <c r="O1" s="41" t="s">
        <v>141</v>
      </c>
      <c r="P1" s="41" t="s">
        <v>142</v>
      </c>
      <c r="Q1" s="41" t="s">
        <v>143</v>
      </c>
      <c r="R1" s="41" t="s">
        <v>144</v>
      </c>
      <c r="S1" s="41" t="s">
        <v>134</v>
      </c>
      <c r="T1" s="41" t="s">
        <v>135</v>
      </c>
      <c r="U1" s="41" t="s">
        <v>145</v>
      </c>
      <c r="V1" s="41" t="s">
        <v>146</v>
      </c>
      <c r="W1" s="41" t="s">
        <v>147</v>
      </c>
      <c r="X1" s="41" t="s">
        <v>148</v>
      </c>
      <c r="Y1" s="41" t="s">
        <v>136</v>
      </c>
      <c r="Z1" s="41" t="s">
        <v>76</v>
      </c>
      <c r="AA1" s="41" t="s">
        <v>77</v>
      </c>
      <c r="AB1" s="41" t="s">
        <v>78</v>
      </c>
    </row>
    <row r="2" spans="1:28" ht="21" customHeight="1" x14ac:dyDescent="0.15">
      <c r="A2" s="110">
        <v>65534300</v>
      </c>
      <c r="B2" s="129" t="s">
        <v>270</v>
      </c>
      <c r="C2" s="48">
        <v>1</v>
      </c>
      <c r="D2" s="48" t="s">
        <v>126</v>
      </c>
      <c r="E2" s="49" t="s">
        <v>283</v>
      </c>
      <c r="F2" s="126" t="s">
        <v>260</v>
      </c>
      <c r="G2" s="62" t="str">
        <f t="shared" ref="G2:G17" si="0">IFERROR(LEFT(B2,FIND("],",B2)),B2)</f>
        <v>[effect:panel_freeze, target:normal, color:block_green, count:3]</v>
      </c>
      <c r="H2" s="62">
        <f t="shared" ref="H2:H17" si="1">FIND("effect:",G2)+7</f>
        <v>9</v>
      </c>
      <c r="I2" s="62">
        <f t="shared" ref="I2:I17" si="2">IFERROR(FIND(",",G2),LEN(G2))</f>
        <v>21</v>
      </c>
      <c r="J2" s="62">
        <f t="shared" ref="J2:J17" si="3">FIND("target:",G2)+7</f>
        <v>30</v>
      </c>
      <c r="K2" s="62">
        <f t="shared" ref="K2:K17" si="4">FIND(",",G2,I2+1)</f>
        <v>36</v>
      </c>
      <c r="L2" s="62" t="str">
        <f>IFERROR(VLOOKUP(MID(G2,J2,K2-J2),[6]skilldef!$C:$D,2,FALSE),"-") &amp; " / " &amp; IFERROR(VLOOKUP(MID(G2,H2,I2-H2),[6]skilldef!$A:$B,2,FALSE),"-")</f>
        <v>- / -</v>
      </c>
      <c r="M2" s="62" t="str">
        <f t="shared" ref="M2:M17" si="5">IFERROR(RIGHT(B2,LEN(B2)-FIND("],",B2)-1),"none")</f>
        <v>none</v>
      </c>
      <c r="N2" s="46" t="str">
        <f t="shared" ref="N2:N8" si="6">IFERROR(LEFT(M2,FIND("],",M2)+S13),M2)</f>
        <v>none</v>
      </c>
      <c r="O2" s="62" t="e">
        <f t="shared" ref="O2:O17" si="7">FIND("effect:",N2)+7</f>
        <v>#VALUE!</v>
      </c>
      <c r="P2" s="62">
        <f t="shared" ref="P2:P17" si="8">IFERROR(FIND(",",N2),LEN(N2))</f>
        <v>4</v>
      </c>
      <c r="Q2" s="62" t="e">
        <f t="shared" ref="Q2:Q17" si="9">FIND("target:",N2)+7</f>
        <v>#VALUE!</v>
      </c>
      <c r="R2" s="62" t="e">
        <f t="shared" ref="R2:R17" si="10">FIND(",",N2,P2+1)</f>
        <v>#VALUE!</v>
      </c>
      <c r="S2" s="62" t="str">
        <f>IFERROR(VLOOKUP(MID(N2,Q2,R2-Q2),[6]skilldef!$C:$D,2,FALSE),"-") &amp; " / " &amp; IFERROR(VLOOKUP(MID(N2,O2,P2-O2),[6]skilldef!$A:$B,2,FALSE),"-")</f>
        <v>- / -</v>
      </c>
      <c r="T2" s="46" t="str">
        <f t="shared" ref="T2:T17" si="11">IFERROR(RIGHT(M2,LEN(M2)-FIND("],",M2)-1),"none")</f>
        <v>none</v>
      </c>
      <c r="U2" s="62" t="e">
        <f t="shared" ref="U2:U17" si="12">FIND("effect:",T2)+7</f>
        <v>#VALUE!</v>
      </c>
      <c r="V2" s="62">
        <f t="shared" ref="V2:V17" si="13">IFERROR(FIND(",",T2),LEN(T2))</f>
        <v>4</v>
      </c>
      <c r="W2" s="62" t="e">
        <f t="shared" ref="W2:W17" si="14">FIND("target:",T2)+7</f>
        <v>#VALUE!</v>
      </c>
      <c r="X2" s="62" t="e">
        <f t="shared" ref="X2:X17" si="15">FIND(",",T2,V2+1)</f>
        <v>#VALUE!</v>
      </c>
      <c r="Y2" s="62" t="str">
        <f>IFERROR(VLOOKUP(MID(T2,W2,X2-W2),[6]skilldef!$C:$D,2,FALSE),"-") &amp; " / " &amp; IFERROR(VLOOKUP(MID(T2,U2,V2-U2),[6]skilldef!$A:$B,2,FALSE),"-")</f>
        <v>- / -</v>
      </c>
      <c r="Z2" s="48"/>
      <c r="AA2" s="50"/>
      <c r="AB2" s="48"/>
    </row>
    <row r="3" spans="1:28" ht="21" customHeight="1" x14ac:dyDescent="0.15">
      <c r="A3" s="45">
        <v>65534301</v>
      </c>
      <c r="B3" s="45" t="s">
        <v>268</v>
      </c>
      <c r="C3" s="48">
        <v>1</v>
      </c>
      <c r="D3" s="48" t="s">
        <v>126</v>
      </c>
      <c r="E3" s="49" t="s">
        <v>310</v>
      </c>
      <c r="F3" s="48" t="s">
        <v>259</v>
      </c>
      <c r="G3" s="62" t="str">
        <f t="shared" si="0"/>
        <v>[effect:rush, count:2, val:0.6]</v>
      </c>
      <c r="H3" s="62">
        <f t="shared" si="1"/>
        <v>9</v>
      </c>
      <c r="I3" s="62">
        <f t="shared" si="2"/>
        <v>13</v>
      </c>
      <c r="J3" s="62" t="e">
        <f t="shared" si="3"/>
        <v>#VALUE!</v>
      </c>
      <c r="K3" s="62">
        <f t="shared" si="4"/>
        <v>22</v>
      </c>
      <c r="L3" s="62" t="str">
        <f>IFERROR(VLOOKUP(MID(G3,J3,K3-J3),[6]skilldef!$C:$D,2,FALSE),"-") &amp; " / " &amp; IFERROR(VLOOKUP(MID(G3,H3,I3-H3),[6]skilldef!$A:$B,2,FALSE),"-")</f>
        <v>- / 連続攻撃</v>
      </c>
      <c r="M3" s="62" t="str">
        <f t="shared" si="5"/>
        <v>none</v>
      </c>
      <c r="N3" s="46" t="str">
        <f t="shared" si="6"/>
        <v>none</v>
      </c>
      <c r="O3" s="62" t="e">
        <f t="shared" si="7"/>
        <v>#VALUE!</v>
      </c>
      <c r="P3" s="62">
        <f t="shared" si="8"/>
        <v>4</v>
      </c>
      <c r="Q3" s="62" t="e">
        <f t="shared" si="9"/>
        <v>#VALUE!</v>
      </c>
      <c r="R3" s="62" t="e">
        <f t="shared" si="10"/>
        <v>#VALUE!</v>
      </c>
      <c r="S3" s="62" t="str">
        <f>IFERROR(VLOOKUP(MID(N3,Q3,R3-Q3),[6]skilldef!$C:$D,2,FALSE),"-") &amp; " / " &amp; IFERROR(VLOOKUP(MID(N3,O3,P3-O3),[6]skilldef!$A:$B,2,FALSE),"-")</f>
        <v>- / -</v>
      </c>
      <c r="T3" s="46" t="str">
        <f t="shared" si="11"/>
        <v>none</v>
      </c>
      <c r="U3" s="62" t="e">
        <f t="shared" si="12"/>
        <v>#VALUE!</v>
      </c>
      <c r="V3" s="62">
        <f t="shared" si="13"/>
        <v>4</v>
      </c>
      <c r="W3" s="62" t="e">
        <f t="shared" si="14"/>
        <v>#VALUE!</v>
      </c>
      <c r="X3" s="62" t="e">
        <f t="shared" si="15"/>
        <v>#VALUE!</v>
      </c>
      <c r="Y3" s="62" t="str">
        <f>IFERROR(VLOOKUP(MID(T3,W3,X3-W3),[6]skilldef!$C:$D,2,FALSE),"-") &amp; " / " &amp; IFERROR(VLOOKUP(MID(T3,U3,V3-U3),[6]skilldef!$A:$B,2,FALSE),"-")</f>
        <v>- / -</v>
      </c>
      <c r="Z3" s="48"/>
      <c r="AA3" s="50"/>
      <c r="AB3" s="48"/>
    </row>
    <row r="4" spans="1:28" ht="21" customHeight="1" thickBot="1" x14ac:dyDescent="0.2">
      <c r="A4" s="113">
        <v>65534302</v>
      </c>
      <c r="B4" s="129" t="s">
        <v>306</v>
      </c>
      <c r="C4" s="48">
        <v>1</v>
      </c>
      <c r="D4" s="48" t="s">
        <v>126</v>
      </c>
      <c r="E4" s="49" t="s">
        <v>284</v>
      </c>
      <c r="F4" s="127" t="s">
        <v>276</v>
      </c>
      <c r="G4" s="62" t="str">
        <f t="shared" si="0"/>
        <v>[effect:break_heal_ratio, target:myself, val:0, lowest_val:0, count:-1, block01:crash]</v>
      </c>
      <c r="H4" s="62">
        <f t="shared" si="1"/>
        <v>9</v>
      </c>
      <c r="I4" s="62">
        <f t="shared" si="2"/>
        <v>25</v>
      </c>
      <c r="J4" s="62">
        <f t="shared" si="3"/>
        <v>34</v>
      </c>
      <c r="K4" s="62">
        <f t="shared" si="4"/>
        <v>40</v>
      </c>
      <c r="L4" s="62" t="str">
        <f>IFERROR(VLOOKUP(MID(G4,J4,K4-J4),[6]skilldef!$C:$D,2,FALSE),"-") &amp; " / " &amp; IFERROR(VLOOKUP(MID(G4,H4,I4-H4),[6]skilldef!$A:$B,2,FALSE),"-")</f>
        <v>自分自身に / -</v>
      </c>
      <c r="M4" s="62" t="str">
        <f t="shared" si="5"/>
        <v>[effect:enhance_enemy, target:enemy_one, turn:5, status:attack, val:0.3]</v>
      </c>
      <c r="N4" s="46" t="str">
        <f t="shared" si="6"/>
        <v>[effect:enhance_enemy, target:enemy_one, turn:5, status:attack, val:0.3]</v>
      </c>
      <c r="O4" s="62">
        <f t="shared" si="7"/>
        <v>9</v>
      </c>
      <c r="P4" s="62">
        <f t="shared" si="8"/>
        <v>22</v>
      </c>
      <c r="Q4" s="62">
        <f t="shared" si="9"/>
        <v>31</v>
      </c>
      <c r="R4" s="62">
        <f t="shared" si="10"/>
        <v>40</v>
      </c>
      <c r="S4" s="62" t="str">
        <f>IFERROR(VLOOKUP(MID(N4,Q4,R4-Q4),[6]skilldef!$C:$D,2,FALSE),"-") &amp; " / " &amp; IFERROR(VLOOKUP(MID(N4,O4,P4-O4),[6]skilldef!$A:$B,2,FALSE),"-")</f>
        <v>敵単体に / ステータス強化</v>
      </c>
      <c r="T4" s="46" t="str">
        <f t="shared" si="11"/>
        <v>none</v>
      </c>
      <c r="U4" s="62" t="e">
        <f t="shared" si="12"/>
        <v>#VALUE!</v>
      </c>
      <c r="V4" s="62">
        <f t="shared" si="13"/>
        <v>4</v>
      </c>
      <c r="W4" s="62" t="e">
        <f t="shared" si="14"/>
        <v>#VALUE!</v>
      </c>
      <c r="X4" s="62" t="e">
        <f t="shared" si="15"/>
        <v>#VALUE!</v>
      </c>
      <c r="Y4" s="62" t="str">
        <f>IFERROR(VLOOKUP(MID(T4,W4,X4-W4),[6]skilldef!$C:$D,2,FALSE),"-") &amp; " / " &amp; IFERROR(VLOOKUP(MID(T4,U4,V4-U4),[6]skilldef!$A:$B,2,FALSE),"-")</f>
        <v>- / -</v>
      </c>
      <c r="Z4" s="48"/>
      <c r="AA4" s="50"/>
      <c r="AB4" s="48"/>
    </row>
    <row r="5" spans="1:28" ht="21" customHeight="1" x14ac:dyDescent="0.15">
      <c r="A5" s="110">
        <v>65534500</v>
      </c>
      <c r="B5" s="129" t="s">
        <v>271</v>
      </c>
      <c r="C5" s="48">
        <v>1</v>
      </c>
      <c r="D5" s="48" t="s">
        <v>126</v>
      </c>
      <c r="E5" s="49" t="s">
        <v>285</v>
      </c>
      <c r="F5" s="48" t="s">
        <v>261</v>
      </c>
      <c r="G5" s="62" t="str">
        <f t="shared" si="0"/>
        <v>[effect:rush, count:1, val:1]</v>
      </c>
      <c r="H5" s="62">
        <f t="shared" si="1"/>
        <v>9</v>
      </c>
      <c r="I5" s="62">
        <f t="shared" si="2"/>
        <v>13</v>
      </c>
      <c r="J5" s="62" t="e">
        <f t="shared" si="3"/>
        <v>#VALUE!</v>
      </c>
      <c r="K5" s="62">
        <f t="shared" si="4"/>
        <v>22</v>
      </c>
      <c r="L5" s="62" t="str">
        <f>IFERROR(VLOOKUP(MID(G5,J5,K5-J5),[6]skilldef!$C:$D,2,FALSE),"-") &amp; " / " &amp; IFERROR(VLOOKUP(MID(G5,H5,I5-H5),[6]skilldef!$A:$B,2,FALSE),"-")</f>
        <v>- / 連続攻撃</v>
      </c>
      <c r="M5" s="62" t="str">
        <f t="shared" si="5"/>
        <v>[effect:panel_freeze, target:normal, color:block_green, count:2]</v>
      </c>
      <c r="N5" s="46" t="str">
        <f t="shared" si="6"/>
        <v>[effect:panel_freeze, target:normal, color:block_green, count:2]</v>
      </c>
      <c r="O5" s="62">
        <f t="shared" si="7"/>
        <v>9</v>
      </c>
      <c r="P5" s="62">
        <f t="shared" si="8"/>
        <v>21</v>
      </c>
      <c r="Q5" s="62">
        <f t="shared" si="9"/>
        <v>30</v>
      </c>
      <c r="R5" s="62">
        <f t="shared" si="10"/>
        <v>36</v>
      </c>
      <c r="S5" s="62" t="str">
        <f>IFERROR(VLOOKUP(MID(N5,Q5,R5-Q5),[6]skilldef!$C:$D,2,FALSE),"-") &amp; " / " &amp; IFERROR(VLOOKUP(MID(N5,O5,P5-O5),[6]skilldef!$A:$B,2,FALSE),"-")</f>
        <v>- / -</v>
      </c>
      <c r="T5" s="46" t="str">
        <f t="shared" si="11"/>
        <v>none</v>
      </c>
      <c r="U5" s="62" t="e">
        <f t="shared" si="12"/>
        <v>#VALUE!</v>
      </c>
      <c r="V5" s="62">
        <f t="shared" si="13"/>
        <v>4</v>
      </c>
      <c r="W5" s="62" t="e">
        <f t="shared" si="14"/>
        <v>#VALUE!</v>
      </c>
      <c r="X5" s="62" t="e">
        <f t="shared" si="15"/>
        <v>#VALUE!</v>
      </c>
      <c r="Y5" s="62" t="str">
        <f>IFERROR(VLOOKUP(MID(T5,W5,X5-W5),[6]skilldef!$C:$D,2,FALSE),"-") &amp; " / " &amp; IFERROR(VLOOKUP(MID(T5,U5,V5-U5),[6]skilldef!$A:$B,2,FALSE),"-")</f>
        <v>- / -</v>
      </c>
      <c r="Z5" s="48"/>
      <c r="AA5" s="50"/>
      <c r="AB5" s="48"/>
    </row>
    <row r="6" spans="1:28" ht="21" customHeight="1" x14ac:dyDescent="0.15">
      <c r="A6" s="45">
        <v>65534501</v>
      </c>
      <c r="B6" s="129" t="s">
        <v>271</v>
      </c>
      <c r="C6" s="48">
        <v>1</v>
      </c>
      <c r="D6" s="48" t="s">
        <v>126</v>
      </c>
      <c r="E6" s="49" t="s">
        <v>286</v>
      </c>
      <c r="F6" s="135" t="s">
        <v>261</v>
      </c>
      <c r="G6" s="62">
        <f>IFERROR(LEFT(B22,FIND("],",B22)),B22)</f>
        <v>0</v>
      </c>
      <c r="H6" s="62" t="e">
        <f t="shared" si="1"/>
        <v>#VALUE!</v>
      </c>
      <c r="I6" s="62">
        <f t="shared" si="2"/>
        <v>1</v>
      </c>
      <c r="J6" s="62" t="e">
        <f t="shared" si="3"/>
        <v>#VALUE!</v>
      </c>
      <c r="K6" s="62" t="e">
        <f t="shared" si="4"/>
        <v>#VALUE!</v>
      </c>
      <c r="L6" s="62" t="str">
        <f>IFERROR(VLOOKUP(MID(G6,J6,K6-J6),[6]skilldef!$C:$D,2,FALSE),"-") &amp; " / " &amp; IFERROR(VLOOKUP(MID(G6,H6,I6-H6),[6]skilldef!$A:$B,2,FALSE),"-")</f>
        <v>- / -</v>
      </c>
      <c r="M6" s="62" t="str">
        <f>IFERROR(RIGHT(B22,LEN(B22)-FIND("],",B22)-1),"none")</f>
        <v>none</v>
      </c>
      <c r="N6" s="46" t="str">
        <f t="shared" si="6"/>
        <v>none</v>
      </c>
      <c r="O6" s="62" t="e">
        <f t="shared" si="7"/>
        <v>#VALUE!</v>
      </c>
      <c r="P6" s="62">
        <f t="shared" si="8"/>
        <v>4</v>
      </c>
      <c r="Q6" s="62" t="e">
        <f t="shared" si="9"/>
        <v>#VALUE!</v>
      </c>
      <c r="R6" s="62" t="e">
        <f t="shared" si="10"/>
        <v>#VALUE!</v>
      </c>
      <c r="S6" s="62" t="str">
        <f>IFERROR(VLOOKUP(MID(N6,Q6,R6-Q6),[6]skilldef!$C:$D,2,FALSE),"-") &amp; " / " &amp; IFERROR(VLOOKUP(MID(N6,O6,P6-O6),[6]skilldef!$A:$B,2,FALSE),"-")</f>
        <v>- / -</v>
      </c>
      <c r="T6" s="46" t="str">
        <f t="shared" si="11"/>
        <v>none</v>
      </c>
      <c r="U6" s="62" t="e">
        <f t="shared" si="12"/>
        <v>#VALUE!</v>
      </c>
      <c r="V6" s="62">
        <f t="shared" si="13"/>
        <v>4</v>
      </c>
      <c r="W6" s="62" t="e">
        <f t="shared" si="14"/>
        <v>#VALUE!</v>
      </c>
      <c r="X6" s="62" t="e">
        <f t="shared" si="15"/>
        <v>#VALUE!</v>
      </c>
      <c r="Y6" s="62" t="str">
        <f>IFERROR(VLOOKUP(MID(T6,W6,X6-W6),[6]skilldef!$C:$D,2,FALSE),"-") &amp; " / " &amp; IFERROR(VLOOKUP(MID(T6,U6,V6-U6),[6]skilldef!$A:$B,2,FALSE),"-")</f>
        <v>- / -</v>
      </c>
      <c r="Z6" s="48"/>
      <c r="AA6" s="50"/>
      <c r="AB6" s="48"/>
    </row>
    <row r="7" spans="1:28" ht="21" customHeight="1" x14ac:dyDescent="0.15">
      <c r="A7" s="45">
        <v>65534700</v>
      </c>
      <c r="B7" s="129" t="s">
        <v>287</v>
      </c>
      <c r="C7" s="48">
        <v>1</v>
      </c>
      <c r="D7" s="48" t="s">
        <v>126</v>
      </c>
      <c r="E7" s="49" t="s">
        <v>289</v>
      </c>
      <c r="F7" s="136" t="s">
        <v>288</v>
      </c>
      <c r="G7" s="62" t="str">
        <f t="shared" si="0"/>
        <v>[effect:panel_freeze, target:block_all, count:4]</v>
      </c>
      <c r="H7" s="62">
        <f t="shared" si="1"/>
        <v>9</v>
      </c>
      <c r="I7" s="62">
        <f t="shared" si="2"/>
        <v>21</v>
      </c>
      <c r="J7" s="62">
        <f t="shared" si="3"/>
        <v>30</v>
      </c>
      <c r="K7" s="62">
        <f t="shared" si="4"/>
        <v>39</v>
      </c>
      <c r="L7" s="62" t="str">
        <f>IFERROR(VLOOKUP(MID(G7,J7,K7-J7),[6]skilldef!$C:$D,2,FALSE),"-") &amp; " / " &amp; IFERROR(VLOOKUP(MID(G7,H7,I7-H7),[6]skilldef!$A:$B,2,FALSE),"-")</f>
        <v>- / -</v>
      </c>
      <c r="M7" s="62" t="str">
        <f t="shared" si="5"/>
        <v>none</v>
      </c>
      <c r="N7" s="46" t="str">
        <f t="shared" si="6"/>
        <v>none</v>
      </c>
      <c r="O7" s="62" t="e">
        <f t="shared" si="7"/>
        <v>#VALUE!</v>
      </c>
      <c r="P7" s="62">
        <f t="shared" si="8"/>
        <v>4</v>
      </c>
      <c r="Q7" s="62" t="e">
        <f t="shared" si="9"/>
        <v>#VALUE!</v>
      </c>
      <c r="R7" s="62" t="e">
        <f t="shared" si="10"/>
        <v>#VALUE!</v>
      </c>
      <c r="S7" s="62" t="str">
        <f>IFERROR(VLOOKUP(MID(N7,Q7,R7-Q7),[6]skilldef!$C:$D,2,FALSE),"-") &amp; " / " &amp; IFERROR(VLOOKUP(MID(N7,O7,P7-O7),[6]skilldef!$A:$B,2,FALSE),"-")</f>
        <v>- / -</v>
      </c>
      <c r="T7" s="46" t="str">
        <f t="shared" si="11"/>
        <v>none</v>
      </c>
      <c r="U7" s="62" t="e">
        <f t="shared" si="12"/>
        <v>#VALUE!</v>
      </c>
      <c r="V7" s="62">
        <f t="shared" si="13"/>
        <v>4</v>
      </c>
      <c r="W7" s="62" t="e">
        <f t="shared" si="14"/>
        <v>#VALUE!</v>
      </c>
      <c r="X7" s="62" t="e">
        <f t="shared" si="15"/>
        <v>#VALUE!</v>
      </c>
      <c r="Y7" s="62" t="str">
        <f>IFERROR(VLOOKUP(MID(T7,W7,X7-W7),[6]skilldef!$C:$D,2,FALSE),"-") &amp; " / " &amp; IFERROR(VLOOKUP(MID(T7,U7,V7-U7),[6]skilldef!$A:$B,2,FALSE),"-")</f>
        <v>- / -</v>
      </c>
      <c r="Z7" s="48"/>
      <c r="AA7" s="50"/>
      <c r="AB7" s="48"/>
    </row>
    <row r="8" spans="1:28" ht="21" customHeight="1" thickBot="1" x14ac:dyDescent="0.2">
      <c r="A8" s="113">
        <v>65534701</v>
      </c>
      <c r="B8" s="129" t="s">
        <v>305</v>
      </c>
      <c r="C8" s="48">
        <v>1</v>
      </c>
      <c r="D8" s="48" t="s">
        <v>126</v>
      </c>
      <c r="E8" s="49" t="s">
        <v>290</v>
      </c>
      <c r="F8" s="136" t="s">
        <v>307</v>
      </c>
      <c r="G8" s="62" t="str">
        <f t="shared" si="0"/>
        <v>[effect:heal, target:enemy_technical, val:0.5, animation:enemy_heal]</v>
      </c>
      <c r="H8" s="62">
        <f t="shared" si="1"/>
        <v>9</v>
      </c>
      <c r="I8" s="62">
        <f t="shared" si="2"/>
        <v>13</v>
      </c>
      <c r="J8" s="62">
        <f t="shared" si="3"/>
        <v>22</v>
      </c>
      <c r="K8" s="62">
        <f t="shared" si="4"/>
        <v>37</v>
      </c>
      <c r="L8" s="62" t="str">
        <f>IFERROR(VLOOKUP(MID(G8,J8,K8-J8),[6]skilldef!$C:$D,2,FALSE),"-") &amp; " / " &amp; IFERROR(VLOOKUP(MID(G8,H8,I8-H8),[6]skilldef!$A:$B,2,FALSE),"-")</f>
        <v>- / 回復</v>
      </c>
      <c r="M8" s="62" t="str">
        <f t="shared" si="5"/>
        <v>none</v>
      </c>
      <c r="N8" s="46" t="str">
        <f t="shared" si="6"/>
        <v>none</v>
      </c>
      <c r="O8" s="62" t="e">
        <f t="shared" si="7"/>
        <v>#VALUE!</v>
      </c>
      <c r="P8" s="62">
        <f t="shared" si="8"/>
        <v>4</v>
      </c>
      <c r="Q8" s="62" t="e">
        <f t="shared" si="9"/>
        <v>#VALUE!</v>
      </c>
      <c r="R8" s="62" t="e">
        <f t="shared" si="10"/>
        <v>#VALUE!</v>
      </c>
      <c r="S8" s="62" t="str">
        <f>IFERROR(VLOOKUP(MID(N8,Q8,R8-Q8),[6]skilldef!$C:$D,2,FALSE),"-") &amp; " / " &amp; IFERROR(VLOOKUP(MID(N8,O8,P8-O8),[6]skilldef!$A:$B,2,FALSE),"-")</f>
        <v>- / -</v>
      </c>
      <c r="T8" s="46" t="str">
        <f t="shared" si="11"/>
        <v>none</v>
      </c>
      <c r="U8" s="62" t="e">
        <f t="shared" si="12"/>
        <v>#VALUE!</v>
      </c>
      <c r="V8" s="62">
        <f t="shared" si="13"/>
        <v>4</v>
      </c>
      <c r="W8" s="62" t="e">
        <f t="shared" si="14"/>
        <v>#VALUE!</v>
      </c>
      <c r="X8" s="62" t="e">
        <f t="shared" si="15"/>
        <v>#VALUE!</v>
      </c>
      <c r="Y8" s="62" t="str">
        <f>IFERROR(VLOOKUP(MID(T8,W8,X8-W8),[6]skilldef!$C:$D,2,FALSE),"-") &amp; " / " &amp; IFERROR(VLOOKUP(MID(T8,U8,V8-U8),[6]skilldef!$A:$B,2,FALSE),"-")</f>
        <v>- / -</v>
      </c>
      <c r="Z8" s="48"/>
      <c r="AA8" s="50"/>
      <c r="AB8" s="48"/>
    </row>
    <row r="9" spans="1:28" ht="21" customHeight="1" thickBot="1" x14ac:dyDescent="0.2">
      <c r="A9" s="45">
        <v>65534502</v>
      </c>
      <c r="B9" s="133" t="s">
        <v>281</v>
      </c>
      <c r="C9" s="48">
        <v>1</v>
      </c>
      <c r="D9" s="48" t="s">
        <v>126</v>
      </c>
      <c r="E9" s="49" t="s">
        <v>308</v>
      </c>
      <c r="F9" s="136" t="s">
        <v>311</v>
      </c>
      <c r="G9" s="62" t="str">
        <f t="shared" si="0"/>
        <v>[effect:suicide, target:enemy_all, val:0.5, dead_type:escape, animation:enemy_suicide]</v>
      </c>
      <c r="H9" s="62">
        <f t="shared" si="1"/>
        <v>9</v>
      </c>
      <c r="I9" s="62">
        <f t="shared" si="2"/>
        <v>16</v>
      </c>
      <c r="J9" s="62">
        <f t="shared" si="3"/>
        <v>25</v>
      </c>
      <c r="K9" s="62">
        <f t="shared" si="4"/>
        <v>34</v>
      </c>
      <c r="L9" s="62"/>
      <c r="M9" s="62" t="str">
        <f t="shared" si="5"/>
        <v>none</v>
      </c>
      <c r="N9" s="46"/>
      <c r="O9" s="62"/>
      <c r="P9" s="62"/>
      <c r="Q9" s="62"/>
      <c r="R9" s="62"/>
      <c r="S9" s="62"/>
      <c r="T9" s="46" t="str">
        <f t="shared" si="11"/>
        <v>none</v>
      </c>
      <c r="U9" s="62" t="e">
        <f t="shared" si="12"/>
        <v>#VALUE!</v>
      </c>
      <c r="V9" s="62">
        <f t="shared" si="13"/>
        <v>4</v>
      </c>
      <c r="W9" s="62" t="e">
        <f t="shared" si="14"/>
        <v>#VALUE!</v>
      </c>
      <c r="X9" s="62" t="e">
        <f t="shared" si="15"/>
        <v>#VALUE!</v>
      </c>
      <c r="Y9" s="62"/>
      <c r="Z9" s="48"/>
      <c r="AA9" s="50"/>
      <c r="AB9" s="48"/>
    </row>
    <row r="10" spans="1:28" ht="21" customHeight="1" x14ac:dyDescent="0.15">
      <c r="A10" s="110">
        <v>65534800</v>
      </c>
      <c r="B10" s="129" t="s">
        <v>272</v>
      </c>
      <c r="C10" s="48">
        <v>1</v>
      </c>
      <c r="D10" s="48" t="s">
        <v>126</v>
      </c>
      <c r="E10" s="49" t="s">
        <v>291</v>
      </c>
      <c r="F10" s="128" t="s">
        <v>262</v>
      </c>
      <c r="G10" s="62" t="str">
        <f t="shared" si="0"/>
        <v>[effect:panel_freeze, target:normal, color:block_green, count:10]</v>
      </c>
      <c r="H10" s="62">
        <f t="shared" si="1"/>
        <v>9</v>
      </c>
      <c r="I10" s="62">
        <f t="shared" si="2"/>
        <v>21</v>
      </c>
      <c r="J10" s="62">
        <f t="shared" si="3"/>
        <v>30</v>
      </c>
      <c r="K10" s="62">
        <f t="shared" si="4"/>
        <v>36</v>
      </c>
      <c r="L10" s="62" t="str">
        <f>IFERROR(VLOOKUP(MID(G10,J10,K10-J10),[6]skilldef!$C:$D,2,FALSE),"-") &amp; " / " &amp; IFERROR(VLOOKUP(MID(G10,H10,I10-H10),[6]skilldef!$A:$B,2,FALSE),"-")</f>
        <v>- / -</v>
      </c>
      <c r="M10" s="62" t="str">
        <f t="shared" si="5"/>
        <v>[effect:panel_freeze, target:block_all, count:4]</v>
      </c>
      <c r="N10" s="46" t="str">
        <f t="shared" ref="N10:N17" si="16">IFERROR(LEFT(M10,FIND("],",M10)+S20),M10)</f>
        <v>[effect:panel_freeze, target:block_all, count:4]</v>
      </c>
      <c r="O10" s="62">
        <f t="shared" si="7"/>
        <v>9</v>
      </c>
      <c r="P10" s="62">
        <f t="shared" si="8"/>
        <v>21</v>
      </c>
      <c r="Q10" s="62">
        <f t="shared" si="9"/>
        <v>30</v>
      </c>
      <c r="R10" s="62">
        <f t="shared" si="10"/>
        <v>39</v>
      </c>
      <c r="S10" s="62" t="str">
        <f>IFERROR(VLOOKUP(MID(N10,Q10,R10-Q10),[6]skilldef!$C:$D,2,FALSE),"-") &amp; " / " &amp; IFERROR(VLOOKUP(MID(N10,O10,P10-O10),[6]skilldef!$A:$B,2,FALSE),"-")</f>
        <v>- / -</v>
      </c>
      <c r="T10" s="46" t="str">
        <f t="shared" si="11"/>
        <v>none</v>
      </c>
      <c r="U10" s="62" t="e">
        <f t="shared" si="12"/>
        <v>#VALUE!</v>
      </c>
      <c r="V10" s="62">
        <f t="shared" si="13"/>
        <v>4</v>
      </c>
      <c r="W10" s="62" t="e">
        <f t="shared" si="14"/>
        <v>#VALUE!</v>
      </c>
      <c r="X10" s="62" t="e">
        <f t="shared" si="15"/>
        <v>#VALUE!</v>
      </c>
      <c r="Y10" s="62" t="str">
        <f>IFERROR(VLOOKUP(MID(T10,W10,X10-W10),[6]skilldef!$C:$D,2,FALSE),"-") &amp; " / " &amp; IFERROR(VLOOKUP(MID(T10,U10,V10-U10),[6]skilldef!$A:$B,2,FALSE),"-")</f>
        <v>- / -</v>
      </c>
      <c r="Z10" s="48"/>
      <c r="AA10" s="50"/>
      <c r="AB10" s="48"/>
    </row>
    <row r="11" spans="1:28" ht="21" customHeight="1" x14ac:dyDescent="0.15">
      <c r="A11" s="45">
        <v>65534801</v>
      </c>
      <c r="B11" s="45" t="s">
        <v>277</v>
      </c>
      <c r="C11" s="48">
        <v>1</v>
      </c>
      <c r="D11" s="48" t="s">
        <v>126</v>
      </c>
      <c r="E11" s="49" t="s">
        <v>292</v>
      </c>
      <c r="F11" s="48" t="s">
        <v>278</v>
      </c>
      <c r="G11" s="62" t="str">
        <f t="shared" si="0"/>
        <v>[effect:spread, val:0.3, animation:enemy_spread]</v>
      </c>
      <c r="H11" s="62">
        <f t="shared" si="1"/>
        <v>9</v>
      </c>
      <c r="I11" s="62">
        <f t="shared" si="2"/>
        <v>15</v>
      </c>
      <c r="J11" s="62" t="e">
        <f t="shared" si="3"/>
        <v>#VALUE!</v>
      </c>
      <c r="K11" s="62">
        <f t="shared" si="4"/>
        <v>24</v>
      </c>
      <c r="L11" s="62" t="str">
        <f>IFERROR(VLOOKUP(MID(G11,J11,K11-J11),[6]skilldef!$C:$D,2,FALSE),"-") &amp; " / " &amp; IFERROR(VLOOKUP(MID(G11,H11,I11-H11),[6]skilldef!$A:$B,2,FALSE),"-")</f>
        <v>- / 全体攻撃</v>
      </c>
      <c r="M11" s="62" t="str">
        <f t="shared" si="5"/>
        <v xml:space="preserve">[effect:panel_freeze, target:crash, count:-1]    </v>
      </c>
      <c r="N11" s="46" t="str">
        <f t="shared" si="16"/>
        <v xml:space="preserve">[effect:panel_freeze, target:crash, count:-1]    </v>
      </c>
      <c r="O11" s="62">
        <f t="shared" si="7"/>
        <v>9</v>
      </c>
      <c r="P11" s="62">
        <f t="shared" si="8"/>
        <v>21</v>
      </c>
      <c r="Q11" s="62">
        <f t="shared" si="9"/>
        <v>30</v>
      </c>
      <c r="R11" s="62">
        <f t="shared" si="10"/>
        <v>35</v>
      </c>
      <c r="S11" s="62" t="str">
        <f>IFERROR(VLOOKUP(MID(N11,Q11,R11-Q11),[6]skilldef!$C:$D,2,FALSE),"-") &amp; " / " &amp; IFERROR(VLOOKUP(MID(N11,O11,P11-O11),[6]skilldef!$A:$B,2,FALSE),"-")</f>
        <v>- / -</v>
      </c>
      <c r="T11" s="46" t="str">
        <f t="shared" si="11"/>
        <v>none</v>
      </c>
      <c r="U11" s="62" t="e">
        <f t="shared" si="12"/>
        <v>#VALUE!</v>
      </c>
      <c r="V11" s="62">
        <f t="shared" si="13"/>
        <v>4</v>
      </c>
      <c r="W11" s="62" t="e">
        <f t="shared" si="14"/>
        <v>#VALUE!</v>
      </c>
      <c r="X11" s="62" t="e">
        <f t="shared" si="15"/>
        <v>#VALUE!</v>
      </c>
      <c r="Y11" s="62" t="str">
        <f>IFERROR(VLOOKUP(MID(T11,W11,X11-W11),[6]skilldef!$C:$D,2,FALSE),"-") &amp; " / " &amp; IFERROR(VLOOKUP(MID(T11,U11,V11-U11),[6]skilldef!$A:$B,2,FALSE),"-")</f>
        <v>- / -</v>
      </c>
      <c r="Z11" s="48"/>
      <c r="AA11" s="50"/>
      <c r="AB11" s="48"/>
    </row>
    <row r="12" spans="1:28" ht="21" customHeight="1" x14ac:dyDescent="0.15">
      <c r="A12" s="45">
        <v>65534802</v>
      </c>
      <c r="B12" s="129" t="s">
        <v>273</v>
      </c>
      <c r="C12" s="48">
        <v>1</v>
      </c>
      <c r="D12" s="48" t="s">
        <v>126</v>
      </c>
      <c r="E12" s="49" t="s">
        <v>293</v>
      </c>
      <c r="F12" s="48" t="s">
        <v>264</v>
      </c>
      <c r="G12" s="62" t="str">
        <f t="shared" si="0"/>
        <v>[effect:panel_freeze, target:normal, color:block_green, count:8]</v>
      </c>
      <c r="H12" s="62">
        <f t="shared" si="1"/>
        <v>9</v>
      </c>
      <c r="I12" s="62">
        <f t="shared" si="2"/>
        <v>21</v>
      </c>
      <c r="J12" s="62">
        <f t="shared" si="3"/>
        <v>30</v>
      </c>
      <c r="K12" s="62">
        <f t="shared" si="4"/>
        <v>36</v>
      </c>
      <c r="L12" s="62" t="str">
        <f>IFERROR(VLOOKUP(MID(G12,J12,K12-J12),[6]skilldef!$C:$D,2,FALSE),"-") &amp; " / " &amp; IFERROR(VLOOKUP(MID(G12,H12,I12-H12),[6]skilldef!$A:$B,2,FALSE),"-")</f>
        <v>- / -</v>
      </c>
      <c r="M12" s="62" t="str">
        <f t="shared" si="5"/>
        <v>[effect:panel_freeze, target:block_all, count:3]</v>
      </c>
      <c r="N12" s="46" t="str">
        <f t="shared" si="16"/>
        <v>[effect:panel_freeze, target:block_all, count:3]</v>
      </c>
      <c r="O12" s="62">
        <f t="shared" si="7"/>
        <v>9</v>
      </c>
      <c r="P12" s="62">
        <f t="shared" si="8"/>
        <v>21</v>
      </c>
      <c r="Q12" s="62">
        <f t="shared" si="9"/>
        <v>30</v>
      </c>
      <c r="R12" s="62">
        <f t="shared" si="10"/>
        <v>39</v>
      </c>
      <c r="S12" s="62" t="str">
        <f>IFERROR(VLOOKUP(MID(N12,Q12,R12-Q12),[6]skilldef!$C:$D,2,FALSE),"-") &amp; " / " &amp; IFERROR(VLOOKUP(MID(N12,O12,P12-O12),[6]skilldef!$A:$B,2,FALSE),"-")</f>
        <v>- / -</v>
      </c>
      <c r="T12" s="46" t="str">
        <f t="shared" si="11"/>
        <v>none</v>
      </c>
      <c r="U12" s="62" t="e">
        <f t="shared" si="12"/>
        <v>#VALUE!</v>
      </c>
      <c r="V12" s="62">
        <f t="shared" si="13"/>
        <v>4</v>
      </c>
      <c r="W12" s="62" t="e">
        <f t="shared" si="14"/>
        <v>#VALUE!</v>
      </c>
      <c r="X12" s="62" t="e">
        <f t="shared" si="15"/>
        <v>#VALUE!</v>
      </c>
      <c r="Y12" s="62" t="str">
        <f>IFERROR(VLOOKUP(MID(T12,W12,X12-W12),[6]skilldef!$C:$D,2,FALSE),"-") &amp; " / " &amp; IFERROR(VLOOKUP(MID(T12,U12,V12-U12),[6]skilldef!$A:$B,2,FALSE),"-")</f>
        <v>- / -</v>
      </c>
      <c r="Z12" s="48"/>
      <c r="AA12" s="50"/>
      <c r="AB12" s="48"/>
    </row>
    <row r="13" spans="1:28" ht="21" customHeight="1" thickBot="1" x14ac:dyDescent="0.2">
      <c r="A13" s="113">
        <v>65534803</v>
      </c>
      <c r="B13" s="129" t="s">
        <v>304</v>
      </c>
      <c r="C13" s="48">
        <v>1</v>
      </c>
      <c r="D13" s="48" t="s">
        <v>126</v>
      </c>
      <c r="E13" s="49" t="s">
        <v>294</v>
      </c>
      <c r="F13" s="127" t="s">
        <v>303</v>
      </c>
      <c r="G13" s="62" t="str">
        <f t="shared" si="0"/>
        <v>[effect:enhance_enemy, target:myself, turn:5, status:defense, val:1200, calc:add, animation:enemy_enhance_defense]</v>
      </c>
      <c r="H13" s="62">
        <f t="shared" si="1"/>
        <v>9</v>
      </c>
      <c r="I13" s="62">
        <f t="shared" si="2"/>
        <v>22</v>
      </c>
      <c r="J13" s="62">
        <f t="shared" si="3"/>
        <v>31</v>
      </c>
      <c r="K13" s="62">
        <f t="shared" si="4"/>
        <v>37</v>
      </c>
      <c r="L13" s="62" t="str">
        <f>IFERROR(VLOOKUP(MID(G13,J13,K13-J13),[6]skilldef!$C:$D,2,FALSE),"-") &amp; " / " &amp; IFERROR(VLOOKUP(MID(G13,H13,I13-H13),[6]skilldef!$A:$B,2,FALSE),"-")</f>
        <v>自分自身に / ステータス強化</v>
      </c>
      <c r="M13" s="62" t="str">
        <f t="shared" si="5"/>
        <v>[effect:panel_freeze, target:normal, color:block_red, count:-1]</v>
      </c>
      <c r="N13" s="46" t="str">
        <f t="shared" si="16"/>
        <v>[effect:panel_freeze, target:normal, color:block_red, count:-1]</v>
      </c>
      <c r="O13" s="62">
        <f t="shared" si="7"/>
        <v>9</v>
      </c>
      <c r="P13" s="62">
        <f t="shared" si="8"/>
        <v>21</v>
      </c>
      <c r="Q13" s="62">
        <f t="shared" si="9"/>
        <v>30</v>
      </c>
      <c r="R13" s="62">
        <f t="shared" si="10"/>
        <v>36</v>
      </c>
      <c r="S13" s="62" t="str">
        <f>IFERROR(VLOOKUP(MID(N13,Q13,R13-Q13),[6]skilldef!$C:$D,2,FALSE),"-") &amp; " / " &amp; IFERROR(VLOOKUP(MID(N13,O13,P13-O13),[6]skilldef!$A:$B,2,FALSE),"-")</f>
        <v>- / -</v>
      </c>
      <c r="T13" s="46" t="str">
        <f t="shared" si="11"/>
        <v>none</v>
      </c>
      <c r="U13" s="62" t="e">
        <f t="shared" si="12"/>
        <v>#VALUE!</v>
      </c>
      <c r="V13" s="62">
        <f t="shared" si="13"/>
        <v>4</v>
      </c>
      <c r="W13" s="62" t="e">
        <f t="shared" si="14"/>
        <v>#VALUE!</v>
      </c>
      <c r="X13" s="62" t="e">
        <f t="shared" si="15"/>
        <v>#VALUE!</v>
      </c>
      <c r="Y13" s="62" t="str">
        <f>IFERROR(VLOOKUP(MID(T13,W13,X13-W13),[6]skilldef!$C:$D,2,FALSE),"-") &amp; " / " &amp; IFERROR(VLOOKUP(MID(T13,U13,V13-U13),[6]skilldef!$A:$B,2,FALSE),"-")</f>
        <v>- / -</v>
      </c>
      <c r="Z13" s="48"/>
      <c r="AA13" s="50"/>
      <c r="AB13" s="48"/>
    </row>
    <row r="14" spans="1:28" ht="21" customHeight="1" x14ac:dyDescent="0.15">
      <c r="A14" s="108">
        <v>65534910</v>
      </c>
      <c r="B14" s="129" t="s">
        <v>274</v>
      </c>
      <c r="C14" s="48">
        <v>1</v>
      </c>
      <c r="D14" s="48" t="s">
        <v>126</v>
      </c>
      <c r="E14" s="49" t="s">
        <v>295</v>
      </c>
      <c r="F14" s="128" t="s">
        <v>265</v>
      </c>
      <c r="G14" s="62" t="str">
        <f t="shared" si="0"/>
        <v>[effect:force_change_block, new_block:block_green, target:block_red, ignore01:crash, count:0, val:0, animation:change_block]</v>
      </c>
      <c r="H14" s="62">
        <f t="shared" si="1"/>
        <v>9</v>
      </c>
      <c r="I14" s="62">
        <f t="shared" si="2"/>
        <v>27</v>
      </c>
      <c r="J14" s="62">
        <f t="shared" si="3"/>
        <v>59</v>
      </c>
      <c r="K14" s="62">
        <f t="shared" si="4"/>
        <v>50</v>
      </c>
      <c r="L14" s="62" t="str">
        <f>IFERROR(VLOOKUP(MID(G14,J14,K14-J14),[6]skilldef!$C:$D,2,FALSE),"-") &amp; " / " &amp; IFERROR(VLOOKUP(MID(G14,H14,I14-H14),[6]skilldef!$A:$B,2,FALSE),"-")</f>
        <v>- / -</v>
      </c>
      <c r="M14" s="62" t="str">
        <f t="shared" si="5"/>
        <v>[effect:panel_freeze, target:normal, color:block_green, count:-1]</v>
      </c>
      <c r="N14" s="46" t="str">
        <f t="shared" si="16"/>
        <v>[effect:panel_freeze, target:normal, color:block_green, count:-1]</v>
      </c>
      <c r="O14" s="62">
        <f t="shared" si="7"/>
        <v>9</v>
      </c>
      <c r="P14" s="62">
        <f t="shared" si="8"/>
        <v>21</v>
      </c>
      <c r="Q14" s="62">
        <f t="shared" si="9"/>
        <v>30</v>
      </c>
      <c r="R14" s="62">
        <f t="shared" si="10"/>
        <v>36</v>
      </c>
      <c r="S14" s="62" t="str">
        <f>IFERROR(VLOOKUP(MID(N14,Q14,R14-Q14),[6]skilldef!$C:$D,2,FALSE),"-") &amp; " / " &amp; IFERROR(VLOOKUP(MID(N14,O14,P14-O14),[6]skilldef!$A:$B,2,FALSE),"-")</f>
        <v>- / -</v>
      </c>
      <c r="T14" s="46" t="str">
        <f t="shared" si="11"/>
        <v>none</v>
      </c>
      <c r="U14" s="62" t="e">
        <f t="shared" si="12"/>
        <v>#VALUE!</v>
      </c>
      <c r="V14" s="62">
        <f t="shared" si="13"/>
        <v>4</v>
      </c>
      <c r="W14" s="62" t="e">
        <f t="shared" si="14"/>
        <v>#VALUE!</v>
      </c>
      <c r="X14" s="62" t="e">
        <f t="shared" si="15"/>
        <v>#VALUE!</v>
      </c>
      <c r="Y14" s="62" t="str">
        <f>IFERROR(VLOOKUP(MID(T14,W14,X14-W14),[6]skilldef!$C:$D,2,FALSE),"-") &amp; " / " &amp; IFERROR(VLOOKUP(MID(T14,U14,V14-U14),[6]skilldef!$A:$B,2,FALSE),"-")</f>
        <v>- / -</v>
      </c>
      <c r="Z14" s="48"/>
      <c r="AA14" s="50"/>
      <c r="AB14" s="48"/>
    </row>
    <row r="15" spans="1:28" ht="21" customHeight="1" x14ac:dyDescent="0.15">
      <c r="A15" s="45">
        <v>65534911</v>
      </c>
      <c r="B15" s="45" t="s">
        <v>269</v>
      </c>
      <c r="C15" s="48">
        <v>1</v>
      </c>
      <c r="D15" s="48" t="s">
        <v>126</v>
      </c>
      <c r="E15" s="49" t="s">
        <v>296</v>
      </c>
      <c r="F15" s="48" t="s">
        <v>263</v>
      </c>
      <c r="G15" s="62" t="str">
        <f t="shared" si="0"/>
        <v>[effect:spread, val:0.5, animation:enemy_spread]</v>
      </c>
      <c r="H15" s="62">
        <f t="shared" si="1"/>
        <v>9</v>
      </c>
      <c r="I15" s="62">
        <f t="shared" si="2"/>
        <v>15</v>
      </c>
      <c r="J15" s="62" t="e">
        <f t="shared" si="3"/>
        <v>#VALUE!</v>
      </c>
      <c r="K15" s="62">
        <f t="shared" si="4"/>
        <v>24</v>
      </c>
      <c r="L15" s="62" t="str">
        <f>IFERROR(VLOOKUP(MID(G15,J15,K15-J15),[6]skilldef!$C:$D,2,FALSE),"-") &amp; " / " &amp; IFERROR(VLOOKUP(MID(G15,H15,I15-H15),[6]skilldef!$A:$B,2,FALSE),"-")</f>
        <v>- / 全体攻撃</v>
      </c>
      <c r="M15" s="62" t="str">
        <f t="shared" si="5"/>
        <v>none</v>
      </c>
      <c r="N15" s="46" t="str">
        <f t="shared" si="16"/>
        <v>none</v>
      </c>
      <c r="O15" s="62" t="e">
        <f t="shared" si="7"/>
        <v>#VALUE!</v>
      </c>
      <c r="P15" s="62">
        <f t="shared" si="8"/>
        <v>4</v>
      </c>
      <c r="Q15" s="62" t="e">
        <f t="shared" si="9"/>
        <v>#VALUE!</v>
      </c>
      <c r="R15" s="62" t="e">
        <f t="shared" si="10"/>
        <v>#VALUE!</v>
      </c>
      <c r="S15" s="62" t="str">
        <f>IFERROR(VLOOKUP(MID(N15,Q15,R15-Q15),[6]skilldef!$C:$D,2,FALSE),"-") &amp; " / " &amp; IFERROR(VLOOKUP(MID(N15,O15,P15-O15),[6]skilldef!$A:$B,2,FALSE),"-")</f>
        <v>- / -</v>
      </c>
      <c r="T15" s="46" t="str">
        <f t="shared" si="11"/>
        <v>none</v>
      </c>
      <c r="U15" s="62" t="e">
        <f t="shared" si="12"/>
        <v>#VALUE!</v>
      </c>
      <c r="V15" s="62">
        <f t="shared" si="13"/>
        <v>4</v>
      </c>
      <c r="W15" s="62" t="e">
        <f t="shared" si="14"/>
        <v>#VALUE!</v>
      </c>
      <c r="X15" s="62" t="e">
        <f t="shared" si="15"/>
        <v>#VALUE!</v>
      </c>
      <c r="Y15" s="62" t="str">
        <f>IFERROR(VLOOKUP(MID(T15,W15,X15-W15),[6]skilldef!$C:$D,2,FALSE),"-") &amp; " / " &amp; IFERROR(VLOOKUP(MID(T15,U15,V15-U15),[6]skilldef!$A:$B,2,FALSE),"-")</f>
        <v>- / -</v>
      </c>
      <c r="Z15" s="48"/>
      <c r="AA15" s="50"/>
      <c r="AB15" s="48"/>
    </row>
    <row r="16" spans="1:28" ht="21" customHeight="1" x14ac:dyDescent="0.15">
      <c r="A16" s="45">
        <v>65534912</v>
      </c>
      <c r="B16" s="129" t="s">
        <v>275</v>
      </c>
      <c r="C16" s="48">
        <v>1</v>
      </c>
      <c r="D16" s="48" t="s">
        <v>126</v>
      </c>
      <c r="E16" s="49" t="s">
        <v>297</v>
      </c>
      <c r="F16" s="48" t="s">
        <v>266</v>
      </c>
      <c r="G16" s="62" t="str">
        <f t="shared" si="0"/>
        <v>[effect:rush, count:1, val:1]</v>
      </c>
      <c r="H16" s="62">
        <f t="shared" si="1"/>
        <v>9</v>
      </c>
      <c r="I16" s="62">
        <f t="shared" si="2"/>
        <v>13</v>
      </c>
      <c r="J16" s="62" t="e">
        <f t="shared" si="3"/>
        <v>#VALUE!</v>
      </c>
      <c r="K16" s="62">
        <f t="shared" si="4"/>
        <v>22</v>
      </c>
      <c r="L16" s="62" t="str">
        <f>IFERROR(VLOOKUP(MID(G16,J16,K16-J16),[6]skilldef!$C:$D,2,FALSE),"-") &amp; " / " &amp; IFERROR(VLOOKUP(MID(G16,H16,I16-H16),[6]skilldef!$A:$B,2,FALSE),"-")</f>
        <v>- / 連続攻撃</v>
      </c>
      <c r="M16" s="62" t="str">
        <f t="shared" si="5"/>
        <v>[effect:panel_freeze, target:normal, color:block_green, count:3]</v>
      </c>
      <c r="N16" s="46" t="str">
        <f t="shared" si="16"/>
        <v>[effect:panel_freeze, target:normal, color:block_green, count:3]</v>
      </c>
      <c r="O16" s="62">
        <f t="shared" si="7"/>
        <v>9</v>
      </c>
      <c r="P16" s="62">
        <f t="shared" si="8"/>
        <v>21</v>
      </c>
      <c r="Q16" s="62">
        <f t="shared" si="9"/>
        <v>30</v>
      </c>
      <c r="R16" s="62">
        <f t="shared" si="10"/>
        <v>36</v>
      </c>
      <c r="S16" s="62" t="str">
        <f>IFERROR(VLOOKUP(MID(N16,Q16,R16-Q16),[6]skilldef!$C:$D,2,FALSE),"-") &amp; " / " &amp; IFERROR(VLOOKUP(MID(N16,O16,P16-O16),[6]skilldef!$A:$B,2,FALSE),"-")</f>
        <v>- / -</v>
      </c>
      <c r="T16" s="46" t="str">
        <f t="shared" si="11"/>
        <v>none</v>
      </c>
      <c r="U16" s="62" t="e">
        <f t="shared" si="12"/>
        <v>#VALUE!</v>
      </c>
      <c r="V16" s="62">
        <f t="shared" si="13"/>
        <v>4</v>
      </c>
      <c r="W16" s="62" t="e">
        <f t="shared" si="14"/>
        <v>#VALUE!</v>
      </c>
      <c r="X16" s="62" t="e">
        <f t="shared" si="15"/>
        <v>#VALUE!</v>
      </c>
      <c r="Y16" s="62" t="str">
        <f>IFERROR(VLOOKUP(MID(T16,W16,X16-W16),[6]skilldef!$C:$D,2,FALSE),"-") &amp; " / " &amp; IFERROR(VLOOKUP(MID(T16,U16,V16-U16),[6]skilldef!$A:$B,2,FALSE),"-")</f>
        <v>- / -</v>
      </c>
      <c r="Z16" s="48"/>
      <c r="AA16" s="50"/>
      <c r="AB16" s="48"/>
    </row>
    <row r="17" spans="1:28" ht="21" customHeight="1" x14ac:dyDescent="0.15">
      <c r="A17" s="45">
        <v>65534913</v>
      </c>
      <c r="B17" s="129" t="s">
        <v>309</v>
      </c>
      <c r="C17" s="48">
        <v>1</v>
      </c>
      <c r="D17" s="48" t="s">
        <v>126</v>
      </c>
      <c r="E17" s="49" t="s">
        <v>298</v>
      </c>
      <c r="F17" s="48" t="s">
        <v>267</v>
      </c>
      <c r="G17" s="62" t="str">
        <f t="shared" si="0"/>
        <v>[effect:break_attack_fix, target:unit_all, val:250, lowest_val:300, count:20, block01:block_green]</v>
      </c>
      <c r="H17" s="62">
        <f t="shared" si="1"/>
        <v>9</v>
      </c>
      <c r="I17" s="62">
        <f t="shared" si="2"/>
        <v>25</v>
      </c>
      <c r="J17" s="62">
        <f t="shared" si="3"/>
        <v>34</v>
      </c>
      <c r="K17" s="62">
        <f t="shared" si="4"/>
        <v>42</v>
      </c>
      <c r="L17" s="62" t="str">
        <f>IFERROR(VLOOKUP(MID(G17,J17,K17-J17),[6]skilldef!$C:$D,2,FALSE),"-") &amp; " / " &amp; IFERROR(VLOOKUP(MID(G17,H17,I17-H17),[6]skilldef!$A:$B,2,FALSE),"-")</f>
        <v>味方全体に / -</v>
      </c>
      <c r="M17" s="62" t="str">
        <f t="shared" si="5"/>
        <v>none</v>
      </c>
      <c r="N17" s="46" t="str">
        <f t="shared" si="16"/>
        <v>none</v>
      </c>
      <c r="O17" s="62" t="e">
        <f t="shared" si="7"/>
        <v>#VALUE!</v>
      </c>
      <c r="P17" s="62">
        <f t="shared" si="8"/>
        <v>4</v>
      </c>
      <c r="Q17" s="62" t="e">
        <f t="shared" si="9"/>
        <v>#VALUE!</v>
      </c>
      <c r="R17" s="62" t="e">
        <f t="shared" si="10"/>
        <v>#VALUE!</v>
      </c>
      <c r="S17" s="62" t="str">
        <f>IFERROR(VLOOKUP(MID(N17,Q17,R17-Q17),[6]skilldef!$C:$D,2,FALSE),"-") &amp; " / " &amp; IFERROR(VLOOKUP(MID(N17,O17,P17-O17),[6]skilldef!$A:$B,2,FALSE),"-")</f>
        <v>- / -</v>
      </c>
      <c r="T17" s="46" t="str">
        <f t="shared" si="11"/>
        <v>none</v>
      </c>
      <c r="U17" s="62" t="e">
        <f t="shared" si="12"/>
        <v>#VALUE!</v>
      </c>
      <c r="V17" s="62">
        <f t="shared" si="13"/>
        <v>4</v>
      </c>
      <c r="W17" s="62" t="e">
        <f t="shared" si="14"/>
        <v>#VALUE!</v>
      </c>
      <c r="X17" s="62" t="e">
        <f t="shared" si="15"/>
        <v>#VALUE!</v>
      </c>
      <c r="Y17" s="62" t="str">
        <f>IFERROR(VLOOKUP(MID(T17,W17,X17-W17),[6]skilldef!$C:$D,2,FALSE),"-") &amp; " / " &amp; IFERROR(VLOOKUP(MID(T17,U17,V17-U17),[6]skilldef!$A:$B,2,FALSE),"-")</f>
        <v>- / -</v>
      </c>
      <c r="Z17" s="48"/>
      <c r="AA17" s="50"/>
      <c r="AB17" s="48"/>
    </row>
    <row r="20" spans="1:28" ht="21" customHeight="1" x14ac:dyDescent="0.15">
      <c r="B20" s="129"/>
    </row>
    <row r="22" spans="1:28" ht="21" customHeight="1" x14ac:dyDescent="0.15">
      <c r="B22" s="129"/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17"/>
  <sheetViews>
    <sheetView showGridLines="0" workbookViewId="0">
      <pane ySplit="1" topLeftCell="A2" activePane="bottomLeft" state="frozenSplit"/>
      <selection pane="bottomLeft" activeCell="M7" sqref="M7"/>
    </sheetView>
  </sheetViews>
  <sheetFormatPr baseColWidth="12" defaultColWidth="12.83203125" defaultRowHeight="21" customHeight="1" x14ac:dyDescent="0.15"/>
  <cols>
    <col min="1" max="1" width="16.1640625" style="47" bestFit="1" customWidth="1"/>
    <col min="2" max="2" width="13.33203125" style="47" bestFit="1" customWidth="1"/>
    <col min="3" max="3" width="11.83203125" style="47" bestFit="1" customWidth="1"/>
    <col min="4" max="4" width="14.6640625" style="47" bestFit="1" customWidth="1"/>
    <col min="5" max="5" width="15.6640625" style="47" bestFit="1" customWidth="1"/>
    <col min="6" max="6" width="17" style="47" bestFit="1" customWidth="1"/>
    <col min="7" max="7" width="15.6640625" style="47" bestFit="1" customWidth="1"/>
    <col min="8" max="9" width="14.6640625" style="47" customWidth="1"/>
    <col min="10" max="10" width="14.6640625" style="47" bestFit="1" customWidth="1"/>
    <col min="11" max="11" width="22.83203125" style="39" bestFit="1" customWidth="1"/>
    <col min="12" max="16384" width="12.83203125" style="44"/>
  </cols>
  <sheetData>
    <row r="1" spans="1:11" ht="21" customHeight="1" thickBot="1" x14ac:dyDescent="0.2">
      <c r="A1" s="42" t="s">
        <v>84</v>
      </c>
      <c r="B1" s="42" t="s">
        <v>85</v>
      </c>
      <c r="C1" s="42" t="s">
        <v>86</v>
      </c>
      <c r="D1" s="42" t="s">
        <v>87</v>
      </c>
      <c r="E1" s="42" t="s">
        <v>70</v>
      </c>
      <c r="F1" s="51" t="s">
        <v>71</v>
      </c>
      <c r="G1" s="51" t="s">
        <v>72</v>
      </c>
      <c r="H1" s="42" t="s">
        <v>73</v>
      </c>
      <c r="I1" s="42" t="s">
        <v>74</v>
      </c>
      <c r="J1" s="42" t="s">
        <v>75</v>
      </c>
      <c r="K1" s="52" t="s">
        <v>88</v>
      </c>
    </row>
    <row r="2" spans="1:11" ht="21" customHeight="1" x14ac:dyDescent="0.15">
      <c r="A2" s="110">
        <v>65534300</v>
      </c>
      <c r="B2" s="45">
        <v>1</v>
      </c>
      <c r="C2" s="45">
        <v>50</v>
      </c>
      <c r="D2" s="45">
        <v>150</v>
      </c>
      <c r="E2" s="45" t="s">
        <v>257</v>
      </c>
      <c r="F2" s="45" t="s">
        <v>53</v>
      </c>
      <c r="G2" s="45">
        <v>1</v>
      </c>
      <c r="H2" s="45" t="s">
        <v>53</v>
      </c>
      <c r="I2" s="45" t="s">
        <v>53</v>
      </c>
      <c r="J2" s="46">
        <f t="shared" ref="J2:J17" si="0">D2</f>
        <v>150</v>
      </c>
    </row>
    <row r="3" spans="1:11" ht="21" customHeight="1" x14ac:dyDescent="0.15">
      <c r="A3" s="45">
        <v>65534401</v>
      </c>
      <c r="B3" s="45">
        <v>0</v>
      </c>
      <c r="C3" s="45" t="s">
        <v>53</v>
      </c>
      <c r="D3" s="45">
        <v>100</v>
      </c>
      <c r="E3" s="45" t="s">
        <v>257</v>
      </c>
      <c r="F3" s="45" t="s">
        <v>53</v>
      </c>
      <c r="G3" s="45" t="s">
        <v>257</v>
      </c>
      <c r="H3" s="45" t="s">
        <v>53</v>
      </c>
      <c r="I3" s="45" t="s">
        <v>53</v>
      </c>
      <c r="J3" s="46">
        <f t="shared" si="0"/>
        <v>100</v>
      </c>
    </row>
    <row r="4" spans="1:11" ht="21" customHeight="1" thickBot="1" x14ac:dyDescent="0.2">
      <c r="A4" s="113">
        <v>65534402</v>
      </c>
      <c r="B4" s="45">
        <v>0</v>
      </c>
      <c r="C4" s="45">
        <v>80</v>
      </c>
      <c r="D4" s="45">
        <v>100</v>
      </c>
      <c r="E4" s="45">
        <v>50</v>
      </c>
      <c r="F4" s="45" t="s">
        <v>53</v>
      </c>
      <c r="G4" s="45">
        <v>1</v>
      </c>
      <c r="H4" s="45">
        <v>1</v>
      </c>
      <c r="I4" s="45" t="s">
        <v>53</v>
      </c>
      <c r="J4" s="46">
        <f t="shared" si="0"/>
        <v>100</v>
      </c>
    </row>
    <row r="5" spans="1:11" ht="21" customHeight="1" x14ac:dyDescent="0.15">
      <c r="A5" s="110">
        <v>65534500</v>
      </c>
      <c r="B5" s="45">
        <v>0</v>
      </c>
      <c r="C5" s="45" t="s">
        <v>53</v>
      </c>
      <c r="D5" s="45">
        <v>100</v>
      </c>
      <c r="E5" s="45" t="s">
        <v>257</v>
      </c>
      <c r="F5" s="45" t="s">
        <v>53</v>
      </c>
      <c r="G5" s="45" t="s">
        <v>168</v>
      </c>
      <c r="H5" s="45" t="s">
        <v>53</v>
      </c>
      <c r="I5" s="45" t="s">
        <v>53</v>
      </c>
      <c r="J5" s="46">
        <f t="shared" si="0"/>
        <v>100</v>
      </c>
    </row>
    <row r="6" spans="1:11" ht="21" customHeight="1" x14ac:dyDescent="0.15">
      <c r="A6" s="45">
        <v>65534501</v>
      </c>
      <c r="B6" s="45">
        <v>0</v>
      </c>
      <c r="C6" s="45" t="s">
        <v>53</v>
      </c>
      <c r="D6" s="45">
        <v>100</v>
      </c>
      <c r="E6" s="45" t="s">
        <v>257</v>
      </c>
      <c r="F6" s="45" t="s">
        <v>53</v>
      </c>
      <c r="G6" s="45" t="s">
        <v>168</v>
      </c>
      <c r="H6" s="45" t="s">
        <v>53</v>
      </c>
      <c r="I6" s="45" t="s">
        <v>53</v>
      </c>
      <c r="J6" s="46">
        <f t="shared" si="0"/>
        <v>100</v>
      </c>
    </row>
    <row r="7" spans="1:11" ht="21" customHeight="1" x14ac:dyDescent="0.15">
      <c r="A7" s="45">
        <v>65534700</v>
      </c>
      <c r="B7" s="45">
        <v>1</v>
      </c>
      <c r="C7" s="45">
        <v>50</v>
      </c>
      <c r="D7" s="45">
        <v>100</v>
      </c>
      <c r="E7" s="45" t="s">
        <v>257</v>
      </c>
      <c r="F7" s="45" t="s">
        <v>53</v>
      </c>
      <c r="G7" s="45">
        <v>1</v>
      </c>
      <c r="H7" s="45" t="s">
        <v>168</v>
      </c>
      <c r="I7" s="45" t="s">
        <v>53</v>
      </c>
      <c r="J7" s="46">
        <f t="shared" si="0"/>
        <v>100</v>
      </c>
    </row>
    <row r="8" spans="1:11" ht="21" customHeight="1" thickBot="1" x14ac:dyDescent="0.2">
      <c r="A8" s="113">
        <v>65534701</v>
      </c>
      <c r="B8" s="45">
        <v>0</v>
      </c>
      <c r="C8" s="45" t="s">
        <v>53</v>
      </c>
      <c r="D8" s="45">
        <v>100</v>
      </c>
      <c r="E8" s="45" t="s">
        <v>257</v>
      </c>
      <c r="F8" s="45" t="s">
        <v>53</v>
      </c>
      <c r="G8" s="45">
        <v>2</v>
      </c>
      <c r="H8" s="45">
        <v>2</v>
      </c>
      <c r="I8" s="45" t="s">
        <v>53</v>
      </c>
      <c r="J8" s="46">
        <f t="shared" si="0"/>
        <v>100</v>
      </c>
    </row>
    <row r="9" spans="1:11" ht="21" customHeight="1" thickBot="1" x14ac:dyDescent="0.2">
      <c r="A9" s="45">
        <v>65534502</v>
      </c>
      <c r="B9" s="45">
        <v>0</v>
      </c>
      <c r="C9" s="45">
        <v>100</v>
      </c>
      <c r="D9" s="45">
        <v>100</v>
      </c>
      <c r="E9" s="45" t="s">
        <v>53</v>
      </c>
      <c r="F9" s="45" t="s">
        <v>53</v>
      </c>
      <c r="G9" s="45" t="s">
        <v>53</v>
      </c>
      <c r="H9" s="45" t="s">
        <v>53</v>
      </c>
      <c r="I9" s="20">
        <v>476</v>
      </c>
      <c r="J9" s="46">
        <f t="shared" si="0"/>
        <v>100</v>
      </c>
    </row>
    <row r="10" spans="1:11" ht="21" customHeight="1" x14ac:dyDescent="0.15">
      <c r="A10" s="110">
        <v>65534800</v>
      </c>
      <c r="B10" s="45">
        <v>1</v>
      </c>
      <c r="C10" s="45">
        <v>100</v>
      </c>
      <c r="D10" s="45">
        <v>100</v>
      </c>
      <c r="E10" s="45" t="s">
        <v>257</v>
      </c>
      <c r="F10" s="45" t="s">
        <v>53</v>
      </c>
      <c r="G10" s="45">
        <v>1</v>
      </c>
      <c r="H10" s="45" t="s">
        <v>53</v>
      </c>
      <c r="I10" s="45" t="s">
        <v>53</v>
      </c>
      <c r="J10" s="46">
        <f t="shared" si="0"/>
        <v>100</v>
      </c>
    </row>
    <row r="11" spans="1:11" ht="21" customHeight="1" x14ac:dyDescent="0.15">
      <c r="A11" s="45">
        <v>65534801</v>
      </c>
      <c r="B11" s="45">
        <v>0</v>
      </c>
      <c r="C11" s="45" t="s">
        <v>53</v>
      </c>
      <c r="D11" s="45">
        <v>100</v>
      </c>
      <c r="E11" s="45" t="s">
        <v>257</v>
      </c>
      <c r="F11" s="45" t="s">
        <v>53</v>
      </c>
      <c r="G11" s="45" t="s">
        <v>257</v>
      </c>
      <c r="H11" s="45">
        <v>2</v>
      </c>
      <c r="I11" s="45" t="s">
        <v>53</v>
      </c>
      <c r="J11" s="46">
        <f t="shared" si="0"/>
        <v>100</v>
      </c>
    </row>
    <row r="12" spans="1:11" ht="21" customHeight="1" x14ac:dyDescent="0.15">
      <c r="A12" s="45">
        <v>65534802</v>
      </c>
      <c r="B12" s="45">
        <v>0</v>
      </c>
      <c r="C12" s="45" t="s">
        <v>53</v>
      </c>
      <c r="D12" s="45">
        <v>60</v>
      </c>
      <c r="E12" s="45" t="s">
        <v>257</v>
      </c>
      <c r="F12" s="45" t="s">
        <v>53</v>
      </c>
      <c r="G12" s="45" t="s">
        <v>257</v>
      </c>
      <c r="H12" s="45" t="s">
        <v>53</v>
      </c>
      <c r="I12" s="45" t="s">
        <v>53</v>
      </c>
      <c r="J12" s="46">
        <f t="shared" si="0"/>
        <v>60</v>
      </c>
    </row>
    <row r="13" spans="1:11" ht="21" customHeight="1" thickBot="1" x14ac:dyDescent="0.2">
      <c r="A13" s="113">
        <v>65534803</v>
      </c>
      <c r="B13" s="45">
        <v>0</v>
      </c>
      <c r="C13" s="45">
        <v>300</v>
      </c>
      <c r="D13" s="45">
        <v>100</v>
      </c>
      <c r="E13" s="45">
        <v>50</v>
      </c>
      <c r="F13" s="45" t="s">
        <v>53</v>
      </c>
      <c r="G13" s="45">
        <v>1</v>
      </c>
      <c r="H13" s="45">
        <v>1</v>
      </c>
      <c r="I13" s="45" t="s">
        <v>53</v>
      </c>
      <c r="J13" s="46">
        <f t="shared" si="0"/>
        <v>100</v>
      </c>
    </row>
    <row r="14" spans="1:11" ht="21" customHeight="1" x14ac:dyDescent="0.15">
      <c r="A14" s="132">
        <v>65534910</v>
      </c>
      <c r="B14" s="45">
        <v>1</v>
      </c>
      <c r="C14" s="45">
        <v>50</v>
      </c>
      <c r="D14" s="45">
        <v>100</v>
      </c>
      <c r="E14" s="45" t="s">
        <v>257</v>
      </c>
      <c r="F14" s="45" t="s">
        <v>53</v>
      </c>
      <c r="G14" s="45">
        <v>1</v>
      </c>
      <c r="H14" s="45" t="s">
        <v>53</v>
      </c>
      <c r="I14" s="45" t="s">
        <v>53</v>
      </c>
      <c r="J14" s="46">
        <f t="shared" si="0"/>
        <v>100</v>
      </c>
    </row>
    <row r="15" spans="1:11" ht="21" customHeight="1" x14ac:dyDescent="0.15">
      <c r="A15" s="132">
        <v>65534911</v>
      </c>
      <c r="B15" s="45">
        <v>0</v>
      </c>
      <c r="C15" s="45" t="s">
        <v>53</v>
      </c>
      <c r="D15" s="45">
        <v>65</v>
      </c>
      <c r="E15" s="45" t="s">
        <v>257</v>
      </c>
      <c r="F15" s="45" t="s">
        <v>53</v>
      </c>
      <c r="G15" s="45" t="s">
        <v>257</v>
      </c>
      <c r="H15" s="45" t="s">
        <v>53</v>
      </c>
      <c r="I15" s="45" t="s">
        <v>53</v>
      </c>
      <c r="J15" s="46">
        <f t="shared" si="0"/>
        <v>65</v>
      </c>
    </row>
    <row r="16" spans="1:11" ht="21" customHeight="1" x14ac:dyDescent="0.15">
      <c r="A16" s="132">
        <v>65534912</v>
      </c>
      <c r="B16" s="45">
        <v>0</v>
      </c>
      <c r="C16" s="45" t="s">
        <v>53</v>
      </c>
      <c r="D16" s="45">
        <v>100</v>
      </c>
      <c r="E16" s="45" t="s">
        <v>257</v>
      </c>
      <c r="F16" s="45" t="s">
        <v>53</v>
      </c>
      <c r="G16" s="45" t="s">
        <v>257</v>
      </c>
      <c r="H16" s="45" t="s">
        <v>53</v>
      </c>
      <c r="I16" s="45" t="s">
        <v>53</v>
      </c>
      <c r="J16" s="46">
        <f t="shared" si="0"/>
        <v>100</v>
      </c>
    </row>
    <row r="17" spans="1:10" ht="21" customHeight="1" x14ac:dyDescent="0.15">
      <c r="A17" s="132">
        <v>65534913</v>
      </c>
      <c r="B17" s="45">
        <v>0</v>
      </c>
      <c r="C17" s="45">
        <v>100</v>
      </c>
      <c r="D17" s="45">
        <v>100</v>
      </c>
      <c r="E17" s="45">
        <v>30</v>
      </c>
      <c r="F17" s="45" t="s">
        <v>53</v>
      </c>
      <c r="G17" s="45">
        <v>1</v>
      </c>
      <c r="H17" s="45">
        <v>1</v>
      </c>
      <c r="I17" s="45" t="s">
        <v>53</v>
      </c>
      <c r="J17" s="46">
        <f t="shared" si="0"/>
        <v>100</v>
      </c>
    </row>
  </sheetData>
  <autoFilter ref="A1:G1"/>
  <phoneticPr fontId="5"/>
  <conditionalFormatting sqref="K18:K1048576 K1">
    <cfRule type="duplicateValues" dxfId="1" priority="2"/>
  </conditionalFormatting>
  <conditionalFormatting sqref="K2:K17">
    <cfRule type="duplicateValues" dxfId="0" priority="4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R12"/>
  <sheetViews>
    <sheetView workbookViewId="0">
      <selection activeCell="O20" sqref="O20"/>
    </sheetView>
  </sheetViews>
  <sheetFormatPr baseColWidth="12" defaultRowHeight="15" x14ac:dyDescent="0.15"/>
  <cols>
    <col min="17" max="18" width="19" bestFit="1" customWidth="1"/>
  </cols>
  <sheetData>
    <row r="1" spans="1:18" x14ac:dyDescent="0.15">
      <c r="A1" s="63" t="s">
        <v>149</v>
      </c>
      <c r="B1" s="63" t="s">
        <v>150</v>
      </c>
      <c r="C1" s="64" t="s">
        <v>151</v>
      </c>
      <c r="D1" s="71" t="s">
        <v>152</v>
      </c>
      <c r="E1" s="65" t="s">
        <v>153</v>
      </c>
      <c r="F1" s="63" t="s">
        <v>154</v>
      </c>
      <c r="G1" s="63" t="s">
        <v>155</v>
      </c>
      <c r="H1" s="63" t="s">
        <v>156</v>
      </c>
      <c r="I1" s="63" t="s">
        <v>157</v>
      </c>
      <c r="J1" s="63" t="s">
        <v>158</v>
      </c>
      <c r="K1" s="63" t="s">
        <v>159</v>
      </c>
      <c r="L1" s="63" t="s">
        <v>160</v>
      </c>
      <c r="M1" s="63" t="s">
        <v>161</v>
      </c>
      <c r="N1" s="63" t="s">
        <v>162</v>
      </c>
      <c r="O1" s="63" t="s">
        <v>163</v>
      </c>
      <c r="P1" s="63" t="s">
        <v>164</v>
      </c>
      <c r="Q1" s="63" t="s">
        <v>165</v>
      </c>
      <c r="R1" s="63" t="s">
        <v>166</v>
      </c>
    </row>
    <row r="2" spans="1:18" x14ac:dyDescent="0.15">
      <c r="A2" s="55">
        <f>floors!C2</f>
        <v>65534</v>
      </c>
      <c r="B2" s="55">
        <v>1</v>
      </c>
      <c r="C2" s="70" t="str">
        <f t="shared" ref="C2:C12" si="0">A2&amp; "_"&amp;B2</f>
        <v>65534_1</v>
      </c>
      <c r="D2" s="11" t="str">
        <f ca="1">VLOOKUP($C2,OFFSET([2]stages!$A$1,0,0,COUNTA([2]stages!$A:$A),MATCH(D$1,[2]stages!$2:$2,0)-MATCH($C$1,[2]stages!$2:$2,0)+1),MATCH(D$1,[2]stages!$2:$2,0)-MATCH($C$1,[2]stages!$2:$2,0)+1,FALSE)</f>
        <v>everyone</v>
      </c>
      <c r="E2" s="55">
        <v>1</v>
      </c>
      <c r="F2" s="55" t="s">
        <v>167</v>
      </c>
      <c r="G2" s="55">
        <v>6500</v>
      </c>
      <c r="H2" s="55" t="s">
        <v>168</v>
      </c>
      <c r="I2" s="55">
        <v>1</v>
      </c>
      <c r="J2" s="55">
        <v>1</v>
      </c>
      <c r="K2" s="55">
        <v>0</v>
      </c>
      <c r="L2" s="55">
        <v>0</v>
      </c>
      <c r="M2" s="55">
        <v>0</v>
      </c>
      <c r="N2" s="55">
        <v>0</v>
      </c>
      <c r="O2" s="55">
        <v>1</v>
      </c>
      <c r="P2" s="55">
        <v>150</v>
      </c>
      <c r="Q2" s="55" t="s">
        <v>169</v>
      </c>
      <c r="R2" s="55" t="s">
        <v>170</v>
      </c>
    </row>
    <row r="3" spans="1:18" x14ac:dyDescent="0.15">
      <c r="A3" s="55">
        <f>floors!C3</f>
        <v>65534</v>
      </c>
      <c r="B3" s="55">
        <v>1</v>
      </c>
      <c r="C3" s="70" t="str">
        <f t="shared" si="0"/>
        <v>65534_1</v>
      </c>
      <c r="D3" s="11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5">
        <v>2</v>
      </c>
      <c r="F3" s="55" t="s">
        <v>299</v>
      </c>
      <c r="G3" s="55">
        <v>25</v>
      </c>
      <c r="H3" s="55" t="s">
        <v>168</v>
      </c>
      <c r="I3" s="55">
        <v>1</v>
      </c>
      <c r="J3" s="55">
        <v>1</v>
      </c>
      <c r="K3" s="55">
        <v>0</v>
      </c>
      <c r="L3" s="55">
        <v>0</v>
      </c>
      <c r="M3" s="55">
        <v>0</v>
      </c>
      <c r="N3" s="55">
        <v>0</v>
      </c>
      <c r="O3" s="55">
        <v>1</v>
      </c>
      <c r="P3" s="55">
        <v>150</v>
      </c>
      <c r="Q3" s="55" t="s">
        <v>169</v>
      </c>
      <c r="R3" s="55" t="s">
        <v>170</v>
      </c>
    </row>
    <row r="4" spans="1:18" x14ac:dyDescent="0.15">
      <c r="A4" s="55">
        <f>floors!C4</f>
        <v>65534</v>
      </c>
      <c r="B4" s="55">
        <v>1</v>
      </c>
      <c r="C4" s="70" t="str">
        <f t="shared" si="0"/>
        <v>65534_1</v>
      </c>
      <c r="D4" s="11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5">
        <v>3</v>
      </c>
      <c r="F4" s="55" t="s">
        <v>300</v>
      </c>
      <c r="G4" s="55">
        <v>1324</v>
      </c>
      <c r="H4" s="55">
        <v>1</v>
      </c>
      <c r="I4" s="55">
        <v>1</v>
      </c>
      <c r="J4" s="55">
        <v>1</v>
      </c>
      <c r="K4" s="55">
        <v>0</v>
      </c>
      <c r="L4" s="55">
        <v>0</v>
      </c>
      <c r="M4" s="55">
        <v>0</v>
      </c>
      <c r="N4" s="55">
        <v>0</v>
      </c>
      <c r="O4" s="55">
        <v>1</v>
      </c>
      <c r="P4" s="55">
        <v>250</v>
      </c>
      <c r="Q4" s="55" t="s">
        <v>169</v>
      </c>
      <c r="R4" s="55" t="s">
        <v>170</v>
      </c>
    </row>
    <row r="5" spans="1:18" x14ac:dyDescent="0.15">
      <c r="A5" s="55">
        <f>floors!C5</f>
        <v>65534</v>
      </c>
      <c r="B5" s="55">
        <v>1</v>
      </c>
      <c r="C5" s="70" t="str">
        <f t="shared" si="0"/>
        <v>65534_1</v>
      </c>
      <c r="D5" s="11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5">
        <v>4</v>
      </c>
      <c r="F5" s="55" t="s">
        <v>300</v>
      </c>
      <c r="G5" s="137">
        <v>336</v>
      </c>
      <c r="H5" s="55">
        <v>1</v>
      </c>
      <c r="I5" s="55">
        <v>1</v>
      </c>
      <c r="J5" s="55">
        <v>1</v>
      </c>
      <c r="K5" s="55">
        <v>0</v>
      </c>
      <c r="L5" s="55">
        <v>0</v>
      </c>
      <c r="M5" s="55">
        <v>0</v>
      </c>
      <c r="N5" s="55">
        <v>0</v>
      </c>
      <c r="O5" s="55">
        <v>1</v>
      </c>
      <c r="P5" s="55">
        <v>28</v>
      </c>
      <c r="Q5" s="55" t="s">
        <v>169</v>
      </c>
      <c r="R5" s="55" t="s">
        <v>170</v>
      </c>
    </row>
    <row r="6" spans="1:18" x14ac:dyDescent="0.15">
      <c r="A6" s="55">
        <v>65534</v>
      </c>
      <c r="B6" s="55">
        <v>1</v>
      </c>
      <c r="C6" s="70" t="str">
        <f t="shared" si="0"/>
        <v>65534_1</v>
      </c>
      <c r="D6" s="11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5">
        <v>5</v>
      </c>
      <c r="F6" s="55" t="s">
        <v>300</v>
      </c>
      <c r="G6" s="137">
        <v>337</v>
      </c>
      <c r="H6" s="55">
        <v>1</v>
      </c>
      <c r="I6" s="55">
        <v>1</v>
      </c>
      <c r="J6" s="55">
        <v>1</v>
      </c>
      <c r="K6" s="55">
        <v>0</v>
      </c>
      <c r="L6" s="55">
        <v>0</v>
      </c>
      <c r="M6" s="55">
        <v>0</v>
      </c>
      <c r="N6" s="55">
        <v>0</v>
      </c>
      <c r="O6" s="55">
        <v>1</v>
      </c>
      <c r="P6" s="55">
        <v>56</v>
      </c>
      <c r="Q6" s="55" t="s">
        <v>169</v>
      </c>
      <c r="R6" s="55" t="s">
        <v>170</v>
      </c>
    </row>
    <row r="7" spans="1:18" x14ac:dyDescent="0.15">
      <c r="A7" s="55">
        <v>65534</v>
      </c>
      <c r="B7" s="55">
        <v>1</v>
      </c>
      <c r="C7" s="70" t="str">
        <f t="shared" si="0"/>
        <v>65534_1</v>
      </c>
      <c r="D7" s="11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5">
        <v>6</v>
      </c>
      <c r="F7" s="55" t="s">
        <v>300</v>
      </c>
      <c r="G7" s="137">
        <v>338</v>
      </c>
      <c r="H7" s="55">
        <v>1</v>
      </c>
      <c r="I7" s="55">
        <v>1</v>
      </c>
      <c r="J7" s="55">
        <v>1</v>
      </c>
      <c r="K7" s="55">
        <v>0</v>
      </c>
      <c r="L7" s="55">
        <v>0</v>
      </c>
      <c r="M7" s="55">
        <v>0</v>
      </c>
      <c r="N7" s="55">
        <v>0</v>
      </c>
      <c r="O7" s="55">
        <v>1</v>
      </c>
      <c r="P7" s="55">
        <v>56</v>
      </c>
      <c r="Q7" s="55" t="s">
        <v>169</v>
      </c>
      <c r="R7" s="55" t="s">
        <v>170</v>
      </c>
    </row>
    <row r="8" spans="1:18" x14ac:dyDescent="0.15">
      <c r="A8" s="55">
        <v>65534</v>
      </c>
      <c r="B8" s="55">
        <v>1</v>
      </c>
      <c r="C8" s="70" t="str">
        <f t="shared" si="0"/>
        <v>65534_1</v>
      </c>
      <c r="D8" s="11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5">
        <v>7</v>
      </c>
      <c r="F8" s="55" t="s">
        <v>300</v>
      </c>
      <c r="G8" s="55">
        <v>350</v>
      </c>
      <c r="H8" s="55">
        <v>1</v>
      </c>
      <c r="I8" s="55">
        <v>1</v>
      </c>
      <c r="J8" s="55">
        <v>1</v>
      </c>
      <c r="K8" s="55">
        <v>0</v>
      </c>
      <c r="L8" s="55">
        <v>0</v>
      </c>
      <c r="M8" s="55">
        <v>0</v>
      </c>
      <c r="N8" s="55">
        <v>0</v>
      </c>
      <c r="O8" s="55">
        <v>1</v>
      </c>
      <c r="P8" s="55">
        <v>150</v>
      </c>
      <c r="Q8" s="55" t="s">
        <v>169</v>
      </c>
      <c r="R8" s="55" t="s">
        <v>170</v>
      </c>
    </row>
    <row r="9" spans="1:18" x14ac:dyDescent="0.15">
      <c r="A9" s="55">
        <v>65534</v>
      </c>
      <c r="B9" s="55">
        <v>1</v>
      </c>
      <c r="C9" s="70" t="str">
        <f t="shared" si="0"/>
        <v>65534_1</v>
      </c>
      <c r="D9" s="11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5">
        <v>8</v>
      </c>
      <c r="F9" s="55" t="s">
        <v>300</v>
      </c>
      <c r="G9" s="137">
        <v>121</v>
      </c>
      <c r="H9" s="55">
        <v>1</v>
      </c>
      <c r="I9" s="55">
        <v>1</v>
      </c>
      <c r="J9" s="55">
        <v>1</v>
      </c>
      <c r="K9" s="55">
        <v>0</v>
      </c>
      <c r="L9" s="55">
        <v>0</v>
      </c>
      <c r="M9" s="55">
        <v>0</v>
      </c>
      <c r="N9" s="55">
        <v>0</v>
      </c>
      <c r="O9" s="55">
        <v>1</v>
      </c>
      <c r="P9" s="55">
        <v>50</v>
      </c>
      <c r="Q9" s="55" t="s">
        <v>169</v>
      </c>
      <c r="R9" s="55" t="s">
        <v>170</v>
      </c>
    </row>
    <row r="10" spans="1:18" x14ac:dyDescent="0.15">
      <c r="A10" s="55">
        <v>65534</v>
      </c>
      <c r="B10" s="55">
        <v>1</v>
      </c>
      <c r="C10" s="70" t="str">
        <f t="shared" si="0"/>
        <v>65534_1</v>
      </c>
      <c r="D10" s="11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5">
        <v>9</v>
      </c>
      <c r="F10" s="55" t="s">
        <v>300</v>
      </c>
      <c r="G10" s="137">
        <v>122</v>
      </c>
      <c r="H10" s="55">
        <v>1</v>
      </c>
      <c r="I10" s="55">
        <v>1</v>
      </c>
      <c r="J10" s="55">
        <v>1</v>
      </c>
      <c r="K10" s="55">
        <v>0</v>
      </c>
      <c r="L10" s="55">
        <v>0</v>
      </c>
      <c r="M10" s="55">
        <v>0</v>
      </c>
      <c r="N10" s="55">
        <v>0</v>
      </c>
      <c r="O10" s="55">
        <v>1</v>
      </c>
      <c r="P10" s="55">
        <v>50</v>
      </c>
      <c r="Q10" s="55" t="s">
        <v>169</v>
      </c>
      <c r="R10" s="55" t="s">
        <v>170</v>
      </c>
    </row>
    <row r="11" spans="1:18" x14ac:dyDescent="0.15">
      <c r="A11" s="55">
        <v>65534</v>
      </c>
      <c r="B11" s="55">
        <v>1</v>
      </c>
      <c r="C11" s="70" t="str">
        <f t="shared" si="0"/>
        <v>65534_1</v>
      </c>
      <c r="D11" s="11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55">
        <v>10</v>
      </c>
      <c r="F11" s="55" t="s">
        <v>300</v>
      </c>
      <c r="G11" s="137">
        <v>123</v>
      </c>
      <c r="H11" s="55">
        <v>1</v>
      </c>
      <c r="I11" s="55">
        <v>1</v>
      </c>
      <c r="J11" s="55">
        <v>1</v>
      </c>
      <c r="K11" s="55">
        <v>0</v>
      </c>
      <c r="L11" s="55">
        <v>0</v>
      </c>
      <c r="M11" s="55">
        <v>0</v>
      </c>
      <c r="N11" s="55">
        <v>0</v>
      </c>
      <c r="O11" s="55">
        <v>1</v>
      </c>
      <c r="P11" s="55">
        <v>50</v>
      </c>
      <c r="Q11" s="55" t="s">
        <v>169</v>
      </c>
      <c r="R11" s="55" t="s">
        <v>170</v>
      </c>
    </row>
    <row r="12" spans="1:18" x14ac:dyDescent="0.15">
      <c r="A12" s="55">
        <v>65534</v>
      </c>
      <c r="B12" s="55">
        <v>1</v>
      </c>
      <c r="C12" s="70" t="str">
        <f t="shared" si="0"/>
        <v>65534_1</v>
      </c>
      <c r="D12" s="11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55">
        <v>11</v>
      </c>
      <c r="F12" s="55" t="s">
        <v>300</v>
      </c>
      <c r="G12" s="137">
        <v>124</v>
      </c>
      <c r="H12" s="55">
        <v>1</v>
      </c>
      <c r="I12" s="55">
        <v>1</v>
      </c>
      <c r="J12" s="55">
        <v>1</v>
      </c>
      <c r="K12" s="55">
        <v>0</v>
      </c>
      <c r="L12" s="55">
        <v>0</v>
      </c>
      <c r="M12" s="55">
        <v>0</v>
      </c>
      <c r="N12" s="55">
        <v>0</v>
      </c>
      <c r="O12" s="55">
        <v>1</v>
      </c>
      <c r="P12" s="55">
        <v>10</v>
      </c>
      <c r="Q12" s="55" t="s">
        <v>169</v>
      </c>
      <c r="R12" s="55" t="s">
        <v>170</v>
      </c>
    </row>
  </sheetData>
  <phoneticPr fontId="5"/>
  <dataValidations count="1">
    <dataValidation type="list" allowBlank="1" showInputMessage="1" showErrorMessage="1" sqref="F2:F12">
      <formula1>"bit,link,polygon,unit"</formula1>
    </dataValidation>
  </dataValidations>
  <pageMargins left="0.7" right="0.7" top="0.75" bottom="0.75" header="0.3" footer="0.3"/>
  <pageSetup paperSize="9" orientation="portrait" horizontalDpi="0" verticalDpi="0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6"/>
  <sheetViews>
    <sheetView showGridLines="0" workbookViewId="0">
      <pane ySplit="1" topLeftCell="A2" activePane="bottomLeft" state="frozen"/>
      <selection pane="bottomLeft" activeCell="I20" sqref="I20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5" t="s">
        <v>187</v>
      </c>
      <c r="B1" s="72" t="s">
        <v>188</v>
      </c>
      <c r="C1" s="76" t="s">
        <v>189</v>
      </c>
      <c r="D1" s="76" t="s">
        <v>33</v>
      </c>
      <c r="E1" s="72" t="s">
        <v>190</v>
      </c>
      <c r="F1" s="76" t="s">
        <v>191</v>
      </c>
      <c r="G1" s="76" t="s">
        <v>33</v>
      </c>
      <c r="H1" s="72" t="s">
        <v>192</v>
      </c>
      <c r="I1" s="90" t="s">
        <v>194</v>
      </c>
      <c r="J1" s="78" t="s">
        <v>125</v>
      </c>
      <c r="K1" s="77" t="s">
        <v>186</v>
      </c>
      <c r="L1" s="91" t="s">
        <v>185</v>
      </c>
      <c r="M1" s="79" t="s">
        <v>195</v>
      </c>
    </row>
    <row r="2" spans="1:13" x14ac:dyDescent="0.15">
      <c r="A2" s="80" t="s">
        <v>199</v>
      </c>
      <c r="B2" s="81">
        <f>floors!$C$2</f>
        <v>65534</v>
      </c>
      <c r="C2" s="82" t="str">
        <f ca="1">VLOOKUP($B2,OFFSET([2]quests!$A$1,0,0,COUNTA([2]quests!$A:$A),MATCH(C$1,[2]quests!$1:$1,0)-MATCH($B$1,[2]quests!$1:$1,0)+1),MATCH(C$1,[2]quests!$1:$1,0)-MATCH($B$1,[2]quests!$1:$1,0)+1,FALSE)</f>
        <v>【LB大野】検証クエスト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6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【LB大野】検証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4">
        <v>0</v>
      </c>
      <c r="I2">
        <v>12</v>
      </c>
      <c r="J2" s="83" t="s">
        <v>197</v>
      </c>
      <c r="K2" s="92" t="str">
        <f>VLOOKUP(I2,[7]stage_hints!$A:$C,3,FALSE)</f>
        <v>ユニットのお気に入り登録</v>
      </c>
      <c r="L2" s="93" t="str">
        <f>VLOOKUP(I2,[7]stage_hints!$A:$D,4,FALSE)</f>
        <v>大事なユニットを誤って消さないように_x000D_フォルダから「お気に入り登録」しましょう</v>
      </c>
      <c r="M2" s="55" t="s">
        <v>209</v>
      </c>
    </row>
    <row r="3" spans="1:13" x14ac:dyDescent="0.15">
      <c r="A3" s="80" t="s">
        <v>199</v>
      </c>
      <c r="B3" s="81">
        <f>floors!$C$2</f>
        <v>65534</v>
      </c>
      <c r="C3" s="82" t="str">
        <f ca="1">VLOOKUP($B3,OFFSET([2]quests!$A$1,0,0,COUNTA([2]quests!$A:$A),MATCH(C$1,[2]quests!$1:$1,0)-MATCH($B$1,[2]quests!$1:$1,0)+1),MATCH(C$1,[2]quests!$1:$1,0)-MATCH($B$1,[2]quests!$1:$1,0)+1,FALSE)</f>
        <v>【LB大野】検証クエスト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検証</v>
      </c>
      <c r="E3" s="86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【LB大野】検証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4">
        <v>0</v>
      </c>
      <c r="I3">
        <v>17</v>
      </c>
      <c r="J3" s="83" t="s">
        <v>197</v>
      </c>
      <c r="K3" s="92" t="str">
        <f>VLOOKUP(I3,[7]stage_hints!$A:$C,3,FALSE)</f>
        <v>リンクガチャ</v>
      </c>
      <c r="L3" s="93" t="str">
        <f>VLOOKUP(I3,[7]stage_hints!$A:$D,4,FALSE)</f>
        <v>無料のリンクガチャを回して_x000D_経験値素材や売却素材を獲得しましょう</v>
      </c>
      <c r="M3" s="55" t="s">
        <v>209</v>
      </c>
    </row>
    <row r="4" spans="1:13" x14ac:dyDescent="0.15">
      <c r="A4" s="80" t="s">
        <v>199</v>
      </c>
      <c r="B4" s="81">
        <f>floors!$C$2</f>
        <v>65534</v>
      </c>
      <c r="C4" s="82" t="str">
        <f ca="1">VLOOKUP($B4,OFFSET([2]quests!$A$1,0,0,COUNTA([2]quests!$A:$A),MATCH(C$1,[2]quests!$1:$1,0)-MATCH($B$1,[2]quests!$1:$1,0)+1),MATCH(C$1,[2]quests!$1:$1,0)-MATCH($B$1,[2]quests!$1:$1,0)+1,FALSE)</f>
        <v>【LB大野】検証クエスト</v>
      </c>
      <c r="D4" s="82" t="str">
        <f ca="1">VLOOKUP($B4,OFFSET([2]quests!$A$1,0,0,COUNTA([2]quests!$A:$A),MATCH(D$1,[2]quests!$1:$1,0)-MATCH($B$1,[2]quests!$1:$1,0)+1),MATCH(D$1,[2]quests!$1:$1,0)-MATCH($B$1,[2]quests!$1:$1,0)+1,FALSE)</f>
        <v>検証</v>
      </c>
      <c r="E4" s="86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【LB大野】検証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4">
        <v>0</v>
      </c>
      <c r="I4">
        <v>19</v>
      </c>
      <c r="J4" s="83" t="s">
        <v>197</v>
      </c>
      <c r="K4" s="92" t="str">
        <f>VLOOKUP(I4,[7]stage_hints!$A:$C,3,FALSE)</f>
        <v>ソロ専用タワーオブザクイーン</v>
      </c>
      <c r="L4" s="93" t="str">
        <f>VLOOKUP(I4,[7]stage_hints!$A:$D,4,FALSE)</f>
        <v>ソロ専用の「タワーオブザクイーン」は_x000D_期間限定で定期的に開催されます_x000D_ここでしか獲得できない報酬もあるようです</v>
      </c>
      <c r="M4" s="55" t="s">
        <v>209</v>
      </c>
    </row>
    <row r="5" spans="1:13" x14ac:dyDescent="0.15">
      <c r="A5" s="80" t="s">
        <v>199</v>
      </c>
      <c r="B5" s="81">
        <f>floors!$C$2</f>
        <v>65534</v>
      </c>
      <c r="C5" s="82" t="str">
        <f ca="1">VLOOKUP($B5,OFFSET([2]quests!$A$1,0,0,COUNTA([2]quests!$A:$A),MATCH(C$1,[2]quests!$1:$1,0)-MATCH($B$1,[2]quests!$1:$1,0)+1),MATCH(C$1,[2]quests!$1:$1,0)-MATCH($B$1,[2]quests!$1:$1,0)+1,FALSE)</f>
        <v>【LB大野】検証クエスト</v>
      </c>
      <c r="D5" s="82" t="str">
        <f ca="1">VLOOKUP($B5,OFFSET([2]quests!$A$1,0,0,COUNTA([2]quests!$A:$A),MATCH(D$1,[2]quests!$1:$1,0)-MATCH($B$1,[2]quests!$1:$1,0)+1),MATCH(D$1,[2]quests!$1:$1,0)-MATCH($B$1,[2]quests!$1:$1,0)+1,FALSE)</f>
        <v>検証</v>
      </c>
      <c r="E5" s="86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【LB大野】検証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4">
        <v>0</v>
      </c>
      <c r="I5">
        <v>21</v>
      </c>
      <c r="J5" s="83" t="s">
        <v>197</v>
      </c>
      <c r="K5" s="92" t="str">
        <f>VLOOKUP(I5,[7]stage_hints!$A:$C,3,FALSE)</f>
        <v>スキルを有効に</v>
      </c>
      <c r="L5" s="93" t="str">
        <f>VLOOKUP(I5,[7]stage_hints!$A:$D,4,FALSE)</f>
        <v>ターン経過でユニットのスキルが使えます_x000D_強力スキルでバトルを有利に進めましょう</v>
      </c>
      <c r="M5" s="55" t="s">
        <v>209</v>
      </c>
    </row>
    <row r="6" spans="1:13" x14ac:dyDescent="0.15">
      <c r="A6" s="80" t="s">
        <v>199</v>
      </c>
      <c r="B6" s="81">
        <f>floors!$C$2</f>
        <v>65534</v>
      </c>
      <c r="C6" s="82" t="str">
        <f ca="1">VLOOKUP($B6,OFFSET([2]quests!$A$1,0,0,COUNTA([2]quests!$A:$A),MATCH(C$1,[2]quests!$1:$1,0)-MATCH($B$1,[2]quests!$1:$1,0)+1),MATCH(C$1,[2]quests!$1:$1,0)-MATCH($B$1,[2]quests!$1:$1,0)+1,FALSE)</f>
        <v>【LB大野】検証クエスト</v>
      </c>
      <c r="D6" s="82" t="str">
        <f ca="1">VLOOKUP($B6,OFFSET([2]quests!$A$1,0,0,COUNTA([2]quests!$A:$A),MATCH(D$1,[2]quests!$1:$1,0)-MATCH($B$1,[2]quests!$1:$1,0)+1),MATCH(D$1,[2]quests!$1:$1,0)-MATCH($B$1,[2]quests!$1:$1,0)+1,FALSE)</f>
        <v>検証</v>
      </c>
      <c r="E6" s="86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【LB大野】検証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4">
        <v>0</v>
      </c>
      <c r="I6">
        <v>27</v>
      </c>
      <c r="J6" s="83" t="s">
        <v>197</v>
      </c>
      <c r="K6" s="92" t="str">
        <f>VLOOKUP(I6,[7]stage_hints!$A:$C,3,FALSE)</f>
        <v>ホーム画面からデッキを編成</v>
      </c>
      <c r="L6" s="93" t="str">
        <f>VLOOKUP(I6,[7]stage_hints!$A:$D,4,FALSE)</f>
        <v>ホーム画面でユニットを長押しすると_x000D_すぐにパーティ編成に移動できます</v>
      </c>
      <c r="M6" s="55" t="s">
        <v>209</v>
      </c>
    </row>
    <row r="7" spans="1:13" x14ac:dyDescent="0.15">
      <c r="A7" s="80" t="s">
        <v>199</v>
      </c>
      <c r="B7" s="81">
        <f>floors!$C$2</f>
        <v>65534</v>
      </c>
      <c r="C7" s="82" t="str">
        <f ca="1">VLOOKUP($B7,OFFSET([2]quests!$A$1,0,0,COUNTA([2]quests!$A:$A),MATCH(C$1,[2]quests!$1:$1,0)-MATCH($B$1,[2]quests!$1:$1,0)+1),MATCH(C$1,[2]quests!$1:$1,0)-MATCH($B$1,[2]quests!$1:$1,0)+1,FALSE)</f>
        <v>【LB大野】検証クエスト</v>
      </c>
      <c r="D7" s="82" t="str">
        <f ca="1">VLOOKUP($B7,OFFSET([2]quests!$A$1,0,0,COUNTA([2]quests!$A:$A),MATCH(D$1,[2]quests!$1:$1,0)-MATCH($B$1,[2]quests!$1:$1,0)+1),MATCH(D$1,[2]quests!$1:$1,0)-MATCH($B$1,[2]quests!$1:$1,0)+1,FALSE)</f>
        <v>検証</v>
      </c>
      <c r="E7" s="86">
        <v>1</v>
      </c>
      <c r="F7" s="82" t="str">
        <f ca="1">VLOOKUP($B7&amp;"_"&amp;$E7,OFFSET([2]stages!$A$1,0,0,COUNTA([2]stages!$A:$A),MATCH(F$1,[2]stages!$2:$2,0)-MATCH("temp_stage",[2]stages!$2:$2,0)+1),MATCH(F$1,[2]stages!$2:$2,0)-MATCH("temp_stage",[2]stages!$2:$2,0)+1,FALSE)</f>
        <v>【LB大野】検証</v>
      </c>
      <c r="G7" s="82" t="str">
        <f ca="1">VLOOKUP($B7&amp;"_"&amp;$E7,OFFSET([2]stages!$A$1,0,0,COUNTA([2]stages!$A:$A),MATCH(G$1,[2]stages!$2:$2,0)-MATCH("temp_stage",[2]stages!$2:$2,0)+1),MATCH(G$1,[2]stages!$2:$2,0)-MATCH("temp_stage",[2]stages!$2:$2,0)+1,FALSE)</f>
        <v>検証</v>
      </c>
      <c r="H7" s="84">
        <v>0</v>
      </c>
      <c r="I7">
        <v>28</v>
      </c>
      <c r="J7" s="83" t="s">
        <v>197</v>
      </c>
      <c r="K7" s="92" t="str">
        <f>VLOOKUP(I7,[7]stage_hints!$A:$C,3,FALSE)</f>
        <v>ステータス情報は長押しで</v>
      </c>
      <c r="L7" s="93" t="str">
        <f>VLOOKUP(I7,[7]stage_hints!$A:$D,4,FALSE)</f>
        <v>ユニットのアイコンを長押しすると_x000D_ステータス情報を確認することができます</v>
      </c>
      <c r="M7" s="55" t="s">
        <v>209</v>
      </c>
    </row>
    <row r="8" spans="1:13" x14ac:dyDescent="0.15">
      <c r="A8" s="80" t="s">
        <v>199</v>
      </c>
      <c r="B8" s="81">
        <f>floors!$C$2</f>
        <v>65534</v>
      </c>
      <c r="C8" s="82" t="str">
        <f ca="1">VLOOKUP($B8,OFFSET([2]quests!$A$1,0,0,COUNTA([2]quests!$A:$A),MATCH(C$1,[2]quests!$1:$1,0)-MATCH($B$1,[2]quests!$1:$1,0)+1),MATCH(C$1,[2]quests!$1:$1,0)-MATCH($B$1,[2]quests!$1:$1,0)+1,FALSE)</f>
        <v>【LB大野】検証クエスト</v>
      </c>
      <c r="D8" s="82" t="str">
        <f ca="1">VLOOKUP($B8,OFFSET([2]quests!$A$1,0,0,COUNTA([2]quests!$A:$A),MATCH(D$1,[2]quests!$1:$1,0)-MATCH($B$1,[2]quests!$1:$1,0)+1),MATCH(D$1,[2]quests!$1:$1,0)-MATCH($B$1,[2]quests!$1:$1,0)+1,FALSE)</f>
        <v>検証</v>
      </c>
      <c r="E8" s="86">
        <v>1</v>
      </c>
      <c r="F8" s="82" t="str">
        <f ca="1">VLOOKUP($B8&amp;"_"&amp;$E8,OFFSET([2]stages!$A$1,0,0,COUNTA([2]stages!$A:$A),MATCH(F$1,[2]stages!$2:$2,0)-MATCH("temp_stage",[2]stages!$2:$2,0)+1),MATCH(F$1,[2]stages!$2:$2,0)-MATCH("temp_stage",[2]stages!$2:$2,0)+1,FALSE)</f>
        <v>【LB大野】検証</v>
      </c>
      <c r="G8" s="82" t="str">
        <f ca="1">VLOOKUP($B8&amp;"_"&amp;$E8,OFFSET([2]stages!$A$1,0,0,COUNTA([2]stages!$A:$A),MATCH(G$1,[2]stages!$2:$2,0)-MATCH("temp_stage",[2]stages!$2:$2,0)+1),MATCH(G$1,[2]stages!$2:$2,0)-MATCH("temp_stage",[2]stages!$2:$2,0)+1,FALSE)</f>
        <v>検証</v>
      </c>
      <c r="H8" s="84">
        <v>0</v>
      </c>
      <c r="I8">
        <v>29</v>
      </c>
      <c r="J8" s="83" t="s">
        <v>197</v>
      </c>
      <c r="K8" s="92" t="str">
        <f>VLOOKUP(I8,[7]stage_hints!$A:$C,3,FALSE)</f>
        <v>「バグ」のメリット</v>
      </c>
      <c r="L8" s="93" t="str">
        <f>VLOOKUP(I8,[7]stage_hints!$A:$D,4,FALSE)</f>
        <v>ユニットの「バグ」を増やすと_x000D_報酬をもらえる確率がアップします</v>
      </c>
      <c r="M8" s="55" t="s">
        <v>209</v>
      </c>
    </row>
    <row r="9" spans="1:13" x14ac:dyDescent="0.15">
      <c r="A9" s="80" t="s">
        <v>199</v>
      </c>
      <c r="B9" s="81">
        <f>floors!$C$2</f>
        <v>65534</v>
      </c>
      <c r="C9" s="82" t="str">
        <f ca="1">VLOOKUP($B9,OFFSET([2]quests!$A$1,0,0,COUNTA([2]quests!$A:$A),MATCH(C$1,[2]quests!$1:$1,0)-MATCH($B$1,[2]quests!$1:$1,0)+1),MATCH(C$1,[2]quests!$1:$1,0)-MATCH($B$1,[2]quests!$1:$1,0)+1,FALSE)</f>
        <v>【LB大野】検証クエスト</v>
      </c>
      <c r="D9" s="82" t="str">
        <f ca="1">VLOOKUP($B9,OFFSET([2]quests!$A$1,0,0,COUNTA([2]quests!$A:$A),MATCH(D$1,[2]quests!$1:$1,0)-MATCH($B$1,[2]quests!$1:$1,0)+1),MATCH(D$1,[2]quests!$1:$1,0)-MATCH($B$1,[2]quests!$1:$1,0)+1,FALSE)</f>
        <v>検証</v>
      </c>
      <c r="E9" s="86">
        <v>1</v>
      </c>
      <c r="F9" s="82" t="str">
        <f ca="1">VLOOKUP($B9&amp;"_"&amp;$E9,OFFSET([2]stages!$A$1,0,0,COUNTA([2]stages!$A:$A),MATCH(F$1,[2]stages!$2:$2,0)-MATCH("temp_stage",[2]stages!$2:$2,0)+1),MATCH(F$1,[2]stages!$2:$2,0)-MATCH("temp_stage",[2]stages!$2:$2,0)+1,FALSE)</f>
        <v>【LB大野】検証</v>
      </c>
      <c r="G9" s="82" t="str">
        <f ca="1">VLOOKUP($B9&amp;"_"&amp;$E9,OFFSET([2]stages!$A$1,0,0,COUNTA([2]stages!$A:$A),MATCH(G$1,[2]stages!$2:$2,0)-MATCH("temp_stage",[2]stages!$2:$2,0)+1),MATCH(G$1,[2]stages!$2:$2,0)-MATCH("temp_stage",[2]stages!$2:$2,0)+1,FALSE)</f>
        <v>検証</v>
      </c>
      <c r="H9" s="84">
        <v>0</v>
      </c>
      <c r="I9">
        <v>30</v>
      </c>
      <c r="J9" s="83" t="s">
        <v>197</v>
      </c>
      <c r="K9" s="92" t="str">
        <f>VLOOKUP(I9,[7]stage_hints!$A:$C,3,FALSE)</f>
        <v>「バグ」の増やし方</v>
      </c>
      <c r="L9" s="93" t="str">
        <f>VLOOKUP(I9,[7]stage_hints!$A:$D,4,FALSE)</f>
        <v>同じユニット同士を強化で合成すると_x000D_「バグ」を増やすことができます</v>
      </c>
      <c r="M9" s="55" t="s">
        <v>209</v>
      </c>
    </row>
    <row r="10" spans="1:13" x14ac:dyDescent="0.15">
      <c r="A10" s="80" t="s">
        <v>199</v>
      </c>
      <c r="B10" s="81">
        <f>floors!$C$2</f>
        <v>65534</v>
      </c>
      <c r="C10" s="82" t="str">
        <f ca="1">VLOOKUP($B10,OFFSET([2]quests!$A$1,0,0,COUNTA([2]quests!$A:$A),MATCH(C$1,[2]quests!$1:$1,0)-MATCH($B$1,[2]quests!$1:$1,0)+1),MATCH(C$1,[2]quests!$1:$1,0)-MATCH($B$1,[2]quests!$1:$1,0)+1,FALSE)</f>
        <v>【LB大野】検証クエスト</v>
      </c>
      <c r="D10" s="82" t="str">
        <f ca="1">VLOOKUP($B10,OFFSET([2]quests!$A$1,0,0,COUNTA([2]quests!$A:$A),MATCH(D$1,[2]quests!$1:$1,0)-MATCH($B$1,[2]quests!$1:$1,0)+1),MATCH(D$1,[2]quests!$1:$1,0)-MATCH($B$1,[2]quests!$1:$1,0)+1,FALSE)</f>
        <v>検証</v>
      </c>
      <c r="E10" s="86">
        <v>1</v>
      </c>
      <c r="F10" s="82" t="str">
        <f ca="1">VLOOKUP($B10&amp;"_"&amp;$E10,OFFSET([2]stages!$A$1,0,0,COUNTA([2]stages!$A:$A),MATCH(F$1,[2]stages!$2:$2,0)-MATCH("temp_stage",[2]stages!$2:$2,0)+1),MATCH(F$1,[2]stages!$2:$2,0)-MATCH("temp_stage",[2]stages!$2:$2,0)+1,FALSE)</f>
        <v>【LB大野】検証</v>
      </c>
      <c r="G10" s="82" t="str">
        <f ca="1">VLOOKUP($B10&amp;"_"&amp;$E10,OFFSET([2]stages!$A$1,0,0,COUNTA([2]stages!$A:$A),MATCH(G$1,[2]stages!$2:$2,0)-MATCH("temp_stage",[2]stages!$2:$2,0)+1),MATCH(G$1,[2]stages!$2:$2,0)-MATCH("temp_stage",[2]stages!$2:$2,0)+1,FALSE)</f>
        <v>検証</v>
      </c>
      <c r="H10" s="84">
        <v>0</v>
      </c>
      <c r="I10">
        <v>32</v>
      </c>
      <c r="J10" s="83" t="s">
        <v>197</v>
      </c>
      <c r="K10" s="92" t="str">
        <f>VLOOKUP(I10,[7]stage_hints!$A:$C,3,FALSE)</f>
        <v>敵の連続攻撃には</v>
      </c>
      <c r="L10" s="93" t="str">
        <f>VLOOKUP(I10,[7]stage_hints!$A:$D,4,FALSE)</f>
        <v>カウンタースキルを持つユニットがいれば_x000D_ダメージ回数分の反撃ができます</v>
      </c>
      <c r="M10" s="55" t="s">
        <v>209</v>
      </c>
    </row>
    <row r="11" spans="1:13" x14ac:dyDescent="0.15">
      <c r="A11" s="80" t="s">
        <v>199</v>
      </c>
      <c r="B11" s="81">
        <f>floors!$C$2</f>
        <v>65534</v>
      </c>
      <c r="C11" s="82" t="str">
        <f ca="1">VLOOKUP($B11,OFFSET([2]quests!$A$1,0,0,COUNTA([2]quests!$A:$A),MATCH(C$1,[2]quests!$1:$1,0)-MATCH($B$1,[2]quests!$1:$1,0)+1),MATCH(C$1,[2]quests!$1:$1,0)-MATCH($B$1,[2]quests!$1:$1,0)+1,FALSE)</f>
        <v>【LB大野】検証クエスト</v>
      </c>
      <c r="D11" s="82" t="str">
        <f ca="1">VLOOKUP($B11,OFFSET([2]quests!$A$1,0,0,COUNTA([2]quests!$A:$A),MATCH(D$1,[2]quests!$1:$1,0)-MATCH($B$1,[2]quests!$1:$1,0)+1),MATCH(D$1,[2]quests!$1:$1,0)-MATCH($B$1,[2]quests!$1:$1,0)+1,FALSE)</f>
        <v>検証</v>
      </c>
      <c r="E11" s="86">
        <v>1</v>
      </c>
      <c r="F11" s="82" t="str">
        <f ca="1">VLOOKUP($B11&amp;"_"&amp;$E11,OFFSET([2]stages!$A$1,0,0,COUNTA([2]stages!$A:$A),MATCH(F$1,[2]stages!$2:$2,0)-MATCH("temp_stage",[2]stages!$2:$2,0)+1),MATCH(F$1,[2]stages!$2:$2,0)-MATCH("temp_stage",[2]stages!$2:$2,0)+1,FALSE)</f>
        <v>【LB大野】検証</v>
      </c>
      <c r="G11" s="82" t="str">
        <f ca="1">VLOOKUP($B11&amp;"_"&amp;$E11,OFFSET([2]stages!$A$1,0,0,COUNTA([2]stages!$A:$A),MATCH(G$1,[2]stages!$2:$2,0)-MATCH("temp_stage",[2]stages!$2:$2,0)+1),MATCH(G$1,[2]stages!$2:$2,0)-MATCH("temp_stage",[2]stages!$2:$2,0)+1,FALSE)</f>
        <v>検証</v>
      </c>
      <c r="H11" s="84">
        <v>0</v>
      </c>
      <c r="I11">
        <v>33</v>
      </c>
      <c r="J11" s="83" t="s">
        <v>197</v>
      </c>
      <c r="K11" s="92" t="str">
        <f>VLOOKUP(I11,[7]stage_hints!$A:$C,3,FALSE)</f>
        <v>敵のカウンター攻撃には</v>
      </c>
      <c r="L11" s="93" t="str">
        <f>VLOOKUP(I11,[7]stage_hints!$A:$D,4,FALSE)</f>
        <v>カウンターブレイクスキルを持っていれば_x000D_敵のカウンターを解除して攻撃ができます</v>
      </c>
      <c r="M11" s="55" t="s">
        <v>209</v>
      </c>
    </row>
    <row r="12" spans="1:13" x14ac:dyDescent="0.15">
      <c r="A12" s="80" t="s">
        <v>199</v>
      </c>
      <c r="B12" s="81">
        <f>floors!$C$2</f>
        <v>65534</v>
      </c>
      <c r="C12" s="82" t="str">
        <f ca="1">VLOOKUP($B12,OFFSET([2]quests!$A$1,0,0,COUNTA([2]quests!$A:$A),MATCH(C$1,[2]quests!$1:$1,0)-MATCH($B$1,[2]quests!$1:$1,0)+1),MATCH(C$1,[2]quests!$1:$1,0)-MATCH($B$1,[2]quests!$1:$1,0)+1,FALSE)</f>
        <v>【LB大野】検証クエスト</v>
      </c>
      <c r="D12" s="82" t="str">
        <f ca="1">VLOOKUP($B12,OFFSET([2]quests!$A$1,0,0,COUNTA([2]quests!$A:$A),MATCH(D$1,[2]quests!$1:$1,0)-MATCH($B$1,[2]quests!$1:$1,0)+1),MATCH(D$1,[2]quests!$1:$1,0)-MATCH($B$1,[2]quests!$1:$1,0)+1,FALSE)</f>
        <v>検証</v>
      </c>
      <c r="E12" s="86">
        <v>1</v>
      </c>
      <c r="F12" s="82" t="str">
        <f ca="1">VLOOKUP($B12&amp;"_"&amp;$E12,OFFSET([2]stages!$A$1,0,0,COUNTA([2]stages!$A:$A),MATCH(F$1,[2]stages!$2:$2,0)-MATCH("temp_stage",[2]stages!$2:$2,0)+1),MATCH(F$1,[2]stages!$2:$2,0)-MATCH("temp_stage",[2]stages!$2:$2,0)+1,FALSE)</f>
        <v>【LB大野】検証</v>
      </c>
      <c r="G12" s="82" t="str">
        <f ca="1">VLOOKUP($B12&amp;"_"&amp;$E12,OFFSET([2]stages!$A$1,0,0,COUNTA([2]stages!$A:$A),MATCH(G$1,[2]stages!$2:$2,0)-MATCH("temp_stage",[2]stages!$2:$2,0)+1),MATCH(G$1,[2]stages!$2:$2,0)-MATCH("temp_stage",[2]stages!$2:$2,0)+1,FALSE)</f>
        <v>検証</v>
      </c>
      <c r="H12" s="84">
        <v>0</v>
      </c>
      <c r="I12">
        <v>34</v>
      </c>
      <c r="J12" s="83" t="s">
        <v>197</v>
      </c>
      <c r="K12" s="92" t="str">
        <f>VLOOKUP(I12,[7]stage_hints!$A:$C,3,FALSE)</f>
        <v>ステータスをスキルで下げられたら</v>
      </c>
      <c r="L12" s="93" t="str">
        <f>VLOOKUP(I12,[7]stage_hints!$A:$D,4,FALSE)</f>
        <v>ステータスダウンのスキルを受けたら_x000D_ステータスアップスキルで上書きしましょう</v>
      </c>
      <c r="M12" s="55" t="s">
        <v>209</v>
      </c>
    </row>
    <row r="13" spans="1:13" x14ac:dyDescent="0.15">
      <c r="A13" s="80" t="s">
        <v>199</v>
      </c>
      <c r="B13" s="81">
        <f>floors!$C$2</f>
        <v>65534</v>
      </c>
      <c r="C13" s="82" t="str">
        <f ca="1">VLOOKUP($B13,OFFSET([2]quests!$A$1,0,0,COUNTA([2]quests!$A:$A),MATCH(C$1,[2]quests!$1:$1,0)-MATCH($B$1,[2]quests!$1:$1,0)+1),MATCH(C$1,[2]quests!$1:$1,0)-MATCH($B$1,[2]quests!$1:$1,0)+1,FALSE)</f>
        <v>【LB大野】検証クエスト</v>
      </c>
      <c r="D13" s="82" t="str">
        <f ca="1">VLOOKUP($B13,OFFSET([2]quests!$A$1,0,0,COUNTA([2]quests!$A:$A),MATCH(D$1,[2]quests!$1:$1,0)-MATCH($B$1,[2]quests!$1:$1,0)+1),MATCH(D$1,[2]quests!$1:$1,0)-MATCH($B$1,[2]quests!$1:$1,0)+1,FALSE)</f>
        <v>検証</v>
      </c>
      <c r="E13" s="86">
        <v>1</v>
      </c>
      <c r="F13" s="82" t="str">
        <f ca="1">VLOOKUP($B13&amp;"_"&amp;$E13,OFFSET([2]stages!$A$1,0,0,COUNTA([2]stages!$A:$A),MATCH(F$1,[2]stages!$2:$2,0)-MATCH("temp_stage",[2]stages!$2:$2,0)+1),MATCH(F$1,[2]stages!$2:$2,0)-MATCH("temp_stage",[2]stages!$2:$2,0)+1,FALSE)</f>
        <v>【LB大野】検証</v>
      </c>
      <c r="G13" s="82" t="str">
        <f ca="1">VLOOKUP($B13&amp;"_"&amp;$E13,OFFSET([2]stages!$A$1,0,0,COUNTA([2]stages!$A:$A),MATCH(G$1,[2]stages!$2:$2,0)-MATCH("temp_stage",[2]stages!$2:$2,0)+1),MATCH(G$1,[2]stages!$2:$2,0)-MATCH("temp_stage",[2]stages!$2:$2,0)+1,FALSE)</f>
        <v>検証</v>
      </c>
      <c r="H13" s="84">
        <v>0</v>
      </c>
      <c r="I13">
        <v>35</v>
      </c>
      <c r="J13" s="83" t="s">
        <v>197</v>
      </c>
      <c r="K13" s="92" t="str">
        <f>VLOOKUP(I13,[7]stage_hints!$A:$C,3,FALSE)</f>
        <v>敵のステータスがスキルで上がったら</v>
      </c>
      <c r="L13" s="93" t="str">
        <f>VLOOKUP(I13,[7]stage_hints!$A:$D,4,FALSE)</f>
        <v>敵のステータスがスキルでアップしたときは_x000D_ステータスダウンスキルで上書きしましょう</v>
      </c>
      <c r="M13" s="55" t="s">
        <v>209</v>
      </c>
    </row>
    <row r="14" spans="1:13" x14ac:dyDescent="0.15">
      <c r="A14" s="80" t="s">
        <v>199</v>
      </c>
      <c r="B14" s="81">
        <f>floors!$C$2</f>
        <v>65534</v>
      </c>
      <c r="C14" s="82" t="str">
        <f ca="1">VLOOKUP($B14,OFFSET([2]quests!$A$1,0,0,COUNTA([2]quests!$A:$A),MATCH(C$1,[2]quests!$1:$1,0)-MATCH($B$1,[2]quests!$1:$1,0)+1),MATCH(C$1,[2]quests!$1:$1,0)-MATCH($B$1,[2]quests!$1:$1,0)+1,FALSE)</f>
        <v>【LB大野】検証クエスト</v>
      </c>
      <c r="D14" s="82" t="str">
        <f ca="1">VLOOKUP($B14,OFFSET([2]quests!$A$1,0,0,COUNTA([2]quests!$A:$A),MATCH(D$1,[2]quests!$1:$1,0)-MATCH($B$1,[2]quests!$1:$1,0)+1),MATCH(D$1,[2]quests!$1:$1,0)-MATCH($B$1,[2]quests!$1:$1,0)+1,FALSE)</f>
        <v>検証</v>
      </c>
      <c r="E14" s="86">
        <v>1</v>
      </c>
      <c r="F14" s="82" t="str">
        <f ca="1">VLOOKUP($B14&amp;"_"&amp;$E14,OFFSET([2]stages!$A$1,0,0,COUNTA([2]stages!$A:$A),MATCH(F$1,[2]stages!$2:$2,0)-MATCH("temp_stage",[2]stages!$2:$2,0)+1),MATCH(F$1,[2]stages!$2:$2,0)-MATCH("temp_stage",[2]stages!$2:$2,0)+1,FALSE)</f>
        <v>【LB大野】検証</v>
      </c>
      <c r="G14" s="82" t="str">
        <f ca="1">VLOOKUP($B14&amp;"_"&amp;$E14,OFFSET([2]stages!$A$1,0,0,COUNTA([2]stages!$A:$A),MATCH(G$1,[2]stages!$2:$2,0)-MATCH("temp_stage",[2]stages!$2:$2,0)+1),MATCH(G$1,[2]stages!$2:$2,0)-MATCH("temp_stage",[2]stages!$2:$2,0)+1,FALSE)</f>
        <v>検証</v>
      </c>
      <c r="H14" s="84">
        <v>0</v>
      </c>
      <c r="I14">
        <v>36</v>
      </c>
      <c r="J14" s="83" t="s">
        <v>197</v>
      </c>
      <c r="K14" s="92" t="str">
        <f>VLOOKUP(I14,[7]stage_hints!$A:$C,3,FALSE)</f>
        <v>タワーオブザクイーンのボス</v>
      </c>
      <c r="L14" s="93" t="str">
        <f>VLOOKUP(I14,[7]stage_hints!$A:$D,4,FALSE)</f>
        <v>「タワーオブザクイーン」最上階のボスは_x000D_15階の初回クリア報酬で獲得できるほか_x000D_その階にて低確率でドロップもします</v>
      </c>
      <c r="M14" s="55" t="s">
        <v>209</v>
      </c>
    </row>
    <row r="15" spans="1:13" x14ac:dyDescent="0.15">
      <c r="A15" s="80" t="s">
        <v>199</v>
      </c>
      <c r="B15" s="81">
        <f>floors!$C$2</f>
        <v>65534</v>
      </c>
      <c r="C15" s="82" t="str">
        <f ca="1">VLOOKUP($B15,OFFSET([2]quests!$A$1,0,0,COUNTA([2]quests!$A:$A),MATCH(C$1,[2]quests!$1:$1,0)-MATCH($B$1,[2]quests!$1:$1,0)+1),MATCH(C$1,[2]quests!$1:$1,0)-MATCH($B$1,[2]quests!$1:$1,0)+1,FALSE)</f>
        <v>【LB大野】検証クエスト</v>
      </c>
      <c r="D15" s="82" t="str">
        <f ca="1">VLOOKUP($B15,OFFSET([2]quests!$A$1,0,0,COUNTA([2]quests!$A:$A),MATCH(D$1,[2]quests!$1:$1,0)-MATCH($B$1,[2]quests!$1:$1,0)+1),MATCH(D$1,[2]quests!$1:$1,0)-MATCH($B$1,[2]quests!$1:$1,0)+1,FALSE)</f>
        <v>検証</v>
      </c>
      <c r="E15" s="86">
        <v>1</v>
      </c>
      <c r="F15" s="82" t="str">
        <f ca="1">VLOOKUP($B15&amp;"_"&amp;$E15,OFFSET([2]stages!$A$1,0,0,COUNTA([2]stages!$A:$A),MATCH(F$1,[2]stages!$2:$2,0)-MATCH("temp_stage",[2]stages!$2:$2,0)+1),MATCH(F$1,[2]stages!$2:$2,0)-MATCH("temp_stage",[2]stages!$2:$2,0)+1,FALSE)</f>
        <v>【LB大野】検証</v>
      </c>
      <c r="G15" s="82" t="str">
        <f ca="1">VLOOKUP($B15&amp;"_"&amp;$E15,OFFSET([2]stages!$A$1,0,0,COUNTA([2]stages!$A:$A),MATCH(G$1,[2]stages!$2:$2,0)-MATCH("temp_stage",[2]stages!$2:$2,0)+1),MATCH(G$1,[2]stages!$2:$2,0)-MATCH("temp_stage",[2]stages!$2:$2,0)+1,FALSE)</f>
        <v>検証</v>
      </c>
      <c r="H15" s="84">
        <v>0</v>
      </c>
      <c r="I15">
        <v>37</v>
      </c>
      <c r="J15" s="83" t="s">
        <v>197</v>
      </c>
      <c r="K15" s="92" t="str">
        <f>VLOOKUP(I15,[7]stage_hints!$A:$C,3,FALSE)</f>
        <v>限界突破値の引き継ぎ</v>
      </c>
      <c r="L15" s="93" t="str">
        <f>VLOOKUP(I15,[7]stage_hints!$A:$D,4,FALSE)</f>
        <v>同じユニットを強化で合成すると_x000D_限界突破値を引き継げます（覚醒前後も可）</v>
      </c>
      <c r="M15" s="55" t="s">
        <v>209</v>
      </c>
    </row>
    <row r="16" spans="1:13" x14ac:dyDescent="0.15">
      <c r="A16" s="80" t="s">
        <v>199</v>
      </c>
      <c r="B16" s="81">
        <f>floors!$C$2</f>
        <v>65534</v>
      </c>
      <c r="C16" s="82" t="str">
        <f ca="1">VLOOKUP($B16,OFFSET([2]quests!$A$1,0,0,COUNTA([2]quests!$A:$A),MATCH(C$1,[2]quests!$1:$1,0)-MATCH($B$1,[2]quests!$1:$1,0)+1),MATCH(C$1,[2]quests!$1:$1,0)-MATCH($B$1,[2]quests!$1:$1,0)+1,FALSE)</f>
        <v>【LB大野】検証クエスト</v>
      </c>
      <c r="D16" s="82" t="str">
        <f ca="1">VLOOKUP($B16,OFFSET([2]quests!$A$1,0,0,COUNTA([2]quests!$A:$A),MATCH(D$1,[2]quests!$1:$1,0)-MATCH($B$1,[2]quests!$1:$1,0)+1),MATCH(D$1,[2]quests!$1:$1,0)-MATCH($B$1,[2]quests!$1:$1,0)+1,FALSE)</f>
        <v>検証</v>
      </c>
      <c r="E16" s="86">
        <v>1</v>
      </c>
      <c r="F16" s="82" t="str">
        <f ca="1">VLOOKUP($B16&amp;"_"&amp;$E16,OFFSET([2]stages!$A$1,0,0,COUNTA([2]stages!$A:$A),MATCH(F$1,[2]stages!$2:$2,0)-MATCH("temp_stage",[2]stages!$2:$2,0)+1),MATCH(F$1,[2]stages!$2:$2,0)-MATCH("temp_stage",[2]stages!$2:$2,0)+1,FALSE)</f>
        <v>【LB大野】検証</v>
      </c>
      <c r="G16" s="82" t="str">
        <f ca="1">VLOOKUP($B16&amp;"_"&amp;$E16,OFFSET([2]stages!$A$1,0,0,COUNTA([2]stages!$A:$A),MATCH(G$1,[2]stages!$2:$2,0)-MATCH("temp_stage",[2]stages!$2:$2,0)+1),MATCH(G$1,[2]stages!$2:$2,0)-MATCH("temp_stage",[2]stages!$2:$2,0)+1,FALSE)</f>
        <v>検証</v>
      </c>
      <c r="H16" s="84">
        <v>0</v>
      </c>
      <c r="I16">
        <v>39</v>
      </c>
      <c r="J16" s="83" t="s">
        <v>197</v>
      </c>
      <c r="K16" s="92" t="str">
        <f>VLOOKUP(I16,[7]stage_hints!$A:$C,3,FALSE)</f>
        <v>システム適合者を確認</v>
      </c>
      <c r="L16" s="93" t="str">
        <f>VLOOKUP(I16,[7]stage_hints!$A:$D,4,FALSE)</f>
        <v>ALICEが 「アナタ」を呼んでいます</v>
      </c>
      <c r="M16" s="55" t="s">
        <v>209</v>
      </c>
    </row>
  </sheetData>
  <phoneticPr fontId="5"/>
  <dataValidations count="1">
    <dataValidation type="list" allowBlank="1" showInputMessage="1" showErrorMessage="1" sqref="A2:A1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N6"/>
  <sheetViews>
    <sheetView showGridLines="0" workbookViewId="0">
      <pane ySplit="1" topLeftCell="A2" activePane="bottomLeft" state="frozen"/>
      <selection pane="bottomLeft" activeCell="M18" sqref="M18"/>
    </sheetView>
  </sheetViews>
  <sheetFormatPr baseColWidth="12" defaultColWidth="13" defaultRowHeight="15" outlineLevelCol="1" x14ac:dyDescent="0.15"/>
  <cols>
    <col min="1" max="1" width="13" style="87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4" x14ac:dyDescent="0.15">
      <c r="A1" s="75" t="s">
        <v>187</v>
      </c>
      <c r="B1" s="72" t="s">
        <v>149</v>
      </c>
      <c r="C1" s="76" t="s">
        <v>189</v>
      </c>
      <c r="D1" s="76" t="s">
        <v>33</v>
      </c>
      <c r="E1" s="72" t="s">
        <v>190</v>
      </c>
      <c r="F1" s="76" t="s">
        <v>18</v>
      </c>
      <c r="G1" s="76" t="s">
        <v>33</v>
      </c>
      <c r="H1" s="72" t="s">
        <v>192</v>
      </c>
      <c r="I1" s="88" t="s">
        <v>193</v>
      </c>
      <c r="J1" s="90" t="s">
        <v>194</v>
      </c>
      <c r="K1" s="78" t="s">
        <v>125</v>
      </c>
      <c r="L1" s="77" t="s">
        <v>186</v>
      </c>
      <c r="M1" s="91" t="s">
        <v>185</v>
      </c>
      <c r="N1" s="79" t="s">
        <v>195</v>
      </c>
    </row>
    <row r="2" spans="1:14" x14ac:dyDescent="0.15">
      <c r="A2" s="80" t="s">
        <v>196</v>
      </c>
      <c r="B2" s="81">
        <f>floors!$C$2</f>
        <v>65534</v>
      </c>
      <c r="C2" s="82" t="str">
        <f ca="1">VLOOKUP($B2,OFFSET([2]quests!$A$1,0,0,COUNTA([2]quests!$A:$A),MATCH(C$1,[2]quests!$1:$1,0)-MATCH($B$1,[2]quests!$1:$1,0)+1),MATCH(C$1,[2]quests!$1:$1,0)-MATCH($B$1,[2]quests!$1:$1,0)+1,FALSE)</f>
        <v>【LB大野】検証クエスト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3">
        <v>1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【LB大野】検証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4">
        <v>1</v>
      </c>
      <c r="I2" s="89">
        <f>ROW()-1</f>
        <v>1</v>
      </c>
      <c r="J2" s="85" t="str">
        <f>B2&amp;TEXT(I2,"00")</f>
        <v>6553401</v>
      </c>
      <c r="K2" s="83" t="s">
        <v>197</v>
      </c>
      <c r="L2" s="86" t="s">
        <v>256</v>
      </c>
      <c r="M2" s="134" t="s">
        <v>302</v>
      </c>
      <c r="N2" s="55" t="s">
        <v>198</v>
      </c>
    </row>
    <row r="3" spans="1:14" ht="56" x14ac:dyDescent="0.15">
      <c r="A3" s="80" t="s">
        <v>196</v>
      </c>
      <c r="B3" s="81">
        <f>floors!$C$2</f>
        <v>65534</v>
      </c>
      <c r="C3" s="82" t="str">
        <f ca="1">VLOOKUP($B3,OFFSET([2]quests!$A$1,0,0,COUNTA([2]quests!$A:$A),MATCH(C$1,[2]quests!$1:$1,0)-MATCH($B$1,[2]quests!$1:$1,0)+1),MATCH(C$1,[2]quests!$1:$1,0)-MATCH($B$1,[2]quests!$1:$1,0)+1,FALSE)</f>
        <v>【LB大野】検証クエスト</v>
      </c>
      <c r="D3" s="82" t="str">
        <f ca="1">VLOOKUP($B3,OFFSET([2]quests!$A$1,0,0,COUNTA([2]quests!$A:$A),MATCH(D$1,[2]quests!$1:$1,0)-MATCH($B$1,[2]quests!$1:$1,0)+1),MATCH(D$1,[2]quests!$1:$1,0)-MATCH($B$1,[2]quests!$1:$1,0)+1,FALSE)</f>
        <v>検証</v>
      </c>
      <c r="E3" s="83">
        <v>1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【LB大野】検証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4">
        <v>2</v>
      </c>
      <c r="I3" s="89">
        <f>ROW()-1</f>
        <v>2</v>
      </c>
      <c r="J3" s="85" t="str">
        <f>B3&amp;TEXT(I3,"00")</f>
        <v>6553402</v>
      </c>
      <c r="K3" s="83" t="s">
        <v>197</v>
      </c>
      <c r="L3" s="86" t="s">
        <v>256</v>
      </c>
      <c r="M3" s="134" t="s">
        <v>279</v>
      </c>
      <c r="N3" s="55" t="s">
        <v>198</v>
      </c>
    </row>
    <row r="4" spans="1:14" ht="42" x14ac:dyDescent="0.15">
      <c r="A4" s="80" t="s">
        <v>196</v>
      </c>
      <c r="B4" s="81">
        <f>floors!$C$2</f>
        <v>65534</v>
      </c>
      <c r="C4" s="82" t="str">
        <f ca="1">VLOOKUP($B4,OFFSET([2]quests!$A$1,0,0,COUNTA([2]quests!$A:$A),MATCH(C$1,[2]quests!$1:$1,0)-MATCH($B$1,[2]quests!$1:$1,0)+1),MATCH(C$1,[2]quests!$1:$1,0)-MATCH($B$1,[2]quests!$1:$1,0)+1,FALSE)</f>
        <v>【LB大野】検証クエスト</v>
      </c>
      <c r="D4" s="82" t="str">
        <f ca="1">VLOOKUP($B4,OFFSET([2]quests!$A$1,0,0,COUNTA([2]quests!$A:$A),MATCH(D$1,[2]quests!$1:$1,0)-MATCH($B$1,[2]quests!$1:$1,0)+1),MATCH(D$1,[2]quests!$1:$1,0)-MATCH($B$1,[2]quests!$1:$1,0)+1,FALSE)</f>
        <v>検証</v>
      </c>
      <c r="E4" s="83">
        <v>1</v>
      </c>
      <c r="F4" s="82" t="str">
        <f ca="1">VLOOKUP($B4&amp;"_"&amp;$E4,OFFSET([2]stages!$A$1,0,0,COUNTA([2]stages!$A:$A),MATCH(F$1,[2]stages!$2:$2,0)-MATCH("temp_stage",[2]stages!$2:$2,0)+1),MATCH(F$1,[2]stages!$2:$2,0)-MATCH("temp_stage",[2]stages!$2:$2,0)+1,FALSE)</f>
        <v>【LB大野】検証</v>
      </c>
      <c r="G4" s="82" t="str">
        <f ca="1">VLOOKUP($B4&amp;"_"&amp;$E4,OFFSET([2]stages!$A$1,0,0,COUNTA([2]stages!$A:$A),MATCH(G$1,[2]stages!$2:$2,0)-MATCH("temp_stage",[2]stages!$2:$2,0)+1),MATCH(G$1,[2]stages!$2:$2,0)-MATCH("temp_stage",[2]stages!$2:$2,0)+1,FALSE)</f>
        <v>検証</v>
      </c>
      <c r="H4" s="84">
        <v>3</v>
      </c>
      <c r="I4" s="89">
        <f>ROW()-1</f>
        <v>3</v>
      </c>
      <c r="J4" s="85" t="str">
        <f>B4&amp;TEXT(I4,"00")</f>
        <v>6553403</v>
      </c>
      <c r="K4" s="83" t="s">
        <v>197</v>
      </c>
      <c r="L4" s="86" t="s">
        <v>256</v>
      </c>
      <c r="M4" s="134" t="s">
        <v>280</v>
      </c>
      <c r="N4" s="55" t="s">
        <v>198</v>
      </c>
    </row>
    <row r="5" spans="1:14" ht="28" x14ac:dyDescent="0.15">
      <c r="A5" s="80" t="s">
        <v>196</v>
      </c>
      <c r="B5" s="81">
        <f>floors!$C$2</f>
        <v>65534</v>
      </c>
      <c r="C5" s="82" t="str">
        <f ca="1">VLOOKUP($B5,OFFSET([2]quests!$A$1,0,0,COUNTA([2]quests!$A:$A),MATCH(C$1,[2]quests!$1:$1,0)-MATCH($B$1,[2]quests!$1:$1,0)+1),MATCH(C$1,[2]quests!$1:$1,0)-MATCH($B$1,[2]quests!$1:$1,0)+1,FALSE)</f>
        <v>【LB大野】検証クエスト</v>
      </c>
      <c r="D5" s="82" t="str">
        <f ca="1">VLOOKUP($B5,OFFSET([2]quests!$A$1,0,0,COUNTA([2]quests!$A:$A),MATCH(D$1,[2]quests!$1:$1,0)-MATCH($B$1,[2]quests!$1:$1,0)+1),MATCH(D$1,[2]quests!$1:$1,0)-MATCH($B$1,[2]quests!$1:$1,0)+1,FALSE)</f>
        <v>検証</v>
      </c>
      <c r="E5" s="83">
        <v>1</v>
      </c>
      <c r="F5" s="82" t="str">
        <f ca="1">VLOOKUP($B5&amp;"_"&amp;$E5,OFFSET([2]stages!$A$1,0,0,COUNTA([2]stages!$A:$A),MATCH(F$1,[2]stages!$2:$2,0)-MATCH("temp_stage",[2]stages!$2:$2,0)+1),MATCH(F$1,[2]stages!$2:$2,0)-MATCH("temp_stage",[2]stages!$2:$2,0)+1,FALSE)</f>
        <v>【LB大野】検証</v>
      </c>
      <c r="G5" s="82" t="str">
        <f ca="1">VLOOKUP($B5&amp;"_"&amp;$E5,OFFSET([2]stages!$A$1,0,0,COUNTA([2]stages!$A:$A),MATCH(G$1,[2]stages!$2:$2,0)-MATCH("temp_stage",[2]stages!$2:$2,0)+1),MATCH(G$1,[2]stages!$2:$2,0)-MATCH("temp_stage",[2]stages!$2:$2,0)+1,FALSE)</f>
        <v>検証</v>
      </c>
      <c r="H5" s="84">
        <v>4</v>
      </c>
      <c r="I5" s="89">
        <f>ROW()-1</f>
        <v>4</v>
      </c>
      <c r="J5" s="85" t="str">
        <f>B5&amp;TEXT(I5,"00")</f>
        <v>6553404</v>
      </c>
      <c r="K5" s="83" t="s">
        <v>197</v>
      </c>
      <c r="L5" s="86" t="s">
        <v>256</v>
      </c>
      <c r="M5" s="134" t="s">
        <v>282</v>
      </c>
      <c r="N5" s="55" t="s">
        <v>198</v>
      </c>
    </row>
    <row r="6" spans="1:14" ht="56" x14ac:dyDescent="0.15">
      <c r="A6" s="80" t="s">
        <v>196</v>
      </c>
      <c r="B6" s="81">
        <f>floors!$C$2</f>
        <v>65534</v>
      </c>
      <c r="C6" s="82" t="str">
        <f ca="1">VLOOKUP($B6,OFFSET([2]quests!$A$1,0,0,COUNTA([2]quests!$A:$A),MATCH(C$1,[2]quests!$1:$1,0)-MATCH($B$1,[2]quests!$1:$1,0)+1),MATCH(C$1,[2]quests!$1:$1,0)-MATCH($B$1,[2]quests!$1:$1,0)+1,FALSE)</f>
        <v>【LB大野】検証クエスト</v>
      </c>
      <c r="D6" s="82" t="str">
        <f ca="1">VLOOKUP($B6,OFFSET([2]quests!$A$1,0,0,COUNTA([2]quests!$A:$A),MATCH(D$1,[2]quests!$1:$1,0)-MATCH($B$1,[2]quests!$1:$1,0)+1),MATCH(D$1,[2]quests!$1:$1,0)-MATCH($B$1,[2]quests!$1:$1,0)+1,FALSE)</f>
        <v>検証</v>
      </c>
      <c r="E6" s="83">
        <v>1</v>
      </c>
      <c r="F6" s="82" t="str">
        <f ca="1">VLOOKUP($B6&amp;"_"&amp;$E6,OFFSET([2]stages!$A$1,0,0,COUNTA([2]stages!$A:$A),MATCH(F$1,[2]stages!$2:$2,0)-MATCH("temp_stage",[2]stages!$2:$2,0)+1),MATCH(F$1,[2]stages!$2:$2,0)-MATCH("temp_stage",[2]stages!$2:$2,0)+1,FALSE)</f>
        <v>【LB大野】検証</v>
      </c>
      <c r="G6" s="82" t="str">
        <f ca="1">VLOOKUP($B6&amp;"_"&amp;$E6,OFFSET([2]stages!$A$1,0,0,COUNTA([2]stages!$A:$A),MATCH(G$1,[2]stages!$2:$2,0)-MATCH("temp_stage",[2]stages!$2:$2,0)+1),MATCH(G$1,[2]stages!$2:$2,0)-MATCH("temp_stage",[2]stages!$2:$2,0)+1,FALSE)</f>
        <v>検証</v>
      </c>
      <c r="H6" s="84">
        <v>4</v>
      </c>
      <c r="I6" s="89">
        <f>ROW()-1</f>
        <v>5</v>
      </c>
      <c r="J6" s="85" t="str">
        <f>B6&amp;TEXT(I6,"00")</f>
        <v>6553405</v>
      </c>
      <c r="K6" s="83" t="s">
        <v>197</v>
      </c>
      <c r="L6" s="86" t="s">
        <v>256</v>
      </c>
      <c r="M6" s="134" t="s">
        <v>301</v>
      </c>
      <c r="N6" s="55" t="s">
        <v>198</v>
      </c>
    </row>
  </sheetData>
  <phoneticPr fontId="5"/>
  <dataValidations count="1">
    <dataValidation type="list" allowBlank="1" showInputMessage="1" showErrorMessage="1" sqref="A2:A6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workbookViewId="0">
      <pane ySplit="1" topLeftCell="A2" activePane="bottomLeft" state="frozen"/>
      <selection pane="bottomLeft" activeCell="E2" sqref="E2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5" t="s">
        <v>212</v>
      </c>
      <c r="B1" s="96" t="s">
        <v>213</v>
      </c>
      <c r="C1" s="76" t="s">
        <v>214</v>
      </c>
      <c r="D1" s="76" t="s">
        <v>33</v>
      </c>
      <c r="E1" s="96" t="s">
        <v>215</v>
      </c>
      <c r="F1" s="76" t="s">
        <v>216</v>
      </c>
      <c r="G1" s="76" t="s">
        <v>33</v>
      </c>
      <c r="H1" s="96" t="s">
        <v>217</v>
      </c>
      <c r="I1" s="96" t="s">
        <v>218</v>
      </c>
      <c r="J1" s="96" t="s">
        <v>219</v>
      </c>
      <c r="K1" s="72" t="s">
        <v>220</v>
      </c>
      <c r="L1" s="72" t="s">
        <v>221</v>
      </c>
      <c r="M1" s="72" t="s">
        <v>155</v>
      </c>
      <c r="N1" s="76" t="s">
        <v>16</v>
      </c>
      <c r="O1" s="72" t="s">
        <v>222</v>
      </c>
      <c r="P1" s="72" t="s">
        <v>57</v>
      </c>
      <c r="Q1" s="72" t="s">
        <v>223</v>
      </c>
      <c r="R1" s="72" t="s">
        <v>38</v>
      </c>
      <c r="S1" s="72" t="s">
        <v>40</v>
      </c>
      <c r="T1" s="72" t="s">
        <v>42</v>
      </c>
      <c r="U1" s="72" t="s">
        <v>44</v>
      </c>
      <c r="V1" s="72" t="s">
        <v>46</v>
      </c>
      <c r="W1" s="72" t="s">
        <v>224</v>
      </c>
      <c r="X1" s="72" t="s">
        <v>225</v>
      </c>
    </row>
    <row r="2" spans="1:24" x14ac:dyDescent="0.15">
      <c r="A2" s="97" t="str">
        <f>B2&amp;"_"&amp;E2&amp;"_"&amp;H2&amp;"_"&amp;I2&amp;"_"&amp;J2</f>
        <v>65535_7_everyone_clear_1</v>
      </c>
      <c r="B2" s="81">
        <v>65535</v>
      </c>
      <c r="C2" s="82" t="str">
        <f ca="1">VLOOKUP($B2,OFFSET([2]quests!$A$1,0,0,COUNTA([2]quests!$A:$A),MATCH(C$1,[2]quests!$1:$1,0)-MATCH($B$1,[2]quests!$1:$1,0)+1),MATCH(C$1,[2]quests!$1:$1,0)-MATCH($B$1,[2]quests!$1:$1,0)+1,FALSE)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2" s="82" t="str">
        <f ca="1">VLOOKUP($B2,OFFSET([2]quests!$A$1,0,0,COUNTA([2]quests!$A:$A),MATCH(D$1,[2]quests!$1:$1,0)-MATCH($B$1,[2]quests!$1:$1,0)+1),MATCH(D$1,[2]quests!$1:$1,0)-MATCH($B$1,[2]quests!$1:$1,0)+1,FALSE)</f>
        <v>検証</v>
      </c>
      <c r="E2" s="83">
        <v>7</v>
      </c>
      <c r="F2" s="82" t="str">
        <f ca="1">VLOOKUP($B2&amp;"_"&amp;$E2,OFFSET([2]stages!$A$1,0,0,COUNTA([2]stages!$A:$A),MATCH(F$1,[2]stages!$2:$2,0)-MATCH("temp_stage",[2]stages!$2:$2,0)+1),MATCH(F$1,[2]stages!$2:$2,0)-MATCH("temp_stage",[2]stages!$2:$2,0)+1,FALSE)</f>
        <v>爆風ジャンヌ</v>
      </c>
      <c r="G2" s="82" t="str">
        <f ca="1">VLOOKUP($B2&amp;"_"&amp;$E2,OFFSET([2]stages!$A$1,0,0,COUNTA([2]stages!$A:$A),MATCH(G$1,[2]stages!$2:$2,0)-MATCH("temp_stage",[2]stages!$2:$2,0)+1),MATCH(G$1,[2]stages!$2:$2,0)-MATCH("temp_stage",[2]stages!$2:$2,0)+1,FALSE)</f>
        <v>検証</v>
      </c>
      <c r="H2" s="84" t="s">
        <v>226</v>
      </c>
      <c r="I2" s="83" t="s">
        <v>227</v>
      </c>
      <c r="J2" s="83">
        <v>1</v>
      </c>
      <c r="K2" s="83">
        <v>610</v>
      </c>
      <c r="L2" s="83" t="s">
        <v>228</v>
      </c>
      <c r="M2" s="83">
        <v>334</v>
      </c>
      <c r="N2" s="98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2" s="83">
        <v>1</v>
      </c>
      <c r="P2" s="83">
        <v>1</v>
      </c>
      <c r="Q2" s="83">
        <v>1</v>
      </c>
      <c r="R2" s="83">
        <v>0</v>
      </c>
      <c r="S2" s="83">
        <v>0</v>
      </c>
      <c r="T2" s="83">
        <v>0</v>
      </c>
      <c r="U2" s="83">
        <v>0</v>
      </c>
      <c r="V2" s="83">
        <v>1</v>
      </c>
      <c r="W2" s="99" t="s">
        <v>229</v>
      </c>
      <c r="X2" s="100" t="s">
        <v>230</v>
      </c>
    </row>
    <row r="3" spans="1:24" x14ac:dyDescent="0.15">
      <c r="A3" s="97" t="str">
        <f>B3&amp;"_"&amp;E3&amp;"_"&amp;H3&amp;"_"&amp;I3&amp;"_"&amp;J3</f>
        <v>65535_7_everyone_no_continue_1</v>
      </c>
      <c r="B3" s="81">
        <v>65535</v>
      </c>
      <c r="C3" s="82" t="str">
        <f ca="1">VLOOKUP($B3,OFFSET([2]quests!$A$1,0,0,COUNTA([2]quests!$A:$A),MATCH(C$1,[2]quests!$1:$1,0)-MATCH($B$1,[2]quests!$1:$1,0)+1),MATCH(C$1,[2]quests!$1:$1,0)-MATCH($B$1,[2]quests!$1:$1,0)+1,FALSE)</f>
        <v>１２３４５６７８９０１２３４５６７８９０１２３４５６７８９０</v>
      </c>
      <c r="D3" s="82" t="str">
        <f ca="1">VLOOKUP($B3,OFFSET([2]quests!$A$1,0,0,COUNTA([2]quests!$A:$A),MATCH(D$1,[2]quests!$1:$1,0)-MATCH($B$1,[2]quests!$1:$1,0)+1),MATCH(D$1,[2]quests!$1:$1,0)-MATCH($B$1,[2]quests!$1:$1,0)+1,FALSE)</f>
        <v>検証</v>
      </c>
      <c r="E3" s="83">
        <v>7</v>
      </c>
      <c r="F3" s="82" t="str">
        <f ca="1">VLOOKUP($B3&amp;"_"&amp;$E3,OFFSET([2]stages!$A$1,0,0,COUNTA([2]stages!$A:$A),MATCH(F$1,[2]stages!$2:$2,0)-MATCH("temp_stage",[2]stages!$2:$2,0)+1),MATCH(F$1,[2]stages!$2:$2,0)-MATCH("temp_stage",[2]stages!$2:$2,0)+1,FALSE)</f>
        <v>爆風ジャンヌ</v>
      </c>
      <c r="G3" s="82" t="str">
        <f ca="1">VLOOKUP($B3&amp;"_"&amp;$E3,OFFSET([2]stages!$A$1,0,0,COUNTA([2]stages!$A:$A),MATCH(G$1,[2]stages!$2:$2,0)-MATCH("temp_stage",[2]stages!$2:$2,0)+1),MATCH(G$1,[2]stages!$2:$2,0)-MATCH("temp_stage",[2]stages!$2:$2,0)+1,FALSE)</f>
        <v>検証</v>
      </c>
      <c r="H3" s="84" t="s">
        <v>226</v>
      </c>
      <c r="I3" s="83" t="s">
        <v>231</v>
      </c>
      <c r="J3" s="83">
        <v>1</v>
      </c>
      <c r="K3" s="83">
        <v>610</v>
      </c>
      <c r="L3" s="83" t="s">
        <v>228</v>
      </c>
      <c r="M3" s="83">
        <v>334</v>
      </c>
      <c r="N3" s="98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炎のメタルダック</v>
      </c>
      <c r="O3" s="83">
        <v>1</v>
      </c>
      <c r="P3" s="83">
        <v>1</v>
      </c>
      <c r="Q3" s="83">
        <v>1</v>
      </c>
      <c r="R3" s="83">
        <v>0</v>
      </c>
      <c r="S3" s="83">
        <v>0</v>
      </c>
      <c r="T3" s="83">
        <v>0</v>
      </c>
      <c r="U3" s="83">
        <v>0</v>
      </c>
      <c r="V3" s="83">
        <v>1</v>
      </c>
      <c r="W3" s="99" t="s">
        <v>229</v>
      </c>
      <c r="X3" s="100" t="s">
        <v>230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2017-05-22T08:00:56Z</dcterms:modified>
</cp:coreProperties>
</file>