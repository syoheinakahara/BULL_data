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multi_2_4" sheetId="2" r:id="rId1"/>
    <sheet name="enemy_habitats_multi_2_4" sheetId="1" r:id="rId2"/>
    <sheet name="floors_multi_2_4.tmp" sheetId="5" r:id="rId3"/>
    <sheet name="enemy_habitats_multi_2_4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enemy_habitats_multi_2_4!$B$1:$AG$1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8" i="6" l="1"/>
  <c r="R39" i="6"/>
  <c r="AB3" i="1"/>
  <c r="AC3" i="1"/>
  <c r="AD3" i="1"/>
  <c r="AB4" i="1"/>
  <c r="AC4" i="1"/>
  <c r="AD4" i="1"/>
  <c r="AB5" i="1"/>
  <c r="AC5" i="1"/>
  <c r="AD5" i="1"/>
  <c r="AB6" i="1"/>
  <c r="AC6" i="1"/>
  <c r="AD6" i="1"/>
  <c r="AB7" i="1"/>
  <c r="AC7" i="1"/>
  <c r="AD7" i="1"/>
  <c r="AB8" i="1"/>
  <c r="AC8" i="1"/>
  <c r="AD8" i="1"/>
  <c r="AB9" i="1"/>
  <c r="AC9" i="1"/>
  <c r="AD9" i="1"/>
  <c r="AB10" i="1"/>
  <c r="AC10" i="1"/>
  <c r="AD10" i="1"/>
  <c r="AB11" i="1"/>
  <c r="AC11" i="1"/>
  <c r="AD11" i="1"/>
  <c r="AB12" i="1"/>
  <c r="AC12" i="1"/>
  <c r="AD12" i="1"/>
  <c r="AB13" i="1"/>
  <c r="AC13" i="1"/>
  <c r="AD13" i="1"/>
  <c r="AB14" i="1"/>
  <c r="AC14" i="1"/>
  <c r="AD14" i="1"/>
  <c r="AB15" i="1"/>
  <c r="AC15" i="1"/>
  <c r="AD15" i="1"/>
  <c r="AB16" i="1"/>
  <c r="AC16" i="1"/>
  <c r="AD16" i="1"/>
  <c r="AB17" i="1"/>
  <c r="AC17" i="1"/>
  <c r="AD17" i="1"/>
  <c r="AB18" i="1"/>
  <c r="AC18" i="1"/>
  <c r="AD18" i="1"/>
  <c r="AB19" i="1"/>
  <c r="AC19" i="1"/>
  <c r="AD19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B24" i="1"/>
  <c r="AC24" i="1"/>
  <c r="AD24" i="1"/>
  <c r="AB25" i="1"/>
  <c r="AC25" i="1"/>
  <c r="AD25" i="1"/>
  <c r="AB26" i="1"/>
  <c r="AC26" i="1"/>
  <c r="AD26" i="1"/>
  <c r="AB27" i="1"/>
  <c r="AC27" i="1"/>
  <c r="AD27" i="1"/>
  <c r="AB28" i="1"/>
  <c r="AC28" i="1"/>
  <c r="AD28" i="1"/>
  <c r="AB29" i="1"/>
  <c r="AC29" i="1"/>
  <c r="AD29" i="1"/>
  <c r="AB30" i="1"/>
  <c r="AC30" i="1"/>
  <c r="AD30" i="1"/>
  <c r="AB31" i="1"/>
  <c r="AC31" i="1"/>
  <c r="AD31" i="1"/>
  <c r="AB32" i="1"/>
  <c r="AC32" i="1"/>
  <c r="AD32" i="1"/>
  <c r="AB33" i="1"/>
  <c r="AC33" i="1"/>
  <c r="AD33" i="1"/>
  <c r="AB34" i="1"/>
  <c r="AC34" i="1"/>
  <c r="AD34" i="1"/>
  <c r="AB35" i="1"/>
  <c r="AC35" i="1"/>
  <c r="AD35" i="1"/>
  <c r="AB36" i="1"/>
  <c r="AC36" i="1"/>
  <c r="AD36" i="1"/>
  <c r="AB37" i="1"/>
  <c r="AC37" i="1"/>
  <c r="AD37" i="1"/>
  <c r="AB38" i="1"/>
  <c r="AC38" i="1"/>
  <c r="AD38" i="1"/>
  <c r="AD2" i="1"/>
  <c r="AC2" i="1"/>
  <c r="AB2" i="1"/>
  <c r="Z37" i="1"/>
  <c r="Z38" i="1"/>
  <c r="Z36" i="1"/>
  <c r="Z26" i="1"/>
  <c r="Z27" i="1"/>
  <c r="Z28" i="1"/>
  <c r="Z29" i="1"/>
  <c r="Z30" i="1"/>
  <c r="Z31" i="1"/>
  <c r="Z32" i="1"/>
  <c r="Z25" i="1"/>
  <c r="Z11" i="1"/>
  <c r="Z12" i="1"/>
  <c r="Z13" i="1"/>
  <c r="Z14" i="1"/>
  <c r="Z15" i="1"/>
  <c r="Z16" i="1"/>
  <c r="Z17" i="1"/>
  <c r="Z18" i="1"/>
  <c r="Z19" i="1"/>
  <c r="Z20" i="1"/>
  <c r="Z21" i="1"/>
  <c r="Z10" i="1"/>
  <c r="Z3" i="1"/>
  <c r="Z4" i="1"/>
  <c r="Z5" i="1"/>
  <c r="Z6" i="1"/>
  <c r="Z2" i="1"/>
  <c r="H3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I3" i="1"/>
  <c r="H4" i="1"/>
  <c r="I4" i="1"/>
  <c r="H5" i="1"/>
  <c r="I5" i="1"/>
  <c r="H6" i="1"/>
  <c r="I6" i="1"/>
  <c r="H2" i="1"/>
  <c r="I2" i="1"/>
  <c r="V2" i="1"/>
  <c r="U2" i="1"/>
  <c r="L3" i="1"/>
  <c r="M3" i="1"/>
  <c r="N3" i="1"/>
  <c r="O3" i="1"/>
  <c r="P3" i="1"/>
  <c r="L4" i="1"/>
  <c r="M4" i="1"/>
  <c r="N4" i="1"/>
  <c r="O4" i="1"/>
  <c r="P4" i="1"/>
  <c r="L5" i="1"/>
  <c r="M5" i="1"/>
  <c r="N5" i="1"/>
  <c r="O5" i="1"/>
  <c r="P5" i="1"/>
  <c r="L6" i="1"/>
  <c r="M6" i="1"/>
  <c r="N6" i="1"/>
  <c r="O6" i="1"/>
  <c r="P6" i="1"/>
  <c r="L7" i="1"/>
  <c r="M7" i="1"/>
  <c r="N7" i="1"/>
  <c r="O7" i="1"/>
  <c r="P7" i="1"/>
  <c r="L8" i="1"/>
  <c r="M8" i="1"/>
  <c r="N8" i="1"/>
  <c r="O8" i="1"/>
  <c r="P8" i="1"/>
  <c r="L9" i="1"/>
  <c r="M9" i="1"/>
  <c r="N9" i="1"/>
  <c r="O9" i="1"/>
  <c r="P9" i="1"/>
  <c r="L10" i="1"/>
  <c r="M10" i="1"/>
  <c r="N10" i="1"/>
  <c r="O10" i="1"/>
  <c r="P10" i="1"/>
  <c r="L11" i="1"/>
  <c r="M11" i="1"/>
  <c r="N11" i="1"/>
  <c r="O11" i="1"/>
  <c r="P11" i="1"/>
  <c r="L12" i="1"/>
  <c r="M12" i="1"/>
  <c r="N12" i="1"/>
  <c r="O12" i="1"/>
  <c r="P12" i="1"/>
  <c r="L13" i="1"/>
  <c r="M13" i="1"/>
  <c r="N13" i="1"/>
  <c r="O13" i="1"/>
  <c r="P13" i="1"/>
  <c r="L14" i="1"/>
  <c r="M14" i="1"/>
  <c r="N14" i="1"/>
  <c r="O14" i="1"/>
  <c r="P14" i="1"/>
  <c r="L15" i="1"/>
  <c r="M15" i="1"/>
  <c r="N15" i="1"/>
  <c r="O15" i="1"/>
  <c r="P15" i="1"/>
  <c r="L16" i="1"/>
  <c r="M16" i="1"/>
  <c r="N16" i="1"/>
  <c r="O16" i="1"/>
  <c r="P16" i="1"/>
  <c r="L17" i="1"/>
  <c r="M17" i="1"/>
  <c r="N17" i="1"/>
  <c r="O17" i="1"/>
  <c r="P17" i="1"/>
  <c r="L18" i="1"/>
  <c r="M18" i="1"/>
  <c r="N18" i="1"/>
  <c r="O18" i="1"/>
  <c r="P18" i="1"/>
  <c r="L19" i="1"/>
  <c r="M19" i="1"/>
  <c r="N19" i="1"/>
  <c r="O19" i="1"/>
  <c r="P19" i="1"/>
  <c r="L20" i="1"/>
  <c r="M20" i="1"/>
  <c r="N20" i="1"/>
  <c r="O20" i="1"/>
  <c r="P20" i="1"/>
  <c r="L21" i="1"/>
  <c r="M21" i="1"/>
  <c r="N21" i="1"/>
  <c r="O21" i="1"/>
  <c r="P21" i="1"/>
  <c r="L22" i="1"/>
  <c r="M22" i="1"/>
  <c r="N22" i="1"/>
  <c r="O22" i="1"/>
  <c r="P22" i="1"/>
  <c r="L23" i="1"/>
  <c r="M23" i="1"/>
  <c r="N23" i="1"/>
  <c r="O23" i="1"/>
  <c r="P23" i="1"/>
  <c r="L24" i="1"/>
  <c r="M24" i="1"/>
  <c r="N24" i="1"/>
  <c r="O24" i="1"/>
  <c r="P24" i="1"/>
  <c r="L25" i="1"/>
  <c r="M25" i="1"/>
  <c r="N25" i="1"/>
  <c r="O25" i="1"/>
  <c r="P25" i="1"/>
  <c r="L26" i="1"/>
  <c r="M26" i="1"/>
  <c r="N26" i="1"/>
  <c r="O26" i="1"/>
  <c r="P26" i="1"/>
  <c r="L27" i="1"/>
  <c r="M27" i="1"/>
  <c r="N27" i="1"/>
  <c r="O27" i="1"/>
  <c r="P27" i="1"/>
  <c r="L28" i="1"/>
  <c r="M28" i="1"/>
  <c r="N28" i="1"/>
  <c r="O28" i="1"/>
  <c r="P28" i="1"/>
  <c r="L29" i="1"/>
  <c r="M29" i="1"/>
  <c r="N29" i="1"/>
  <c r="O29" i="1"/>
  <c r="P29" i="1"/>
  <c r="L30" i="1"/>
  <c r="M30" i="1"/>
  <c r="N30" i="1"/>
  <c r="O30" i="1"/>
  <c r="P30" i="1"/>
  <c r="L31" i="1"/>
  <c r="M31" i="1"/>
  <c r="N31" i="1"/>
  <c r="O31" i="1"/>
  <c r="P31" i="1"/>
  <c r="L32" i="1"/>
  <c r="M32" i="1"/>
  <c r="N32" i="1"/>
  <c r="O32" i="1"/>
  <c r="P32" i="1"/>
  <c r="L33" i="1"/>
  <c r="M33" i="1"/>
  <c r="N33" i="1"/>
  <c r="O33" i="1"/>
  <c r="P33" i="1"/>
  <c r="L34" i="1"/>
  <c r="M34" i="1"/>
  <c r="N34" i="1"/>
  <c r="O34" i="1"/>
  <c r="P34" i="1"/>
  <c r="L35" i="1"/>
  <c r="M35" i="1"/>
  <c r="N35" i="1"/>
  <c r="O35" i="1"/>
  <c r="P35" i="1"/>
  <c r="L36" i="1"/>
  <c r="M36" i="1"/>
  <c r="N36" i="1"/>
  <c r="O36" i="1"/>
  <c r="P36" i="1"/>
  <c r="L37" i="1"/>
  <c r="M37" i="1"/>
  <c r="N37" i="1"/>
  <c r="O37" i="1"/>
  <c r="P37" i="1"/>
  <c r="L38" i="1"/>
  <c r="M38" i="1"/>
  <c r="N38" i="1"/>
  <c r="O38" i="1"/>
  <c r="P38" i="1"/>
  <c r="V18" i="1"/>
  <c r="V19" i="1"/>
  <c r="V20" i="1"/>
  <c r="V21" i="1"/>
  <c r="V17" i="1"/>
  <c r="V11" i="1"/>
  <c r="V12" i="1"/>
  <c r="V13" i="1"/>
  <c r="V14" i="1"/>
  <c r="V15" i="1"/>
  <c r="V10" i="1"/>
  <c r="V3" i="1"/>
  <c r="V4" i="1"/>
  <c r="V5" i="1"/>
  <c r="V6" i="1"/>
  <c r="D2" i="1"/>
  <c r="F2" i="1"/>
  <c r="D3" i="1"/>
  <c r="F3" i="1"/>
  <c r="D4" i="1"/>
  <c r="F4" i="1"/>
  <c r="D5" i="1"/>
  <c r="F5" i="1"/>
  <c r="D6" i="1"/>
  <c r="F6" i="1"/>
  <c r="D7" i="1"/>
  <c r="F7" i="1"/>
  <c r="D8" i="1"/>
  <c r="F8" i="1"/>
  <c r="D9" i="1"/>
  <c r="F9" i="1"/>
  <c r="D10" i="1"/>
  <c r="F10" i="1"/>
  <c r="D11" i="1"/>
  <c r="F11" i="1"/>
  <c r="D12" i="1"/>
  <c r="F12" i="1"/>
  <c r="D13" i="1"/>
  <c r="F13" i="1"/>
  <c r="D14" i="1"/>
  <c r="F14" i="1"/>
  <c r="D15" i="1"/>
  <c r="F15" i="1"/>
  <c r="D16" i="1"/>
  <c r="F16" i="1"/>
  <c r="D17" i="1"/>
  <c r="F17" i="1"/>
  <c r="D18" i="1"/>
  <c r="F18" i="1"/>
  <c r="D19" i="1"/>
  <c r="F19" i="1"/>
  <c r="D20" i="1"/>
  <c r="F20" i="1"/>
  <c r="D21" i="1"/>
  <c r="F21" i="1"/>
  <c r="D22" i="1"/>
  <c r="F22" i="1"/>
  <c r="D23" i="1"/>
  <c r="F23" i="1"/>
  <c r="D24" i="1"/>
  <c r="F24" i="1"/>
  <c r="D25" i="1"/>
  <c r="F25" i="1"/>
  <c r="D26" i="1"/>
  <c r="F26" i="1"/>
  <c r="D27" i="1"/>
  <c r="F27" i="1"/>
  <c r="D28" i="1"/>
  <c r="F28" i="1"/>
  <c r="D29" i="1"/>
  <c r="F29" i="1"/>
  <c r="D30" i="1"/>
  <c r="F30" i="1"/>
  <c r="D31" i="1"/>
  <c r="F31" i="1"/>
  <c r="D32" i="1"/>
  <c r="F32" i="1"/>
  <c r="D33" i="1"/>
  <c r="F33" i="1"/>
  <c r="D34" i="1"/>
  <c r="F34" i="1"/>
  <c r="D35" i="1"/>
  <c r="F35" i="1"/>
  <c r="D36" i="1"/>
  <c r="F36" i="1"/>
  <c r="D37" i="1"/>
  <c r="F37" i="1"/>
  <c r="D38" i="1"/>
  <c r="F38" i="1"/>
  <c r="P2" i="1"/>
  <c r="O2" i="1"/>
  <c r="M2" i="1"/>
  <c r="L2" i="1"/>
  <c r="N2" i="1"/>
  <c r="C1" i="6"/>
  <c r="A1" i="6"/>
  <c r="A38" i="1"/>
  <c r="A39" i="6"/>
  <c r="A2" i="1"/>
  <c r="A3" i="1"/>
  <c r="A4" i="1"/>
  <c r="A5" i="1"/>
  <c r="A6" i="1"/>
  <c r="A10" i="1"/>
  <c r="A11" i="1"/>
  <c r="A12" i="1"/>
  <c r="A13" i="1"/>
  <c r="A14" i="1"/>
  <c r="A15" i="1"/>
  <c r="A16" i="1"/>
  <c r="A17" i="1"/>
  <c r="A18" i="1"/>
  <c r="A19" i="1"/>
  <c r="A20" i="1"/>
  <c r="A21" i="1"/>
  <c r="A25" i="1"/>
  <c r="A26" i="1"/>
  <c r="A27" i="1"/>
  <c r="A28" i="1"/>
  <c r="A29" i="1"/>
  <c r="A30" i="1"/>
  <c r="A31" i="1"/>
  <c r="A32" i="1"/>
  <c r="A36" i="1"/>
  <c r="A37" i="1"/>
  <c r="B1" i="6"/>
  <c r="A7" i="1"/>
  <c r="A8" i="1"/>
  <c r="A9" i="1"/>
  <c r="A22" i="1"/>
  <c r="A23" i="1"/>
  <c r="A24" i="1"/>
  <c r="A33" i="1"/>
  <c r="A34" i="1"/>
  <c r="A35" i="1"/>
  <c r="W39" i="6"/>
  <c r="V39" i="6"/>
  <c r="U39" i="6"/>
  <c r="T39" i="6"/>
  <c r="S39" i="6"/>
  <c r="AF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F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F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F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F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F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F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F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F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F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F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AF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F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F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F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F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F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F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F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F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F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F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F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F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F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F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F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F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F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F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F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F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F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F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F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F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U27" i="1"/>
  <c r="H27" i="1"/>
  <c r="J27" i="1"/>
  <c r="I27" i="1"/>
  <c r="E27" i="1"/>
  <c r="U25" i="1"/>
  <c r="H25" i="1"/>
  <c r="J25" i="1"/>
  <c r="I25" i="1"/>
  <c r="E25" i="1"/>
  <c r="U36" i="1"/>
  <c r="H36" i="1"/>
  <c r="J36" i="1"/>
  <c r="I36" i="1"/>
  <c r="E36" i="1"/>
  <c r="C1" i="5"/>
  <c r="A1" i="5"/>
  <c r="A14" i="5"/>
  <c r="B1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E37" i="1"/>
  <c r="H37" i="1"/>
  <c r="I37" i="1"/>
  <c r="J37" i="1"/>
  <c r="U37" i="1"/>
  <c r="U38" i="1"/>
  <c r="AF2" i="1"/>
  <c r="E34" i="1"/>
  <c r="H34" i="1"/>
  <c r="I34" i="1"/>
  <c r="J34" i="1"/>
  <c r="U34" i="1"/>
  <c r="E35" i="1"/>
  <c r="H35" i="1"/>
  <c r="I35" i="1"/>
  <c r="J35" i="1"/>
  <c r="U35" i="1"/>
  <c r="E38" i="1"/>
  <c r="H38" i="1"/>
  <c r="I38" i="1"/>
  <c r="J38" i="1"/>
  <c r="E2" i="1"/>
  <c r="J2" i="1"/>
  <c r="E3" i="1"/>
  <c r="J3" i="1"/>
  <c r="U3" i="1"/>
  <c r="E4" i="1"/>
  <c r="J4" i="1"/>
  <c r="U4" i="1"/>
  <c r="E5" i="1"/>
  <c r="J5" i="1"/>
  <c r="U5" i="1"/>
  <c r="E6" i="1"/>
  <c r="J6" i="1"/>
  <c r="U6" i="1"/>
  <c r="E7" i="1"/>
  <c r="H7" i="1"/>
  <c r="I7" i="1"/>
  <c r="J7" i="1"/>
  <c r="U7" i="1"/>
  <c r="E8" i="1"/>
  <c r="H8" i="1"/>
  <c r="I8" i="1"/>
  <c r="J8" i="1"/>
  <c r="U8" i="1"/>
  <c r="E9" i="1"/>
  <c r="H9" i="1"/>
  <c r="I9" i="1"/>
  <c r="J9" i="1"/>
  <c r="U9" i="1"/>
  <c r="E10" i="1"/>
  <c r="H10" i="1"/>
  <c r="I10" i="1"/>
  <c r="J10" i="1"/>
  <c r="U10" i="1"/>
  <c r="E11" i="1"/>
  <c r="H11" i="1"/>
  <c r="I11" i="1"/>
  <c r="J11" i="1"/>
  <c r="U11" i="1"/>
  <c r="E12" i="1"/>
  <c r="H12" i="1"/>
  <c r="I12" i="1"/>
  <c r="J12" i="1"/>
  <c r="U12" i="1"/>
  <c r="E13" i="1"/>
  <c r="H13" i="1"/>
  <c r="I13" i="1"/>
  <c r="J13" i="1"/>
  <c r="U13" i="1"/>
  <c r="E14" i="1"/>
  <c r="H14" i="1"/>
  <c r="I14" i="1"/>
  <c r="J14" i="1"/>
  <c r="U14" i="1"/>
  <c r="E15" i="1"/>
  <c r="H15" i="1"/>
  <c r="I15" i="1"/>
  <c r="J15" i="1"/>
  <c r="U15" i="1"/>
  <c r="E16" i="1"/>
  <c r="H16" i="1"/>
  <c r="I16" i="1"/>
  <c r="J16" i="1"/>
  <c r="U16" i="1"/>
  <c r="E17" i="1"/>
  <c r="H17" i="1"/>
  <c r="I17" i="1"/>
  <c r="J17" i="1"/>
  <c r="U17" i="1"/>
  <c r="E18" i="1"/>
  <c r="H18" i="1"/>
  <c r="I18" i="1"/>
  <c r="J18" i="1"/>
  <c r="U18" i="1"/>
  <c r="E19" i="1"/>
  <c r="H19" i="1"/>
  <c r="I19" i="1"/>
  <c r="J19" i="1"/>
  <c r="U19" i="1"/>
  <c r="E20" i="1"/>
  <c r="H20" i="1"/>
  <c r="I20" i="1"/>
  <c r="J20" i="1"/>
  <c r="U20" i="1"/>
  <c r="E21" i="1"/>
  <c r="H21" i="1"/>
  <c r="I21" i="1"/>
  <c r="J21" i="1"/>
  <c r="U21" i="1"/>
  <c r="E22" i="1"/>
  <c r="H22" i="1"/>
  <c r="I22" i="1"/>
  <c r="J22" i="1"/>
  <c r="U22" i="1"/>
  <c r="E23" i="1"/>
  <c r="H23" i="1"/>
  <c r="I23" i="1"/>
  <c r="J23" i="1"/>
  <c r="U23" i="1"/>
  <c r="E24" i="1"/>
  <c r="H24" i="1"/>
  <c r="I24" i="1"/>
  <c r="J24" i="1"/>
  <c r="U24" i="1"/>
  <c r="E26" i="1"/>
  <c r="H26" i="1"/>
  <c r="I26" i="1"/>
  <c r="J26" i="1"/>
  <c r="U26" i="1"/>
  <c r="E28" i="1"/>
  <c r="H28" i="1"/>
  <c r="I28" i="1"/>
  <c r="J28" i="1"/>
  <c r="U28" i="1"/>
  <c r="E29" i="1"/>
  <c r="H29" i="1"/>
  <c r="I29" i="1"/>
  <c r="J29" i="1"/>
  <c r="U29" i="1"/>
  <c r="E30" i="1"/>
  <c r="H30" i="1"/>
  <c r="I30" i="1"/>
  <c r="J30" i="1"/>
  <c r="U30" i="1"/>
  <c r="E31" i="1"/>
  <c r="H31" i="1"/>
  <c r="I31" i="1"/>
  <c r="J31" i="1"/>
  <c r="U31" i="1"/>
  <c r="E32" i="1"/>
  <c r="H32" i="1"/>
  <c r="I32" i="1"/>
  <c r="J32" i="1"/>
  <c r="U32" i="1"/>
  <c r="E33" i="1"/>
  <c r="H33" i="1"/>
  <c r="I33" i="1"/>
  <c r="J33" i="1"/>
  <c r="U33" i="1"/>
  <c r="B13" i="2"/>
  <c r="D13" i="2"/>
  <c r="E13" i="2"/>
  <c r="H13" i="2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D2" i="2"/>
  <c r="E2" i="2"/>
  <c r="H2" i="2"/>
  <c r="A3" i="6"/>
  <c r="I3" i="6"/>
  <c r="H3" i="6"/>
  <c r="G3" i="6"/>
  <c r="W3" i="6"/>
  <c r="V3" i="6"/>
  <c r="U3" i="6"/>
  <c r="T3" i="6"/>
  <c r="S3" i="6"/>
  <c r="B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<sst xmlns="http://schemas.openxmlformats.org/spreadsheetml/2006/main" count="78" uniqueCount="55">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</sst>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name val="Arial"/>
    </font>
    <font>
      <sz val="10"/>
      <name val="ＭＳ Ｐゴシック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63AAFE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19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420" applyFont="1" applyFill="1" applyBorder="1" applyAlignment="1">
      <alignment horizontal="right" vertical="center"/>
    </xf>
    <xf numFmtId="0" fontId="4" fillId="0" borderId="7" xfId="420" applyFont="1" applyFill="1" applyBorder="1" applyAlignment="1">
      <alignment horizontal="right" vertical="center"/>
    </xf>
    <xf numFmtId="0" fontId="9" fillId="0" borderId="7" xfId="0" applyFont="1" applyBorder="1" applyAlignment="1">
      <alignment horizontal="right" vertical="center"/>
    </xf>
    <xf numFmtId="0" fontId="9" fillId="0" borderId="11" xfId="0" applyFont="1" applyBorder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right" vertical="center"/>
    </xf>
    <xf numFmtId="0" fontId="9" fillId="0" borderId="11" xfId="0" applyFont="1" applyBorder="1" applyAlignment="1">
      <alignment horizontal="center" vertical="center"/>
    </xf>
    <xf numFmtId="0" fontId="4" fillId="10" borderId="3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4" fillId="13" borderId="12" xfId="0" applyFont="1" applyFill="1" applyBorder="1" applyAlignment="1">
      <alignment vertical="center"/>
    </xf>
    <xf numFmtId="0" fontId="2" fillId="14" borderId="6" xfId="0" applyFont="1" applyFill="1" applyBorder="1" applyAlignment="1">
      <alignment vertical="center"/>
    </xf>
  </cellXfs>
  <cellStyles count="71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標準" xfId="0" builtinId="0"/>
    <cellStyle name="標準 2" xfId="42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3" activePane="bottomLeft" state="frozen"/>
      <selection activeCell="V2" sqref="V2:X34"/>
      <selection pane="bottomLeft" activeCell="K10" sqref="K10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9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 ca="1">G2&amp;"-"&amp;I2</f>
        <v>30008_1-1</v>
      </c>
      <c r="B2" s="20" t="str">
        <f ca="1">IF(COUNTIF(enemy_habitats_multi_2_4!$H:$H,A2),"OK","NG")</f>
        <v>OK</v>
      </c>
      <c r="C2" s="7">
        <v>30008</v>
      </c>
      <c r="D2" s="11" t="str">
        <f ca="1">VLOOKUP($C2,OFFSET([1]quests!$A$1,0,0,COUNTA([1]quests!$A:$A),MATCH(D$1,[1]quests!$1:$1,0)-MATCH($C$1,[1]quests!$1:$1,0)+1),MATCH(D$1,[1]quests!$1:$1,0)-MATCH($C$1,[1]quests!$1:$1,0)+1,FALSE)</f>
        <v>わたしの嫁を返してもらおう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ドロップイベント2-4（マルチ専用）</v>
      </c>
      <c r="F2" s="27">
        <v>1</v>
      </c>
      <c r="G2" s="29" t="str">
        <f ca="1">C2&amp;"_"&amp;F2</f>
        <v>30008_1</v>
      </c>
      <c r="H2" s="19" t="str">
        <f ca="1">VLOOKUP($G2,OFFSET([1]stages!$A$1,0,0,COUNTA([1]stages!$A:$A),MATCH(H$1,[1]stages!$2:$2,0)-MATCH($G$1,[1]stages!$2:$2,0)+1),MATCH(H$1,[1]stages!$2:$2,0)-MATCH($G$1,[1]stages!$2:$2,0)+1,FALSE)</f>
        <v>【中級】わたしの嫁を返してもらおう</v>
      </c>
      <c r="I2" s="27">
        <v>1</v>
      </c>
      <c r="J2" s="12">
        <v>30</v>
      </c>
      <c r="K2" s="12">
        <v>30</v>
      </c>
    </row>
    <row r="3" spans="1:11" ht="21" customHeight="1" x14ac:dyDescent="0.15">
      <c r="A3" s="20" t="str">
        <f t="shared" ref="A3:A12" ca="1" si="0">G3&amp;"-"&amp;I3</f>
        <v>30008_1-2</v>
      </c>
      <c r="B3" s="20" t="str">
        <f ca="1">IF(COUNTIF(enemy_habitats_multi_2_4!$H:$H,A3),"OK","NG")</f>
        <v>OK</v>
      </c>
      <c r="C3" s="7">
        <v>30008</v>
      </c>
      <c r="D3" s="11" t="str">
        <f ca="1">VLOOKUP($C3,OFFSET([1]quests!$A$1,0,0,COUNTA([1]quests!$A:$A),MATCH(D$1,[1]quests!$1:$1,0)-MATCH($C$1,[1]quests!$1:$1,0)+1),MATCH(D$1,[1]quests!$1:$1,0)-MATCH($C$1,[1]quests!$1:$1,0)+1,FALSE)</f>
        <v>わたしの嫁を返してもらおう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ドロップイベント2-4（マルチ専用）</v>
      </c>
      <c r="F3" s="27">
        <v>1</v>
      </c>
      <c r="G3" s="29" t="str">
        <f t="shared" ref="G3:G12" ca="1" si="1">C3&amp;"_"&amp;F3</f>
        <v>30008_1</v>
      </c>
      <c r="H3" s="19" t="str">
        <f ca="1">VLOOKUP($G3,OFFSET([1]stages!$A$1,0,0,COUNTA([1]stages!$A:$A),MATCH(H$1,[1]stages!$2:$2,0)-MATCH($G$1,[1]stages!$2:$2,0)+1),MATCH(H$1,[1]stages!$2:$2,0)-MATCH($G$1,[1]stages!$2:$2,0)+1,FALSE)</f>
        <v>【中級】わたしの嫁を返してもらおう</v>
      </c>
      <c r="I3" s="27">
        <v>2</v>
      </c>
      <c r="J3" s="12">
        <v>60</v>
      </c>
      <c r="K3" s="12">
        <v>60</v>
      </c>
    </row>
    <row r="4" spans="1:11" ht="21" customHeight="1" x14ac:dyDescent="0.15">
      <c r="A4" s="20" t="str">
        <f t="shared" ca="1" si="0"/>
        <v>30008_1-3</v>
      </c>
      <c r="B4" s="20" t="str">
        <f ca="1">IF(COUNTIF(enemy_habitats_multi_2_4!$H:$H,A4),"OK","NG")</f>
        <v>OK</v>
      </c>
      <c r="C4" s="7">
        <v>30008</v>
      </c>
      <c r="D4" s="11" t="str">
        <f ca="1">VLOOKUP($C4,OFFSET([1]quests!$A$1,0,0,COUNTA([1]quests!$A:$A),MATCH(D$1,[1]quests!$1:$1,0)-MATCH($C$1,[1]quests!$1:$1,0)+1),MATCH(D$1,[1]quests!$1:$1,0)-MATCH($C$1,[1]quests!$1:$1,0)+1,FALSE)</f>
        <v>わたしの嫁を返してもらおう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ドロップイベント2-4（マルチ専用）</v>
      </c>
      <c r="F4" s="27">
        <v>1</v>
      </c>
      <c r="G4" s="29" t="str">
        <f t="shared" ca="1" si="1"/>
        <v>30008_1</v>
      </c>
      <c r="H4" s="19" t="str">
        <f ca="1">VLOOKUP($G4,OFFSET([1]stages!$A$1,0,0,COUNTA([1]stages!$A:$A),MATCH(H$1,[1]stages!$2:$2,0)-MATCH($G$1,[1]stages!$2:$2,0)+1),MATCH(H$1,[1]stages!$2:$2,0)-MATCH($G$1,[1]stages!$2:$2,0)+1,FALSE)</f>
        <v>【中級】わたしの嫁を返してもらおう</v>
      </c>
      <c r="I4" s="27">
        <v>3</v>
      </c>
      <c r="J4" s="12">
        <v>45</v>
      </c>
      <c r="K4" s="12">
        <v>45</v>
      </c>
    </row>
    <row r="5" spans="1:11" ht="21" customHeight="1" x14ac:dyDescent="0.15">
      <c r="A5" s="20" t="str">
        <f t="shared" ca="1" si="0"/>
        <v>30008_1-4</v>
      </c>
      <c r="B5" s="20" t="str">
        <f ca="1">IF(COUNTIF(enemy_habitats_multi_2_4!$H:$H,A5),"OK","NG")</f>
        <v>OK</v>
      </c>
      <c r="C5" s="7">
        <v>30008</v>
      </c>
      <c r="D5" s="11" t="str">
        <f ca="1">VLOOKUP($C5,OFFSET([1]quests!$A$1,0,0,COUNTA([1]quests!$A:$A),MATCH(D$1,[1]quests!$1:$1,0)-MATCH($C$1,[1]quests!$1:$1,0)+1),MATCH(D$1,[1]quests!$1:$1,0)-MATCH($C$1,[1]quests!$1:$1,0)+1,FALSE)</f>
        <v>わたしの嫁を返してもらおう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ドロップイベント2-4（マルチ専用）</v>
      </c>
      <c r="F5" s="27">
        <v>1</v>
      </c>
      <c r="G5" s="29" t="str">
        <f t="shared" ca="1" si="1"/>
        <v>30008_1</v>
      </c>
      <c r="H5" s="19" t="str">
        <f ca="1">VLOOKUP($G5,OFFSET([1]stages!$A$1,0,0,COUNTA([1]stages!$A:$A),MATCH(H$1,[1]stages!$2:$2,0)-MATCH($G$1,[1]stages!$2:$2,0)+1),MATCH(H$1,[1]stages!$2:$2,0)-MATCH($G$1,[1]stages!$2:$2,0)+1,FALSE)</f>
        <v>【中級】わたしの嫁を返してもらおう</v>
      </c>
      <c r="I5" s="27">
        <v>4</v>
      </c>
      <c r="J5" s="12">
        <v>60</v>
      </c>
      <c r="K5" s="12">
        <v>60</v>
      </c>
    </row>
    <row r="6" spans="1:11" ht="21" customHeight="1" x14ac:dyDescent="0.15">
      <c r="A6" s="20" t="str">
        <f t="shared" ca="1" si="0"/>
        <v>30008_2-1</v>
      </c>
      <c r="B6" s="20" t="str">
        <f ca="1">IF(COUNTIF(enemy_habitats_multi_2_4!$H:$H,A6),"OK","NG")</f>
        <v>OK</v>
      </c>
      <c r="C6" s="7">
        <v>30008</v>
      </c>
      <c r="D6" s="11" t="str">
        <f ca="1">VLOOKUP($C6,OFFSET([1]quests!$A$1,0,0,COUNTA([1]quests!$A:$A),MATCH(D$1,[1]quests!$1:$1,0)-MATCH($C$1,[1]quests!$1:$1,0)+1),MATCH(D$1,[1]quests!$1:$1,0)-MATCH($C$1,[1]quests!$1:$1,0)+1,FALSE)</f>
        <v>わたしの嫁を返してもらおう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ドロップイベント2-4（マルチ専用）</v>
      </c>
      <c r="F6" s="27">
        <v>2</v>
      </c>
      <c r="G6" s="29" t="str">
        <f t="shared" ca="1" si="1"/>
        <v>30008_2</v>
      </c>
      <c r="H6" s="19" t="str">
        <f ca="1">VLOOKUP($G6,OFFSET([1]stages!$A$1,0,0,COUNTA([1]stages!$A:$A),MATCH(H$1,[1]stages!$2:$2,0)-MATCH($G$1,[1]stages!$2:$2,0)+1),MATCH(H$1,[1]stages!$2:$2,0)-MATCH($G$1,[1]stages!$2:$2,0)+1,FALSE)</f>
        <v>【上級】わたしの嫁を返してもらおう</v>
      </c>
      <c r="I6" s="27">
        <v>1</v>
      </c>
      <c r="J6" s="12">
        <v>30</v>
      </c>
      <c r="K6" s="12">
        <v>30</v>
      </c>
    </row>
    <row r="7" spans="1:11" ht="21" customHeight="1" x14ac:dyDescent="0.15">
      <c r="A7" s="20" t="str">
        <f t="shared" ca="1" si="0"/>
        <v>30008_2-2</v>
      </c>
      <c r="B7" s="20" t="str">
        <f ca="1">IF(COUNTIF(enemy_habitats_multi_2_4!$H:$H,A7),"OK","NG")</f>
        <v>OK</v>
      </c>
      <c r="C7" s="7">
        <v>30008</v>
      </c>
      <c r="D7" s="11" t="str">
        <f ca="1">VLOOKUP($C7,OFFSET([1]quests!$A$1,0,0,COUNTA([1]quests!$A:$A),MATCH(D$1,[1]quests!$1:$1,0)-MATCH($C$1,[1]quests!$1:$1,0)+1),MATCH(D$1,[1]quests!$1:$1,0)-MATCH($C$1,[1]quests!$1:$1,0)+1,FALSE)</f>
        <v>わたしの嫁を返してもらおう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ドロップイベント2-4（マルチ専用）</v>
      </c>
      <c r="F7" s="27">
        <v>2</v>
      </c>
      <c r="G7" s="29" t="str">
        <f t="shared" ca="1" si="1"/>
        <v>30008_2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【上級】わたしの嫁を返してもらおう</v>
      </c>
      <c r="I7" s="27">
        <v>2</v>
      </c>
      <c r="J7" s="12">
        <v>60</v>
      </c>
      <c r="K7" s="12">
        <v>60</v>
      </c>
    </row>
    <row r="8" spans="1:11" ht="21" customHeight="1" x14ac:dyDescent="0.15">
      <c r="A8" s="20" t="str">
        <f t="shared" ca="1" si="0"/>
        <v>30008_2-3</v>
      </c>
      <c r="B8" s="20" t="str">
        <f ca="1">IF(COUNTIF(enemy_habitats_multi_2_4!$H:$H,A8),"OK","NG")</f>
        <v>OK</v>
      </c>
      <c r="C8" s="7">
        <v>30008</v>
      </c>
      <c r="D8" s="11" t="str">
        <f ca="1">VLOOKUP($C8,OFFSET([1]quests!$A$1,0,0,COUNTA([1]quests!$A:$A),MATCH(D$1,[1]quests!$1:$1,0)-MATCH($C$1,[1]quests!$1:$1,0)+1),MATCH(D$1,[1]quests!$1:$1,0)-MATCH($C$1,[1]quests!$1:$1,0)+1,FALSE)</f>
        <v>わたしの嫁を返してもらおう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ドロップイベント2-4（マルチ専用）</v>
      </c>
      <c r="F8" s="27">
        <v>2</v>
      </c>
      <c r="G8" s="29" t="str">
        <f t="shared" ca="1" si="1"/>
        <v>30008_2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【上級】わたしの嫁を返してもらおう</v>
      </c>
      <c r="I8" s="27">
        <v>3</v>
      </c>
      <c r="J8" s="12">
        <v>60</v>
      </c>
      <c r="K8" s="12">
        <v>60</v>
      </c>
    </row>
    <row r="9" spans="1:11" ht="21" customHeight="1" x14ac:dyDescent="0.15">
      <c r="A9" s="20" t="str">
        <f t="shared" ca="1" si="0"/>
        <v>30008_2-4</v>
      </c>
      <c r="B9" s="20" t="str">
        <f ca="1">IF(COUNTIF(enemy_habitats_multi_2_4!$H:$H,A9),"OK","NG")</f>
        <v>OK</v>
      </c>
      <c r="C9" s="7">
        <v>30008</v>
      </c>
      <c r="D9" s="11" t="str">
        <f ca="1">VLOOKUP($C9,OFFSET([1]quests!$A$1,0,0,COUNTA([1]quests!$A:$A),MATCH(D$1,[1]quests!$1:$1,0)-MATCH($C$1,[1]quests!$1:$1,0)+1),MATCH(D$1,[1]quests!$1:$1,0)-MATCH($C$1,[1]quests!$1:$1,0)+1,FALSE)</f>
        <v>わたしの嫁を返してもらおう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ドロップイベント2-4（マルチ専用）</v>
      </c>
      <c r="F9" s="27">
        <v>2</v>
      </c>
      <c r="G9" s="29" t="str">
        <f t="shared" ca="1" si="1"/>
        <v>30008_2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【上級】わたしの嫁を返してもらおう</v>
      </c>
      <c r="I9" s="27">
        <v>4</v>
      </c>
      <c r="J9" s="12">
        <v>30</v>
      </c>
      <c r="K9" s="12">
        <v>30</v>
      </c>
    </row>
    <row r="10" spans="1:11" ht="21" customHeight="1" x14ac:dyDescent="0.15">
      <c r="A10" s="20" t="str">
        <f t="shared" ca="1" si="0"/>
        <v>30008_3-1</v>
      </c>
      <c r="B10" s="20" t="str">
        <f ca="1">IF(COUNTIF(enemy_habitats_multi_2_4!$H:$H,A10),"OK","NG")</f>
        <v>OK</v>
      </c>
      <c r="C10" s="7">
        <v>30008</v>
      </c>
      <c r="D10" s="11" t="str">
        <f ca="1">VLOOKUP($C10,OFFSET([1]quests!$A$1,0,0,COUNTA([1]quests!$A:$A),MATCH(D$1,[1]quests!$1:$1,0)-MATCH($C$1,[1]quests!$1:$1,0)+1),MATCH(D$1,[1]quests!$1:$1,0)-MATCH($C$1,[1]quests!$1:$1,0)+1,FALSE)</f>
        <v>わたしの嫁を返してもらおう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ドロップイベント2-4（マルチ専用）</v>
      </c>
      <c r="F10" s="27">
        <v>3</v>
      </c>
      <c r="G10" s="29" t="str">
        <f t="shared" ca="1" si="1"/>
        <v>30008_3</v>
      </c>
      <c r="H10" s="19" t="str">
        <f ca="1">VLOOKUP($G10,OFFSET([1]stages!$A$1,0,0,COUNTA([1]stages!$A:$A),MATCH(H$1,[1]stages!$2:$2,0)-MATCH($G$1,[1]stages!$2:$2,0)+1),MATCH(H$1,[1]stages!$2:$2,0)-MATCH($G$1,[1]stages!$2:$2,0)+1,FALSE)</f>
        <v>【超級】わたしの嫁を返してもらおう</v>
      </c>
      <c r="I10" s="27">
        <v>1</v>
      </c>
      <c r="J10" s="12">
        <v>30</v>
      </c>
      <c r="K10" s="12">
        <v>30</v>
      </c>
    </row>
    <row r="11" spans="1:11" ht="21" customHeight="1" x14ac:dyDescent="0.15">
      <c r="A11" s="20" t="str">
        <f t="shared" ca="1" si="0"/>
        <v>30008_3-2</v>
      </c>
      <c r="B11" s="20" t="str">
        <f ca="1">IF(COUNTIF(enemy_habitats_multi_2_4!$H:$H,A11),"OK","NG")</f>
        <v>OK</v>
      </c>
      <c r="C11" s="7">
        <v>30008</v>
      </c>
      <c r="D11" s="11" t="str">
        <f ca="1">VLOOKUP($C11,OFFSET([1]quests!$A$1,0,0,COUNTA([1]quests!$A:$A),MATCH(D$1,[1]quests!$1:$1,0)-MATCH($C$1,[1]quests!$1:$1,0)+1),MATCH(D$1,[1]quests!$1:$1,0)-MATCH($C$1,[1]quests!$1:$1,0)+1,FALSE)</f>
        <v>わたしの嫁を返してもらおう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ドロップイベント2-4（マルチ専用）</v>
      </c>
      <c r="F11" s="27">
        <v>3</v>
      </c>
      <c r="G11" s="29" t="str">
        <f t="shared" ca="1" si="1"/>
        <v>30008_3</v>
      </c>
      <c r="H11" s="19" t="str">
        <f ca="1">VLOOKUP($G11,OFFSET([1]stages!$A$1,0,0,COUNTA([1]stages!$A:$A),MATCH(H$1,[1]stages!$2:$2,0)-MATCH($G$1,[1]stages!$2:$2,0)+1),MATCH(H$1,[1]stages!$2:$2,0)-MATCH($G$1,[1]stages!$2:$2,0)+1,FALSE)</f>
        <v>【超級】わたしの嫁を返してもらおう</v>
      </c>
      <c r="I11" s="27">
        <v>2</v>
      </c>
      <c r="J11" s="12">
        <v>60</v>
      </c>
      <c r="K11" s="12">
        <v>60</v>
      </c>
    </row>
    <row r="12" spans="1:11" ht="21" customHeight="1" x14ac:dyDescent="0.15">
      <c r="A12" s="20" t="str">
        <f t="shared" ca="1" si="0"/>
        <v>30008_3-3</v>
      </c>
      <c r="B12" s="20" t="str">
        <f ca="1">IF(COUNTIF(enemy_habitats_multi_2_4!$H:$H,A12),"OK","NG")</f>
        <v>OK</v>
      </c>
      <c r="C12" s="7">
        <v>30008</v>
      </c>
      <c r="D12" s="11" t="str">
        <f ca="1">VLOOKUP($C12,OFFSET([1]quests!$A$1,0,0,COUNTA([1]quests!$A:$A),MATCH(D$1,[1]quests!$1:$1,0)-MATCH($C$1,[1]quests!$1:$1,0)+1),MATCH(D$1,[1]quests!$1:$1,0)-MATCH($C$1,[1]quests!$1:$1,0)+1,FALSE)</f>
        <v>わたしの嫁を返してもらおう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ドロップイベント2-4（マルチ専用）</v>
      </c>
      <c r="F12" s="27">
        <v>3</v>
      </c>
      <c r="G12" s="29" t="str">
        <f t="shared" ca="1" si="1"/>
        <v>30008_3</v>
      </c>
      <c r="H12" s="19" t="str">
        <f ca="1">VLOOKUP($G12,OFFSET([1]stages!$A$1,0,0,COUNTA([1]stages!$A:$A),MATCH(H$1,[1]stages!$2:$2,0)-MATCH($G$1,[1]stages!$2:$2,0)+1),MATCH(H$1,[1]stages!$2:$2,0)-MATCH($G$1,[1]stages!$2:$2,0)+1,FALSE)</f>
        <v>【超級】わたしの嫁を返してもらおう</v>
      </c>
      <c r="I12" s="27">
        <v>3</v>
      </c>
      <c r="J12" s="12">
        <v>60</v>
      </c>
      <c r="K12" s="12">
        <v>60</v>
      </c>
    </row>
    <row r="13" spans="1:11" ht="21" customHeight="1" x14ac:dyDescent="0.15">
      <c r="A13" s="20" t="str">
        <f t="shared" ref="A13" ca="1" si="2">G13&amp;"-"&amp;I13</f>
        <v>30008_3-4</v>
      </c>
      <c r="B13" s="20" t="str">
        <f ca="1">IF(COUNTIF(enemy_habitats_multi_2_4!$H:$H,A13),"OK","NG")</f>
        <v>OK</v>
      </c>
      <c r="C13" s="7">
        <v>30008</v>
      </c>
      <c r="D13" s="11" t="str">
        <f ca="1">VLOOKUP($C13,OFFSET([1]quests!$A$1,0,0,COUNTA([1]quests!$A:$A),MATCH(D$1,[1]quests!$1:$1,0)-MATCH($C$1,[1]quests!$1:$1,0)+1),MATCH(D$1,[1]quests!$1:$1,0)-MATCH($C$1,[1]quests!$1:$1,0)+1,FALSE)</f>
        <v>わたしの嫁を返してもらおう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ドロップイベント2-4（マルチ専用）</v>
      </c>
      <c r="F13" s="27">
        <v>3</v>
      </c>
      <c r="G13" s="29" t="str">
        <f t="shared" ref="G13" ca="1" si="3">C13&amp;"_"&amp;F13</f>
        <v>30008_3</v>
      </c>
      <c r="H13" s="19" t="str">
        <f ca="1">VLOOKUP($G13,OFFSET([1]stages!$A$1,0,0,COUNTA([1]stages!$A:$A),MATCH(H$1,[1]stages!$2:$2,0)-MATCH($G$1,[1]stages!$2:$2,0)+1),MATCH(H$1,[1]stages!$2:$2,0)-MATCH($G$1,[1]stages!$2:$2,0)+1,FALSE)</f>
        <v>【超級】わたしの嫁を返してもらおう</v>
      </c>
      <c r="I13" s="27">
        <v>4</v>
      </c>
      <c r="J13" s="12">
        <v>60</v>
      </c>
      <c r="K13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L38"/>
  <sheetViews>
    <sheetView showGridLines="0" zoomScale="75" zoomScaleNormal="75" zoomScalePageLayoutView="75" workbookViewId="0">
      <pane xSplit="16" ySplit="1" topLeftCell="Y11" activePane="bottomRight" state="frozen"/>
      <selection pane="topRight" activeCell="N1" sqref="N1"/>
      <selection pane="bottomLeft" activeCell="A2" sqref="A2"/>
      <selection pane="bottomRight" activeCell="AG28" sqref="AG28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3.5" style="9" bestFit="1" customWidth="1"/>
    <col min="12" max="12" width="8.83203125" style="3" bestFit="1" customWidth="1" outlineLevel="1"/>
    <col min="13" max="13" width="8.6640625" style="3" bestFit="1" customWidth="1" outlineLevel="1"/>
    <col min="14" max="14" width="12" style="3" bestFit="1" customWidth="1" outlineLevel="1"/>
    <col min="15" max="15" width="21" style="3" bestFit="1" customWidth="1" outlineLevel="1"/>
    <col min="16" max="16" width="8" style="3" bestFit="1" customWidth="1" outlineLevel="1"/>
    <col min="17" max="17" width="8.33203125" style="3" bestFit="1" customWidth="1"/>
    <col min="18" max="18" width="14.83203125" style="3" bestFit="1" customWidth="1"/>
    <col min="19" max="19" width="17.5" style="3" bestFit="1" customWidth="1"/>
    <col min="20" max="20" width="18.33203125" style="3" bestFit="1" customWidth="1"/>
    <col min="21" max="21" width="10" style="3" bestFit="1" customWidth="1"/>
    <col min="22" max="22" width="12.1640625" style="3" bestFit="1" customWidth="1" outlineLevel="1"/>
    <col min="23" max="23" width="11.33203125" style="3" bestFit="1" customWidth="1"/>
    <col min="24" max="24" width="11.6640625" style="3" bestFit="1" customWidth="1"/>
    <col min="25" max="25" width="10.6640625" style="3" bestFit="1" customWidth="1"/>
    <col min="26" max="26" width="9.33203125" style="3" bestFit="1" customWidth="1"/>
    <col min="27" max="27" width="13" style="3" bestFit="1" customWidth="1"/>
    <col min="28" max="28" width="8.83203125" style="13" bestFit="1" customWidth="1" outlineLevel="1"/>
    <col min="29" max="29" width="8" style="14" bestFit="1" customWidth="1" outlineLevel="1"/>
    <col min="30" max="30" width="12" style="14" bestFit="1" customWidth="1" outlineLevel="1"/>
    <col min="31" max="31" width="15" style="10" bestFit="1" customWidth="1" collapsed="1"/>
    <col min="32" max="33" width="14.83203125" style="3" bestFit="1" customWidth="1"/>
    <col min="34" max="34" width="6.6640625" style="3" bestFit="1" customWidth="1"/>
    <col min="35" max="35" width="9.33203125" style="3" bestFit="1" customWidth="1"/>
    <col min="36" max="36" width="10.33203125" style="3" bestFit="1" customWidth="1"/>
    <col min="37" max="37" width="7.6640625" style="3" bestFit="1" customWidth="1"/>
    <col min="38" max="38" width="4" style="3" bestFit="1" customWidth="1"/>
    <col min="39" max="16384" width="13" style="3"/>
  </cols>
  <sheetData>
    <row r="1" spans="1:38" s="41" customFormat="1" ht="21" customHeight="1" x14ac:dyDescent="0.15">
      <c r="A1" s="33" t="s">
        <v>29</v>
      </c>
      <c r="B1" s="34" t="s">
        <v>0</v>
      </c>
      <c r="C1" s="34" t="s">
        <v>1</v>
      </c>
      <c r="D1" s="35" t="s">
        <v>28</v>
      </c>
      <c r="E1" s="36" t="s">
        <v>20</v>
      </c>
      <c r="F1" s="36" t="s">
        <v>20</v>
      </c>
      <c r="G1" s="34" t="s">
        <v>19</v>
      </c>
      <c r="H1" s="35" t="s">
        <v>37</v>
      </c>
      <c r="I1" s="35" t="s">
        <v>14</v>
      </c>
      <c r="J1" s="35" t="s">
        <v>15</v>
      </c>
      <c r="K1" s="34" t="s">
        <v>2</v>
      </c>
      <c r="L1" s="37" t="s">
        <v>21</v>
      </c>
      <c r="M1" s="35" t="s">
        <v>24</v>
      </c>
      <c r="N1" s="35" t="s">
        <v>23</v>
      </c>
      <c r="O1" s="38" t="s">
        <v>26</v>
      </c>
      <c r="P1" s="36" t="s">
        <v>25</v>
      </c>
      <c r="Q1" s="34" t="s">
        <v>3</v>
      </c>
      <c r="R1" s="32" t="s">
        <v>50</v>
      </c>
      <c r="S1" s="32" t="s">
        <v>52</v>
      </c>
      <c r="T1" s="32" t="s">
        <v>54</v>
      </c>
      <c r="U1" s="35" t="s">
        <v>33</v>
      </c>
      <c r="V1" s="34" t="s">
        <v>4</v>
      </c>
      <c r="W1" s="34" t="s">
        <v>5</v>
      </c>
      <c r="X1" s="34" t="s">
        <v>6</v>
      </c>
      <c r="Y1" s="34" t="s">
        <v>7</v>
      </c>
      <c r="Z1" s="34" t="s">
        <v>8</v>
      </c>
      <c r="AA1" s="39" t="s">
        <v>9</v>
      </c>
      <c r="AB1" s="40" t="s">
        <v>16</v>
      </c>
      <c r="AC1" s="40" t="s">
        <v>17</v>
      </c>
      <c r="AD1" s="40" t="s">
        <v>27</v>
      </c>
      <c r="AE1" s="39" t="s">
        <v>10</v>
      </c>
      <c r="AF1" s="34" t="s">
        <v>11</v>
      </c>
      <c r="AG1" s="34" t="s">
        <v>12</v>
      </c>
      <c r="AH1" s="34" t="s">
        <v>40</v>
      </c>
      <c r="AI1" s="34" t="s">
        <v>42</v>
      </c>
      <c r="AJ1" s="34" t="s">
        <v>44</v>
      </c>
      <c r="AK1" s="34" t="s">
        <v>46</v>
      </c>
      <c r="AL1" s="34" t="s">
        <v>48</v>
      </c>
    </row>
    <row r="2" spans="1:38" ht="21" customHeight="1" x14ac:dyDescent="0.15">
      <c r="A2" s="20" t="str">
        <f t="shared" ref="A2:A38" ca="1" si="0">B2&amp;"_"&amp;C2&amp;"-"&amp;G2&amp;"/"&amp;K2&amp;"&lt;lv"&amp;Q2&amp;"&gt;s"&amp;Z2</f>
        <v>30008_1-1/9&lt;lv30&gt;s2</v>
      </c>
      <c r="B2" s="28">
        <v>30008</v>
      </c>
      <c r="C2" s="27">
        <v>1</v>
      </c>
      <c r="D2" s="2" t="str">
        <f t="shared" ref="D2:D33" si="1">B2&amp;"_"&amp;C2</f>
        <v>30008_1</v>
      </c>
      <c r="E2" s="4" t="str">
        <f ca="1">VLOOKUP($B2,OFFSET([1]quests!$A$1,0,0,COUNTA([1]quests!$A:$A),MATCH(E$1,[1]quests!$1:$1,0)-MATCH($B$1,[1]quests!$1:$1,0)+1),MATCH(E$1,[1]quests!$1:$1,0)-MATCH($B$1,[1]quests!$1:$1,0)+1,FALSE)</f>
        <v>わたしの嫁を返してもらおう</v>
      </c>
      <c r="F2" s="4" t="str">
        <f ca="1">VLOOKUP($D2,OFFSET([1]stages!$A$1,0,0,COUNTA([1]stages!$A:$A),MATCH(F$1,[1]stages!$2:$2,0)-MATCH($D$1,[1]stages!$2:$2,0)+1),MATCH(F$1,[1]stages!$2:$2,0)-MATCH($D$1,[1]stages!$2:$2,0)+1,FALSE)</f>
        <v>【中級】わたしの嫁を返してもらおう</v>
      </c>
      <c r="G2" s="52">
        <v>1</v>
      </c>
      <c r="H2" s="19" t="str">
        <f t="shared" ref="H2:H38" ca="1" si="2">B2&amp;"_"&amp;C2&amp;"-"&amp;G2</f>
        <v>30008_1-1</v>
      </c>
      <c r="I2" s="4">
        <f ca="1">VLOOKUP($H2,OFFSET(floors_multi_2_4!$A$1,0,0,COUNTA(floors_multi_2_4!$A:$A),MATCH(I$1,floors_multi_2_4!$1:$1,0)-MATCH($H$1,floors_multi_2_4!$1:$1,0)+1),MATCH(I$1,floors_multi_2_4!$1:$1,0)-MATCH($H$1,floors_multi_2_4!$1:$1,0)+1,FALSE)</f>
        <v>30</v>
      </c>
      <c r="J2" s="4">
        <f ca="1">VLOOKUP($H2,OFFSET(floors_multi_2_4!$A$1,0,0,COUNTA(floors_multi_2_4!$A:$A),MATCH(J$1,floors_multi_2_4!$1:$1,0)-MATCH($H$1,floors_multi_2_4!$1:$1,0)+1),MATCH(J$1,floors_multi_2_4!$1:$1,0)-MATCH($H$1,floors_multi_2_4!$1:$1,0)+1,FALSE)</f>
        <v>30</v>
      </c>
      <c r="K2" s="42">
        <v>9</v>
      </c>
      <c r="L2" s="23" t="str">
        <f ca="1">VLOOKUP(K2,[2]enemies!$A:$D,2,FALSE)</f>
        <v>ブレット</v>
      </c>
      <c r="M2" s="23" t="str">
        <f ca="1">VLOOKUP(K2,[2]enemies!$A:$D,4,FALSE)</f>
        <v>red</v>
      </c>
      <c r="N2" s="24" t="str">
        <f ca="1">VLOOKUP(K2,[3]characters!$A:$J,10,FALSE)</f>
        <v>Drop1W</v>
      </c>
      <c r="O2" s="23" t="str">
        <f ca="1">VLOOKUP(K2,[2]enemies!$A:$M,13,FALSE)</f>
        <v>animal</v>
      </c>
      <c r="P2" s="23">
        <f ca="1">VLOOKUP(K2,[2]enemies!$A:$X,24,FALSE)</f>
        <v>15</v>
      </c>
      <c r="Q2" s="5">
        <v>30</v>
      </c>
      <c r="R2" s="31">
        <v>1</v>
      </c>
      <c r="S2" s="31">
        <v>1</v>
      </c>
      <c r="T2" s="5">
        <v>0</v>
      </c>
      <c r="U2" s="4" t="str">
        <f ca="1">VLOOKUP($V2,OFFSET([4]enemy_skill_sets!$B$1,0,0,COUNTA([4]enemy_skill_sets!$B:$B),MATCH(L$1,[4]enemy_skill_sets!$1:$1,0)-MATCH($V$1,[4]enemy_skill_sets!$1:$1,0)+2),MATCH(L$1,[4]enemy_skill_sets!$1:$1,0)-MATCH($V$1,[4]enemy_skill_sets!$1:$1,0)+2,FALSE)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" s="23">
        <f ca="1">VLOOKUP($K2,OFFSET([2]enemies!$A$1,0,0,COUNTA([2]enemies!$A:$A),MATCH(V$1,[2]enemies!$1:$1,0)-MATCH($K$1,[2]enemies!$1:$1,0)+1),MATCH(V$1,[2]enemies!$1:$1,0)-MATCH($K$1,[2]enemies!$1:$1,0)+1,FALSE)</f>
        <v>0</v>
      </c>
      <c r="W2" s="6">
        <v>0</v>
      </c>
      <c r="X2" s="6">
        <v>100</v>
      </c>
      <c r="Y2" s="6">
        <v>0</v>
      </c>
      <c r="Z2" s="23">
        <f ca="1">VLOOKUP(K2,[2]enemies!$A:$V,22,FALSE)</f>
        <v>2</v>
      </c>
      <c r="AA2" s="45">
        <v>9</v>
      </c>
      <c r="AB2" s="4" t="str">
        <f ca="1">VLOOKUP(AA2,[3]characters!$A:$I,3,FALSE)</f>
        <v>ブレット</v>
      </c>
      <c r="AC2" s="4">
        <f ca="1">VLOOKUP(AA2,[3]characters!$A:$I,9,FALSE)</f>
        <v>1</v>
      </c>
      <c r="AD2" s="4" t="str">
        <f ca="1">VLOOKUP(AA2,[3]characters!$A:$J,10,FALSE)</f>
        <v>Drop1W</v>
      </c>
      <c r="AE2" s="7">
        <v>4</v>
      </c>
      <c r="AF2" s="30">
        <f t="shared" ref="AF2:AF33" ca="1" si="3">AC2</f>
        <v>1</v>
      </c>
      <c r="AG2" s="8">
        <v>15</v>
      </c>
      <c r="AH2" s="7">
        <v>0</v>
      </c>
      <c r="AI2" s="7">
        <v>0</v>
      </c>
      <c r="AJ2" s="7">
        <v>0</v>
      </c>
      <c r="AK2" s="7">
        <v>0</v>
      </c>
      <c r="AL2" s="7">
        <v>1</v>
      </c>
    </row>
    <row r="3" spans="1:38" ht="21" customHeight="1" x14ac:dyDescent="0.15">
      <c r="A3" s="20" t="str">
        <f t="shared" ca="1" si="0"/>
        <v>30008_1-1/11&lt;lv30&gt;s3</v>
      </c>
      <c r="B3" s="28">
        <v>30008</v>
      </c>
      <c r="C3" s="27">
        <v>1</v>
      </c>
      <c r="D3" s="2" t="str">
        <f t="shared" si="1"/>
        <v>30008_1</v>
      </c>
      <c r="E3" s="4" t="str">
        <f ca="1">VLOOKUP($B3,OFFSET([1]quests!$A$1,0,0,COUNTA([1]quests!$A:$A),MATCH(E$1,[1]quests!$1:$1,0)-MATCH($B$1,[1]quests!$1:$1,0)+1),MATCH(E$1,[1]quests!$1:$1,0)-MATCH($B$1,[1]quests!$1:$1,0)+1,FALSE)</f>
        <v>わたしの嫁を返してもらおう</v>
      </c>
      <c r="F3" s="4" t="str">
        <f ca="1">VLOOKUP($D3,OFFSET([1]stages!$A$1,0,0,COUNTA([1]stages!$A:$A),MATCH(F$1,[1]stages!$2:$2,0)-MATCH($D$1,[1]stages!$2:$2,0)+1),MATCH(F$1,[1]stages!$2:$2,0)-MATCH($D$1,[1]stages!$2:$2,0)+1,FALSE)</f>
        <v>【中級】わたしの嫁を返してもらおう</v>
      </c>
      <c r="G3" s="52">
        <v>1</v>
      </c>
      <c r="H3" s="19" t="str">
        <f t="shared" ca="1" si="2"/>
        <v>30008_1-1</v>
      </c>
      <c r="I3" s="4">
        <f ca="1">VLOOKUP($H3,OFFSET(floors_multi_2_4!$A$1,0,0,COUNTA(floors_multi_2_4!$A:$A),MATCH(I$1,floors_multi_2_4!$1:$1,0)-MATCH($H$1,floors_multi_2_4!$1:$1,0)+1),MATCH(I$1,floors_multi_2_4!$1:$1,0)-MATCH($H$1,floors_multi_2_4!$1:$1,0)+1,FALSE)</f>
        <v>30</v>
      </c>
      <c r="J3" s="4">
        <f ca="1">VLOOKUP($H3,OFFSET(floors_multi_2_4!$A$1,0,0,COUNTA(floors_multi_2_4!$A:$A),MATCH(J$1,floors_multi_2_4!$1:$1,0)-MATCH($H$1,floors_multi_2_4!$1:$1,0)+1),MATCH(J$1,floors_multi_2_4!$1:$1,0)-MATCH($H$1,floors_multi_2_4!$1:$1,0)+1,FALSE)</f>
        <v>30</v>
      </c>
      <c r="K3" s="42">
        <v>11</v>
      </c>
      <c r="L3" s="23" t="str">
        <f ca="1">VLOOKUP(K3,[2]enemies!$A:$D,2,FALSE)</f>
        <v>マグリット</v>
      </c>
      <c r="M3" s="23" t="str">
        <f ca="1">VLOOKUP(K3,[2]enemies!$A:$D,4,FALSE)</f>
        <v>green</v>
      </c>
      <c r="N3" s="24" t="str">
        <f ca="1">VLOOKUP(K3,[3]characters!$A:$J,10,FALSE)</f>
        <v>Drop1W</v>
      </c>
      <c r="O3" s="23" t="str">
        <f ca="1">VLOOKUP(K3,[2]enemies!$A:$M,13,FALSE)</f>
        <v>animal</v>
      </c>
      <c r="P3" s="23">
        <f ca="1">VLOOKUP(K3,[2]enemies!$A:$X,24,FALSE)</f>
        <v>15</v>
      </c>
      <c r="Q3" s="5">
        <v>30</v>
      </c>
      <c r="R3" s="31">
        <v>1</v>
      </c>
      <c r="S3" s="31">
        <v>1</v>
      </c>
      <c r="T3" s="5">
        <v>0</v>
      </c>
      <c r="U3" s="4" t="str">
        <f ca="1">VLOOKUP($V3,OFFSET([4]enemy_skill_sets!$B$1,0,0,COUNTA([4]enemy_skill_sets!$B:$B),MATCH(L$1,[4]enemy_skill_sets!$1:$1,0)-MATCH($V$1,[4]enemy_skill_sets!$1:$1,0)+2),MATCH(L$1,[4]enemy_skill_sets!$1:$1,0)-MATCH($V$1,[4]enemy_skill_sets!$1:$1,0)+2,FALSE)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" s="23">
        <f ca="1">VLOOKUP($K3,OFFSET([2]enemies!$A$1,0,0,COUNTA([2]enemies!$A:$A),MATCH(V$1,[2]enemies!$1:$1,0)-MATCH($K$1,[2]enemies!$1:$1,0)+1),MATCH(V$1,[2]enemies!$1:$1,0)-MATCH($K$1,[2]enemies!$1:$1,0)+1,FALSE)</f>
        <v>0</v>
      </c>
      <c r="W3" s="6">
        <v>0</v>
      </c>
      <c r="X3" s="6">
        <v>100</v>
      </c>
      <c r="Y3" s="6">
        <v>0</v>
      </c>
      <c r="Z3" s="23">
        <f ca="1">VLOOKUP(K3,[2]enemies!$A:$V,22,FALSE)</f>
        <v>3</v>
      </c>
      <c r="AA3" s="45">
        <v>11</v>
      </c>
      <c r="AB3" s="4" t="str">
        <f ca="1">VLOOKUP(AA3,[3]characters!$A:$I,3,FALSE)</f>
        <v>マグリット</v>
      </c>
      <c r="AC3" s="4">
        <f ca="1">VLOOKUP(AA3,[3]characters!$A:$I,9,FALSE)</f>
        <v>1</v>
      </c>
      <c r="AD3" s="4" t="str">
        <f ca="1">VLOOKUP(AA3,[3]characters!$A:$J,10,FALSE)</f>
        <v>Drop1W</v>
      </c>
      <c r="AE3" s="7">
        <v>4</v>
      </c>
      <c r="AF3" s="30">
        <f t="shared" ca="1" si="3"/>
        <v>1</v>
      </c>
      <c r="AG3" s="8">
        <v>15</v>
      </c>
      <c r="AH3" s="7">
        <v>0</v>
      </c>
      <c r="AI3" s="7">
        <v>0</v>
      </c>
      <c r="AJ3" s="7">
        <v>0</v>
      </c>
      <c r="AK3" s="7">
        <v>0</v>
      </c>
      <c r="AL3" s="7">
        <v>1</v>
      </c>
    </row>
    <row r="4" spans="1:38" ht="21" customHeight="1" x14ac:dyDescent="0.15">
      <c r="A4" s="20" t="str">
        <f t="shared" ca="1" si="0"/>
        <v>30008_1-1/32&lt;lv30&gt;s5</v>
      </c>
      <c r="B4" s="28">
        <v>30008</v>
      </c>
      <c r="C4" s="27">
        <v>1</v>
      </c>
      <c r="D4" s="2" t="str">
        <f t="shared" si="1"/>
        <v>30008_1</v>
      </c>
      <c r="E4" s="4" t="str">
        <f ca="1">VLOOKUP($B4,OFFSET([1]quests!$A$1,0,0,COUNTA([1]quests!$A:$A),MATCH(E$1,[1]quests!$1:$1,0)-MATCH($B$1,[1]quests!$1:$1,0)+1),MATCH(E$1,[1]quests!$1:$1,0)-MATCH($B$1,[1]quests!$1:$1,0)+1,FALSE)</f>
        <v>わたしの嫁を返してもらおう</v>
      </c>
      <c r="F4" s="4" t="str">
        <f ca="1">VLOOKUP($D4,OFFSET([1]stages!$A$1,0,0,COUNTA([1]stages!$A:$A),MATCH(F$1,[1]stages!$2:$2,0)-MATCH($D$1,[1]stages!$2:$2,0)+1),MATCH(F$1,[1]stages!$2:$2,0)-MATCH($D$1,[1]stages!$2:$2,0)+1,FALSE)</f>
        <v>【中級】わたしの嫁を返してもらおう</v>
      </c>
      <c r="G4" s="52">
        <v>1</v>
      </c>
      <c r="H4" s="19" t="str">
        <f t="shared" ca="1" si="2"/>
        <v>30008_1-1</v>
      </c>
      <c r="I4" s="4">
        <f ca="1">VLOOKUP($H4,OFFSET(floors_multi_2_4!$A$1,0,0,COUNTA(floors_multi_2_4!$A:$A),MATCH(I$1,floors_multi_2_4!$1:$1,0)-MATCH($H$1,floors_multi_2_4!$1:$1,0)+1),MATCH(I$1,floors_multi_2_4!$1:$1,0)-MATCH($H$1,floors_multi_2_4!$1:$1,0)+1,FALSE)</f>
        <v>30</v>
      </c>
      <c r="J4" s="4">
        <f ca="1">VLOOKUP($H4,OFFSET(floors_multi_2_4!$A$1,0,0,COUNTA(floors_multi_2_4!$A:$A),MATCH(J$1,floors_multi_2_4!$1:$1,0)-MATCH($H$1,floors_multi_2_4!$1:$1,0)+1),MATCH(J$1,floors_multi_2_4!$1:$1,0)-MATCH($H$1,floors_multi_2_4!$1:$1,0)+1,FALSE)</f>
        <v>30</v>
      </c>
      <c r="K4" s="43">
        <v>32</v>
      </c>
      <c r="L4" s="23" t="str">
        <f ca="1">VLOOKUP(K4,[2]enemies!$A:$D,2,FALSE)</f>
        <v>沈黙のジャミング マービー</v>
      </c>
      <c r="M4" s="23" t="str">
        <f ca="1">VLOOKUP(K4,[2]enemies!$A:$D,4,FALSE)</f>
        <v>yellow</v>
      </c>
      <c r="N4" s="24" t="str">
        <f ca="1">VLOOKUP(K4,[3]characters!$A:$J,10,FALSE)</f>
        <v>Drop1N</v>
      </c>
      <c r="O4" s="23" t="str">
        <f ca="1">VLOOKUP(K4,[2]enemies!$A:$M,13,FALSE)</f>
        <v>machine</v>
      </c>
      <c r="P4" s="23">
        <f ca="1">VLOOKUP(K4,[2]enemies!$A:$X,24,FALSE)</f>
        <v>15</v>
      </c>
      <c r="Q4" s="5">
        <v>30</v>
      </c>
      <c r="R4" s="31">
        <v>1</v>
      </c>
      <c r="S4" s="31">
        <v>1</v>
      </c>
      <c r="T4" s="5">
        <v>0</v>
      </c>
      <c r="U4" s="4" t="str">
        <f ca="1">VLOOKUP($V4,OFFSET([4]enemy_skill_sets!$B$1,0,0,COUNTA([4]enemy_skill_sets!$B:$B),MATCH(L$1,[4]enemy_skill_sets!$1:$1,0)-MATCH($V$1,[4]enemy_skill_sets!$1:$1,0)+2),MATCH(L$1,[4]enemy_skill_sets!$1:$1,0)-MATCH($V$1,[4]enemy_skill_sets!$1:$1,0)+2,FALSE)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4" s="23">
        <f ca="1">VLOOKUP($K4,OFFSET([2]enemies!$A$1,0,0,COUNTA([2]enemies!$A:$A),MATCH(V$1,[2]enemies!$1:$1,0)-MATCH($K$1,[2]enemies!$1:$1,0)+1),MATCH(V$1,[2]enemies!$1:$1,0)-MATCH($K$1,[2]enemies!$1:$1,0)+1,FALSE)</f>
        <v>0</v>
      </c>
      <c r="W4" s="6">
        <v>0</v>
      </c>
      <c r="X4" s="6">
        <v>100</v>
      </c>
      <c r="Y4" s="6">
        <v>0</v>
      </c>
      <c r="Z4" s="23">
        <f ca="1">VLOOKUP(K4,[2]enemies!$A:$V,22,FALSE)</f>
        <v>5</v>
      </c>
      <c r="AA4" s="46">
        <v>32</v>
      </c>
      <c r="AB4" s="4" t="str">
        <f ca="1">VLOOKUP(AA4,[3]characters!$A:$I,3,FALSE)</f>
        <v>沈黙のジャミング マービー</v>
      </c>
      <c r="AC4" s="4">
        <f ca="1">VLOOKUP(AA4,[3]characters!$A:$I,9,FALSE)</f>
        <v>2</v>
      </c>
      <c r="AD4" s="4" t="str">
        <f ca="1">VLOOKUP(AA4,[3]characters!$A:$J,10,FALSE)</f>
        <v>Drop1N</v>
      </c>
      <c r="AE4" s="7">
        <v>2</v>
      </c>
      <c r="AF4" s="30">
        <f t="shared" ca="1" si="3"/>
        <v>2</v>
      </c>
      <c r="AG4" s="8">
        <v>10</v>
      </c>
      <c r="AH4" s="7">
        <v>0</v>
      </c>
      <c r="AI4" s="7">
        <v>0</v>
      </c>
      <c r="AJ4" s="7">
        <v>0</v>
      </c>
      <c r="AK4" s="7">
        <v>0</v>
      </c>
      <c r="AL4" s="7">
        <v>1</v>
      </c>
    </row>
    <row r="5" spans="1:38" ht="21" customHeight="1" x14ac:dyDescent="0.15">
      <c r="A5" s="20" t="str">
        <f t="shared" ca="1" si="0"/>
        <v>30008_1-1/17&lt;lv30&gt;s2</v>
      </c>
      <c r="B5" s="28">
        <v>30008</v>
      </c>
      <c r="C5" s="27">
        <v>1</v>
      </c>
      <c r="D5" s="2" t="str">
        <f t="shared" si="1"/>
        <v>30008_1</v>
      </c>
      <c r="E5" s="4" t="str">
        <f ca="1">VLOOKUP($B5,OFFSET([1]quests!$A$1,0,0,COUNTA([1]quests!$A:$A),MATCH(E$1,[1]quests!$1:$1,0)-MATCH($B$1,[1]quests!$1:$1,0)+1),MATCH(E$1,[1]quests!$1:$1,0)-MATCH($B$1,[1]quests!$1:$1,0)+1,FALSE)</f>
        <v>わたしの嫁を返してもらおう</v>
      </c>
      <c r="F5" s="4" t="str">
        <f ca="1">VLOOKUP($D5,OFFSET([1]stages!$A$1,0,0,COUNTA([1]stages!$A:$A),MATCH(F$1,[1]stages!$2:$2,0)-MATCH($D$1,[1]stages!$2:$2,0)+1),MATCH(F$1,[1]stages!$2:$2,0)-MATCH($D$1,[1]stages!$2:$2,0)+1,FALSE)</f>
        <v>【中級】わたしの嫁を返してもらおう</v>
      </c>
      <c r="G5" s="52">
        <v>1</v>
      </c>
      <c r="H5" s="19" t="str">
        <f t="shared" ca="1" si="2"/>
        <v>30008_1-1</v>
      </c>
      <c r="I5" s="4">
        <f ca="1">VLOOKUP($H5,OFFSET(floors_multi_2_4!$A$1,0,0,COUNTA(floors_multi_2_4!$A:$A),MATCH(I$1,floors_multi_2_4!$1:$1,0)-MATCH($H$1,floors_multi_2_4!$1:$1,0)+1),MATCH(I$1,floors_multi_2_4!$1:$1,0)-MATCH($H$1,floors_multi_2_4!$1:$1,0)+1,FALSE)</f>
        <v>30</v>
      </c>
      <c r="J5" s="4">
        <f ca="1">VLOOKUP($H5,OFFSET(floors_multi_2_4!$A$1,0,0,COUNTA(floors_multi_2_4!$A:$A),MATCH(J$1,floors_multi_2_4!$1:$1,0)-MATCH($H$1,floors_multi_2_4!$1:$1,0)+1),MATCH(J$1,floors_multi_2_4!$1:$1,0)-MATCH($H$1,floors_multi_2_4!$1:$1,0)+1,FALSE)</f>
        <v>30</v>
      </c>
      <c r="K5" s="42">
        <v>17</v>
      </c>
      <c r="L5" s="23" t="str">
        <f ca="1">VLOOKUP(K5,[2]enemies!$A:$D,2,FALSE)</f>
        <v>リム</v>
      </c>
      <c r="M5" s="23" t="str">
        <f ca="1">VLOOKUP(K5,[2]enemies!$A:$D,4,FALSE)</f>
        <v>blue</v>
      </c>
      <c r="N5" s="24" t="str">
        <f ca="1">VLOOKUP(K5,[3]characters!$A:$J,10,FALSE)</f>
        <v>Drop1W</v>
      </c>
      <c r="O5" s="23" t="str">
        <f ca="1">VLOOKUP(K5,[2]enemies!$A:$M,13,FALSE)</f>
        <v>human</v>
      </c>
      <c r="P5" s="23">
        <f ca="1">VLOOKUP(K5,[2]enemies!$A:$X,24,FALSE)</f>
        <v>15</v>
      </c>
      <c r="Q5" s="5">
        <v>30</v>
      </c>
      <c r="R5" s="31">
        <v>1</v>
      </c>
      <c r="S5" s="31">
        <v>1</v>
      </c>
      <c r="T5" s="5">
        <v>0</v>
      </c>
      <c r="U5" s="4" t="str">
        <f ca="1">VLOOKUP($V5,OFFSET([4]enemy_skill_sets!$B$1,0,0,COUNTA([4]enemy_skill_sets!$B:$B),MATCH(L$1,[4]enemy_skill_sets!$1:$1,0)-MATCH($V$1,[4]enemy_skill_sets!$1:$1,0)+2),MATCH(L$1,[4]enemy_skill_sets!$1:$1,0)-MATCH($V$1,[4]enemy_skill_sets!$1:$1,0)+2,FALSE)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5" s="23">
        <f ca="1">VLOOKUP($K5,OFFSET([2]enemies!$A$1,0,0,COUNTA([2]enemies!$A:$A),MATCH(V$1,[2]enemies!$1:$1,0)-MATCH($K$1,[2]enemies!$1:$1,0)+1),MATCH(V$1,[2]enemies!$1:$1,0)-MATCH($K$1,[2]enemies!$1:$1,0)+1,FALSE)</f>
        <v>0</v>
      </c>
      <c r="W5" s="6">
        <v>0</v>
      </c>
      <c r="X5" s="6">
        <v>100</v>
      </c>
      <c r="Y5" s="6">
        <v>0</v>
      </c>
      <c r="Z5" s="23">
        <f ca="1">VLOOKUP(K5,[2]enemies!$A:$V,22,FALSE)</f>
        <v>2</v>
      </c>
      <c r="AA5" s="45">
        <v>17</v>
      </c>
      <c r="AB5" s="4" t="str">
        <f ca="1">VLOOKUP(AA5,[3]characters!$A:$I,3,FALSE)</f>
        <v>リム</v>
      </c>
      <c r="AC5" s="4">
        <f ca="1">VLOOKUP(AA5,[3]characters!$A:$I,9,FALSE)</f>
        <v>1</v>
      </c>
      <c r="AD5" s="4" t="str">
        <f ca="1">VLOOKUP(AA5,[3]characters!$A:$J,10,FALSE)</f>
        <v>Drop1W</v>
      </c>
      <c r="AE5" s="7">
        <v>4</v>
      </c>
      <c r="AF5" s="30">
        <f t="shared" ca="1" si="3"/>
        <v>1</v>
      </c>
      <c r="AG5" s="8">
        <v>15</v>
      </c>
      <c r="AH5" s="7">
        <v>0</v>
      </c>
      <c r="AI5" s="7">
        <v>0</v>
      </c>
      <c r="AJ5" s="7">
        <v>0</v>
      </c>
      <c r="AK5" s="7">
        <v>0</v>
      </c>
      <c r="AL5" s="7">
        <v>1</v>
      </c>
    </row>
    <row r="6" spans="1:38" ht="21" customHeight="1" x14ac:dyDescent="0.15">
      <c r="A6" s="20" t="str">
        <f t="shared" ca="1" si="0"/>
        <v>30008_1-1/19&lt;lv30&gt;s3</v>
      </c>
      <c r="B6" s="28">
        <v>30008</v>
      </c>
      <c r="C6" s="27">
        <v>1</v>
      </c>
      <c r="D6" s="2" t="str">
        <f t="shared" si="1"/>
        <v>30008_1</v>
      </c>
      <c r="E6" s="4" t="str">
        <f ca="1">VLOOKUP($B6,OFFSET([1]quests!$A$1,0,0,COUNTA([1]quests!$A:$A),MATCH(E$1,[1]quests!$1:$1,0)-MATCH($B$1,[1]quests!$1:$1,0)+1),MATCH(E$1,[1]quests!$1:$1,0)-MATCH($B$1,[1]quests!$1:$1,0)+1,FALSE)</f>
        <v>わたしの嫁を返してもらおう</v>
      </c>
      <c r="F6" s="4" t="str">
        <f ca="1">VLOOKUP($D6,OFFSET([1]stages!$A$1,0,0,COUNTA([1]stages!$A:$A),MATCH(F$1,[1]stages!$2:$2,0)-MATCH($D$1,[1]stages!$2:$2,0)+1),MATCH(F$1,[1]stages!$2:$2,0)-MATCH($D$1,[1]stages!$2:$2,0)+1,FALSE)</f>
        <v>【中級】わたしの嫁を返してもらおう</v>
      </c>
      <c r="G6" s="52">
        <v>1</v>
      </c>
      <c r="H6" s="19" t="str">
        <f t="shared" ca="1" si="2"/>
        <v>30008_1-1</v>
      </c>
      <c r="I6" s="4">
        <f ca="1">VLOOKUP($H6,OFFSET(floors_multi_2_4!$A$1,0,0,COUNTA(floors_multi_2_4!$A:$A),MATCH(I$1,floors_multi_2_4!$1:$1,0)-MATCH($H$1,floors_multi_2_4!$1:$1,0)+1),MATCH(I$1,floors_multi_2_4!$1:$1,0)-MATCH($H$1,floors_multi_2_4!$1:$1,0)+1,FALSE)</f>
        <v>30</v>
      </c>
      <c r="J6" s="4">
        <f ca="1">VLOOKUP($H6,OFFSET(floors_multi_2_4!$A$1,0,0,COUNTA(floors_multi_2_4!$A:$A),MATCH(J$1,floors_multi_2_4!$1:$1,0)-MATCH($H$1,floors_multi_2_4!$1:$1,0)+1),MATCH(J$1,floors_multi_2_4!$1:$1,0)-MATCH($H$1,floors_multi_2_4!$1:$1,0)+1,FALSE)</f>
        <v>30</v>
      </c>
      <c r="K6" s="42">
        <v>19</v>
      </c>
      <c r="L6" s="23" t="str">
        <f ca="1">VLOOKUP(K6,[2]enemies!$A:$D,2,FALSE)</f>
        <v>ティンク</v>
      </c>
      <c r="M6" s="23" t="str">
        <f ca="1">VLOOKUP(K6,[2]enemies!$A:$D,4,FALSE)</f>
        <v>yellow</v>
      </c>
      <c r="N6" s="24" t="str">
        <f ca="1">VLOOKUP(K6,[3]characters!$A:$J,10,FALSE)</f>
        <v>Drop1W</v>
      </c>
      <c r="O6" s="23" t="str">
        <f ca="1">VLOOKUP(K6,[2]enemies!$A:$M,13,FALSE)</f>
        <v>human</v>
      </c>
      <c r="P6" s="23">
        <f ca="1">VLOOKUP(K6,[2]enemies!$A:$X,24,FALSE)</f>
        <v>15</v>
      </c>
      <c r="Q6" s="5">
        <v>30</v>
      </c>
      <c r="R6" s="31">
        <v>1</v>
      </c>
      <c r="S6" s="31">
        <v>1</v>
      </c>
      <c r="T6" s="5">
        <v>0</v>
      </c>
      <c r="U6" s="4" t="str">
        <f ca="1">VLOOKUP($V6,OFFSET([4]enemy_skill_sets!$B$1,0,0,COUNTA([4]enemy_skill_sets!$B:$B),MATCH(L$1,[4]enemy_skill_sets!$1:$1,0)-MATCH($V$1,[4]enemy_skill_sets!$1:$1,0)+2),MATCH(L$1,[4]enemy_skill_sets!$1:$1,0)-MATCH($V$1,[4]enemy_skill_sets!$1:$1,0)+2,FALSE)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6" s="23">
        <f ca="1">VLOOKUP($K6,OFFSET([2]enemies!$A$1,0,0,COUNTA([2]enemies!$A:$A),MATCH(V$1,[2]enemies!$1:$1,0)-MATCH($K$1,[2]enemies!$1:$1,0)+1),MATCH(V$1,[2]enemies!$1:$1,0)-MATCH($K$1,[2]enemies!$1:$1,0)+1,FALSE)</f>
        <v>0</v>
      </c>
      <c r="W6" s="6">
        <v>0</v>
      </c>
      <c r="X6" s="6">
        <v>100</v>
      </c>
      <c r="Y6" s="6">
        <v>0</v>
      </c>
      <c r="Z6" s="23">
        <f ca="1">VLOOKUP(K6,[2]enemies!$A:$V,22,FALSE)</f>
        <v>3</v>
      </c>
      <c r="AA6" s="45">
        <v>19</v>
      </c>
      <c r="AB6" s="4" t="str">
        <f ca="1">VLOOKUP(AA6,[3]characters!$A:$I,3,FALSE)</f>
        <v>ティンク</v>
      </c>
      <c r="AC6" s="4">
        <f ca="1">VLOOKUP(AA6,[3]characters!$A:$I,9,FALSE)</f>
        <v>1</v>
      </c>
      <c r="AD6" s="4" t="str">
        <f ca="1">VLOOKUP(AA6,[3]characters!$A:$J,10,FALSE)</f>
        <v>Drop1W</v>
      </c>
      <c r="AE6" s="7">
        <v>4</v>
      </c>
      <c r="AF6" s="30">
        <f t="shared" ca="1" si="3"/>
        <v>1</v>
      </c>
      <c r="AG6" s="8">
        <v>15</v>
      </c>
      <c r="AH6" s="7">
        <v>0</v>
      </c>
      <c r="AI6" s="7">
        <v>0</v>
      </c>
      <c r="AJ6" s="7">
        <v>0</v>
      </c>
      <c r="AK6" s="7">
        <v>0</v>
      </c>
      <c r="AL6" s="7">
        <v>1</v>
      </c>
    </row>
    <row r="7" spans="1:38" ht="21" customHeight="1" x14ac:dyDescent="0.15">
      <c r="A7" s="20" t="str">
        <f t="shared" si="0"/>
        <v>30008_1-2/121&lt;lv30&gt;s3</v>
      </c>
      <c r="B7" s="28">
        <v>30008</v>
      </c>
      <c r="C7" s="27">
        <v>1</v>
      </c>
      <c r="D7" s="2" t="str">
        <f t="shared" si="1"/>
        <v>30008_1</v>
      </c>
      <c r="E7" s="4" t="str">
        <f ca="1">VLOOKUP($B7,OFFSET([1]quests!$A$1,0,0,COUNTA([1]quests!$A:$A),MATCH(E$1,[1]quests!$1:$1,0)-MATCH($B$1,[1]quests!$1:$1,0)+1),MATCH(E$1,[1]quests!$1:$1,0)-MATCH($B$1,[1]quests!$1:$1,0)+1,FALSE)</f>
        <v>わたしの嫁を返してもらおう</v>
      </c>
      <c r="F7" s="4" t="str">
        <f ca="1">VLOOKUP($D7,OFFSET([1]stages!$A$1,0,0,COUNTA([1]stages!$A:$A),MATCH(F$1,[1]stages!$2:$2,0)-MATCH($D$1,[1]stages!$2:$2,0)+1),MATCH(F$1,[1]stages!$2:$2,0)-MATCH($D$1,[1]stages!$2:$2,0)+1,FALSE)</f>
        <v>【中級】わたしの嫁を返してもらおう</v>
      </c>
      <c r="G7" s="27">
        <v>2</v>
      </c>
      <c r="H7" s="19" t="str">
        <f t="shared" ca="1" si="2"/>
        <v>30008_1-2</v>
      </c>
      <c r="I7" s="4">
        <f ca="1">VLOOKUP($H7,OFFSET(floors_multi_2_4!$A$1,0,0,COUNTA(floors_multi_2_4!$A:$A),MATCH(I$1,floors_multi_2_4!$1:$1,0)-MATCH($H$1,floors_multi_2_4!$1:$1,0)+1),MATCH(I$1,floors_multi_2_4!$1:$1,0)-MATCH($H$1,floors_multi_2_4!$1:$1,0)+1,FALSE)</f>
        <v>60</v>
      </c>
      <c r="J7" s="4">
        <f ca="1">VLOOKUP($H7,OFFSET(floors_multi_2_4!$A$1,0,0,COUNTA(floors_multi_2_4!$A:$A),MATCH(J$1,floors_multi_2_4!$1:$1,0)-MATCH($H$1,floors_multi_2_4!$1:$1,0)+1),MATCH(J$1,floors_multi_2_4!$1:$1,0)-MATCH($H$1,floors_multi_2_4!$1:$1,0)+1,FALSE)</f>
        <v>60</v>
      </c>
      <c r="K7" s="26">
        <v>121</v>
      </c>
      <c r="L7" s="23" t="str">
        <f ca="1">VLOOKUP(K7,[2]enemies!$A:$D,2,FALSE)</f>
        <v>攻めの果実</v>
      </c>
      <c r="M7" s="23" t="str">
        <f ca="1">VLOOKUP(K7,[2]enemies!$A:$D,4,FALSE)</f>
        <v>red</v>
      </c>
      <c r="N7" s="24" t="str">
        <f ca="1">VLOOKUP(K7,[3]characters!$A:$J,10,FALSE)</f>
        <v>Material</v>
      </c>
      <c r="O7" s="23" t="str">
        <f ca="1">VLOOKUP(K7,[2]enemies!$A:$M,13,FALSE)</f>
        <v>unknown</v>
      </c>
      <c r="P7" s="23">
        <f ca="1">VLOOKUP(K7,[2]enemies!$A:$X,24,FALSE)</f>
        <v>20</v>
      </c>
      <c r="Q7" s="5">
        <v>30</v>
      </c>
      <c r="R7" s="31">
        <v>1</v>
      </c>
      <c r="S7" s="31">
        <v>1</v>
      </c>
      <c r="T7" s="5">
        <v>0</v>
      </c>
      <c r="U7" s="4" t="str">
        <f ca="1">VLOOKUP($V7,OFFSET([4]enemy_skill_sets!$B$1,0,0,COUNTA([4]enemy_skill_sets!$B:$B),MATCH(L$1,[4]enemy_skill_sets!$1:$1,0)-MATCH($V$1,[4]enemy_skill_sets!$1:$1,0)+2),MATCH(L$1,[4]enemy_skill_sets!$1:$1,0)-MATCH($V$1,[4]enemy_skill_sets!$1:$1,0)+2,FALSE)</f>
        <v>次のターン強力な攻撃</v>
      </c>
      <c r="V7" s="50">
        <v>1211</v>
      </c>
      <c r="W7" s="6">
        <v>1</v>
      </c>
      <c r="X7" s="6">
        <v>0</v>
      </c>
      <c r="Y7" s="6">
        <v>1</v>
      </c>
      <c r="Z7" s="50">
        <v>3</v>
      </c>
      <c r="AA7" s="49">
        <v>121</v>
      </c>
      <c r="AB7" s="4" t="str">
        <f ca="1">VLOOKUP(AA7,[3]characters!$A:$I,3,FALSE)</f>
        <v>攻めの果実</v>
      </c>
      <c r="AC7" s="4">
        <f ca="1">VLOOKUP(AA7,[3]characters!$A:$I,9,FALSE)</f>
        <v>3</v>
      </c>
      <c r="AD7" s="4" t="str">
        <f ca="1">VLOOKUP(AA7,[3]characters!$A:$J,10,FALSE)</f>
        <v>Material</v>
      </c>
      <c r="AE7" s="7">
        <v>1</v>
      </c>
      <c r="AF7" s="30">
        <f t="shared" ca="1" si="3"/>
        <v>3</v>
      </c>
      <c r="AG7" s="8">
        <v>3</v>
      </c>
      <c r="AH7" s="7">
        <v>0</v>
      </c>
      <c r="AI7" s="7">
        <v>0</v>
      </c>
      <c r="AJ7" s="7">
        <v>0</v>
      </c>
      <c r="AK7" s="7">
        <v>0</v>
      </c>
      <c r="AL7" s="7">
        <v>1</v>
      </c>
    </row>
    <row r="8" spans="1:38" ht="21" customHeight="1" x14ac:dyDescent="0.15">
      <c r="A8" s="20" t="str">
        <f t="shared" si="0"/>
        <v>30008_1-2/122&lt;lv30&gt;s3</v>
      </c>
      <c r="B8" s="28">
        <v>30008</v>
      </c>
      <c r="C8" s="27">
        <v>1</v>
      </c>
      <c r="D8" s="2" t="str">
        <f t="shared" si="1"/>
        <v>30008_1</v>
      </c>
      <c r="E8" s="4" t="str">
        <f ca="1">VLOOKUP($B8,OFFSET([1]quests!$A$1,0,0,COUNTA([1]quests!$A:$A),MATCH(E$1,[1]quests!$1:$1,0)-MATCH($B$1,[1]quests!$1:$1,0)+1),MATCH(E$1,[1]quests!$1:$1,0)-MATCH($B$1,[1]quests!$1:$1,0)+1,FALSE)</f>
        <v>わたしの嫁を返してもらおう</v>
      </c>
      <c r="F8" s="4" t="str">
        <f ca="1">VLOOKUP($D8,OFFSET([1]stages!$A$1,0,0,COUNTA([1]stages!$A:$A),MATCH(F$1,[1]stages!$2:$2,0)-MATCH($D$1,[1]stages!$2:$2,0)+1),MATCH(F$1,[1]stages!$2:$2,0)-MATCH($D$1,[1]stages!$2:$2,0)+1,FALSE)</f>
        <v>【中級】わたしの嫁を返してもらおう</v>
      </c>
      <c r="G8" s="27">
        <v>2</v>
      </c>
      <c r="H8" s="19" t="str">
        <f t="shared" ca="1" si="2"/>
        <v>30008_1-2</v>
      </c>
      <c r="I8" s="4">
        <f ca="1">VLOOKUP($H8,OFFSET(floors_multi_2_4!$A$1,0,0,COUNTA(floors_multi_2_4!$A:$A),MATCH(I$1,floors_multi_2_4!$1:$1,0)-MATCH($H$1,floors_multi_2_4!$1:$1,0)+1),MATCH(I$1,floors_multi_2_4!$1:$1,0)-MATCH($H$1,floors_multi_2_4!$1:$1,0)+1,FALSE)</f>
        <v>60</v>
      </c>
      <c r="J8" s="4">
        <f ca="1">VLOOKUP($H8,OFFSET(floors_multi_2_4!$A$1,0,0,COUNTA(floors_multi_2_4!$A:$A),MATCH(J$1,floors_multi_2_4!$1:$1,0)-MATCH($H$1,floors_multi_2_4!$1:$1,0)+1),MATCH(J$1,floors_multi_2_4!$1:$1,0)-MATCH($H$1,floors_multi_2_4!$1:$1,0)+1,FALSE)</f>
        <v>60</v>
      </c>
      <c r="K8" s="26">
        <v>122</v>
      </c>
      <c r="L8" s="23" t="str">
        <f ca="1">VLOOKUP(K8,[2]enemies!$A:$D,2,FALSE)</f>
        <v>生命の果実</v>
      </c>
      <c r="M8" s="23" t="str">
        <f ca="1">VLOOKUP(K8,[2]enemies!$A:$D,4,FALSE)</f>
        <v>green</v>
      </c>
      <c r="N8" s="24" t="str">
        <f ca="1">VLOOKUP(K8,[3]characters!$A:$J,10,FALSE)</f>
        <v>Material</v>
      </c>
      <c r="O8" s="23" t="str">
        <f ca="1">VLOOKUP(K8,[2]enemies!$A:$M,13,FALSE)</f>
        <v>unknown</v>
      </c>
      <c r="P8" s="23">
        <f ca="1">VLOOKUP(K8,[2]enemies!$A:$X,24,FALSE)</f>
        <v>20</v>
      </c>
      <c r="Q8" s="5">
        <v>30</v>
      </c>
      <c r="R8" s="31">
        <v>1</v>
      </c>
      <c r="S8" s="31">
        <v>1</v>
      </c>
      <c r="T8" s="5">
        <v>0</v>
      </c>
      <c r="U8" s="4" t="str">
        <f ca="1">VLOOKUP($V8,OFFSET([4]enemy_skill_sets!$B$1,0,0,COUNTA([4]enemy_skill_sets!$B:$B),MATCH(L$1,[4]enemy_skill_sets!$1:$1,0)-MATCH($V$1,[4]enemy_skill_sets!$1:$1,0)+2),MATCH(L$1,[4]enemy_skill_sets!$1:$1,0)-MATCH($V$1,[4]enemy_skill_sets!$1:$1,0)+2,FALSE)</f>
        <v>この果実はターン０になると自爆する！</v>
      </c>
      <c r="V8" s="50">
        <v>1221</v>
      </c>
      <c r="W8" s="6">
        <v>1</v>
      </c>
      <c r="X8" s="6">
        <v>0</v>
      </c>
      <c r="Y8" s="6">
        <v>1</v>
      </c>
      <c r="Z8" s="50">
        <v>3</v>
      </c>
      <c r="AA8" s="49">
        <v>122</v>
      </c>
      <c r="AB8" s="4" t="str">
        <f ca="1">VLOOKUP(AA8,[3]characters!$A:$I,3,FALSE)</f>
        <v>生命の果実</v>
      </c>
      <c r="AC8" s="4">
        <f ca="1">VLOOKUP(AA8,[3]characters!$A:$I,9,FALSE)</f>
        <v>3</v>
      </c>
      <c r="AD8" s="4" t="str">
        <f ca="1">VLOOKUP(AA8,[3]characters!$A:$J,10,FALSE)</f>
        <v>Material</v>
      </c>
      <c r="AE8" s="7">
        <v>1</v>
      </c>
      <c r="AF8" s="30">
        <f t="shared" ca="1" si="3"/>
        <v>3</v>
      </c>
      <c r="AG8" s="8">
        <v>3</v>
      </c>
      <c r="AH8" s="7">
        <v>0</v>
      </c>
      <c r="AI8" s="7">
        <v>0</v>
      </c>
      <c r="AJ8" s="7">
        <v>0</v>
      </c>
      <c r="AK8" s="7">
        <v>0</v>
      </c>
      <c r="AL8" s="7">
        <v>1</v>
      </c>
    </row>
    <row r="9" spans="1:38" ht="21" customHeight="1" x14ac:dyDescent="0.15">
      <c r="A9" s="20" t="str">
        <f t="shared" si="0"/>
        <v>30008_1-2/123&lt;lv30&gt;s3</v>
      </c>
      <c r="B9" s="28">
        <v>30008</v>
      </c>
      <c r="C9" s="27">
        <v>1</v>
      </c>
      <c r="D9" s="2" t="str">
        <f t="shared" si="1"/>
        <v>30008_1</v>
      </c>
      <c r="E9" s="4" t="str">
        <f ca="1">VLOOKUP($B9,OFFSET([1]quests!$A$1,0,0,COUNTA([1]quests!$A:$A),MATCH(E$1,[1]quests!$1:$1,0)-MATCH($B$1,[1]quests!$1:$1,0)+1),MATCH(E$1,[1]quests!$1:$1,0)-MATCH($B$1,[1]quests!$1:$1,0)+1,FALSE)</f>
        <v>わたしの嫁を返してもらおう</v>
      </c>
      <c r="F9" s="4" t="str">
        <f ca="1">VLOOKUP($D9,OFFSET([1]stages!$A$1,0,0,COUNTA([1]stages!$A:$A),MATCH(F$1,[1]stages!$2:$2,0)-MATCH($D$1,[1]stages!$2:$2,0)+1),MATCH(F$1,[1]stages!$2:$2,0)-MATCH($D$1,[1]stages!$2:$2,0)+1,FALSE)</f>
        <v>【中級】わたしの嫁を返してもらおう</v>
      </c>
      <c r="G9" s="27">
        <v>2</v>
      </c>
      <c r="H9" s="19" t="str">
        <f t="shared" ca="1" si="2"/>
        <v>30008_1-2</v>
      </c>
      <c r="I9" s="4">
        <f ca="1">VLOOKUP($H9,OFFSET(floors_multi_2_4!$A$1,0,0,COUNTA(floors_multi_2_4!$A:$A),MATCH(I$1,floors_multi_2_4!$1:$1,0)-MATCH($H$1,floors_multi_2_4!$1:$1,0)+1),MATCH(I$1,floors_multi_2_4!$1:$1,0)-MATCH($H$1,floors_multi_2_4!$1:$1,0)+1,FALSE)</f>
        <v>60</v>
      </c>
      <c r="J9" s="4">
        <f ca="1">VLOOKUP($H9,OFFSET(floors_multi_2_4!$A$1,0,0,COUNTA(floors_multi_2_4!$A:$A),MATCH(J$1,floors_multi_2_4!$1:$1,0)-MATCH($H$1,floors_multi_2_4!$1:$1,0)+1),MATCH(J$1,floors_multi_2_4!$1:$1,0)-MATCH($H$1,floors_multi_2_4!$1:$1,0)+1,FALSE)</f>
        <v>60</v>
      </c>
      <c r="K9" s="26">
        <v>123</v>
      </c>
      <c r="L9" s="23" t="str">
        <f ca="1">VLOOKUP(K9,[2]enemies!$A:$D,2,FALSE)</f>
        <v>癒しの果実</v>
      </c>
      <c r="M9" s="23" t="str">
        <f ca="1">VLOOKUP(K9,[2]enemies!$A:$D,4,FALSE)</f>
        <v>blue</v>
      </c>
      <c r="N9" s="24" t="str">
        <f ca="1">VLOOKUP(K9,[3]characters!$A:$J,10,FALSE)</f>
        <v>Material</v>
      </c>
      <c r="O9" s="23" t="str">
        <f ca="1">VLOOKUP(K9,[2]enemies!$A:$M,13,FALSE)</f>
        <v>unknown</v>
      </c>
      <c r="P9" s="23">
        <f ca="1">VLOOKUP(K9,[2]enemies!$A:$X,24,FALSE)</f>
        <v>20</v>
      </c>
      <c r="Q9" s="5">
        <v>30</v>
      </c>
      <c r="R9" s="31">
        <v>0.5</v>
      </c>
      <c r="S9" s="31">
        <v>1</v>
      </c>
      <c r="T9" s="5">
        <v>0</v>
      </c>
      <c r="U9" s="4" t="str">
        <f ca="1">VLOOKUP($V9,OFFSET([4]enemy_skill_sets!$B$1,0,0,COUNTA([4]enemy_skill_sets!$B:$B),MATCH(L$1,[4]enemy_skill_sets!$1:$1,0)-MATCH($V$1,[4]enemy_skill_sets!$1:$1,0)+2),MATCH(L$1,[4]enemy_skill_sets!$1:$1,0)-MATCH($V$1,[4]enemy_skill_sets!$1:$1,0)+2,FALSE)</f>
        <v>回復</v>
      </c>
      <c r="V9" s="50">
        <v>1231</v>
      </c>
      <c r="W9" s="6">
        <v>1</v>
      </c>
      <c r="X9" s="6">
        <v>0</v>
      </c>
      <c r="Y9" s="6">
        <v>1</v>
      </c>
      <c r="Z9" s="50">
        <v>3</v>
      </c>
      <c r="AA9" s="49">
        <v>123</v>
      </c>
      <c r="AB9" s="4" t="str">
        <f ca="1">VLOOKUP(AA9,[3]characters!$A:$I,3,FALSE)</f>
        <v>癒しの果実</v>
      </c>
      <c r="AC9" s="4">
        <f ca="1">VLOOKUP(AA9,[3]characters!$A:$I,9,FALSE)</f>
        <v>3</v>
      </c>
      <c r="AD9" s="4" t="str">
        <f ca="1">VLOOKUP(AA9,[3]characters!$A:$J,10,FALSE)</f>
        <v>Material</v>
      </c>
      <c r="AE9" s="7">
        <v>1</v>
      </c>
      <c r="AF9" s="30">
        <f t="shared" ca="1" si="3"/>
        <v>3</v>
      </c>
      <c r="AG9" s="8">
        <v>3</v>
      </c>
      <c r="AH9" s="7">
        <v>0</v>
      </c>
      <c r="AI9" s="7">
        <v>0</v>
      </c>
      <c r="AJ9" s="7">
        <v>0</v>
      </c>
      <c r="AK9" s="7">
        <v>0</v>
      </c>
      <c r="AL9" s="7">
        <v>1</v>
      </c>
    </row>
    <row r="10" spans="1:38" ht="21" customHeight="1" x14ac:dyDescent="0.15">
      <c r="A10" s="20" t="str">
        <f t="shared" ca="1" si="0"/>
        <v>30008_1-3/9&lt;lv30&gt;s2</v>
      </c>
      <c r="B10" s="28">
        <v>30008</v>
      </c>
      <c r="C10" s="27">
        <v>1</v>
      </c>
      <c r="D10" s="2" t="str">
        <f t="shared" si="1"/>
        <v>30008_1</v>
      </c>
      <c r="E10" s="4" t="str">
        <f ca="1">VLOOKUP($B10,OFFSET([1]quests!$A$1,0,0,COUNTA([1]quests!$A:$A),MATCH(E$1,[1]quests!$1:$1,0)-MATCH($B$1,[1]quests!$1:$1,0)+1),MATCH(E$1,[1]quests!$1:$1,0)-MATCH($B$1,[1]quests!$1:$1,0)+1,FALSE)</f>
        <v>わたしの嫁を返してもらおう</v>
      </c>
      <c r="F10" s="4" t="str">
        <f ca="1">VLOOKUP($D10,OFFSET([1]stages!$A$1,0,0,COUNTA([1]stages!$A:$A),MATCH(F$1,[1]stages!$2:$2,0)-MATCH($D$1,[1]stages!$2:$2,0)+1),MATCH(F$1,[1]stages!$2:$2,0)-MATCH($D$1,[1]stages!$2:$2,0)+1,FALSE)</f>
        <v>【中級】わたしの嫁を返してもらおう</v>
      </c>
      <c r="G10" s="52">
        <v>3</v>
      </c>
      <c r="H10" s="19" t="str">
        <f t="shared" ca="1" si="2"/>
        <v>30008_1-3</v>
      </c>
      <c r="I10" s="4">
        <f ca="1">VLOOKUP($H10,OFFSET(floors_multi_2_4!$A$1,0,0,COUNTA(floors_multi_2_4!$A:$A),MATCH(I$1,floors_multi_2_4!$1:$1,0)-MATCH($H$1,floors_multi_2_4!$1:$1,0)+1),MATCH(I$1,floors_multi_2_4!$1:$1,0)-MATCH($H$1,floors_multi_2_4!$1:$1,0)+1,FALSE)</f>
        <v>45</v>
      </c>
      <c r="J10" s="4">
        <f ca="1">VLOOKUP($H10,OFFSET(floors_multi_2_4!$A$1,0,0,COUNTA(floors_multi_2_4!$A:$A),MATCH(J$1,floors_multi_2_4!$1:$1,0)-MATCH($H$1,floors_multi_2_4!$1:$1,0)+1),MATCH(J$1,floors_multi_2_4!$1:$1,0)-MATCH($H$1,floors_multi_2_4!$1:$1,0)+1,FALSE)</f>
        <v>45</v>
      </c>
      <c r="K10" s="44">
        <v>9</v>
      </c>
      <c r="L10" s="23" t="str">
        <f ca="1">VLOOKUP(K10,[2]enemies!$A:$D,2,FALSE)</f>
        <v>ブレット</v>
      </c>
      <c r="M10" s="23" t="str">
        <f ca="1">VLOOKUP(K10,[2]enemies!$A:$D,4,FALSE)</f>
        <v>red</v>
      </c>
      <c r="N10" s="24" t="str">
        <f ca="1">VLOOKUP(K10,[3]characters!$A:$J,10,FALSE)</f>
        <v>Drop1W</v>
      </c>
      <c r="O10" s="23" t="str">
        <f ca="1">VLOOKUP(K10,[2]enemies!$A:$M,13,FALSE)</f>
        <v>animal</v>
      </c>
      <c r="P10" s="23">
        <f ca="1">VLOOKUP(K10,[2]enemies!$A:$X,24,FALSE)</f>
        <v>15</v>
      </c>
      <c r="Q10" s="5">
        <v>30</v>
      </c>
      <c r="R10" s="31">
        <v>1</v>
      </c>
      <c r="S10" s="31">
        <v>1</v>
      </c>
      <c r="T10" s="5">
        <v>0</v>
      </c>
      <c r="U10" s="4" t="str">
        <f ca="1">VLOOKUP($V10,OFFSET([4]enemy_skill_sets!$B$1,0,0,COUNTA([4]enemy_skill_sets!$B:$B),MATCH(L$1,[4]enemy_skill_sets!$1:$1,0)-MATCH($V$1,[4]enemy_skill_sets!$1:$1,0)+2),MATCH(L$1,[4]enemy_skill_sets!$1:$1,0)-MATCH($V$1,[4]enemy_skill_sets!$1:$1,0)+2,FALSE)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0" s="23">
        <f ca="1">VLOOKUP($K10,OFFSET([2]enemies!$A$1,0,0,COUNTA([2]enemies!$A:$A),MATCH(V$1,[2]enemies!$1:$1,0)-MATCH($K$1,[2]enemies!$1:$1,0)+1),MATCH(V$1,[2]enemies!$1:$1,0)-MATCH($K$1,[2]enemies!$1:$1,0)+1,FALSE)</f>
        <v>0</v>
      </c>
      <c r="W10" s="6">
        <v>0</v>
      </c>
      <c r="X10" s="6">
        <v>100</v>
      </c>
      <c r="Y10" s="6">
        <v>0</v>
      </c>
      <c r="Z10" s="23">
        <f ca="1">VLOOKUP(K10,[2]enemies!$A:$V,22,FALSE)</f>
        <v>2</v>
      </c>
      <c r="AA10" s="45">
        <v>9</v>
      </c>
      <c r="AB10" s="4" t="str">
        <f ca="1">VLOOKUP(AA10,[3]characters!$A:$I,3,FALSE)</f>
        <v>ブレット</v>
      </c>
      <c r="AC10" s="4">
        <f ca="1">VLOOKUP(AA10,[3]characters!$A:$I,9,FALSE)</f>
        <v>1</v>
      </c>
      <c r="AD10" s="4" t="str">
        <f ca="1">VLOOKUP(AA10,[3]characters!$A:$J,10,FALSE)</f>
        <v>Drop1W</v>
      </c>
      <c r="AE10" s="7">
        <v>4</v>
      </c>
      <c r="AF10" s="30">
        <f t="shared" ca="1" si="3"/>
        <v>1</v>
      </c>
      <c r="AG10" s="8">
        <v>15</v>
      </c>
      <c r="AH10" s="7">
        <v>0</v>
      </c>
      <c r="AI10" s="7">
        <v>0</v>
      </c>
      <c r="AJ10" s="7">
        <v>0</v>
      </c>
      <c r="AK10" s="7">
        <v>0</v>
      </c>
      <c r="AL10" s="7">
        <v>1</v>
      </c>
    </row>
    <row r="11" spans="1:38" ht="21" customHeight="1" x14ac:dyDescent="0.15">
      <c r="A11" s="20" t="str">
        <f t="shared" ca="1" si="0"/>
        <v>30008_1-3/11&lt;lv30&gt;s3</v>
      </c>
      <c r="B11" s="28">
        <v>30008</v>
      </c>
      <c r="C11" s="27">
        <v>1</v>
      </c>
      <c r="D11" s="2" t="str">
        <f t="shared" si="1"/>
        <v>30008_1</v>
      </c>
      <c r="E11" s="4" t="str">
        <f ca="1">VLOOKUP($B11,OFFSET([1]quests!$A$1,0,0,COUNTA([1]quests!$A:$A),MATCH(E$1,[1]quests!$1:$1,0)-MATCH($B$1,[1]quests!$1:$1,0)+1),MATCH(E$1,[1]quests!$1:$1,0)-MATCH($B$1,[1]quests!$1:$1,0)+1,FALSE)</f>
        <v>わたしの嫁を返してもらおう</v>
      </c>
      <c r="F11" s="4" t="str">
        <f ca="1">VLOOKUP($D11,OFFSET([1]stages!$A$1,0,0,COUNTA([1]stages!$A:$A),MATCH(F$1,[1]stages!$2:$2,0)-MATCH($D$1,[1]stages!$2:$2,0)+1),MATCH(F$1,[1]stages!$2:$2,0)-MATCH($D$1,[1]stages!$2:$2,0)+1,FALSE)</f>
        <v>【中級】わたしの嫁を返してもらおう</v>
      </c>
      <c r="G11" s="52">
        <v>3</v>
      </c>
      <c r="H11" s="19" t="str">
        <f t="shared" ca="1" si="2"/>
        <v>30008_1-3</v>
      </c>
      <c r="I11" s="4">
        <f ca="1">VLOOKUP($H11,OFFSET(floors_multi_2_4!$A$1,0,0,COUNTA(floors_multi_2_4!$A:$A),MATCH(I$1,floors_multi_2_4!$1:$1,0)-MATCH($H$1,floors_multi_2_4!$1:$1,0)+1),MATCH(I$1,floors_multi_2_4!$1:$1,0)-MATCH($H$1,floors_multi_2_4!$1:$1,0)+1,FALSE)</f>
        <v>45</v>
      </c>
      <c r="J11" s="4">
        <f ca="1">VLOOKUP($H11,OFFSET(floors_multi_2_4!$A$1,0,0,COUNTA(floors_multi_2_4!$A:$A),MATCH(J$1,floors_multi_2_4!$1:$1,0)-MATCH($H$1,floors_multi_2_4!$1:$1,0)+1),MATCH(J$1,floors_multi_2_4!$1:$1,0)-MATCH($H$1,floors_multi_2_4!$1:$1,0)+1,FALSE)</f>
        <v>45</v>
      </c>
      <c r="K11" s="45">
        <v>11</v>
      </c>
      <c r="L11" s="23" t="str">
        <f ca="1">VLOOKUP(K11,[2]enemies!$A:$D,2,FALSE)</f>
        <v>マグリット</v>
      </c>
      <c r="M11" s="23" t="str">
        <f ca="1">VLOOKUP(K11,[2]enemies!$A:$D,4,FALSE)</f>
        <v>green</v>
      </c>
      <c r="N11" s="24" t="str">
        <f ca="1">VLOOKUP(K11,[3]characters!$A:$J,10,FALSE)</f>
        <v>Drop1W</v>
      </c>
      <c r="O11" s="23" t="str">
        <f ca="1">VLOOKUP(K11,[2]enemies!$A:$M,13,FALSE)</f>
        <v>animal</v>
      </c>
      <c r="P11" s="23">
        <f ca="1">VLOOKUP(K11,[2]enemies!$A:$X,24,FALSE)</f>
        <v>15</v>
      </c>
      <c r="Q11" s="5">
        <v>30</v>
      </c>
      <c r="R11" s="31">
        <v>1</v>
      </c>
      <c r="S11" s="31">
        <v>1</v>
      </c>
      <c r="T11" s="5">
        <v>0</v>
      </c>
      <c r="U11" s="4" t="str">
        <f ca="1">VLOOKUP($V11,OFFSET([4]enemy_skill_sets!$B$1,0,0,COUNTA([4]enemy_skill_sets!$B:$B),MATCH(L$1,[4]enemy_skill_sets!$1:$1,0)-MATCH($V$1,[4]enemy_skill_sets!$1:$1,0)+2),MATCH(L$1,[4]enemy_skill_sets!$1:$1,0)-MATCH($V$1,[4]enemy_skill_sets!$1:$1,0)+2,FALSE)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1" s="23">
        <f ca="1">VLOOKUP($K11,OFFSET([2]enemies!$A$1,0,0,COUNTA([2]enemies!$A:$A),MATCH(V$1,[2]enemies!$1:$1,0)-MATCH($K$1,[2]enemies!$1:$1,0)+1),MATCH(V$1,[2]enemies!$1:$1,0)-MATCH($K$1,[2]enemies!$1:$1,0)+1,FALSE)</f>
        <v>0</v>
      </c>
      <c r="W11" s="6">
        <v>0</v>
      </c>
      <c r="X11" s="6">
        <v>100</v>
      </c>
      <c r="Y11" s="6">
        <v>0</v>
      </c>
      <c r="Z11" s="23">
        <f ca="1">VLOOKUP(K11,[2]enemies!$A:$V,22,FALSE)</f>
        <v>3</v>
      </c>
      <c r="AA11" s="45">
        <v>11</v>
      </c>
      <c r="AB11" s="4" t="str">
        <f ca="1">VLOOKUP(AA11,[3]characters!$A:$I,3,FALSE)</f>
        <v>マグリット</v>
      </c>
      <c r="AC11" s="4">
        <f ca="1">VLOOKUP(AA11,[3]characters!$A:$I,9,FALSE)</f>
        <v>1</v>
      </c>
      <c r="AD11" s="4" t="str">
        <f ca="1">VLOOKUP(AA11,[3]characters!$A:$J,10,FALSE)</f>
        <v>Drop1W</v>
      </c>
      <c r="AE11" s="7">
        <v>4</v>
      </c>
      <c r="AF11" s="30">
        <f t="shared" ca="1" si="3"/>
        <v>1</v>
      </c>
      <c r="AG11" s="8">
        <v>15</v>
      </c>
      <c r="AH11" s="7">
        <v>0</v>
      </c>
      <c r="AI11" s="7">
        <v>0</v>
      </c>
      <c r="AJ11" s="7">
        <v>0</v>
      </c>
      <c r="AK11" s="7">
        <v>0</v>
      </c>
      <c r="AL11" s="7">
        <v>1</v>
      </c>
    </row>
    <row r="12" spans="1:38" ht="21" customHeight="1" x14ac:dyDescent="0.15">
      <c r="A12" s="20" t="str">
        <f t="shared" ca="1" si="0"/>
        <v>30008_1-3/32&lt;lv30&gt;s5</v>
      </c>
      <c r="B12" s="28">
        <v>30008</v>
      </c>
      <c r="C12" s="27">
        <v>1</v>
      </c>
      <c r="D12" s="2" t="str">
        <f t="shared" si="1"/>
        <v>30008_1</v>
      </c>
      <c r="E12" s="4" t="str">
        <f ca="1">VLOOKUP($B12,OFFSET([1]quests!$A$1,0,0,COUNTA([1]quests!$A:$A),MATCH(E$1,[1]quests!$1:$1,0)-MATCH($B$1,[1]quests!$1:$1,0)+1),MATCH(E$1,[1]quests!$1:$1,0)-MATCH($B$1,[1]quests!$1:$1,0)+1,FALSE)</f>
        <v>わたしの嫁を返してもらおう</v>
      </c>
      <c r="F12" s="4" t="str">
        <f ca="1">VLOOKUP($D12,OFFSET([1]stages!$A$1,0,0,COUNTA([1]stages!$A:$A),MATCH(F$1,[1]stages!$2:$2,0)-MATCH($D$1,[1]stages!$2:$2,0)+1),MATCH(F$1,[1]stages!$2:$2,0)-MATCH($D$1,[1]stages!$2:$2,0)+1,FALSE)</f>
        <v>【中級】わたしの嫁を返してもらおう</v>
      </c>
      <c r="G12" s="52">
        <v>3</v>
      </c>
      <c r="H12" s="19" t="str">
        <f t="shared" ca="1" si="2"/>
        <v>30008_1-3</v>
      </c>
      <c r="I12" s="4">
        <f ca="1">VLOOKUP($H12,OFFSET(floors_multi_2_4!$A$1,0,0,COUNTA(floors_multi_2_4!$A:$A),MATCH(I$1,floors_multi_2_4!$1:$1,0)-MATCH($H$1,floors_multi_2_4!$1:$1,0)+1),MATCH(I$1,floors_multi_2_4!$1:$1,0)-MATCH($H$1,floors_multi_2_4!$1:$1,0)+1,FALSE)</f>
        <v>45</v>
      </c>
      <c r="J12" s="4">
        <f ca="1">VLOOKUP($H12,OFFSET(floors_multi_2_4!$A$1,0,0,COUNTA(floors_multi_2_4!$A:$A),MATCH(J$1,floors_multi_2_4!$1:$1,0)-MATCH($H$1,floors_multi_2_4!$1:$1,0)+1),MATCH(J$1,floors_multi_2_4!$1:$1,0)-MATCH($H$1,floors_multi_2_4!$1:$1,0)+1,FALSE)</f>
        <v>45</v>
      </c>
      <c r="K12" s="46">
        <v>32</v>
      </c>
      <c r="L12" s="23" t="str">
        <f ca="1">VLOOKUP(K12,[2]enemies!$A:$D,2,FALSE)</f>
        <v>沈黙のジャミング マービー</v>
      </c>
      <c r="M12" s="23" t="str">
        <f ca="1">VLOOKUP(K12,[2]enemies!$A:$D,4,FALSE)</f>
        <v>yellow</v>
      </c>
      <c r="N12" s="24" t="str">
        <f ca="1">VLOOKUP(K12,[3]characters!$A:$J,10,FALSE)</f>
        <v>Drop1N</v>
      </c>
      <c r="O12" s="23" t="str">
        <f ca="1">VLOOKUP(K12,[2]enemies!$A:$M,13,FALSE)</f>
        <v>machine</v>
      </c>
      <c r="P12" s="23">
        <f ca="1">VLOOKUP(K12,[2]enemies!$A:$X,24,FALSE)</f>
        <v>15</v>
      </c>
      <c r="Q12" s="5">
        <v>30</v>
      </c>
      <c r="R12" s="31">
        <v>1</v>
      </c>
      <c r="S12" s="31">
        <v>1</v>
      </c>
      <c r="T12" s="5">
        <v>0</v>
      </c>
      <c r="U12" s="4" t="str">
        <f ca="1">VLOOKUP($V12,OFFSET([4]enemy_skill_sets!$B$1,0,0,COUNTA([4]enemy_skill_sets!$B:$B),MATCH(L$1,[4]enemy_skill_sets!$1:$1,0)-MATCH($V$1,[4]enemy_skill_sets!$1:$1,0)+2),MATCH(L$1,[4]enemy_skill_sets!$1:$1,0)-MATCH($V$1,[4]enemy_skill_sets!$1:$1,0)+2,FALSE)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2" s="23">
        <f ca="1">VLOOKUP($K12,OFFSET([2]enemies!$A$1,0,0,COUNTA([2]enemies!$A:$A),MATCH(V$1,[2]enemies!$1:$1,0)-MATCH($K$1,[2]enemies!$1:$1,0)+1),MATCH(V$1,[2]enemies!$1:$1,0)-MATCH($K$1,[2]enemies!$1:$1,0)+1,FALSE)</f>
        <v>0</v>
      </c>
      <c r="W12" s="6">
        <v>0</v>
      </c>
      <c r="X12" s="6">
        <v>100</v>
      </c>
      <c r="Y12" s="6">
        <v>0</v>
      </c>
      <c r="Z12" s="23">
        <f ca="1">VLOOKUP(K12,[2]enemies!$A:$V,22,FALSE)</f>
        <v>5</v>
      </c>
      <c r="AA12" s="46">
        <v>32</v>
      </c>
      <c r="AB12" s="4" t="str">
        <f ca="1">VLOOKUP(AA12,[3]characters!$A:$I,3,FALSE)</f>
        <v>沈黙のジャミング マービー</v>
      </c>
      <c r="AC12" s="4">
        <f ca="1">VLOOKUP(AA12,[3]characters!$A:$I,9,FALSE)</f>
        <v>2</v>
      </c>
      <c r="AD12" s="4" t="str">
        <f ca="1">VLOOKUP(AA12,[3]characters!$A:$J,10,FALSE)</f>
        <v>Drop1N</v>
      </c>
      <c r="AE12" s="7">
        <v>2</v>
      </c>
      <c r="AF12" s="30">
        <f t="shared" ca="1" si="3"/>
        <v>2</v>
      </c>
      <c r="AG12" s="8">
        <v>10</v>
      </c>
      <c r="AH12" s="7">
        <v>0</v>
      </c>
      <c r="AI12" s="7">
        <v>0</v>
      </c>
      <c r="AJ12" s="7">
        <v>0</v>
      </c>
      <c r="AK12" s="7">
        <v>0</v>
      </c>
      <c r="AL12" s="7">
        <v>1</v>
      </c>
    </row>
    <row r="13" spans="1:38" ht="21" customHeight="1" x14ac:dyDescent="0.15">
      <c r="A13" s="20" t="str">
        <f t="shared" ca="1" si="0"/>
        <v>30008_1-3/17&lt;lv30&gt;s2</v>
      </c>
      <c r="B13" s="28">
        <v>30008</v>
      </c>
      <c r="C13" s="27">
        <v>1</v>
      </c>
      <c r="D13" s="2" t="str">
        <f t="shared" si="1"/>
        <v>30008_1</v>
      </c>
      <c r="E13" s="4" t="str">
        <f ca="1">VLOOKUP($B13,OFFSET([1]quests!$A$1,0,0,COUNTA([1]quests!$A:$A),MATCH(E$1,[1]quests!$1:$1,0)-MATCH($B$1,[1]quests!$1:$1,0)+1),MATCH(E$1,[1]quests!$1:$1,0)-MATCH($B$1,[1]quests!$1:$1,0)+1,FALSE)</f>
        <v>わたしの嫁を返してもらおう</v>
      </c>
      <c r="F13" s="4" t="str">
        <f ca="1">VLOOKUP($D13,OFFSET([1]stages!$A$1,0,0,COUNTA([1]stages!$A:$A),MATCH(F$1,[1]stages!$2:$2,0)-MATCH($D$1,[1]stages!$2:$2,0)+1),MATCH(F$1,[1]stages!$2:$2,0)-MATCH($D$1,[1]stages!$2:$2,0)+1,FALSE)</f>
        <v>【中級】わたしの嫁を返してもらおう</v>
      </c>
      <c r="G13" s="52">
        <v>3</v>
      </c>
      <c r="H13" s="19" t="str">
        <f t="shared" ca="1" si="2"/>
        <v>30008_1-3</v>
      </c>
      <c r="I13" s="4">
        <f ca="1">VLOOKUP($H13,OFFSET(floors_multi_2_4!$A$1,0,0,COUNTA(floors_multi_2_4!$A:$A),MATCH(I$1,floors_multi_2_4!$1:$1,0)-MATCH($H$1,floors_multi_2_4!$1:$1,0)+1),MATCH(I$1,floors_multi_2_4!$1:$1,0)-MATCH($H$1,floors_multi_2_4!$1:$1,0)+1,FALSE)</f>
        <v>45</v>
      </c>
      <c r="J13" s="4">
        <f ca="1">VLOOKUP($H13,OFFSET(floors_multi_2_4!$A$1,0,0,COUNTA(floors_multi_2_4!$A:$A),MATCH(J$1,floors_multi_2_4!$1:$1,0)-MATCH($H$1,floors_multi_2_4!$1:$1,0)+1),MATCH(J$1,floors_multi_2_4!$1:$1,0)-MATCH($H$1,floors_multi_2_4!$1:$1,0)+1,FALSE)</f>
        <v>45</v>
      </c>
      <c r="K13" s="45">
        <v>17</v>
      </c>
      <c r="L13" s="23" t="str">
        <f ca="1">VLOOKUP(K13,[2]enemies!$A:$D,2,FALSE)</f>
        <v>リム</v>
      </c>
      <c r="M13" s="23" t="str">
        <f ca="1">VLOOKUP(K13,[2]enemies!$A:$D,4,FALSE)</f>
        <v>blue</v>
      </c>
      <c r="N13" s="24" t="str">
        <f ca="1">VLOOKUP(K13,[3]characters!$A:$J,10,FALSE)</f>
        <v>Drop1W</v>
      </c>
      <c r="O13" s="23" t="str">
        <f ca="1">VLOOKUP(K13,[2]enemies!$A:$M,13,FALSE)</f>
        <v>human</v>
      </c>
      <c r="P13" s="23">
        <f ca="1">VLOOKUP(K13,[2]enemies!$A:$X,24,FALSE)</f>
        <v>15</v>
      </c>
      <c r="Q13" s="5">
        <v>30</v>
      </c>
      <c r="R13" s="31">
        <v>1</v>
      </c>
      <c r="S13" s="31">
        <v>1</v>
      </c>
      <c r="T13" s="5">
        <v>0</v>
      </c>
      <c r="U13" s="4" t="str">
        <f ca="1">VLOOKUP($V13,OFFSET([4]enemy_skill_sets!$B$1,0,0,COUNTA([4]enemy_skill_sets!$B:$B),MATCH(L$1,[4]enemy_skill_sets!$1:$1,0)-MATCH($V$1,[4]enemy_skill_sets!$1:$1,0)+2),MATCH(L$1,[4]enemy_skill_sets!$1:$1,0)-MATCH($V$1,[4]enemy_skill_sets!$1:$1,0)+2,FALSE)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3" s="23">
        <f ca="1">VLOOKUP($K13,OFFSET([2]enemies!$A$1,0,0,COUNTA([2]enemies!$A:$A),MATCH(V$1,[2]enemies!$1:$1,0)-MATCH($K$1,[2]enemies!$1:$1,0)+1),MATCH(V$1,[2]enemies!$1:$1,0)-MATCH($K$1,[2]enemies!$1:$1,0)+1,FALSE)</f>
        <v>0</v>
      </c>
      <c r="W13" s="6">
        <v>0</v>
      </c>
      <c r="X13" s="6">
        <v>100</v>
      </c>
      <c r="Y13" s="6">
        <v>0</v>
      </c>
      <c r="Z13" s="23">
        <f ca="1">VLOOKUP(K13,[2]enemies!$A:$V,22,FALSE)</f>
        <v>2</v>
      </c>
      <c r="AA13" s="45">
        <v>17</v>
      </c>
      <c r="AB13" s="4" t="str">
        <f ca="1">VLOOKUP(AA13,[3]characters!$A:$I,3,FALSE)</f>
        <v>リム</v>
      </c>
      <c r="AC13" s="4">
        <f ca="1">VLOOKUP(AA13,[3]characters!$A:$I,9,FALSE)</f>
        <v>1</v>
      </c>
      <c r="AD13" s="4" t="str">
        <f ca="1">VLOOKUP(AA13,[3]characters!$A:$J,10,FALSE)</f>
        <v>Drop1W</v>
      </c>
      <c r="AE13" s="7">
        <v>4</v>
      </c>
      <c r="AF13" s="30">
        <f t="shared" ca="1" si="3"/>
        <v>1</v>
      </c>
      <c r="AG13" s="8">
        <v>15</v>
      </c>
      <c r="AH13" s="7">
        <v>0</v>
      </c>
      <c r="AI13" s="7">
        <v>0</v>
      </c>
      <c r="AJ13" s="7">
        <v>0</v>
      </c>
      <c r="AK13" s="7">
        <v>0</v>
      </c>
      <c r="AL13" s="7">
        <v>1</v>
      </c>
    </row>
    <row r="14" spans="1:38" ht="21" customHeight="1" x14ac:dyDescent="0.15">
      <c r="A14" s="20" t="str">
        <f t="shared" ca="1" si="0"/>
        <v>30008_1-3/19&lt;lv30&gt;s3</v>
      </c>
      <c r="B14" s="28">
        <v>30008</v>
      </c>
      <c r="C14" s="27">
        <v>1</v>
      </c>
      <c r="D14" s="2" t="str">
        <f t="shared" si="1"/>
        <v>30008_1</v>
      </c>
      <c r="E14" s="4" t="str">
        <f ca="1">VLOOKUP($B14,OFFSET([1]quests!$A$1,0,0,COUNTA([1]quests!$A:$A),MATCH(E$1,[1]quests!$1:$1,0)-MATCH($B$1,[1]quests!$1:$1,0)+1),MATCH(E$1,[1]quests!$1:$1,0)-MATCH($B$1,[1]quests!$1:$1,0)+1,FALSE)</f>
        <v>わたしの嫁を返してもらおう</v>
      </c>
      <c r="F14" s="4" t="str">
        <f ca="1">VLOOKUP($D14,OFFSET([1]stages!$A$1,0,0,COUNTA([1]stages!$A:$A),MATCH(F$1,[1]stages!$2:$2,0)-MATCH($D$1,[1]stages!$2:$2,0)+1),MATCH(F$1,[1]stages!$2:$2,0)-MATCH($D$1,[1]stages!$2:$2,0)+1,FALSE)</f>
        <v>【中級】わたしの嫁を返してもらおう</v>
      </c>
      <c r="G14" s="52">
        <v>3</v>
      </c>
      <c r="H14" s="19" t="str">
        <f t="shared" ca="1" si="2"/>
        <v>30008_1-3</v>
      </c>
      <c r="I14" s="4">
        <f ca="1">VLOOKUP($H14,OFFSET(floors_multi_2_4!$A$1,0,0,COUNTA(floors_multi_2_4!$A:$A),MATCH(I$1,floors_multi_2_4!$1:$1,0)-MATCH($H$1,floors_multi_2_4!$1:$1,0)+1),MATCH(I$1,floors_multi_2_4!$1:$1,0)-MATCH($H$1,floors_multi_2_4!$1:$1,0)+1,FALSE)</f>
        <v>45</v>
      </c>
      <c r="J14" s="4">
        <f ca="1">VLOOKUP($H14,OFFSET(floors_multi_2_4!$A$1,0,0,COUNTA(floors_multi_2_4!$A:$A),MATCH(J$1,floors_multi_2_4!$1:$1,0)-MATCH($H$1,floors_multi_2_4!$1:$1,0)+1),MATCH(J$1,floors_multi_2_4!$1:$1,0)-MATCH($H$1,floors_multi_2_4!$1:$1,0)+1,FALSE)</f>
        <v>45</v>
      </c>
      <c r="K14" s="45">
        <v>19</v>
      </c>
      <c r="L14" s="23" t="str">
        <f ca="1">VLOOKUP(K14,[2]enemies!$A:$D,2,FALSE)</f>
        <v>ティンク</v>
      </c>
      <c r="M14" s="23" t="str">
        <f ca="1">VLOOKUP(K14,[2]enemies!$A:$D,4,FALSE)</f>
        <v>yellow</v>
      </c>
      <c r="N14" s="24" t="str">
        <f ca="1">VLOOKUP(K14,[3]characters!$A:$J,10,FALSE)</f>
        <v>Drop1W</v>
      </c>
      <c r="O14" s="23" t="str">
        <f ca="1">VLOOKUP(K14,[2]enemies!$A:$M,13,FALSE)</f>
        <v>human</v>
      </c>
      <c r="P14" s="23">
        <f ca="1">VLOOKUP(K14,[2]enemies!$A:$X,24,FALSE)</f>
        <v>15</v>
      </c>
      <c r="Q14" s="5">
        <v>30</v>
      </c>
      <c r="R14" s="31">
        <v>1</v>
      </c>
      <c r="S14" s="31">
        <v>1</v>
      </c>
      <c r="T14" s="5">
        <v>0</v>
      </c>
      <c r="U14" s="4" t="str">
        <f ca="1">VLOOKUP($V14,OFFSET([4]enemy_skill_sets!$B$1,0,0,COUNTA([4]enemy_skill_sets!$B:$B),MATCH(L$1,[4]enemy_skill_sets!$1:$1,0)-MATCH($V$1,[4]enemy_skill_sets!$1:$1,0)+2),MATCH(L$1,[4]enemy_skill_sets!$1:$1,0)-MATCH($V$1,[4]enemy_skill_sets!$1:$1,0)+2,FALSE)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4" s="23">
        <f ca="1">VLOOKUP($K14,OFFSET([2]enemies!$A$1,0,0,COUNTA([2]enemies!$A:$A),MATCH(V$1,[2]enemies!$1:$1,0)-MATCH($K$1,[2]enemies!$1:$1,0)+1),MATCH(V$1,[2]enemies!$1:$1,0)-MATCH($K$1,[2]enemies!$1:$1,0)+1,FALSE)</f>
        <v>0</v>
      </c>
      <c r="W14" s="6">
        <v>0</v>
      </c>
      <c r="X14" s="6">
        <v>100</v>
      </c>
      <c r="Y14" s="6">
        <v>0</v>
      </c>
      <c r="Z14" s="23">
        <f ca="1">VLOOKUP(K14,[2]enemies!$A:$V,22,FALSE)</f>
        <v>3</v>
      </c>
      <c r="AA14" s="45">
        <v>19</v>
      </c>
      <c r="AB14" s="4" t="str">
        <f ca="1">VLOOKUP(AA14,[3]characters!$A:$I,3,FALSE)</f>
        <v>ティンク</v>
      </c>
      <c r="AC14" s="4">
        <f ca="1">VLOOKUP(AA14,[3]characters!$A:$I,9,FALSE)</f>
        <v>1</v>
      </c>
      <c r="AD14" s="4" t="str">
        <f ca="1">VLOOKUP(AA14,[3]characters!$A:$J,10,FALSE)</f>
        <v>Drop1W</v>
      </c>
      <c r="AE14" s="7">
        <v>4</v>
      </c>
      <c r="AF14" s="30">
        <f t="shared" ca="1" si="3"/>
        <v>1</v>
      </c>
      <c r="AG14" s="8">
        <v>15</v>
      </c>
      <c r="AH14" s="7">
        <v>0</v>
      </c>
      <c r="AI14" s="7">
        <v>0</v>
      </c>
      <c r="AJ14" s="7">
        <v>0</v>
      </c>
      <c r="AK14" s="7">
        <v>0</v>
      </c>
      <c r="AL14" s="7">
        <v>1</v>
      </c>
    </row>
    <row r="15" spans="1:38" ht="21" customHeight="1" x14ac:dyDescent="0.15">
      <c r="A15" s="20" t="str">
        <f t="shared" ca="1" si="0"/>
        <v>30008_1-4/1&lt;lv30&gt;s1</v>
      </c>
      <c r="B15" s="28">
        <v>30008</v>
      </c>
      <c r="C15" s="27">
        <v>1</v>
      </c>
      <c r="D15" s="2" t="str">
        <f t="shared" si="1"/>
        <v>30008_1</v>
      </c>
      <c r="E15" s="4" t="str">
        <f ca="1">VLOOKUP($B15,OFFSET([1]quests!$A$1,0,0,COUNTA([1]quests!$A:$A),MATCH(E$1,[1]quests!$1:$1,0)-MATCH($B$1,[1]quests!$1:$1,0)+1),MATCH(E$1,[1]quests!$1:$1,0)-MATCH($B$1,[1]quests!$1:$1,0)+1,FALSE)</f>
        <v>わたしの嫁を返してもらおう</v>
      </c>
      <c r="F15" s="4" t="str">
        <f ca="1">VLOOKUP($D15,OFFSET([1]stages!$A$1,0,0,COUNTA([1]stages!$A:$A),MATCH(F$1,[1]stages!$2:$2,0)-MATCH($D$1,[1]stages!$2:$2,0)+1),MATCH(F$1,[1]stages!$2:$2,0)-MATCH($D$1,[1]stages!$2:$2,0)+1,FALSE)</f>
        <v>【中級】わたしの嫁を返してもらおう</v>
      </c>
      <c r="G15" s="27">
        <v>4</v>
      </c>
      <c r="H15" s="19" t="str">
        <f t="shared" ca="1" si="2"/>
        <v>30008_1-4</v>
      </c>
      <c r="I15" s="4">
        <f ca="1">VLOOKUP($H15,OFFSET(floors_multi_2_4!$A$1,0,0,COUNTA(floors_multi_2_4!$A:$A),MATCH(I$1,floors_multi_2_4!$1:$1,0)-MATCH($H$1,floors_multi_2_4!$1:$1,0)+1),MATCH(I$1,floors_multi_2_4!$1:$1,0)-MATCH($H$1,floors_multi_2_4!$1:$1,0)+1,FALSE)</f>
        <v>60</v>
      </c>
      <c r="J15" s="4">
        <f ca="1">VLOOKUP($H15,OFFSET(floors_multi_2_4!$A$1,0,0,COUNTA(floors_multi_2_4!$A:$A),MATCH(J$1,floors_multi_2_4!$1:$1,0)-MATCH($H$1,floors_multi_2_4!$1:$1,0)+1),MATCH(J$1,floors_multi_2_4!$1:$1,0)-MATCH($H$1,floors_multi_2_4!$1:$1,0)+1,FALSE)</f>
        <v>60</v>
      </c>
      <c r="K15" s="26">
        <v>1</v>
      </c>
      <c r="L15" s="23" t="str">
        <f ca="1">VLOOKUP(K15,[2]enemies!$A:$D,2,FALSE)</f>
        <v>ジェリー</v>
      </c>
      <c r="M15" s="23" t="str">
        <f ca="1">VLOOKUP(K15,[2]enemies!$A:$D,4,FALSE)</f>
        <v>red</v>
      </c>
      <c r="N15" s="24" t="str">
        <f ca="1">VLOOKUP(K15,[3]characters!$A:$J,10,FALSE)</f>
        <v>Drop1T</v>
      </c>
      <c r="O15" s="23" t="str">
        <f ca="1">VLOOKUP(K15,[2]enemies!$A:$M,13,FALSE)</f>
        <v>unknown</v>
      </c>
      <c r="P15" s="23">
        <f ca="1">VLOOKUP(K15,[2]enemies!$A:$X,24,FALSE)</f>
        <v>15</v>
      </c>
      <c r="Q15" s="5">
        <v>30</v>
      </c>
      <c r="R15" s="31">
        <v>1</v>
      </c>
      <c r="S15" s="31">
        <v>1</v>
      </c>
      <c r="T15" s="5">
        <v>0</v>
      </c>
      <c r="U15" s="4" t="str">
        <f ca="1">VLOOKUP($V15,OFFSET([4]enemy_skill_sets!$B$1,0,0,COUNTA([4]enemy_skill_sets!$B:$B),MATCH(L$1,[4]enemy_skill_sets!$1:$1,0)-MATCH($V$1,[4]enemy_skill_sets!$1:$1,0)+2),MATCH(L$1,[4]enemy_skill_sets!$1:$1,0)-MATCH($V$1,[4]enemy_skill_sets!$1:$1,0)+2,FALSE)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5" s="23">
        <f ca="1">VLOOKUP($K15,OFFSET([2]enemies!$A$1,0,0,COUNTA([2]enemies!$A:$A),MATCH(V$1,[2]enemies!$1:$1,0)-MATCH($K$1,[2]enemies!$1:$1,0)+1),MATCH(V$1,[2]enemies!$1:$1,0)-MATCH($K$1,[2]enemies!$1:$1,0)+1,FALSE)</f>
        <v>0</v>
      </c>
      <c r="W15" s="6">
        <v>2</v>
      </c>
      <c r="X15" s="6">
        <v>0</v>
      </c>
      <c r="Y15" s="6">
        <v>0</v>
      </c>
      <c r="Z15" s="23">
        <f ca="1">VLOOKUP(K15,[2]enemies!$A:$V,22,FALSE)</f>
        <v>1</v>
      </c>
      <c r="AA15" s="49">
        <v>2</v>
      </c>
      <c r="AB15" s="4" t="str">
        <f ca="1">VLOOKUP(AA15,[3]characters!$A:$I,3,FALSE)</f>
        <v>イレギュラー・ジェリー</v>
      </c>
      <c r="AC15" s="4">
        <f ca="1">VLOOKUP(AA15,[3]characters!$A:$I,9,FALSE)</f>
        <v>2</v>
      </c>
      <c r="AD15" s="4" t="str">
        <f ca="1">VLOOKUP(AA15,[3]characters!$A:$J,10,FALSE)</f>
        <v>Drop1T</v>
      </c>
      <c r="AE15" s="7">
        <v>1</v>
      </c>
      <c r="AF15" s="30">
        <f t="shared" ca="1" si="3"/>
        <v>2</v>
      </c>
      <c r="AG15" s="8">
        <v>0</v>
      </c>
      <c r="AH15" s="7">
        <v>0</v>
      </c>
      <c r="AI15" s="7">
        <v>0</v>
      </c>
      <c r="AJ15" s="7">
        <v>0</v>
      </c>
      <c r="AK15" s="7">
        <v>0</v>
      </c>
      <c r="AL15" s="7">
        <v>1</v>
      </c>
    </row>
    <row r="16" spans="1:38" ht="21" customHeight="1" x14ac:dyDescent="0.15">
      <c r="A16" s="20" t="str">
        <f t="shared" ca="1" si="0"/>
        <v>30008_1-4/288&lt;lv37&gt;s2</v>
      </c>
      <c r="B16" s="28">
        <v>30008</v>
      </c>
      <c r="C16" s="27">
        <v>1</v>
      </c>
      <c r="D16" s="2" t="str">
        <f t="shared" si="1"/>
        <v>30008_1</v>
      </c>
      <c r="E16" s="4" t="str">
        <f ca="1">VLOOKUP($B16,OFFSET([1]quests!$A$1,0,0,COUNTA([1]quests!$A:$A),MATCH(E$1,[1]quests!$1:$1,0)-MATCH($B$1,[1]quests!$1:$1,0)+1),MATCH(E$1,[1]quests!$1:$1,0)-MATCH($B$1,[1]quests!$1:$1,0)+1,FALSE)</f>
        <v>わたしの嫁を返してもらおう</v>
      </c>
      <c r="F16" s="4" t="str">
        <f ca="1">VLOOKUP($D16,OFFSET([1]stages!$A$1,0,0,COUNTA([1]stages!$A:$A),MATCH(F$1,[1]stages!$2:$2,0)-MATCH($D$1,[1]stages!$2:$2,0)+1),MATCH(F$1,[1]stages!$2:$2,0)-MATCH($D$1,[1]stages!$2:$2,0)+1,FALSE)</f>
        <v>【中級】わたしの嫁を返してもらおう</v>
      </c>
      <c r="G16" s="27">
        <v>4</v>
      </c>
      <c r="H16" s="19" t="str">
        <f t="shared" ca="1" si="2"/>
        <v>30008_1-4</v>
      </c>
      <c r="I16" s="4">
        <f ca="1">VLOOKUP($H16,OFFSET(floors_multi_2_4!$A$1,0,0,COUNTA(floors_multi_2_4!$A:$A),MATCH(I$1,floors_multi_2_4!$1:$1,0)-MATCH($H$1,floors_multi_2_4!$1:$1,0)+1),MATCH(I$1,floors_multi_2_4!$1:$1,0)-MATCH($H$1,floors_multi_2_4!$1:$1,0)+1,FALSE)</f>
        <v>60</v>
      </c>
      <c r="J16" s="4">
        <f ca="1">VLOOKUP($H16,OFFSET(floors_multi_2_4!$A$1,0,0,COUNTA(floors_multi_2_4!$A:$A),MATCH(J$1,floors_multi_2_4!$1:$1,0)-MATCH($H$1,floors_multi_2_4!$1:$1,0)+1),MATCH(J$1,floors_multi_2_4!$1:$1,0)-MATCH($H$1,floors_multi_2_4!$1:$1,0)+1,FALSE)</f>
        <v>60</v>
      </c>
      <c r="K16" s="26">
        <v>288</v>
      </c>
      <c r="L16" s="23" t="str">
        <f ca="1">VLOOKUP(K16,[2]enemies!$A:$D,2,FALSE)</f>
        <v>ミカド</v>
      </c>
      <c r="M16" s="23" t="str">
        <f ca="1">VLOOKUP(K16,[2]enemies!$A:$D,4,FALSE)</f>
        <v>yellow</v>
      </c>
      <c r="N16" s="24" t="str">
        <f ca="1">VLOOKUP(K16,[3]characters!$A:$J,10,FALSE)</f>
        <v>Drop2N</v>
      </c>
      <c r="O16" s="23" t="str">
        <f ca="1">VLOOKUP(K16,[2]enemies!$A:$M,13,FALSE)</f>
        <v>human</v>
      </c>
      <c r="P16" s="23">
        <f ca="1">VLOOKUP(K16,[2]enemies!$A:$X,24,FALSE)</f>
        <v>30</v>
      </c>
      <c r="Q16" s="5">
        <v>37</v>
      </c>
      <c r="R16" s="31">
        <v>2.7</v>
      </c>
      <c r="S16" s="31">
        <v>1.1000000000000001</v>
      </c>
      <c r="T16" s="5">
        <v>0</v>
      </c>
      <c r="U16" s="4" t="str">
        <f ca="1">VLOOKUP($V16,OFFSET([4]enemy_skill_sets!$B$1,0,0,COUNTA([4]enemy_skill_sets!$B:$B),MATCH(L$1,[4]enemy_skill_sets!$1:$1,0)-MATCH($V$1,[4]enemy_skill_sets!$1:$1,0)+2),MATCH(L$1,[4]enemy_skill_sets!$1:$1,0)-MATCH($V$1,[4]enemy_skill_sets!$1:$1,0)+2,FALSE)</f>
        <v>5ターン防御力UP</v>
      </c>
      <c r="V16" s="50">
        <v>28803</v>
      </c>
      <c r="W16" s="6">
        <v>1</v>
      </c>
      <c r="X16" s="6">
        <v>0</v>
      </c>
      <c r="Y16" s="6">
        <v>1</v>
      </c>
      <c r="Z16" s="23">
        <f ca="1">VLOOKUP(K16,[2]enemies!$A:$V,22,FALSE)</f>
        <v>2</v>
      </c>
      <c r="AA16" s="49">
        <v>288</v>
      </c>
      <c r="AB16" s="4" t="str">
        <f ca="1">VLOOKUP(AA16,[3]characters!$A:$I,3,FALSE)</f>
        <v>ミカド</v>
      </c>
      <c r="AC16" s="4">
        <f ca="1">VLOOKUP(AA16,[3]characters!$A:$I,9,FALSE)</f>
        <v>4</v>
      </c>
      <c r="AD16" s="4" t="str">
        <f ca="1">VLOOKUP(AA16,[3]characters!$A:$J,10,FALSE)</f>
        <v>Drop2N</v>
      </c>
      <c r="AE16" s="7">
        <v>1</v>
      </c>
      <c r="AF16" s="30">
        <f t="shared" ca="1" si="3"/>
        <v>4</v>
      </c>
      <c r="AG16" s="54">
        <v>20</v>
      </c>
      <c r="AH16" s="7">
        <v>0</v>
      </c>
      <c r="AI16" s="7">
        <v>0</v>
      </c>
      <c r="AJ16" s="7">
        <v>0</v>
      </c>
      <c r="AK16" s="7">
        <v>0</v>
      </c>
      <c r="AL16" s="7">
        <v>1</v>
      </c>
    </row>
    <row r="17" spans="1:38" ht="21" customHeight="1" x14ac:dyDescent="0.15">
      <c r="A17" s="20" t="str">
        <f t="shared" ca="1" si="0"/>
        <v>30008_2-1/32&lt;lv42&gt;s5</v>
      </c>
      <c r="B17" s="28">
        <v>30008</v>
      </c>
      <c r="C17" s="27">
        <v>2</v>
      </c>
      <c r="D17" s="2" t="str">
        <f t="shared" si="1"/>
        <v>30008_2</v>
      </c>
      <c r="E17" s="4" t="str">
        <f ca="1">VLOOKUP($B17,OFFSET([1]quests!$A$1,0,0,COUNTA([1]quests!$A:$A),MATCH(E$1,[1]quests!$1:$1,0)-MATCH($B$1,[1]quests!$1:$1,0)+1),MATCH(E$1,[1]quests!$1:$1,0)-MATCH($B$1,[1]quests!$1:$1,0)+1,FALSE)</f>
        <v>わたしの嫁を返してもらおう</v>
      </c>
      <c r="F17" s="4" t="str">
        <f ca="1">VLOOKUP($D17,OFFSET([1]stages!$A$1,0,0,COUNTA([1]stages!$A:$A),MATCH(F$1,[1]stages!$2:$2,0)-MATCH($D$1,[1]stages!$2:$2,0)+1),MATCH(F$1,[1]stages!$2:$2,0)-MATCH($D$1,[1]stages!$2:$2,0)+1,FALSE)</f>
        <v>【上級】わたしの嫁を返してもらおう</v>
      </c>
      <c r="G17" s="47">
        <v>1</v>
      </c>
      <c r="H17" s="19" t="str">
        <f t="shared" ca="1" si="2"/>
        <v>30008_2-1</v>
      </c>
      <c r="I17" s="4">
        <f ca="1">VLOOKUP($H17,OFFSET(floors_multi_2_4!$A$1,0,0,COUNTA(floors_multi_2_4!$A:$A),MATCH(I$1,floors_multi_2_4!$1:$1,0)-MATCH($H$1,floors_multi_2_4!$1:$1,0)+1),MATCH(I$1,floors_multi_2_4!$1:$1,0)-MATCH($H$1,floors_multi_2_4!$1:$1,0)+1,FALSE)</f>
        <v>30</v>
      </c>
      <c r="J17" s="4">
        <f ca="1">VLOOKUP($H17,OFFSET(floors_multi_2_4!$A$1,0,0,COUNTA(floors_multi_2_4!$A:$A),MATCH(J$1,floors_multi_2_4!$1:$1,0)-MATCH($H$1,floors_multi_2_4!$1:$1,0)+1),MATCH(J$1,floors_multi_2_4!$1:$1,0)-MATCH($H$1,floors_multi_2_4!$1:$1,0)+1,FALSE)</f>
        <v>30</v>
      </c>
      <c r="K17" s="43">
        <v>32</v>
      </c>
      <c r="L17" s="23" t="str">
        <f ca="1">VLOOKUP(K17,[2]enemies!$A:$D,2,FALSE)</f>
        <v>沈黙のジャミング マービー</v>
      </c>
      <c r="M17" s="23" t="str">
        <f ca="1">VLOOKUP(K17,[2]enemies!$A:$D,4,FALSE)</f>
        <v>yellow</v>
      </c>
      <c r="N17" s="24" t="str">
        <f ca="1">VLOOKUP(K17,[3]characters!$A:$J,10,FALSE)</f>
        <v>Drop1N</v>
      </c>
      <c r="O17" s="23" t="str">
        <f ca="1">VLOOKUP(K17,[2]enemies!$A:$M,13,FALSE)</f>
        <v>machine</v>
      </c>
      <c r="P17" s="23">
        <f ca="1">VLOOKUP(K17,[2]enemies!$A:$X,24,FALSE)</f>
        <v>15</v>
      </c>
      <c r="Q17" s="5">
        <v>42</v>
      </c>
      <c r="R17" s="31">
        <v>1</v>
      </c>
      <c r="S17" s="31">
        <v>1</v>
      </c>
      <c r="T17" s="5">
        <v>0</v>
      </c>
      <c r="U17" s="4" t="str">
        <f ca="1">VLOOKUP($V17,OFFSET([4]enemy_skill_sets!$B$1,0,0,COUNTA([4]enemy_skill_sets!$B:$B),MATCH(L$1,[4]enemy_skill_sets!$1:$1,0)-MATCH($V$1,[4]enemy_skill_sets!$1:$1,0)+2),MATCH(L$1,[4]enemy_skill_sets!$1:$1,0)-MATCH($V$1,[4]enemy_skill_sets!$1:$1,0)+2,FALSE)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7" s="23">
        <f ca="1">VLOOKUP($K17,OFFSET([2]enemies!$A$1,0,0,COUNTA([2]enemies!$A:$A),MATCH(V$1,[2]enemies!$1:$1,0)-MATCH($K$1,[2]enemies!$1:$1,0)+1),MATCH(V$1,[2]enemies!$1:$1,0)-MATCH($K$1,[2]enemies!$1:$1,0)+1,FALSE)</f>
        <v>0</v>
      </c>
      <c r="W17" s="6">
        <v>0</v>
      </c>
      <c r="X17" s="6">
        <v>100</v>
      </c>
      <c r="Y17" s="6">
        <v>0</v>
      </c>
      <c r="Z17" s="23">
        <f ca="1">VLOOKUP(K17,[2]enemies!$A:$V,22,FALSE)</f>
        <v>5</v>
      </c>
      <c r="AA17" s="46">
        <v>32</v>
      </c>
      <c r="AB17" s="4" t="str">
        <f ca="1">VLOOKUP(AA17,[3]characters!$A:$I,3,FALSE)</f>
        <v>沈黙のジャミング マービー</v>
      </c>
      <c r="AC17" s="4">
        <f ca="1">VLOOKUP(AA17,[3]characters!$A:$I,9,FALSE)</f>
        <v>2</v>
      </c>
      <c r="AD17" s="4" t="str">
        <f ca="1">VLOOKUP(AA17,[3]characters!$A:$J,10,FALSE)</f>
        <v>Drop1N</v>
      </c>
      <c r="AE17" s="7">
        <v>5</v>
      </c>
      <c r="AF17" s="30">
        <f t="shared" ca="1" si="3"/>
        <v>2</v>
      </c>
      <c r="AG17" s="8">
        <v>10</v>
      </c>
      <c r="AH17" s="7">
        <v>0</v>
      </c>
      <c r="AI17" s="7">
        <v>0</v>
      </c>
      <c r="AJ17" s="7">
        <v>0</v>
      </c>
      <c r="AK17" s="7">
        <v>0</v>
      </c>
      <c r="AL17" s="7">
        <v>1</v>
      </c>
    </row>
    <row r="18" spans="1:38" ht="21" customHeight="1" x14ac:dyDescent="0.15">
      <c r="A18" s="20" t="str">
        <f t="shared" ca="1" si="0"/>
        <v>30008_2-1/21&lt;lv42&gt;s2</v>
      </c>
      <c r="B18" s="28">
        <v>30008</v>
      </c>
      <c r="C18" s="27">
        <v>2</v>
      </c>
      <c r="D18" s="2" t="str">
        <f t="shared" si="1"/>
        <v>30008_2</v>
      </c>
      <c r="E18" s="4" t="str">
        <f ca="1">VLOOKUP($B18,OFFSET([1]quests!$A$1,0,0,COUNTA([1]quests!$A:$A),MATCH(E$1,[1]quests!$1:$1,0)-MATCH($B$1,[1]quests!$1:$1,0)+1),MATCH(E$1,[1]quests!$1:$1,0)-MATCH($B$1,[1]quests!$1:$1,0)+1,FALSE)</f>
        <v>わたしの嫁を返してもらおう</v>
      </c>
      <c r="F18" s="4" t="str">
        <f ca="1">VLOOKUP($D18,OFFSET([1]stages!$A$1,0,0,COUNTA([1]stages!$A:$A),MATCH(F$1,[1]stages!$2:$2,0)-MATCH($D$1,[1]stages!$2:$2,0)+1),MATCH(F$1,[1]stages!$2:$2,0)-MATCH($D$1,[1]stages!$2:$2,0)+1,FALSE)</f>
        <v>【上級】わたしの嫁を返してもらおう</v>
      </c>
      <c r="G18" s="47">
        <v>1</v>
      </c>
      <c r="H18" s="19" t="str">
        <f t="shared" ca="1" si="2"/>
        <v>30008_2-1</v>
      </c>
      <c r="I18" s="4">
        <f ca="1">VLOOKUP($H18,OFFSET(floors_multi_2_4!$A$1,0,0,COUNTA(floors_multi_2_4!$A:$A),MATCH(I$1,floors_multi_2_4!$1:$1,0)-MATCH($H$1,floors_multi_2_4!$1:$1,0)+1),MATCH(I$1,floors_multi_2_4!$1:$1,0)-MATCH($H$1,floors_multi_2_4!$1:$1,0)+1,FALSE)</f>
        <v>30</v>
      </c>
      <c r="J18" s="4">
        <f ca="1">VLOOKUP($H18,OFFSET(floors_multi_2_4!$A$1,0,0,COUNTA(floors_multi_2_4!$A:$A),MATCH(J$1,floors_multi_2_4!$1:$1,0)-MATCH($H$1,floors_multi_2_4!$1:$1,0)+1),MATCH(J$1,floors_multi_2_4!$1:$1,0)-MATCH($H$1,floors_multi_2_4!$1:$1,0)+1,FALSE)</f>
        <v>30</v>
      </c>
      <c r="K18" s="42">
        <v>21</v>
      </c>
      <c r="L18" s="23" t="str">
        <f ca="1">VLOOKUP(K18,[2]enemies!$A:$D,2,FALSE)</f>
        <v>ヴェロキー</v>
      </c>
      <c r="M18" s="23" t="str">
        <f ca="1">VLOOKUP(K18,[2]enemies!$A:$D,4,FALSE)</f>
        <v>red</v>
      </c>
      <c r="N18" s="24" t="str">
        <f ca="1">VLOOKUP(K18,[3]characters!$A:$J,10,FALSE)</f>
        <v>Drop1N</v>
      </c>
      <c r="O18" s="23" t="str">
        <f ca="1">VLOOKUP(K18,[2]enemies!$A:$M,13,FALSE)</f>
        <v>dragon</v>
      </c>
      <c r="P18" s="23">
        <f ca="1">VLOOKUP(K18,[2]enemies!$A:$X,24,FALSE)</f>
        <v>15</v>
      </c>
      <c r="Q18" s="5">
        <v>42</v>
      </c>
      <c r="R18" s="31">
        <v>1</v>
      </c>
      <c r="S18" s="31">
        <v>1</v>
      </c>
      <c r="T18" s="5">
        <v>0</v>
      </c>
      <c r="U18" s="4" t="str">
        <f ca="1">VLOOKUP($V18,OFFSET([4]enemy_skill_sets!$B$1,0,0,COUNTA([4]enemy_skill_sets!$B:$B),MATCH(L$1,[4]enemy_skill_sets!$1:$1,0)-MATCH($V$1,[4]enemy_skill_sets!$1:$1,0)+2),MATCH(L$1,[4]enemy_skill_sets!$1:$1,0)-MATCH($V$1,[4]enemy_skill_sets!$1:$1,0)+2,FALSE)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8" s="23">
        <f ca="1">VLOOKUP($K18,OFFSET([2]enemies!$A$1,0,0,COUNTA([2]enemies!$A:$A),MATCH(V$1,[2]enemies!$1:$1,0)-MATCH($K$1,[2]enemies!$1:$1,0)+1),MATCH(V$1,[2]enemies!$1:$1,0)-MATCH($K$1,[2]enemies!$1:$1,0)+1,FALSE)</f>
        <v>0</v>
      </c>
      <c r="W18" s="6">
        <v>0</v>
      </c>
      <c r="X18" s="6">
        <v>100</v>
      </c>
      <c r="Y18" s="6">
        <v>0</v>
      </c>
      <c r="Z18" s="23">
        <f ca="1">VLOOKUP(K18,[2]enemies!$A:$V,22,FALSE)</f>
        <v>2</v>
      </c>
      <c r="AA18" s="45">
        <v>21</v>
      </c>
      <c r="AB18" s="4" t="str">
        <f ca="1">VLOOKUP(AA18,[3]characters!$A:$I,3,FALSE)</f>
        <v>ヴェロキー</v>
      </c>
      <c r="AC18" s="4">
        <f ca="1">VLOOKUP(AA18,[3]characters!$A:$I,9,FALSE)</f>
        <v>1</v>
      </c>
      <c r="AD18" s="4" t="str">
        <f ca="1">VLOOKUP(AA18,[3]characters!$A:$J,10,FALSE)</f>
        <v>Drop1N</v>
      </c>
      <c r="AE18" s="7">
        <v>5</v>
      </c>
      <c r="AF18" s="30">
        <f t="shared" ca="1" si="3"/>
        <v>1</v>
      </c>
      <c r="AG18" s="8">
        <v>15</v>
      </c>
      <c r="AH18" s="7">
        <v>0</v>
      </c>
      <c r="AI18" s="7">
        <v>0</v>
      </c>
      <c r="AJ18" s="7">
        <v>0</v>
      </c>
      <c r="AK18" s="7">
        <v>0</v>
      </c>
      <c r="AL18" s="7">
        <v>1</v>
      </c>
    </row>
    <row r="19" spans="1:38" ht="21" customHeight="1" x14ac:dyDescent="0.15">
      <c r="A19" s="20" t="str">
        <f t="shared" ca="1" si="0"/>
        <v>30008_2-1/23&lt;lv42&gt;s4</v>
      </c>
      <c r="B19" s="28">
        <v>30008</v>
      </c>
      <c r="C19" s="27">
        <v>2</v>
      </c>
      <c r="D19" s="2" t="str">
        <f t="shared" si="1"/>
        <v>30008_2</v>
      </c>
      <c r="E19" s="4" t="str">
        <f ca="1">VLOOKUP($B19,OFFSET([1]quests!$A$1,0,0,COUNTA([1]quests!$A:$A),MATCH(E$1,[1]quests!$1:$1,0)-MATCH($B$1,[1]quests!$1:$1,0)+1),MATCH(E$1,[1]quests!$1:$1,0)-MATCH($B$1,[1]quests!$1:$1,0)+1,FALSE)</f>
        <v>わたしの嫁を返してもらおう</v>
      </c>
      <c r="F19" s="4" t="str">
        <f ca="1">VLOOKUP($D19,OFFSET([1]stages!$A$1,0,0,COUNTA([1]stages!$A:$A),MATCH(F$1,[1]stages!$2:$2,0)-MATCH($D$1,[1]stages!$2:$2,0)+1),MATCH(F$1,[1]stages!$2:$2,0)-MATCH($D$1,[1]stages!$2:$2,0)+1,FALSE)</f>
        <v>【上級】わたしの嫁を返してもらおう</v>
      </c>
      <c r="G19" s="47">
        <v>1</v>
      </c>
      <c r="H19" s="19" t="str">
        <f t="shared" ca="1" si="2"/>
        <v>30008_2-1</v>
      </c>
      <c r="I19" s="4">
        <f ca="1">VLOOKUP($H19,OFFSET(floors_multi_2_4!$A$1,0,0,COUNTA(floors_multi_2_4!$A:$A),MATCH(I$1,floors_multi_2_4!$1:$1,0)-MATCH($H$1,floors_multi_2_4!$1:$1,0)+1),MATCH(I$1,floors_multi_2_4!$1:$1,0)-MATCH($H$1,floors_multi_2_4!$1:$1,0)+1,FALSE)</f>
        <v>30</v>
      </c>
      <c r="J19" s="4">
        <f ca="1">VLOOKUP($H19,OFFSET(floors_multi_2_4!$A$1,0,0,COUNTA(floors_multi_2_4!$A:$A),MATCH(J$1,floors_multi_2_4!$1:$1,0)-MATCH($H$1,floors_multi_2_4!$1:$1,0)+1),MATCH(J$1,floors_multi_2_4!$1:$1,0)-MATCH($H$1,floors_multi_2_4!$1:$1,0)+1,FALSE)</f>
        <v>30</v>
      </c>
      <c r="K19" s="42">
        <v>23</v>
      </c>
      <c r="L19" s="23" t="str">
        <f ca="1">VLOOKUP(K19,[2]enemies!$A:$D,2,FALSE)</f>
        <v>ミール</v>
      </c>
      <c r="M19" s="23" t="str">
        <f ca="1">VLOOKUP(K19,[2]enemies!$A:$D,4,FALSE)</f>
        <v>green</v>
      </c>
      <c r="N19" s="24" t="str">
        <f ca="1">VLOOKUP(K19,[3]characters!$A:$J,10,FALSE)</f>
        <v>Drop1N</v>
      </c>
      <c r="O19" s="23" t="str">
        <f ca="1">VLOOKUP(K19,[2]enemies!$A:$M,13,FALSE)</f>
        <v>animal</v>
      </c>
      <c r="P19" s="23">
        <f ca="1">VLOOKUP(K19,[2]enemies!$A:$X,24,FALSE)</f>
        <v>15</v>
      </c>
      <c r="Q19" s="5">
        <v>42</v>
      </c>
      <c r="R19" s="31">
        <v>1</v>
      </c>
      <c r="S19" s="31">
        <v>1</v>
      </c>
      <c r="T19" s="5">
        <v>0</v>
      </c>
      <c r="U19" s="4" t="str">
        <f ca="1">VLOOKUP($V19,OFFSET([4]enemy_skill_sets!$B$1,0,0,COUNTA([4]enemy_skill_sets!$B:$B),MATCH(L$1,[4]enemy_skill_sets!$1:$1,0)-MATCH($V$1,[4]enemy_skill_sets!$1:$1,0)+2),MATCH(L$1,[4]enemy_skill_sets!$1:$1,0)-MATCH($V$1,[4]enemy_skill_sets!$1:$1,0)+2,FALSE)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19" s="23">
        <f ca="1">VLOOKUP($K19,OFFSET([2]enemies!$A$1,0,0,COUNTA([2]enemies!$A:$A),MATCH(V$1,[2]enemies!$1:$1,0)-MATCH($K$1,[2]enemies!$1:$1,0)+1),MATCH(V$1,[2]enemies!$1:$1,0)-MATCH($K$1,[2]enemies!$1:$1,0)+1,FALSE)</f>
        <v>0</v>
      </c>
      <c r="W19" s="6">
        <v>0</v>
      </c>
      <c r="X19" s="6">
        <v>100</v>
      </c>
      <c r="Y19" s="6">
        <v>0</v>
      </c>
      <c r="Z19" s="23">
        <f ca="1">VLOOKUP(K19,[2]enemies!$A:$V,22,FALSE)</f>
        <v>4</v>
      </c>
      <c r="AA19" s="45">
        <v>23</v>
      </c>
      <c r="AB19" s="4" t="str">
        <f ca="1">VLOOKUP(AA19,[3]characters!$A:$I,3,FALSE)</f>
        <v>ミール</v>
      </c>
      <c r="AC19" s="4">
        <f ca="1">VLOOKUP(AA19,[3]characters!$A:$I,9,FALSE)</f>
        <v>1</v>
      </c>
      <c r="AD19" s="4" t="str">
        <f ca="1">VLOOKUP(AA19,[3]characters!$A:$J,10,FALSE)</f>
        <v>Drop1N</v>
      </c>
      <c r="AE19" s="7">
        <v>5</v>
      </c>
      <c r="AF19" s="30">
        <f t="shared" ca="1" si="3"/>
        <v>1</v>
      </c>
      <c r="AG19" s="8">
        <v>15</v>
      </c>
      <c r="AH19" s="7">
        <v>0</v>
      </c>
      <c r="AI19" s="7">
        <v>0</v>
      </c>
      <c r="AJ19" s="7">
        <v>0</v>
      </c>
      <c r="AK19" s="7">
        <v>0</v>
      </c>
      <c r="AL19" s="7">
        <v>1</v>
      </c>
    </row>
    <row r="20" spans="1:38" ht="21" customHeight="1" x14ac:dyDescent="0.15">
      <c r="A20" s="20" t="str">
        <f t="shared" ca="1" si="0"/>
        <v>30008_2-1/29&lt;lv42&gt;s2</v>
      </c>
      <c r="B20" s="28">
        <v>30008</v>
      </c>
      <c r="C20" s="27">
        <v>2</v>
      </c>
      <c r="D20" s="2" t="str">
        <f t="shared" si="1"/>
        <v>30008_2</v>
      </c>
      <c r="E20" s="4" t="str">
        <f ca="1">VLOOKUP($B20,OFFSET([1]quests!$A$1,0,0,COUNTA([1]quests!$A:$A),MATCH(E$1,[1]quests!$1:$1,0)-MATCH($B$1,[1]quests!$1:$1,0)+1),MATCH(E$1,[1]quests!$1:$1,0)-MATCH($B$1,[1]quests!$1:$1,0)+1,FALSE)</f>
        <v>わたしの嫁を返してもらおう</v>
      </c>
      <c r="F20" s="4" t="str">
        <f ca="1">VLOOKUP($D20,OFFSET([1]stages!$A$1,0,0,COUNTA([1]stages!$A:$A),MATCH(F$1,[1]stages!$2:$2,0)-MATCH($D$1,[1]stages!$2:$2,0)+1),MATCH(F$1,[1]stages!$2:$2,0)-MATCH($D$1,[1]stages!$2:$2,0)+1,FALSE)</f>
        <v>【上級】わたしの嫁を返してもらおう</v>
      </c>
      <c r="G20" s="47">
        <v>1</v>
      </c>
      <c r="H20" s="19" t="str">
        <f t="shared" ca="1" si="2"/>
        <v>30008_2-1</v>
      </c>
      <c r="I20" s="4">
        <f ca="1">VLOOKUP($H20,OFFSET(floors_multi_2_4!$A$1,0,0,COUNTA(floors_multi_2_4!$A:$A),MATCH(I$1,floors_multi_2_4!$1:$1,0)-MATCH($H$1,floors_multi_2_4!$1:$1,0)+1),MATCH(I$1,floors_multi_2_4!$1:$1,0)-MATCH($H$1,floors_multi_2_4!$1:$1,0)+1,FALSE)</f>
        <v>30</v>
      </c>
      <c r="J20" s="4">
        <f ca="1">VLOOKUP($H20,OFFSET(floors_multi_2_4!$A$1,0,0,COUNTA(floors_multi_2_4!$A:$A),MATCH(J$1,floors_multi_2_4!$1:$1,0)-MATCH($H$1,floors_multi_2_4!$1:$1,0)+1),MATCH(J$1,floors_multi_2_4!$1:$1,0)-MATCH($H$1,floors_multi_2_4!$1:$1,0)+1,FALSE)</f>
        <v>30</v>
      </c>
      <c r="K20" s="42">
        <v>29</v>
      </c>
      <c r="L20" s="23" t="str">
        <f ca="1">VLOOKUP(K20,[2]enemies!$A:$D,2,FALSE)</f>
        <v>スケアクロウ</v>
      </c>
      <c r="M20" s="23" t="str">
        <f ca="1">VLOOKUP(K20,[2]enemies!$A:$D,4,FALSE)</f>
        <v>blue</v>
      </c>
      <c r="N20" s="24" t="str">
        <f ca="1">VLOOKUP(K20,[3]characters!$A:$J,10,FALSE)</f>
        <v>Drop1N</v>
      </c>
      <c r="O20" s="23" t="str">
        <f ca="1">VLOOKUP(K20,[2]enemies!$A:$M,13,FALSE)</f>
        <v>machine</v>
      </c>
      <c r="P20" s="23">
        <f ca="1">VLOOKUP(K20,[2]enemies!$A:$X,24,FALSE)</f>
        <v>15</v>
      </c>
      <c r="Q20" s="5">
        <v>42</v>
      </c>
      <c r="R20" s="31">
        <v>1</v>
      </c>
      <c r="S20" s="31">
        <v>1</v>
      </c>
      <c r="T20" s="5">
        <v>0</v>
      </c>
      <c r="U20" s="4" t="str">
        <f ca="1">VLOOKUP($V20,OFFSET([4]enemy_skill_sets!$B$1,0,0,COUNTA([4]enemy_skill_sets!$B:$B),MATCH(L$1,[4]enemy_skill_sets!$1:$1,0)-MATCH($V$1,[4]enemy_skill_sets!$1:$1,0)+2),MATCH(L$1,[4]enemy_skill_sets!$1:$1,0)-MATCH($V$1,[4]enemy_skill_sets!$1:$1,0)+2,FALSE)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0" s="23">
        <f ca="1">VLOOKUP($K20,OFFSET([2]enemies!$A$1,0,0,COUNTA([2]enemies!$A:$A),MATCH(V$1,[2]enemies!$1:$1,0)-MATCH($K$1,[2]enemies!$1:$1,0)+1),MATCH(V$1,[2]enemies!$1:$1,0)-MATCH($K$1,[2]enemies!$1:$1,0)+1,FALSE)</f>
        <v>0</v>
      </c>
      <c r="W20" s="6">
        <v>0</v>
      </c>
      <c r="X20" s="6">
        <v>100</v>
      </c>
      <c r="Y20" s="6">
        <v>0</v>
      </c>
      <c r="Z20" s="23">
        <f ca="1">VLOOKUP(K20,[2]enemies!$A:$V,22,FALSE)</f>
        <v>2</v>
      </c>
      <c r="AA20" s="45">
        <v>29</v>
      </c>
      <c r="AB20" s="4" t="str">
        <f ca="1">VLOOKUP(AA20,[3]characters!$A:$I,3,FALSE)</f>
        <v>スケアクロウ</v>
      </c>
      <c r="AC20" s="4">
        <f ca="1">VLOOKUP(AA20,[3]characters!$A:$I,9,FALSE)</f>
        <v>1</v>
      </c>
      <c r="AD20" s="4" t="str">
        <f ca="1">VLOOKUP(AA20,[3]characters!$A:$J,10,FALSE)</f>
        <v>Drop1N</v>
      </c>
      <c r="AE20" s="7">
        <v>5</v>
      </c>
      <c r="AF20" s="30">
        <f t="shared" ca="1" si="3"/>
        <v>1</v>
      </c>
      <c r="AG20" s="8">
        <v>15</v>
      </c>
      <c r="AH20" s="7">
        <v>0</v>
      </c>
      <c r="AI20" s="7">
        <v>0</v>
      </c>
      <c r="AJ20" s="7">
        <v>0</v>
      </c>
      <c r="AK20" s="7">
        <v>0</v>
      </c>
      <c r="AL20" s="7">
        <v>1</v>
      </c>
    </row>
    <row r="21" spans="1:38" ht="21" customHeight="1" x14ac:dyDescent="0.15">
      <c r="A21" s="20" t="str">
        <f t="shared" ca="1" si="0"/>
        <v>30008_2-1/47&lt;lv42&gt;s1</v>
      </c>
      <c r="B21" s="28">
        <v>30008</v>
      </c>
      <c r="C21" s="27">
        <v>2</v>
      </c>
      <c r="D21" s="2" t="str">
        <f t="shared" si="1"/>
        <v>30008_2</v>
      </c>
      <c r="E21" s="4" t="str">
        <f ca="1">VLOOKUP($B21,OFFSET([1]quests!$A$1,0,0,COUNTA([1]quests!$A:$A),MATCH(E$1,[1]quests!$1:$1,0)-MATCH($B$1,[1]quests!$1:$1,0)+1),MATCH(E$1,[1]quests!$1:$1,0)-MATCH($B$1,[1]quests!$1:$1,0)+1,FALSE)</f>
        <v>わたしの嫁を返してもらおう</v>
      </c>
      <c r="F21" s="4" t="str">
        <f ca="1">VLOOKUP($D21,OFFSET([1]stages!$A$1,0,0,COUNTA([1]stages!$A:$A),MATCH(F$1,[1]stages!$2:$2,0)-MATCH($D$1,[1]stages!$2:$2,0)+1),MATCH(F$1,[1]stages!$2:$2,0)-MATCH($D$1,[1]stages!$2:$2,0)+1,FALSE)</f>
        <v>【上級】わたしの嫁を返してもらおう</v>
      </c>
      <c r="G21" s="47">
        <v>1</v>
      </c>
      <c r="H21" s="19" t="str">
        <f t="shared" ca="1" si="2"/>
        <v>30008_2-1</v>
      </c>
      <c r="I21" s="4">
        <f ca="1">VLOOKUP($H21,OFFSET(floors_multi_2_4!$A$1,0,0,COUNTA(floors_multi_2_4!$A:$A),MATCH(I$1,floors_multi_2_4!$1:$1,0)-MATCH($H$1,floors_multi_2_4!$1:$1,0)+1),MATCH(I$1,floors_multi_2_4!$1:$1,0)-MATCH($H$1,floors_multi_2_4!$1:$1,0)+1,FALSE)</f>
        <v>30</v>
      </c>
      <c r="J21" s="4">
        <f ca="1">VLOOKUP($H21,OFFSET(floors_multi_2_4!$A$1,0,0,COUNTA(floors_multi_2_4!$A:$A),MATCH(J$1,floors_multi_2_4!$1:$1,0)-MATCH($H$1,floors_multi_2_4!$1:$1,0)+1),MATCH(J$1,floors_multi_2_4!$1:$1,0)-MATCH($H$1,floors_multi_2_4!$1:$1,0)+1,FALSE)</f>
        <v>30</v>
      </c>
      <c r="K21" s="42">
        <v>47</v>
      </c>
      <c r="L21" s="23" t="str">
        <f ca="1">VLOOKUP(K21,[2]enemies!$A:$D,2,FALSE)</f>
        <v>ヒロ</v>
      </c>
      <c r="M21" s="23" t="str">
        <f ca="1">VLOOKUP(K21,[2]enemies!$A:$D,4,FALSE)</f>
        <v>yellow</v>
      </c>
      <c r="N21" s="24" t="str">
        <f ca="1">VLOOKUP(K21,[3]characters!$A:$J,10,FALSE)</f>
        <v>Drop1N</v>
      </c>
      <c r="O21" s="23" t="str">
        <f ca="1">VLOOKUP(K21,[2]enemies!$A:$M,13,FALSE)</f>
        <v>animal</v>
      </c>
      <c r="P21" s="23">
        <f ca="1">VLOOKUP(K21,[2]enemies!$A:$X,24,FALSE)</f>
        <v>15</v>
      </c>
      <c r="Q21" s="5">
        <v>42</v>
      </c>
      <c r="R21" s="31">
        <v>1</v>
      </c>
      <c r="S21" s="31">
        <v>1</v>
      </c>
      <c r="T21" s="5">
        <v>0</v>
      </c>
      <c r="U21" s="4" t="str">
        <f ca="1">VLOOKUP($V21,OFFSET([4]enemy_skill_sets!$B$1,0,0,COUNTA([4]enemy_skill_sets!$B:$B),MATCH(L$1,[4]enemy_skill_sets!$1:$1,0)-MATCH($V$1,[4]enemy_skill_sets!$1:$1,0)+2),MATCH(L$1,[4]enemy_skill_sets!$1:$1,0)-MATCH($V$1,[4]enemy_skill_sets!$1:$1,0)+2,FALSE)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1" s="23">
        <f ca="1">VLOOKUP($K21,OFFSET([2]enemies!$A$1,0,0,COUNTA([2]enemies!$A:$A),MATCH(V$1,[2]enemies!$1:$1,0)-MATCH($K$1,[2]enemies!$1:$1,0)+1),MATCH(V$1,[2]enemies!$1:$1,0)-MATCH($K$1,[2]enemies!$1:$1,0)+1,FALSE)</f>
        <v>0</v>
      </c>
      <c r="W21" s="6">
        <v>0</v>
      </c>
      <c r="X21" s="6">
        <v>100</v>
      </c>
      <c r="Y21" s="6">
        <v>0</v>
      </c>
      <c r="Z21" s="23">
        <f ca="1">VLOOKUP(K21,[2]enemies!$A:$V,22,FALSE)</f>
        <v>1</v>
      </c>
      <c r="AA21" s="45">
        <v>47</v>
      </c>
      <c r="AB21" s="4" t="str">
        <f ca="1">VLOOKUP(AA21,[3]characters!$A:$I,3,FALSE)</f>
        <v>ヒロ</v>
      </c>
      <c r="AC21" s="4">
        <f ca="1">VLOOKUP(AA21,[3]characters!$A:$I,9,FALSE)</f>
        <v>2</v>
      </c>
      <c r="AD21" s="4" t="str">
        <f ca="1">VLOOKUP(AA21,[3]characters!$A:$J,10,FALSE)</f>
        <v>Drop1N</v>
      </c>
      <c r="AE21" s="7">
        <v>5</v>
      </c>
      <c r="AF21" s="30">
        <f t="shared" ca="1" si="3"/>
        <v>2</v>
      </c>
      <c r="AG21" s="8">
        <v>15</v>
      </c>
      <c r="AH21" s="7">
        <v>0</v>
      </c>
      <c r="AI21" s="7">
        <v>0</v>
      </c>
      <c r="AJ21" s="7">
        <v>0</v>
      </c>
      <c r="AK21" s="7">
        <v>0</v>
      </c>
      <c r="AL21" s="7">
        <v>1</v>
      </c>
    </row>
    <row r="22" spans="1:38" ht="21" customHeight="1" x14ac:dyDescent="0.15">
      <c r="A22" s="20" t="str">
        <f t="shared" si="0"/>
        <v>30008_2-2/121&lt;lv25&gt;s3</v>
      </c>
      <c r="B22" s="28">
        <v>30008</v>
      </c>
      <c r="C22" s="27">
        <v>2</v>
      </c>
      <c r="D22" s="2" t="str">
        <f t="shared" si="1"/>
        <v>30008_2</v>
      </c>
      <c r="E22" s="4" t="str">
        <f ca="1">VLOOKUP($B22,OFFSET([1]quests!$A$1,0,0,COUNTA([1]quests!$A:$A),MATCH(E$1,[1]quests!$1:$1,0)-MATCH($B$1,[1]quests!$1:$1,0)+1),MATCH(E$1,[1]quests!$1:$1,0)-MATCH($B$1,[1]quests!$1:$1,0)+1,FALSE)</f>
        <v>わたしの嫁を返してもらおう</v>
      </c>
      <c r="F22" s="4" t="str">
        <f ca="1">VLOOKUP($D22,OFFSET([1]stages!$A$1,0,0,COUNTA([1]stages!$A:$A),MATCH(F$1,[1]stages!$2:$2,0)-MATCH($D$1,[1]stages!$2:$2,0)+1),MATCH(F$1,[1]stages!$2:$2,0)-MATCH($D$1,[1]stages!$2:$2,0)+1,FALSE)</f>
        <v>【上級】わたしの嫁を返してもらおう</v>
      </c>
      <c r="G22" s="27">
        <v>2</v>
      </c>
      <c r="H22" s="19" t="str">
        <f t="shared" ca="1" si="2"/>
        <v>30008_2-2</v>
      </c>
      <c r="I22" s="4">
        <f ca="1">VLOOKUP($H22,OFFSET(floors_multi_2_4!$A$1,0,0,COUNTA(floors_multi_2_4!$A:$A),MATCH(I$1,floors_multi_2_4!$1:$1,0)-MATCH($H$1,floors_multi_2_4!$1:$1,0)+1),MATCH(I$1,floors_multi_2_4!$1:$1,0)-MATCH($H$1,floors_multi_2_4!$1:$1,0)+1,FALSE)</f>
        <v>60</v>
      </c>
      <c r="J22" s="4">
        <f ca="1">VLOOKUP($H22,OFFSET(floors_multi_2_4!$A$1,0,0,COUNTA(floors_multi_2_4!$A:$A),MATCH(J$1,floors_multi_2_4!$1:$1,0)-MATCH($H$1,floors_multi_2_4!$1:$1,0)+1),MATCH(J$1,floors_multi_2_4!$1:$1,0)-MATCH($H$1,floors_multi_2_4!$1:$1,0)+1,FALSE)</f>
        <v>60</v>
      </c>
      <c r="K22" s="26">
        <v>121</v>
      </c>
      <c r="L22" s="23" t="str">
        <f ca="1">VLOOKUP(K22,[2]enemies!$A:$D,2,FALSE)</f>
        <v>攻めの果実</v>
      </c>
      <c r="M22" s="23" t="str">
        <f ca="1">VLOOKUP(K22,[2]enemies!$A:$D,4,FALSE)</f>
        <v>red</v>
      </c>
      <c r="N22" s="24" t="str">
        <f ca="1">VLOOKUP(K22,[3]characters!$A:$J,10,FALSE)</f>
        <v>Material</v>
      </c>
      <c r="O22" s="23" t="str">
        <f ca="1">VLOOKUP(K22,[2]enemies!$A:$M,13,FALSE)</f>
        <v>unknown</v>
      </c>
      <c r="P22" s="23">
        <f ca="1">VLOOKUP(K22,[2]enemies!$A:$X,24,FALSE)</f>
        <v>20</v>
      </c>
      <c r="Q22" s="5">
        <v>25</v>
      </c>
      <c r="R22" s="31">
        <v>1</v>
      </c>
      <c r="S22" s="31">
        <v>1</v>
      </c>
      <c r="T22" s="5">
        <v>0</v>
      </c>
      <c r="U22" s="4" t="str">
        <f ca="1">VLOOKUP($V22,OFFSET([4]enemy_skill_sets!$B$1,0,0,COUNTA([4]enemy_skill_sets!$B:$B),MATCH(L$1,[4]enemy_skill_sets!$1:$1,0)-MATCH($V$1,[4]enemy_skill_sets!$1:$1,0)+2),MATCH(L$1,[4]enemy_skill_sets!$1:$1,0)-MATCH($V$1,[4]enemy_skill_sets!$1:$1,0)+2,FALSE)</f>
        <v>次のターン強力な攻撃</v>
      </c>
      <c r="V22" s="50">
        <v>1211</v>
      </c>
      <c r="W22" s="6">
        <v>1</v>
      </c>
      <c r="X22" s="6">
        <v>0</v>
      </c>
      <c r="Y22" s="6">
        <v>1</v>
      </c>
      <c r="Z22" s="50">
        <v>3</v>
      </c>
      <c r="AA22" s="49">
        <v>121</v>
      </c>
      <c r="AB22" s="4" t="str">
        <f ca="1">VLOOKUP(AA22,[3]characters!$A:$I,3,FALSE)</f>
        <v>攻めの果実</v>
      </c>
      <c r="AC22" s="4">
        <f ca="1">VLOOKUP(AA22,[3]characters!$A:$I,9,FALSE)</f>
        <v>3</v>
      </c>
      <c r="AD22" s="4" t="str">
        <f ca="1">VLOOKUP(AA22,[3]characters!$A:$J,10,FALSE)</f>
        <v>Material</v>
      </c>
      <c r="AE22" s="7">
        <v>1</v>
      </c>
      <c r="AF22" s="30">
        <f t="shared" ca="1" si="3"/>
        <v>3</v>
      </c>
      <c r="AG22" s="8">
        <v>5</v>
      </c>
      <c r="AH22" s="7">
        <v>0</v>
      </c>
      <c r="AI22" s="7">
        <v>0</v>
      </c>
      <c r="AJ22" s="7">
        <v>0</v>
      </c>
      <c r="AK22" s="7">
        <v>0</v>
      </c>
      <c r="AL22" s="7">
        <v>1</v>
      </c>
    </row>
    <row r="23" spans="1:38" ht="21" customHeight="1" x14ac:dyDescent="0.15">
      <c r="A23" s="20" t="str">
        <f t="shared" si="0"/>
        <v>30008_2-2/122&lt;lv25&gt;s3</v>
      </c>
      <c r="B23" s="28">
        <v>30008</v>
      </c>
      <c r="C23" s="27">
        <v>2</v>
      </c>
      <c r="D23" s="2" t="str">
        <f t="shared" si="1"/>
        <v>30008_2</v>
      </c>
      <c r="E23" s="4" t="str">
        <f ca="1">VLOOKUP($B23,OFFSET([1]quests!$A$1,0,0,COUNTA([1]quests!$A:$A),MATCH(E$1,[1]quests!$1:$1,0)-MATCH($B$1,[1]quests!$1:$1,0)+1),MATCH(E$1,[1]quests!$1:$1,0)-MATCH($B$1,[1]quests!$1:$1,0)+1,FALSE)</f>
        <v>わたしの嫁を返してもらおう</v>
      </c>
      <c r="F23" s="4" t="str">
        <f ca="1">VLOOKUP($D23,OFFSET([1]stages!$A$1,0,0,COUNTA([1]stages!$A:$A),MATCH(F$1,[1]stages!$2:$2,0)-MATCH($D$1,[1]stages!$2:$2,0)+1),MATCH(F$1,[1]stages!$2:$2,0)-MATCH($D$1,[1]stages!$2:$2,0)+1,FALSE)</f>
        <v>【上級】わたしの嫁を返してもらおう</v>
      </c>
      <c r="G23" s="27">
        <v>2</v>
      </c>
      <c r="H23" s="19" t="str">
        <f t="shared" ca="1" si="2"/>
        <v>30008_2-2</v>
      </c>
      <c r="I23" s="4">
        <f ca="1">VLOOKUP($H23,OFFSET(floors_multi_2_4!$A$1,0,0,COUNTA(floors_multi_2_4!$A:$A),MATCH(I$1,floors_multi_2_4!$1:$1,0)-MATCH($H$1,floors_multi_2_4!$1:$1,0)+1),MATCH(I$1,floors_multi_2_4!$1:$1,0)-MATCH($H$1,floors_multi_2_4!$1:$1,0)+1,FALSE)</f>
        <v>60</v>
      </c>
      <c r="J23" s="4">
        <f ca="1">VLOOKUP($H23,OFFSET(floors_multi_2_4!$A$1,0,0,COUNTA(floors_multi_2_4!$A:$A),MATCH(J$1,floors_multi_2_4!$1:$1,0)-MATCH($H$1,floors_multi_2_4!$1:$1,0)+1),MATCH(J$1,floors_multi_2_4!$1:$1,0)-MATCH($H$1,floors_multi_2_4!$1:$1,0)+1,FALSE)</f>
        <v>60</v>
      </c>
      <c r="K23" s="26">
        <v>122</v>
      </c>
      <c r="L23" s="23" t="str">
        <f ca="1">VLOOKUP(K23,[2]enemies!$A:$D,2,FALSE)</f>
        <v>生命の果実</v>
      </c>
      <c r="M23" s="23" t="str">
        <f ca="1">VLOOKUP(K23,[2]enemies!$A:$D,4,FALSE)</f>
        <v>green</v>
      </c>
      <c r="N23" s="24" t="str">
        <f ca="1">VLOOKUP(K23,[3]characters!$A:$J,10,FALSE)</f>
        <v>Material</v>
      </c>
      <c r="O23" s="23" t="str">
        <f ca="1">VLOOKUP(K23,[2]enemies!$A:$M,13,FALSE)</f>
        <v>unknown</v>
      </c>
      <c r="P23" s="23">
        <f ca="1">VLOOKUP(K23,[2]enemies!$A:$X,24,FALSE)</f>
        <v>20</v>
      </c>
      <c r="Q23" s="5">
        <v>25</v>
      </c>
      <c r="R23" s="31">
        <v>1</v>
      </c>
      <c r="S23" s="31">
        <v>1</v>
      </c>
      <c r="T23" s="5">
        <v>0</v>
      </c>
      <c r="U23" s="4" t="str">
        <f ca="1">VLOOKUP($V23,OFFSET([4]enemy_skill_sets!$B$1,0,0,COUNTA([4]enemy_skill_sets!$B:$B),MATCH(L$1,[4]enemy_skill_sets!$1:$1,0)-MATCH($V$1,[4]enemy_skill_sets!$1:$1,0)+2),MATCH(L$1,[4]enemy_skill_sets!$1:$1,0)-MATCH($V$1,[4]enemy_skill_sets!$1:$1,0)+2,FALSE)</f>
        <v>この果実はターン０になると自爆する！</v>
      </c>
      <c r="V23" s="50">
        <v>1221</v>
      </c>
      <c r="W23" s="6">
        <v>1</v>
      </c>
      <c r="X23" s="6">
        <v>0</v>
      </c>
      <c r="Y23" s="6">
        <v>1</v>
      </c>
      <c r="Z23" s="50">
        <v>3</v>
      </c>
      <c r="AA23" s="49">
        <v>122</v>
      </c>
      <c r="AB23" s="4" t="str">
        <f ca="1">VLOOKUP(AA23,[3]characters!$A:$I,3,FALSE)</f>
        <v>生命の果実</v>
      </c>
      <c r="AC23" s="4">
        <f ca="1">VLOOKUP(AA23,[3]characters!$A:$I,9,FALSE)</f>
        <v>3</v>
      </c>
      <c r="AD23" s="4" t="str">
        <f ca="1">VLOOKUP(AA23,[3]characters!$A:$J,10,FALSE)</f>
        <v>Material</v>
      </c>
      <c r="AE23" s="7">
        <v>1</v>
      </c>
      <c r="AF23" s="30">
        <f t="shared" ca="1" si="3"/>
        <v>3</v>
      </c>
      <c r="AG23" s="8">
        <v>5</v>
      </c>
      <c r="AH23" s="7">
        <v>0</v>
      </c>
      <c r="AI23" s="7">
        <v>0</v>
      </c>
      <c r="AJ23" s="7">
        <v>0</v>
      </c>
      <c r="AK23" s="7">
        <v>0</v>
      </c>
      <c r="AL23" s="7">
        <v>1</v>
      </c>
    </row>
    <row r="24" spans="1:38" ht="21" customHeight="1" x14ac:dyDescent="0.15">
      <c r="A24" s="20" t="str">
        <f t="shared" si="0"/>
        <v>30008_2-2/123&lt;lv25&gt;s3</v>
      </c>
      <c r="B24" s="28">
        <v>30008</v>
      </c>
      <c r="C24" s="27">
        <v>2</v>
      </c>
      <c r="D24" s="2" t="str">
        <f t="shared" si="1"/>
        <v>30008_2</v>
      </c>
      <c r="E24" s="4" t="str">
        <f ca="1">VLOOKUP($B24,OFFSET([1]quests!$A$1,0,0,COUNTA([1]quests!$A:$A),MATCH(E$1,[1]quests!$1:$1,0)-MATCH($B$1,[1]quests!$1:$1,0)+1),MATCH(E$1,[1]quests!$1:$1,0)-MATCH($B$1,[1]quests!$1:$1,0)+1,FALSE)</f>
        <v>わたしの嫁を返してもらおう</v>
      </c>
      <c r="F24" s="4" t="str">
        <f ca="1">VLOOKUP($D24,OFFSET([1]stages!$A$1,0,0,COUNTA([1]stages!$A:$A),MATCH(F$1,[1]stages!$2:$2,0)-MATCH($D$1,[1]stages!$2:$2,0)+1),MATCH(F$1,[1]stages!$2:$2,0)-MATCH($D$1,[1]stages!$2:$2,0)+1,FALSE)</f>
        <v>【上級】わたしの嫁を返してもらおう</v>
      </c>
      <c r="G24" s="27">
        <v>2</v>
      </c>
      <c r="H24" s="19" t="str">
        <f t="shared" ca="1" si="2"/>
        <v>30008_2-2</v>
      </c>
      <c r="I24" s="4">
        <f ca="1">VLOOKUP($H24,OFFSET(floors_multi_2_4!$A$1,0,0,COUNTA(floors_multi_2_4!$A:$A),MATCH(I$1,floors_multi_2_4!$1:$1,0)-MATCH($H$1,floors_multi_2_4!$1:$1,0)+1),MATCH(I$1,floors_multi_2_4!$1:$1,0)-MATCH($H$1,floors_multi_2_4!$1:$1,0)+1,FALSE)</f>
        <v>60</v>
      </c>
      <c r="J24" s="4">
        <f ca="1">VLOOKUP($H24,OFFSET(floors_multi_2_4!$A$1,0,0,COUNTA(floors_multi_2_4!$A:$A),MATCH(J$1,floors_multi_2_4!$1:$1,0)-MATCH($H$1,floors_multi_2_4!$1:$1,0)+1),MATCH(J$1,floors_multi_2_4!$1:$1,0)-MATCH($H$1,floors_multi_2_4!$1:$1,0)+1,FALSE)</f>
        <v>60</v>
      </c>
      <c r="K24" s="26">
        <v>123</v>
      </c>
      <c r="L24" s="23" t="str">
        <f ca="1">VLOOKUP(K24,[2]enemies!$A:$D,2,FALSE)</f>
        <v>癒しの果実</v>
      </c>
      <c r="M24" s="23" t="str">
        <f ca="1">VLOOKUP(K24,[2]enemies!$A:$D,4,FALSE)</f>
        <v>blue</v>
      </c>
      <c r="N24" s="24" t="str">
        <f ca="1">VLOOKUP(K24,[3]characters!$A:$J,10,FALSE)</f>
        <v>Material</v>
      </c>
      <c r="O24" s="23" t="str">
        <f ca="1">VLOOKUP(K24,[2]enemies!$A:$M,13,FALSE)</f>
        <v>unknown</v>
      </c>
      <c r="P24" s="23">
        <f ca="1">VLOOKUP(K24,[2]enemies!$A:$X,24,FALSE)</f>
        <v>20</v>
      </c>
      <c r="Q24" s="5">
        <v>25</v>
      </c>
      <c r="R24" s="31">
        <v>0.5</v>
      </c>
      <c r="S24" s="31">
        <v>1</v>
      </c>
      <c r="T24" s="5">
        <v>0</v>
      </c>
      <c r="U24" s="4" t="str">
        <f ca="1">VLOOKUP($V24,OFFSET([4]enemy_skill_sets!$B$1,0,0,COUNTA([4]enemy_skill_sets!$B:$B),MATCH(L$1,[4]enemy_skill_sets!$1:$1,0)-MATCH($V$1,[4]enemy_skill_sets!$1:$1,0)+2),MATCH(L$1,[4]enemy_skill_sets!$1:$1,0)-MATCH($V$1,[4]enemy_skill_sets!$1:$1,0)+2,FALSE)</f>
        <v>回復</v>
      </c>
      <c r="V24" s="50">
        <v>1231</v>
      </c>
      <c r="W24" s="6">
        <v>1</v>
      </c>
      <c r="X24" s="6">
        <v>0</v>
      </c>
      <c r="Y24" s="6">
        <v>1</v>
      </c>
      <c r="Z24" s="50">
        <v>3</v>
      </c>
      <c r="AA24" s="49">
        <v>123</v>
      </c>
      <c r="AB24" s="4" t="str">
        <f ca="1">VLOOKUP(AA24,[3]characters!$A:$I,3,FALSE)</f>
        <v>癒しの果実</v>
      </c>
      <c r="AC24" s="4">
        <f ca="1">VLOOKUP(AA24,[3]characters!$A:$I,9,FALSE)</f>
        <v>3</v>
      </c>
      <c r="AD24" s="4" t="str">
        <f ca="1">VLOOKUP(AA24,[3]characters!$A:$J,10,FALSE)</f>
        <v>Material</v>
      </c>
      <c r="AE24" s="7">
        <v>1</v>
      </c>
      <c r="AF24" s="30">
        <f t="shared" ca="1" si="3"/>
        <v>3</v>
      </c>
      <c r="AG24" s="8">
        <v>5</v>
      </c>
      <c r="AH24" s="7">
        <v>0</v>
      </c>
      <c r="AI24" s="7">
        <v>0</v>
      </c>
      <c r="AJ24" s="7">
        <v>0</v>
      </c>
      <c r="AK24" s="7">
        <v>0</v>
      </c>
      <c r="AL24" s="7">
        <v>1</v>
      </c>
    </row>
    <row r="25" spans="1:38" ht="21" customHeight="1" x14ac:dyDescent="0.15">
      <c r="A25" s="20" t="str">
        <f t="shared" ca="1" si="0"/>
        <v>30008_2-3/1&lt;lv36&gt;s1</v>
      </c>
      <c r="B25" s="28">
        <v>30008</v>
      </c>
      <c r="C25" s="27">
        <v>2</v>
      </c>
      <c r="D25" s="2" t="str">
        <f t="shared" ref="D25" si="4">B25&amp;"_"&amp;C25</f>
        <v>30008_2</v>
      </c>
      <c r="E25" s="4" t="str">
        <f ca="1">VLOOKUP($B25,OFFSET([1]quests!$A$1,0,0,COUNTA([1]quests!$A:$A),MATCH(E$1,[1]quests!$1:$1,0)-MATCH($B$1,[1]quests!$1:$1,0)+1),MATCH(E$1,[1]quests!$1:$1,0)-MATCH($B$1,[1]quests!$1:$1,0)+1,FALSE)</f>
        <v>わたしの嫁を返してもらおう</v>
      </c>
      <c r="F25" s="4" t="str">
        <f ca="1">VLOOKUP($D25,OFFSET([1]stages!$A$1,0,0,COUNTA([1]stages!$A:$A),MATCH(F$1,[1]stages!$2:$2,0)-MATCH($D$1,[1]stages!$2:$2,0)+1),MATCH(F$1,[1]stages!$2:$2,0)-MATCH($D$1,[1]stages!$2:$2,0)+1,FALSE)</f>
        <v>【上級】わたしの嫁を返してもらおう</v>
      </c>
      <c r="G25" s="47">
        <v>3</v>
      </c>
      <c r="H25" s="19" t="str">
        <f t="shared" ca="1" si="2"/>
        <v>30008_2-3</v>
      </c>
      <c r="I25" s="4">
        <f ca="1">VLOOKUP($H25,OFFSET(floors_multi_2_4!$A$1,0,0,COUNTA(floors_multi_2_4!$A:$A),MATCH(I$1,floors_multi_2_4!$1:$1,0)-MATCH($H$1,floors_multi_2_4!$1:$1,0)+1),MATCH(I$1,floors_multi_2_4!$1:$1,0)-MATCH($H$1,floors_multi_2_4!$1:$1,0)+1,FALSE)</f>
        <v>60</v>
      </c>
      <c r="J25" s="4">
        <f ca="1">VLOOKUP($H25,OFFSET(floors_multi_2_4!$A$1,0,0,COUNTA(floors_multi_2_4!$A:$A),MATCH(J$1,floors_multi_2_4!$1:$1,0)-MATCH($H$1,floors_multi_2_4!$1:$1,0)+1),MATCH(J$1,floors_multi_2_4!$1:$1,0)-MATCH($H$1,floors_multi_2_4!$1:$1,0)+1,FALSE)</f>
        <v>60</v>
      </c>
      <c r="K25" s="26">
        <v>1</v>
      </c>
      <c r="L25" s="23" t="str">
        <f ca="1">VLOOKUP(K25,[2]enemies!$A:$D,2,FALSE)</f>
        <v>ジェリー</v>
      </c>
      <c r="M25" s="23" t="str">
        <f ca="1">VLOOKUP(K25,[2]enemies!$A:$D,4,FALSE)</f>
        <v>red</v>
      </c>
      <c r="N25" s="24" t="str">
        <f ca="1">VLOOKUP(K25,[3]characters!$A:$J,10,FALSE)</f>
        <v>Drop1T</v>
      </c>
      <c r="O25" s="23" t="str">
        <f ca="1">VLOOKUP(K25,[2]enemies!$A:$M,13,FALSE)</f>
        <v>unknown</v>
      </c>
      <c r="P25" s="23">
        <f ca="1">VLOOKUP(K25,[2]enemies!$A:$X,24,FALSE)</f>
        <v>15</v>
      </c>
      <c r="Q25" s="5">
        <v>36</v>
      </c>
      <c r="R25" s="31">
        <v>1</v>
      </c>
      <c r="S25" s="31">
        <v>1</v>
      </c>
      <c r="T25" s="5">
        <v>0</v>
      </c>
      <c r="U25" s="4" t="str">
        <f ca="1">VLOOKUP($V25,OFFSET([4]enemy_skill_sets!$B$1,0,0,COUNTA([4]enemy_skill_sets!$B:$B),MATCH(L$1,[4]enemy_skill_sets!$1:$1,0)-MATCH($V$1,[4]enemy_skill_sets!$1:$1,0)+2),MATCH(L$1,[4]enemy_skill_sets!$1:$1,0)-MATCH($V$1,[4]enemy_skill_sets!$1:$1,0)+2,FALSE)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5" s="53">
        <v>0</v>
      </c>
      <c r="W25" s="6">
        <v>2</v>
      </c>
      <c r="X25" s="6">
        <v>100</v>
      </c>
      <c r="Y25" s="6">
        <v>0</v>
      </c>
      <c r="Z25" s="23">
        <f ca="1">VLOOKUP(K25,[2]enemies!$A:$V,22,FALSE)</f>
        <v>1</v>
      </c>
      <c r="AA25" s="49">
        <v>41</v>
      </c>
      <c r="AB25" s="4" t="str">
        <f ca="1">VLOOKUP(AA25,[3]characters!$A:$I,3,FALSE)</f>
        <v>ヒュウガ</v>
      </c>
      <c r="AC25" s="4">
        <f ca="1">VLOOKUP(AA25,[3]characters!$A:$I,9,FALSE)</f>
        <v>2</v>
      </c>
      <c r="AD25" s="4" t="str">
        <f ca="1">VLOOKUP(AA25,[3]characters!$A:$J,10,FALSE)</f>
        <v>Drop1N</v>
      </c>
      <c r="AE25" s="7">
        <v>1</v>
      </c>
      <c r="AF25" s="30">
        <f t="shared" ref="AF25" ca="1" si="5">AC25</f>
        <v>2</v>
      </c>
      <c r="AG25" s="8">
        <v>0</v>
      </c>
      <c r="AH25" s="7">
        <v>0</v>
      </c>
      <c r="AI25" s="7">
        <v>0</v>
      </c>
      <c r="AJ25" s="7">
        <v>0</v>
      </c>
      <c r="AK25" s="7">
        <v>0</v>
      </c>
      <c r="AL25" s="7">
        <v>1</v>
      </c>
    </row>
    <row r="26" spans="1:38" ht="21" customHeight="1" x14ac:dyDescent="0.15">
      <c r="A26" s="20" t="str">
        <f t="shared" ca="1" si="0"/>
        <v>30008_2-3/288&lt;lv40&gt;s2</v>
      </c>
      <c r="B26" s="28">
        <v>30008</v>
      </c>
      <c r="C26" s="27">
        <v>2</v>
      </c>
      <c r="D26" s="2" t="str">
        <f t="shared" si="1"/>
        <v>30008_2</v>
      </c>
      <c r="E26" s="4" t="str">
        <f ca="1">VLOOKUP($B26,OFFSET([1]quests!$A$1,0,0,COUNTA([1]quests!$A:$A),MATCH(E$1,[1]quests!$1:$1,0)-MATCH($B$1,[1]quests!$1:$1,0)+1),MATCH(E$1,[1]quests!$1:$1,0)-MATCH($B$1,[1]quests!$1:$1,0)+1,FALSE)</f>
        <v>わたしの嫁を返してもらおう</v>
      </c>
      <c r="F26" s="4" t="str">
        <f ca="1">VLOOKUP($D26,OFFSET([1]stages!$A$1,0,0,COUNTA([1]stages!$A:$A),MATCH(F$1,[1]stages!$2:$2,0)-MATCH($D$1,[1]stages!$2:$2,0)+1),MATCH(F$1,[1]stages!$2:$2,0)-MATCH($D$1,[1]stages!$2:$2,0)+1,FALSE)</f>
        <v>【上級】わたしの嫁を返してもらおう</v>
      </c>
      <c r="G26" s="47">
        <v>3</v>
      </c>
      <c r="H26" s="19" t="str">
        <f t="shared" ca="1" si="2"/>
        <v>30008_2-3</v>
      </c>
      <c r="I26" s="4">
        <f ca="1">VLOOKUP($H26,OFFSET(floors_multi_2_4!$A$1,0,0,COUNTA(floors_multi_2_4!$A:$A),MATCH(I$1,floors_multi_2_4!$1:$1,0)-MATCH($H$1,floors_multi_2_4!$1:$1,0)+1),MATCH(I$1,floors_multi_2_4!$1:$1,0)-MATCH($H$1,floors_multi_2_4!$1:$1,0)+1,FALSE)</f>
        <v>60</v>
      </c>
      <c r="J26" s="4">
        <f ca="1">VLOOKUP($H26,OFFSET(floors_multi_2_4!$A$1,0,0,COUNTA(floors_multi_2_4!$A:$A),MATCH(J$1,floors_multi_2_4!$1:$1,0)-MATCH($H$1,floors_multi_2_4!$1:$1,0)+1),MATCH(J$1,floors_multi_2_4!$1:$1,0)-MATCH($H$1,floors_multi_2_4!$1:$1,0)+1,FALSE)</f>
        <v>60</v>
      </c>
      <c r="K26" s="26">
        <v>288</v>
      </c>
      <c r="L26" s="23" t="str">
        <f ca="1">VLOOKUP(K26,[2]enemies!$A:$D,2,FALSE)</f>
        <v>ミカド</v>
      </c>
      <c r="M26" s="23" t="str">
        <f ca="1">VLOOKUP(K26,[2]enemies!$A:$D,4,FALSE)</f>
        <v>yellow</v>
      </c>
      <c r="N26" s="24" t="str">
        <f ca="1">VLOOKUP(K26,[3]characters!$A:$J,10,FALSE)</f>
        <v>Drop2N</v>
      </c>
      <c r="O26" s="23" t="str">
        <f ca="1">VLOOKUP(K26,[2]enemies!$A:$M,13,FALSE)</f>
        <v>human</v>
      </c>
      <c r="P26" s="23">
        <f ca="1">VLOOKUP(K26,[2]enemies!$A:$X,24,FALSE)</f>
        <v>30</v>
      </c>
      <c r="Q26" s="5">
        <v>40</v>
      </c>
      <c r="R26" s="31">
        <v>1</v>
      </c>
      <c r="S26" s="31">
        <v>1</v>
      </c>
      <c r="T26" s="5">
        <v>0</v>
      </c>
      <c r="U26" s="4" t="str">
        <f ca="1">VLOOKUP($V26,OFFSET([4]enemy_skill_sets!$B$1,0,0,COUNTA([4]enemy_skill_sets!$B:$B),MATCH(L$1,[4]enemy_skill_sets!$1:$1,0)-MATCH($V$1,[4]enemy_skill_sets!$1:$1,0)+2),MATCH(L$1,[4]enemy_skill_sets!$1:$1,0)-MATCH($V$1,[4]enemy_skill_sets!$1:$1,0)+2,FALSE)</f>
        <v>5ターン防御力UP</v>
      </c>
      <c r="V26" s="50">
        <v>28802</v>
      </c>
      <c r="W26" s="6">
        <v>1</v>
      </c>
      <c r="X26" s="6">
        <v>0</v>
      </c>
      <c r="Y26" s="6">
        <v>1</v>
      </c>
      <c r="Z26" s="23">
        <f ca="1">VLOOKUP(K26,[2]enemies!$A:$V,22,FALSE)</f>
        <v>2</v>
      </c>
      <c r="AA26" s="49">
        <v>288</v>
      </c>
      <c r="AB26" s="4" t="str">
        <f ca="1">VLOOKUP(AA26,[3]characters!$A:$I,3,FALSE)</f>
        <v>ミカド</v>
      </c>
      <c r="AC26" s="4">
        <f ca="1">VLOOKUP(AA26,[3]characters!$A:$I,9,FALSE)</f>
        <v>4</v>
      </c>
      <c r="AD26" s="4" t="str">
        <f ca="1">VLOOKUP(AA26,[3]characters!$A:$J,10,FALSE)</f>
        <v>Drop2N</v>
      </c>
      <c r="AE26" s="7">
        <v>1</v>
      </c>
      <c r="AF26" s="30">
        <f t="shared" ca="1" si="3"/>
        <v>4</v>
      </c>
      <c r="AG26" s="8">
        <v>0</v>
      </c>
      <c r="AH26" s="7">
        <v>0</v>
      </c>
      <c r="AI26" s="7">
        <v>0</v>
      </c>
      <c r="AJ26" s="7">
        <v>0</v>
      </c>
      <c r="AK26" s="7">
        <v>0</v>
      </c>
      <c r="AL26" s="7">
        <v>1</v>
      </c>
    </row>
    <row r="27" spans="1:38" ht="21" customHeight="1" x14ac:dyDescent="0.15">
      <c r="A27" s="20" t="str">
        <f t="shared" ca="1" si="0"/>
        <v>30008_2-4/288&lt;lv50&gt;s2</v>
      </c>
      <c r="B27" s="28">
        <v>30008</v>
      </c>
      <c r="C27" s="27">
        <v>2</v>
      </c>
      <c r="D27" s="2" t="str">
        <f t="shared" ref="D27" si="6">B27&amp;"_"&amp;C27</f>
        <v>30008_2</v>
      </c>
      <c r="E27" s="4" t="str">
        <f ca="1">VLOOKUP($B27,OFFSET([1]quests!$A$1,0,0,COUNTA([1]quests!$A:$A),MATCH(E$1,[1]quests!$1:$1,0)-MATCH($B$1,[1]quests!$1:$1,0)+1),MATCH(E$1,[1]quests!$1:$1,0)-MATCH($B$1,[1]quests!$1:$1,0)+1,FALSE)</f>
        <v>わたしの嫁を返してもらおう</v>
      </c>
      <c r="F27" s="4" t="str">
        <f ca="1">VLOOKUP($D27,OFFSET([1]stages!$A$1,0,0,COUNTA([1]stages!$A:$A),MATCH(F$1,[1]stages!$2:$2,0)-MATCH($D$1,[1]stages!$2:$2,0)+1),MATCH(F$1,[1]stages!$2:$2,0)-MATCH($D$1,[1]stages!$2:$2,0)+1,FALSE)</f>
        <v>【上級】わたしの嫁を返してもらおう</v>
      </c>
      <c r="G27" s="27">
        <v>4</v>
      </c>
      <c r="H27" s="19" t="str">
        <f t="shared" ca="1" si="2"/>
        <v>30008_2-4</v>
      </c>
      <c r="I27" s="4">
        <f ca="1">VLOOKUP($H27,OFFSET(floors_multi_2_4!$A$1,0,0,COUNTA(floors_multi_2_4!$A:$A),MATCH(I$1,floors_multi_2_4!$1:$1,0)-MATCH($H$1,floors_multi_2_4!$1:$1,0)+1),MATCH(I$1,floors_multi_2_4!$1:$1,0)-MATCH($H$1,floors_multi_2_4!$1:$1,0)+1,FALSE)</f>
        <v>30</v>
      </c>
      <c r="J27" s="4">
        <f ca="1">VLOOKUP($H27,OFFSET(floors_multi_2_4!$A$1,0,0,COUNTA(floors_multi_2_4!$A:$A),MATCH(J$1,floors_multi_2_4!$1:$1,0)-MATCH($H$1,floors_multi_2_4!$1:$1,0)+1),MATCH(J$1,floors_multi_2_4!$1:$1,0)-MATCH($H$1,floors_multi_2_4!$1:$1,0)+1,FALSE)</f>
        <v>30</v>
      </c>
      <c r="K27" s="26">
        <v>288</v>
      </c>
      <c r="L27" s="23" t="str">
        <f ca="1">VLOOKUP(K27,[2]enemies!$A:$D,2,FALSE)</f>
        <v>ミカド</v>
      </c>
      <c r="M27" s="23" t="str">
        <f ca="1">VLOOKUP(K27,[2]enemies!$A:$D,4,FALSE)</f>
        <v>yellow</v>
      </c>
      <c r="N27" s="24" t="str">
        <f ca="1">VLOOKUP(K27,[3]characters!$A:$J,10,FALSE)</f>
        <v>Drop2N</v>
      </c>
      <c r="O27" s="23" t="str">
        <f ca="1">VLOOKUP(K27,[2]enemies!$A:$M,13,FALSE)</f>
        <v>human</v>
      </c>
      <c r="P27" s="23">
        <f ca="1">VLOOKUP(K27,[2]enemies!$A:$X,24,FALSE)</f>
        <v>30</v>
      </c>
      <c r="Q27" s="5">
        <v>50</v>
      </c>
      <c r="R27" s="31">
        <v>3.5</v>
      </c>
      <c r="S27" s="31">
        <v>1.1000000000000001</v>
      </c>
      <c r="T27" s="5">
        <v>0</v>
      </c>
      <c r="U27" s="4" t="str">
        <f ca="1">VLOOKUP($V27,OFFSET([4]enemy_skill_sets!$B$1,0,0,COUNTA([4]enemy_skill_sets!$B:$B),MATCH(L$1,[4]enemy_skill_sets!$1:$1,0)-MATCH($V$1,[4]enemy_skill_sets!$1:$1,0)+2),MATCH(L$1,[4]enemy_skill_sets!$1:$1,0)-MATCH($V$1,[4]enemy_skill_sets!$1:$1,0)+2,FALSE)</f>
        <v>解除するまで攻撃力UP</v>
      </c>
      <c r="V27" s="50">
        <v>28804</v>
      </c>
      <c r="W27" s="6">
        <v>1</v>
      </c>
      <c r="X27" s="6">
        <v>0</v>
      </c>
      <c r="Y27" s="6">
        <v>1</v>
      </c>
      <c r="Z27" s="23">
        <f ca="1">VLOOKUP(K27,[2]enemies!$A:$V,22,FALSE)</f>
        <v>2</v>
      </c>
      <c r="AA27" s="49">
        <v>288</v>
      </c>
      <c r="AB27" s="4" t="str">
        <f ca="1">VLOOKUP(AA27,[3]characters!$A:$I,3,FALSE)</f>
        <v>ミカド</v>
      </c>
      <c r="AC27" s="4">
        <f ca="1">VLOOKUP(AA27,[3]characters!$A:$I,9,FALSE)</f>
        <v>4</v>
      </c>
      <c r="AD27" s="4" t="str">
        <f ca="1">VLOOKUP(AA27,[3]characters!$A:$J,10,FALSE)</f>
        <v>Drop2N</v>
      </c>
      <c r="AE27" s="7">
        <v>1</v>
      </c>
      <c r="AF27" s="30">
        <f t="shared" ref="AF27" ca="1" si="7">AC27</f>
        <v>4</v>
      </c>
      <c r="AG27" s="54">
        <v>50</v>
      </c>
      <c r="AH27" s="7">
        <v>0</v>
      </c>
      <c r="AI27" s="7">
        <v>0</v>
      </c>
      <c r="AJ27" s="7">
        <v>0</v>
      </c>
      <c r="AK27" s="7">
        <v>0</v>
      </c>
      <c r="AL27" s="7">
        <v>1</v>
      </c>
    </row>
    <row r="28" spans="1:38" ht="21" customHeight="1" x14ac:dyDescent="0.15">
      <c r="A28" s="20" t="str">
        <f t="shared" ca="1" si="0"/>
        <v>30008_3-1/32&lt;lv50&gt;s5</v>
      </c>
      <c r="B28" s="28">
        <v>30008</v>
      </c>
      <c r="C28" s="27">
        <v>3</v>
      </c>
      <c r="D28" s="2" t="str">
        <f t="shared" si="1"/>
        <v>30008_3</v>
      </c>
      <c r="E28" s="4" t="str">
        <f ca="1">VLOOKUP($B28,OFFSET([1]quests!$A$1,0,0,COUNTA([1]quests!$A:$A),MATCH(E$1,[1]quests!$1:$1,0)-MATCH($B$1,[1]quests!$1:$1,0)+1),MATCH(E$1,[1]quests!$1:$1,0)-MATCH($B$1,[1]quests!$1:$1,0)+1,FALSE)</f>
        <v>わたしの嫁を返してもらおう</v>
      </c>
      <c r="F28" s="4" t="str">
        <f ca="1">VLOOKUP($D28,OFFSET([1]stages!$A$1,0,0,COUNTA([1]stages!$A:$A),MATCH(F$1,[1]stages!$2:$2,0)-MATCH($D$1,[1]stages!$2:$2,0)+1),MATCH(F$1,[1]stages!$2:$2,0)-MATCH($D$1,[1]stages!$2:$2,0)+1,FALSE)</f>
        <v>【超級】わたしの嫁を返してもらおう</v>
      </c>
      <c r="G28" s="51">
        <v>1</v>
      </c>
      <c r="H28" s="19" t="str">
        <f t="shared" ca="1" si="2"/>
        <v>30008_3-1</v>
      </c>
      <c r="I28" s="4">
        <f ca="1">VLOOKUP($H28,OFFSET(floors_multi_2_4!$A$1,0,0,COUNTA(floors_multi_2_4!$A:$A),MATCH(I$1,floors_multi_2_4!$1:$1,0)-MATCH($H$1,floors_multi_2_4!$1:$1,0)+1),MATCH(I$1,floors_multi_2_4!$1:$1,0)-MATCH($H$1,floors_multi_2_4!$1:$1,0)+1,FALSE)</f>
        <v>30</v>
      </c>
      <c r="J28" s="4">
        <f ca="1">VLOOKUP($H28,OFFSET(floors_multi_2_4!$A$1,0,0,COUNTA(floors_multi_2_4!$A:$A),MATCH(J$1,floors_multi_2_4!$1:$1,0)-MATCH($H$1,floors_multi_2_4!$1:$1,0)+1),MATCH(J$1,floors_multi_2_4!$1:$1,0)-MATCH($H$1,floors_multi_2_4!$1:$1,0)+1,FALSE)</f>
        <v>30</v>
      </c>
      <c r="K28" s="48">
        <v>32</v>
      </c>
      <c r="L28" s="23" t="str">
        <f ca="1">VLOOKUP(K28,[2]enemies!$A:$D,2,FALSE)</f>
        <v>沈黙のジャミング マービー</v>
      </c>
      <c r="M28" s="23" t="str">
        <f ca="1">VLOOKUP(K28,[2]enemies!$A:$D,4,FALSE)</f>
        <v>yellow</v>
      </c>
      <c r="N28" s="24" t="str">
        <f ca="1">VLOOKUP(K28,[3]characters!$A:$J,10,FALSE)</f>
        <v>Drop1N</v>
      </c>
      <c r="O28" s="23" t="str">
        <f ca="1">VLOOKUP(K28,[2]enemies!$A:$M,13,FALSE)</f>
        <v>machine</v>
      </c>
      <c r="P28" s="23">
        <f ca="1">VLOOKUP(K28,[2]enemies!$A:$X,24,FALSE)</f>
        <v>15</v>
      </c>
      <c r="Q28" s="5">
        <v>50</v>
      </c>
      <c r="R28" s="31">
        <v>1</v>
      </c>
      <c r="S28" s="31">
        <v>1</v>
      </c>
      <c r="T28" s="5">
        <v>0</v>
      </c>
      <c r="U28" s="4" t="str">
        <f ca="1">VLOOKUP($V28,OFFSET([4]enemy_skill_sets!$B$1,0,0,COUNTA([4]enemy_skill_sets!$B:$B),MATCH(L$1,[4]enemy_skill_sets!$1:$1,0)-MATCH($V$1,[4]enemy_skill_sets!$1:$1,0)+2),MATCH(L$1,[4]enemy_skill_sets!$1:$1,0)-MATCH($V$1,[4]enemy_skill_sets!$1:$1,0)+2,FALSE)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8" s="53">
        <v>0</v>
      </c>
      <c r="W28" s="6">
        <v>0</v>
      </c>
      <c r="X28" s="6">
        <v>100</v>
      </c>
      <c r="Y28" s="6">
        <v>0</v>
      </c>
      <c r="Z28" s="23">
        <f ca="1">VLOOKUP(K28,[2]enemies!$A:$V,22,FALSE)</f>
        <v>5</v>
      </c>
      <c r="AA28" s="46">
        <v>32</v>
      </c>
      <c r="AB28" s="4" t="str">
        <f ca="1">VLOOKUP(AA28,[3]characters!$A:$I,3,FALSE)</f>
        <v>沈黙のジャミング マービー</v>
      </c>
      <c r="AC28" s="4">
        <f ca="1">VLOOKUP(AA28,[3]characters!$A:$I,9,FALSE)</f>
        <v>2</v>
      </c>
      <c r="AD28" s="4" t="str">
        <f ca="1">VLOOKUP(AA28,[3]characters!$A:$J,10,FALSE)</f>
        <v>Drop1N</v>
      </c>
      <c r="AE28" s="7">
        <v>7</v>
      </c>
      <c r="AF28" s="30">
        <f t="shared" ca="1" si="3"/>
        <v>2</v>
      </c>
      <c r="AG28" s="8">
        <v>10</v>
      </c>
      <c r="AH28" s="7">
        <v>0</v>
      </c>
      <c r="AI28" s="7">
        <v>0</v>
      </c>
      <c r="AJ28" s="7">
        <v>0</v>
      </c>
      <c r="AK28" s="7">
        <v>0</v>
      </c>
      <c r="AL28" s="7">
        <v>1</v>
      </c>
    </row>
    <row r="29" spans="1:38" ht="21" customHeight="1" x14ac:dyDescent="0.15">
      <c r="A29" s="20" t="str">
        <f t="shared" ca="1" si="0"/>
        <v>30008_3-1/41&lt;lv42&gt;s1</v>
      </c>
      <c r="B29" s="28">
        <v>30008</v>
      </c>
      <c r="C29" s="27">
        <v>3</v>
      </c>
      <c r="D29" s="2" t="str">
        <f t="shared" si="1"/>
        <v>30008_3</v>
      </c>
      <c r="E29" s="4" t="str">
        <f ca="1">VLOOKUP($B29,OFFSET([1]quests!$A$1,0,0,COUNTA([1]quests!$A:$A),MATCH(E$1,[1]quests!$1:$1,0)-MATCH($B$1,[1]quests!$1:$1,0)+1),MATCH(E$1,[1]quests!$1:$1,0)-MATCH($B$1,[1]quests!$1:$1,0)+1,FALSE)</f>
        <v>わたしの嫁を返してもらおう</v>
      </c>
      <c r="F29" s="4" t="str">
        <f ca="1">VLOOKUP($D29,OFFSET([1]stages!$A$1,0,0,COUNTA([1]stages!$A:$A),MATCH(F$1,[1]stages!$2:$2,0)-MATCH($D$1,[1]stages!$2:$2,0)+1),MATCH(F$1,[1]stages!$2:$2,0)-MATCH($D$1,[1]stages!$2:$2,0)+1,FALSE)</f>
        <v>【超級】わたしの嫁を返してもらおう</v>
      </c>
      <c r="G29" s="51">
        <v>1</v>
      </c>
      <c r="H29" s="19" t="str">
        <f t="shared" ca="1" si="2"/>
        <v>30008_3-1</v>
      </c>
      <c r="I29" s="4">
        <f ca="1">VLOOKUP($H29,OFFSET(floors_multi_2_4!$A$1,0,0,COUNTA(floors_multi_2_4!$A:$A),MATCH(I$1,floors_multi_2_4!$1:$1,0)-MATCH($H$1,floors_multi_2_4!$1:$1,0)+1),MATCH(I$1,floors_multi_2_4!$1:$1,0)-MATCH($H$1,floors_multi_2_4!$1:$1,0)+1,FALSE)</f>
        <v>30</v>
      </c>
      <c r="J29" s="4">
        <f ca="1">VLOOKUP($H29,OFFSET(floors_multi_2_4!$A$1,0,0,COUNTA(floors_multi_2_4!$A:$A),MATCH(J$1,floors_multi_2_4!$1:$1,0)-MATCH($H$1,floors_multi_2_4!$1:$1,0)+1),MATCH(J$1,floors_multi_2_4!$1:$1,0)-MATCH($H$1,floors_multi_2_4!$1:$1,0)+1,FALSE)</f>
        <v>30</v>
      </c>
      <c r="K29" s="45">
        <v>41</v>
      </c>
      <c r="L29" s="23" t="str">
        <f ca="1">VLOOKUP(K29,[2]enemies!$A:$D,2,FALSE)</f>
        <v>ヒュウガ</v>
      </c>
      <c r="M29" s="23" t="str">
        <f ca="1">VLOOKUP(K29,[2]enemies!$A:$D,4,FALSE)</f>
        <v>red</v>
      </c>
      <c r="N29" s="24" t="str">
        <f ca="1">VLOOKUP(K29,[3]characters!$A:$J,10,FALSE)</f>
        <v>Drop1N</v>
      </c>
      <c r="O29" s="23" t="str">
        <f ca="1">VLOOKUP(K29,[2]enemies!$A:$M,13,FALSE)</f>
        <v>dragon</v>
      </c>
      <c r="P29" s="23">
        <f ca="1">VLOOKUP(K29,[2]enemies!$A:$X,24,FALSE)</f>
        <v>15</v>
      </c>
      <c r="Q29" s="5">
        <v>42</v>
      </c>
      <c r="R29" s="31">
        <v>1</v>
      </c>
      <c r="S29" s="31">
        <v>1</v>
      </c>
      <c r="T29" s="5">
        <v>0</v>
      </c>
      <c r="U29" s="4" t="str">
        <f ca="1">VLOOKUP($V29,OFFSET([4]enemy_skill_sets!$B$1,0,0,COUNTA([4]enemy_skill_sets!$B:$B),MATCH(L$1,[4]enemy_skill_sets!$1:$1,0)-MATCH($V$1,[4]enemy_skill_sets!$1:$1,0)+2),MATCH(L$1,[4]enemy_skill_sets!$1:$1,0)-MATCH($V$1,[4]enemy_skill_sets!$1:$1,0)+2,FALSE)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29" s="53">
        <v>0</v>
      </c>
      <c r="W29" s="6">
        <v>0</v>
      </c>
      <c r="X29" s="6">
        <v>5</v>
      </c>
      <c r="Y29" s="6">
        <v>0</v>
      </c>
      <c r="Z29" s="23">
        <f ca="1">VLOOKUP(K29,[2]enemies!$A:$V,22,FALSE)</f>
        <v>1</v>
      </c>
      <c r="AA29" s="45">
        <v>41</v>
      </c>
      <c r="AB29" s="4" t="str">
        <f ca="1">VLOOKUP(AA29,[3]characters!$A:$I,3,FALSE)</f>
        <v>ヒュウガ</v>
      </c>
      <c r="AC29" s="4">
        <f ca="1">VLOOKUP(AA29,[3]characters!$A:$I,9,FALSE)</f>
        <v>2</v>
      </c>
      <c r="AD29" s="4" t="str">
        <f ca="1">VLOOKUP(AA29,[3]characters!$A:$J,10,FALSE)</f>
        <v>Drop1N</v>
      </c>
      <c r="AE29" s="7">
        <v>7</v>
      </c>
      <c r="AF29" s="30">
        <f t="shared" ca="1" si="3"/>
        <v>2</v>
      </c>
      <c r="AG29" s="8">
        <v>15</v>
      </c>
      <c r="AH29" s="7">
        <v>0</v>
      </c>
      <c r="AI29" s="7">
        <v>0</v>
      </c>
      <c r="AJ29" s="7">
        <v>0</v>
      </c>
      <c r="AK29" s="7">
        <v>0</v>
      </c>
      <c r="AL29" s="7">
        <v>1</v>
      </c>
    </row>
    <row r="30" spans="1:38" ht="21" customHeight="1" x14ac:dyDescent="0.15">
      <c r="A30" s="20" t="str">
        <f t="shared" ca="1" si="0"/>
        <v>30008_3-1/43&lt;lv42&gt;s2</v>
      </c>
      <c r="B30" s="28">
        <v>30008</v>
      </c>
      <c r="C30" s="27">
        <v>3</v>
      </c>
      <c r="D30" s="2" t="str">
        <f t="shared" si="1"/>
        <v>30008_3</v>
      </c>
      <c r="E30" s="4" t="str">
        <f ca="1">VLOOKUP($B30,OFFSET([1]quests!$A$1,0,0,COUNTA([1]quests!$A:$A),MATCH(E$1,[1]quests!$1:$1,0)-MATCH($B$1,[1]quests!$1:$1,0)+1),MATCH(E$1,[1]quests!$1:$1,0)-MATCH($B$1,[1]quests!$1:$1,0)+1,FALSE)</f>
        <v>わたしの嫁を返してもらおう</v>
      </c>
      <c r="F30" s="4" t="str">
        <f ca="1">VLOOKUP($D30,OFFSET([1]stages!$A$1,0,0,COUNTA([1]stages!$A:$A),MATCH(F$1,[1]stages!$2:$2,0)-MATCH($D$1,[1]stages!$2:$2,0)+1),MATCH(F$1,[1]stages!$2:$2,0)-MATCH($D$1,[1]stages!$2:$2,0)+1,FALSE)</f>
        <v>【超級】わたしの嫁を返してもらおう</v>
      </c>
      <c r="G30" s="51">
        <v>1</v>
      </c>
      <c r="H30" s="19" t="str">
        <f t="shared" ca="1" si="2"/>
        <v>30008_3-1</v>
      </c>
      <c r="I30" s="4">
        <f ca="1">VLOOKUP($H30,OFFSET(floors_multi_2_4!$A$1,0,0,COUNTA(floors_multi_2_4!$A:$A),MATCH(I$1,floors_multi_2_4!$1:$1,0)-MATCH($H$1,floors_multi_2_4!$1:$1,0)+1),MATCH(I$1,floors_multi_2_4!$1:$1,0)-MATCH($H$1,floors_multi_2_4!$1:$1,0)+1,FALSE)</f>
        <v>30</v>
      </c>
      <c r="J30" s="4">
        <f ca="1">VLOOKUP($H30,OFFSET(floors_multi_2_4!$A$1,0,0,COUNTA(floors_multi_2_4!$A:$A),MATCH(J$1,floors_multi_2_4!$1:$1,0)-MATCH($H$1,floors_multi_2_4!$1:$1,0)+1),MATCH(J$1,floors_multi_2_4!$1:$1,0)-MATCH($H$1,floors_multi_2_4!$1:$1,0)+1,FALSE)</f>
        <v>30</v>
      </c>
      <c r="K30" s="45">
        <v>43</v>
      </c>
      <c r="L30" s="23" t="str">
        <f ca="1">VLOOKUP(K30,[2]enemies!$A:$D,2,FALSE)</f>
        <v>ムゥ</v>
      </c>
      <c r="M30" s="23" t="str">
        <f ca="1">VLOOKUP(K30,[2]enemies!$A:$D,4,FALSE)</f>
        <v>green</v>
      </c>
      <c r="N30" s="24" t="str">
        <f ca="1">VLOOKUP(K30,[3]characters!$A:$J,10,FALSE)</f>
        <v>Drop1N</v>
      </c>
      <c r="O30" s="23" t="str">
        <f ca="1">VLOOKUP(K30,[2]enemies!$A:$M,13,FALSE)</f>
        <v>dragon</v>
      </c>
      <c r="P30" s="23">
        <f ca="1">VLOOKUP(K30,[2]enemies!$A:$X,24,FALSE)</f>
        <v>15</v>
      </c>
      <c r="Q30" s="5">
        <v>42</v>
      </c>
      <c r="R30" s="31">
        <v>1</v>
      </c>
      <c r="S30" s="31">
        <v>1</v>
      </c>
      <c r="T30" s="5">
        <v>0</v>
      </c>
      <c r="U30" s="4" t="str">
        <f ca="1">VLOOKUP($V30,OFFSET([4]enemy_skill_sets!$B$1,0,0,COUNTA([4]enemy_skill_sets!$B:$B),MATCH(L$1,[4]enemy_skill_sets!$1:$1,0)-MATCH($V$1,[4]enemy_skill_sets!$1:$1,0)+2),MATCH(L$1,[4]enemy_skill_sets!$1:$1,0)-MATCH($V$1,[4]enemy_skill_sets!$1:$1,0)+2,FALSE)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0" s="53">
        <v>0</v>
      </c>
      <c r="W30" s="6">
        <v>0</v>
      </c>
      <c r="X30" s="6">
        <v>100</v>
      </c>
      <c r="Y30" s="6">
        <v>0</v>
      </c>
      <c r="Z30" s="23">
        <f ca="1">VLOOKUP(K30,[2]enemies!$A:$V,22,FALSE)</f>
        <v>2</v>
      </c>
      <c r="AA30" s="45">
        <v>43</v>
      </c>
      <c r="AB30" s="4" t="str">
        <f ca="1">VLOOKUP(AA30,[3]characters!$A:$I,3,FALSE)</f>
        <v>ムゥ</v>
      </c>
      <c r="AC30" s="4">
        <f ca="1">VLOOKUP(AA30,[3]characters!$A:$I,9,FALSE)</f>
        <v>2</v>
      </c>
      <c r="AD30" s="4" t="str">
        <f ca="1">VLOOKUP(AA30,[3]characters!$A:$J,10,FALSE)</f>
        <v>Drop1N</v>
      </c>
      <c r="AE30" s="7">
        <v>7</v>
      </c>
      <c r="AF30" s="30">
        <f t="shared" ca="1" si="3"/>
        <v>2</v>
      </c>
      <c r="AG30" s="8">
        <v>15</v>
      </c>
      <c r="AH30" s="7">
        <v>0</v>
      </c>
      <c r="AI30" s="7">
        <v>0</v>
      </c>
      <c r="AJ30" s="7">
        <v>0</v>
      </c>
      <c r="AK30" s="7">
        <v>0</v>
      </c>
      <c r="AL30" s="7">
        <v>1</v>
      </c>
    </row>
    <row r="31" spans="1:38" ht="21" customHeight="1" x14ac:dyDescent="0.15">
      <c r="A31" s="20" t="str">
        <f t="shared" ca="1" si="0"/>
        <v>30008_3-1/45&lt;lv42&gt;s3</v>
      </c>
      <c r="B31" s="28">
        <v>30008</v>
      </c>
      <c r="C31" s="27">
        <v>3</v>
      </c>
      <c r="D31" s="2" t="str">
        <f t="shared" si="1"/>
        <v>30008_3</v>
      </c>
      <c r="E31" s="4" t="str">
        <f ca="1">VLOOKUP($B31,OFFSET([1]quests!$A$1,0,0,COUNTA([1]quests!$A:$A),MATCH(E$1,[1]quests!$1:$1,0)-MATCH($B$1,[1]quests!$1:$1,0)+1),MATCH(E$1,[1]quests!$1:$1,0)-MATCH($B$1,[1]quests!$1:$1,0)+1,FALSE)</f>
        <v>わたしの嫁を返してもらおう</v>
      </c>
      <c r="F31" s="4" t="str">
        <f ca="1">VLOOKUP($D31,OFFSET([1]stages!$A$1,0,0,COUNTA([1]stages!$A:$A),MATCH(F$1,[1]stages!$2:$2,0)-MATCH($D$1,[1]stages!$2:$2,0)+1),MATCH(F$1,[1]stages!$2:$2,0)-MATCH($D$1,[1]stages!$2:$2,0)+1,FALSE)</f>
        <v>【超級】わたしの嫁を返してもらおう</v>
      </c>
      <c r="G31" s="51">
        <v>1</v>
      </c>
      <c r="H31" s="19" t="str">
        <f t="shared" ca="1" si="2"/>
        <v>30008_3-1</v>
      </c>
      <c r="I31" s="4">
        <f ca="1">VLOOKUP($H31,OFFSET(floors_multi_2_4!$A$1,0,0,COUNTA(floors_multi_2_4!$A:$A),MATCH(I$1,floors_multi_2_4!$1:$1,0)-MATCH($H$1,floors_multi_2_4!$1:$1,0)+1),MATCH(I$1,floors_multi_2_4!$1:$1,0)-MATCH($H$1,floors_multi_2_4!$1:$1,0)+1,FALSE)</f>
        <v>30</v>
      </c>
      <c r="J31" s="4">
        <f ca="1">VLOOKUP($H31,OFFSET(floors_multi_2_4!$A$1,0,0,COUNTA(floors_multi_2_4!$A:$A),MATCH(J$1,floors_multi_2_4!$1:$1,0)-MATCH($H$1,floors_multi_2_4!$1:$1,0)+1),MATCH(J$1,floors_multi_2_4!$1:$1,0)-MATCH($H$1,floors_multi_2_4!$1:$1,0)+1,FALSE)</f>
        <v>30</v>
      </c>
      <c r="K31" s="45">
        <v>45</v>
      </c>
      <c r="L31" s="23" t="str">
        <f ca="1">VLOOKUP(K31,[2]enemies!$A:$D,2,FALSE)</f>
        <v>ショウイン</v>
      </c>
      <c r="M31" s="23" t="str">
        <f ca="1">VLOOKUP(K31,[2]enemies!$A:$D,4,FALSE)</f>
        <v>blue</v>
      </c>
      <c r="N31" s="24" t="str">
        <f ca="1">VLOOKUP(K31,[3]characters!$A:$J,10,FALSE)</f>
        <v>Drop1N</v>
      </c>
      <c r="O31" s="23" t="str">
        <f ca="1">VLOOKUP(K31,[2]enemies!$A:$M,13,FALSE)</f>
        <v>animal</v>
      </c>
      <c r="P31" s="23">
        <f ca="1">VLOOKUP(K31,[2]enemies!$A:$X,24,FALSE)</f>
        <v>15</v>
      </c>
      <c r="Q31" s="5">
        <v>42</v>
      </c>
      <c r="R31" s="31">
        <v>1</v>
      </c>
      <c r="S31" s="31">
        <v>1</v>
      </c>
      <c r="T31" s="5">
        <v>0</v>
      </c>
      <c r="U31" s="4" t="str">
        <f ca="1">VLOOKUP($V31,OFFSET([4]enemy_skill_sets!$B$1,0,0,COUNTA([4]enemy_skill_sets!$B:$B),MATCH(L$1,[4]enemy_skill_sets!$1:$1,0)-MATCH($V$1,[4]enemy_skill_sets!$1:$1,0)+2),MATCH(L$1,[4]enemy_skill_sets!$1:$1,0)-MATCH($V$1,[4]enemy_skill_sets!$1:$1,0)+2,FALSE)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1" s="53">
        <v>0</v>
      </c>
      <c r="W31" s="6">
        <v>0</v>
      </c>
      <c r="X31" s="6">
        <v>100</v>
      </c>
      <c r="Y31" s="6">
        <v>0</v>
      </c>
      <c r="Z31" s="23">
        <f ca="1">VLOOKUP(K31,[2]enemies!$A:$V,22,FALSE)</f>
        <v>3</v>
      </c>
      <c r="AA31" s="45">
        <v>45</v>
      </c>
      <c r="AB31" s="4" t="str">
        <f ca="1">VLOOKUP(AA31,[3]characters!$A:$I,3,FALSE)</f>
        <v>ショウイン</v>
      </c>
      <c r="AC31" s="4">
        <f ca="1">VLOOKUP(AA31,[3]characters!$A:$I,9,FALSE)</f>
        <v>2</v>
      </c>
      <c r="AD31" s="4" t="str">
        <f ca="1">VLOOKUP(AA31,[3]characters!$A:$J,10,FALSE)</f>
        <v>Drop1N</v>
      </c>
      <c r="AE31" s="7">
        <v>7</v>
      </c>
      <c r="AF31" s="30">
        <f t="shared" ca="1" si="3"/>
        <v>2</v>
      </c>
      <c r="AG31" s="8">
        <v>15</v>
      </c>
      <c r="AH31" s="7">
        <v>0</v>
      </c>
      <c r="AI31" s="7">
        <v>0</v>
      </c>
      <c r="AJ31" s="7">
        <v>0</v>
      </c>
      <c r="AK31" s="7">
        <v>0</v>
      </c>
      <c r="AL31" s="7">
        <v>1</v>
      </c>
    </row>
    <row r="32" spans="1:38" ht="21" customHeight="1" x14ac:dyDescent="0.15">
      <c r="A32" s="20" t="str">
        <f t="shared" ca="1" si="0"/>
        <v>30008_3-1/13&lt;lv50&gt;s2</v>
      </c>
      <c r="B32" s="28">
        <v>30008</v>
      </c>
      <c r="C32" s="27">
        <v>3</v>
      </c>
      <c r="D32" s="2" t="str">
        <f t="shared" si="1"/>
        <v>30008_3</v>
      </c>
      <c r="E32" s="4" t="str">
        <f ca="1">VLOOKUP($B32,OFFSET([1]quests!$A$1,0,0,COUNTA([1]quests!$A:$A),MATCH(E$1,[1]quests!$1:$1,0)-MATCH($B$1,[1]quests!$1:$1,0)+1),MATCH(E$1,[1]quests!$1:$1,0)-MATCH($B$1,[1]quests!$1:$1,0)+1,FALSE)</f>
        <v>わたしの嫁を返してもらおう</v>
      </c>
      <c r="F32" s="4" t="str">
        <f ca="1">VLOOKUP($D32,OFFSET([1]stages!$A$1,0,0,COUNTA([1]stages!$A:$A),MATCH(F$1,[1]stages!$2:$2,0)-MATCH($D$1,[1]stages!$2:$2,0)+1),MATCH(F$1,[1]stages!$2:$2,0)-MATCH($D$1,[1]stages!$2:$2,0)+1,FALSE)</f>
        <v>【超級】わたしの嫁を返してもらおう</v>
      </c>
      <c r="G32" s="51">
        <v>1</v>
      </c>
      <c r="H32" s="19" t="str">
        <f t="shared" ca="1" si="2"/>
        <v>30008_3-1</v>
      </c>
      <c r="I32" s="4">
        <f ca="1">VLOOKUP($H32,OFFSET(floors_multi_2_4!$A$1,0,0,COUNTA(floors_multi_2_4!$A:$A),MATCH(I$1,floors_multi_2_4!$1:$1,0)-MATCH($H$1,floors_multi_2_4!$1:$1,0)+1),MATCH(I$1,floors_multi_2_4!$1:$1,0)-MATCH($H$1,floors_multi_2_4!$1:$1,0)+1,FALSE)</f>
        <v>30</v>
      </c>
      <c r="J32" s="4">
        <f ca="1">VLOOKUP($H32,OFFSET(floors_multi_2_4!$A$1,0,0,COUNTA(floors_multi_2_4!$A:$A),MATCH(J$1,floors_multi_2_4!$1:$1,0)-MATCH($H$1,floors_multi_2_4!$1:$1,0)+1),MATCH(J$1,floors_multi_2_4!$1:$1,0)-MATCH($H$1,floors_multi_2_4!$1:$1,0)+1,FALSE)</f>
        <v>30</v>
      </c>
      <c r="K32" s="45">
        <v>13</v>
      </c>
      <c r="L32" s="23" t="str">
        <f ca="1">VLOOKUP(K32,[2]enemies!$A:$D,2,FALSE)</f>
        <v>ミミ</v>
      </c>
      <c r="M32" s="23" t="str">
        <f ca="1">VLOOKUP(K32,[2]enemies!$A:$D,4,FALSE)</f>
        <v>yellow</v>
      </c>
      <c r="N32" s="24" t="str">
        <f ca="1">VLOOKUP(K32,[3]characters!$A:$J,10,FALSE)</f>
        <v>Drop1W</v>
      </c>
      <c r="O32" s="23" t="str">
        <f ca="1">VLOOKUP(K32,[2]enemies!$A:$M,13,FALSE)</f>
        <v>animal</v>
      </c>
      <c r="P32" s="23">
        <f ca="1">VLOOKUP(K32,[2]enemies!$A:$X,24,FALSE)</f>
        <v>15</v>
      </c>
      <c r="Q32" s="5">
        <v>50</v>
      </c>
      <c r="R32" s="31">
        <v>1</v>
      </c>
      <c r="S32" s="31">
        <v>1</v>
      </c>
      <c r="T32" s="5">
        <v>0</v>
      </c>
      <c r="U32" s="4" t="str">
        <f ca="1">VLOOKUP($V32,OFFSET([4]enemy_skill_sets!$B$1,0,0,COUNTA([4]enemy_skill_sets!$B:$B),MATCH(L$1,[4]enemy_skill_sets!$1:$1,0)-MATCH($V$1,[4]enemy_skill_sets!$1:$1,0)+2),MATCH(L$1,[4]enemy_skill_sets!$1:$1,0)-MATCH($V$1,[4]enemy_skill_sets!$1:$1,0)+2,FALSE)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2" s="53">
        <v>0</v>
      </c>
      <c r="W32" s="6">
        <v>0</v>
      </c>
      <c r="X32" s="6">
        <v>100</v>
      </c>
      <c r="Y32" s="6">
        <v>0</v>
      </c>
      <c r="Z32" s="23">
        <f ca="1">VLOOKUP(K32,[2]enemies!$A:$V,22,FALSE)</f>
        <v>2</v>
      </c>
      <c r="AA32" s="45">
        <v>13</v>
      </c>
      <c r="AB32" s="4" t="str">
        <f ca="1">VLOOKUP(AA32,[3]characters!$A:$I,3,FALSE)</f>
        <v>ミミ</v>
      </c>
      <c r="AC32" s="4">
        <f ca="1">VLOOKUP(AA32,[3]characters!$A:$I,9,FALSE)</f>
        <v>1</v>
      </c>
      <c r="AD32" s="4" t="str">
        <f ca="1">VLOOKUP(AA32,[3]characters!$A:$J,10,FALSE)</f>
        <v>Drop1W</v>
      </c>
      <c r="AE32" s="7">
        <v>9</v>
      </c>
      <c r="AF32" s="30">
        <f t="shared" ca="1" si="3"/>
        <v>1</v>
      </c>
      <c r="AG32" s="8">
        <v>15</v>
      </c>
      <c r="AH32" s="7">
        <v>0</v>
      </c>
      <c r="AI32" s="7">
        <v>0</v>
      </c>
      <c r="AJ32" s="7">
        <v>0</v>
      </c>
      <c r="AK32" s="7">
        <v>0</v>
      </c>
      <c r="AL32" s="7">
        <v>1</v>
      </c>
    </row>
    <row r="33" spans="1:38" ht="21" customHeight="1" x14ac:dyDescent="0.15">
      <c r="A33" s="20" t="str">
        <f t="shared" si="0"/>
        <v>30008_3-2/121&lt;lv30&gt;s3</v>
      </c>
      <c r="B33" s="28">
        <v>30008</v>
      </c>
      <c r="C33" s="27">
        <v>3</v>
      </c>
      <c r="D33" s="2" t="str">
        <f t="shared" si="1"/>
        <v>30008_3</v>
      </c>
      <c r="E33" s="4" t="str">
        <f ca="1">VLOOKUP($B33,OFFSET([1]quests!$A$1,0,0,COUNTA([1]quests!$A:$A),MATCH(E$1,[1]quests!$1:$1,0)-MATCH($B$1,[1]quests!$1:$1,0)+1),MATCH(E$1,[1]quests!$1:$1,0)-MATCH($B$1,[1]quests!$1:$1,0)+1,FALSE)</f>
        <v>わたしの嫁を返してもらおう</v>
      </c>
      <c r="F33" s="4" t="str">
        <f ca="1">VLOOKUP($D33,OFFSET([1]stages!$A$1,0,0,COUNTA([1]stages!$A:$A),MATCH(F$1,[1]stages!$2:$2,0)-MATCH($D$1,[1]stages!$2:$2,0)+1),MATCH(F$1,[1]stages!$2:$2,0)-MATCH($D$1,[1]stages!$2:$2,0)+1,FALSE)</f>
        <v>【超級】わたしの嫁を返してもらおう</v>
      </c>
      <c r="G33" s="27">
        <v>2</v>
      </c>
      <c r="H33" s="19" t="str">
        <f t="shared" ca="1" si="2"/>
        <v>30008_3-2</v>
      </c>
      <c r="I33" s="4">
        <f ca="1">VLOOKUP($H33,OFFSET(floors_multi_2_4!$A$1,0,0,COUNTA(floors_multi_2_4!$A:$A),MATCH(I$1,floors_multi_2_4!$1:$1,0)-MATCH($H$1,floors_multi_2_4!$1:$1,0)+1),MATCH(I$1,floors_multi_2_4!$1:$1,0)-MATCH($H$1,floors_multi_2_4!$1:$1,0)+1,FALSE)</f>
        <v>60</v>
      </c>
      <c r="J33" s="4">
        <f ca="1">VLOOKUP($H33,OFFSET(floors_multi_2_4!$A$1,0,0,COUNTA(floors_multi_2_4!$A:$A),MATCH(J$1,floors_multi_2_4!$1:$1,0)-MATCH($H$1,floors_multi_2_4!$1:$1,0)+1),MATCH(J$1,floors_multi_2_4!$1:$1,0)-MATCH($H$1,floors_multi_2_4!$1:$1,0)+1,FALSE)</f>
        <v>60</v>
      </c>
      <c r="K33" s="26">
        <v>121</v>
      </c>
      <c r="L33" s="23" t="str">
        <f ca="1">VLOOKUP(K33,[2]enemies!$A:$D,2,FALSE)</f>
        <v>攻めの果実</v>
      </c>
      <c r="M33" s="23" t="str">
        <f ca="1">VLOOKUP(K33,[2]enemies!$A:$D,4,FALSE)</f>
        <v>red</v>
      </c>
      <c r="N33" s="24" t="str">
        <f ca="1">VLOOKUP(K33,[3]characters!$A:$J,10,FALSE)</f>
        <v>Material</v>
      </c>
      <c r="O33" s="23" t="str">
        <f ca="1">VLOOKUP(K33,[2]enemies!$A:$M,13,FALSE)</f>
        <v>unknown</v>
      </c>
      <c r="P33" s="23">
        <f ca="1">VLOOKUP(K33,[2]enemies!$A:$X,24,FALSE)</f>
        <v>20</v>
      </c>
      <c r="Q33" s="5">
        <v>30</v>
      </c>
      <c r="R33" s="31">
        <v>1</v>
      </c>
      <c r="S33" s="31">
        <v>1</v>
      </c>
      <c r="T33" s="5">
        <v>0</v>
      </c>
      <c r="U33" s="4" t="str">
        <f ca="1">VLOOKUP($V33,OFFSET([4]enemy_skill_sets!$B$1,0,0,COUNTA([4]enemy_skill_sets!$B:$B),MATCH(L$1,[4]enemy_skill_sets!$1:$1,0)-MATCH($V$1,[4]enemy_skill_sets!$1:$1,0)+2),MATCH(L$1,[4]enemy_skill_sets!$1:$1,0)-MATCH($V$1,[4]enemy_skill_sets!$1:$1,0)+2,FALSE)</f>
        <v>次のターン強力な攻撃</v>
      </c>
      <c r="V33" s="50">
        <v>1211</v>
      </c>
      <c r="W33" s="6">
        <v>1</v>
      </c>
      <c r="X33" s="6">
        <v>0</v>
      </c>
      <c r="Y33" s="6">
        <v>1</v>
      </c>
      <c r="Z33" s="50">
        <v>3</v>
      </c>
      <c r="AA33" s="49">
        <v>121</v>
      </c>
      <c r="AB33" s="4" t="str">
        <f ca="1">VLOOKUP(AA33,[3]characters!$A:$I,3,FALSE)</f>
        <v>攻めの果実</v>
      </c>
      <c r="AC33" s="4">
        <f ca="1">VLOOKUP(AA33,[3]characters!$A:$I,9,FALSE)</f>
        <v>3</v>
      </c>
      <c r="AD33" s="4" t="str">
        <f ca="1">VLOOKUP(AA33,[3]characters!$A:$J,10,FALSE)</f>
        <v>Material</v>
      </c>
      <c r="AE33" s="7">
        <v>1</v>
      </c>
      <c r="AF33" s="30">
        <f t="shared" ca="1" si="3"/>
        <v>3</v>
      </c>
      <c r="AG33" s="8">
        <v>7</v>
      </c>
      <c r="AH33" s="7">
        <v>0</v>
      </c>
      <c r="AI33" s="7">
        <v>0</v>
      </c>
      <c r="AJ33" s="7">
        <v>0</v>
      </c>
      <c r="AK33" s="7">
        <v>0</v>
      </c>
      <c r="AL33" s="7">
        <v>1</v>
      </c>
    </row>
    <row r="34" spans="1:38" ht="21" customHeight="1" x14ac:dyDescent="0.15">
      <c r="A34" s="20" t="str">
        <f t="shared" si="0"/>
        <v>30008_3-2/122&lt;lv30&gt;s3</v>
      </c>
      <c r="B34" s="28">
        <v>30008</v>
      </c>
      <c r="C34" s="27">
        <v>3</v>
      </c>
      <c r="D34" s="2" t="str">
        <f t="shared" ref="D34:D38" si="8">B34&amp;"_"&amp;C34</f>
        <v>30008_3</v>
      </c>
      <c r="E34" s="4" t="str">
        <f ca="1">VLOOKUP($B34,OFFSET([1]quests!$A$1,0,0,COUNTA([1]quests!$A:$A),MATCH(E$1,[1]quests!$1:$1,0)-MATCH($B$1,[1]quests!$1:$1,0)+1),MATCH(E$1,[1]quests!$1:$1,0)-MATCH($B$1,[1]quests!$1:$1,0)+1,FALSE)</f>
        <v>わたしの嫁を返してもらおう</v>
      </c>
      <c r="F34" s="4" t="str">
        <f ca="1">VLOOKUP($D34,OFFSET([1]stages!$A$1,0,0,COUNTA([1]stages!$A:$A),MATCH(F$1,[1]stages!$2:$2,0)-MATCH($D$1,[1]stages!$2:$2,0)+1),MATCH(F$1,[1]stages!$2:$2,0)-MATCH($D$1,[1]stages!$2:$2,0)+1,FALSE)</f>
        <v>【超級】わたしの嫁を返してもらおう</v>
      </c>
      <c r="G34" s="27">
        <v>2</v>
      </c>
      <c r="H34" s="19" t="str">
        <f t="shared" ca="1" si="2"/>
        <v>30008_3-2</v>
      </c>
      <c r="I34" s="4">
        <f ca="1">VLOOKUP($H34,OFFSET(floors_multi_2_4!$A$1,0,0,COUNTA(floors_multi_2_4!$A:$A),MATCH(I$1,floors_multi_2_4!$1:$1,0)-MATCH($H$1,floors_multi_2_4!$1:$1,0)+1),MATCH(I$1,floors_multi_2_4!$1:$1,0)-MATCH($H$1,floors_multi_2_4!$1:$1,0)+1,FALSE)</f>
        <v>60</v>
      </c>
      <c r="J34" s="4">
        <f ca="1">VLOOKUP($H34,OFFSET(floors_multi_2_4!$A$1,0,0,COUNTA(floors_multi_2_4!$A:$A),MATCH(J$1,floors_multi_2_4!$1:$1,0)-MATCH($H$1,floors_multi_2_4!$1:$1,0)+1),MATCH(J$1,floors_multi_2_4!$1:$1,0)-MATCH($H$1,floors_multi_2_4!$1:$1,0)+1,FALSE)</f>
        <v>60</v>
      </c>
      <c r="K34" s="26">
        <v>122</v>
      </c>
      <c r="L34" s="23" t="str">
        <f ca="1">VLOOKUP(K34,[2]enemies!$A:$D,2,FALSE)</f>
        <v>生命の果実</v>
      </c>
      <c r="M34" s="23" t="str">
        <f ca="1">VLOOKUP(K34,[2]enemies!$A:$D,4,FALSE)</f>
        <v>green</v>
      </c>
      <c r="N34" s="24" t="str">
        <f ca="1">VLOOKUP(K34,[3]characters!$A:$J,10,FALSE)</f>
        <v>Material</v>
      </c>
      <c r="O34" s="23" t="str">
        <f ca="1">VLOOKUP(K34,[2]enemies!$A:$M,13,FALSE)</f>
        <v>unknown</v>
      </c>
      <c r="P34" s="23">
        <f ca="1">VLOOKUP(K34,[2]enemies!$A:$X,24,FALSE)</f>
        <v>20</v>
      </c>
      <c r="Q34" s="5">
        <v>30</v>
      </c>
      <c r="R34" s="31">
        <v>1</v>
      </c>
      <c r="S34" s="31">
        <v>1</v>
      </c>
      <c r="T34" s="5">
        <v>0</v>
      </c>
      <c r="U34" s="4" t="str">
        <f ca="1">VLOOKUP($V34,OFFSET([4]enemy_skill_sets!$B$1,0,0,COUNTA([4]enemy_skill_sets!$B:$B),MATCH(L$1,[4]enemy_skill_sets!$1:$1,0)-MATCH($V$1,[4]enemy_skill_sets!$1:$1,0)+2),MATCH(L$1,[4]enemy_skill_sets!$1:$1,0)-MATCH($V$1,[4]enemy_skill_sets!$1:$1,0)+2,FALSE)</f>
        <v>この果実はターン０になると自爆する！</v>
      </c>
      <c r="V34" s="50">
        <v>1221</v>
      </c>
      <c r="W34" s="6">
        <v>1</v>
      </c>
      <c r="X34" s="6">
        <v>0</v>
      </c>
      <c r="Y34" s="6">
        <v>1</v>
      </c>
      <c r="Z34" s="50">
        <v>3</v>
      </c>
      <c r="AA34" s="49">
        <v>122</v>
      </c>
      <c r="AB34" s="4" t="str">
        <f ca="1">VLOOKUP(AA34,[3]characters!$A:$I,3,FALSE)</f>
        <v>生命の果実</v>
      </c>
      <c r="AC34" s="4">
        <f ca="1">VLOOKUP(AA34,[3]characters!$A:$I,9,FALSE)</f>
        <v>3</v>
      </c>
      <c r="AD34" s="4" t="str">
        <f ca="1">VLOOKUP(AA34,[3]characters!$A:$J,10,FALSE)</f>
        <v>Material</v>
      </c>
      <c r="AE34" s="7">
        <v>1</v>
      </c>
      <c r="AF34" s="30">
        <f t="shared" ref="AF34:AF38" ca="1" si="9">AC34</f>
        <v>3</v>
      </c>
      <c r="AG34" s="8">
        <v>7</v>
      </c>
      <c r="AH34" s="7">
        <v>0</v>
      </c>
      <c r="AI34" s="7">
        <v>0</v>
      </c>
      <c r="AJ34" s="7">
        <v>0</v>
      </c>
      <c r="AK34" s="7">
        <v>0</v>
      </c>
      <c r="AL34" s="7">
        <v>1</v>
      </c>
    </row>
    <row r="35" spans="1:38" ht="21" customHeight="1" x14ac:dyDescent="0.15">
      <c r="A35" s="20" t="str">
        <f t="shared" si="0"/>
        <v>30008_3-2/123&lt;lv30&gt;s3</v>
      </c>
      <c r="B35" s="28">
        <v>30008</v>
      </c>
      <c r="C35" s="27">
        <v>3</v>
      </c>
      <c r="D35" s="2" t="str">
        <f t="shared" si="8"/>
        <v>30008_3</v>
      </c>
      <c r="E35" s="4" t="str">
        <f ca="1">VLOOKUP($B35,OFFSET([1]quests!$A$1,0,0,COUNTA([1]quests!$A:$A),MATCH(E$1,[1]quests!$1:$1,0)-MATCH($B$1,[1]quests!$1:$1,0)+1),MATCH(E$1,[1]quests!$1:$1,0)-MATCH($B$1,[1]quests!$1:$1,0)+1,FALSE)</f>
        <v>わたしの嫁を返してもらおう</v>
      </c>
      <c r="F35" s="4" t="str">
        <f ca="1">VLOOKUP($D35,OFFSET([1]stages!$A$1,0,0,COUNTA([1]stages!$A:$A),MATCH(F$1,[1]stages!$2:$2,0)-MATCH($D$1,[1]stages!$2:$2,0)+1),MATCH(F$1,[1]stages!$2:$2,0)-MATCH($D$1,[1]stages!$2:$2,0)+1,FALSE)</f>
        <v>【超級】わたしの嫁を返してもらおう</v>
      </c>
      <c r="G35" s="27">
        <v>2</v>
      </c>
      <c r="H35" s="19" t="str">
        <f t="shared" ca="1" si="2"/>
        <v>30008_3-2</v>
      </c>
      <c r="I35" s="4">
        <f ca="1">VLOOKUP($H35,OFFSET(floors_multi_2_4!$A$1,0,0,COUNTA(floors_multi_2_4!$A:$A),MATCH(I$1,floors_multi_2_4!$1:$1,0)-MATCH($H$1,floors_multi_2_4!$1:$1,0)+1),MATCH(I$1,floors_multi_2_4!$1:$1,0)-MATCH($H$1,floors_multi_2_4!$1:$1,0)+1,FALSE)</f>
        <v>60</v>
      </c>
      <c r="J35" s="4">
        <f ca="1">VLOOKUP($H35,OFFSET(floors_multi_2_4!$A$1,0,0,COUNTA(floors_multi_2_4!$A:$A),MATCH(J$1,floors_multi_2_4!$1:$1,0)-MATCH($H$1,floors_multi_2_4!$1:$1,0)+1),MATCH(J$1,floors_multi_2_4!$1:$1,0)-MATCH($H$1,floors_multi_2_4!$1:$1,0)+1,FALSE)</f>
        <v>60</v>
      </c>
      <c r="K35" s="26">
        <v>123</v>
      </c>
      <c r="L35" s="23" t="str">
        <f ca="1">VLOOKUP(K35,[2]enemies!$A:$D,2,FALSE)</f>
        <v>癒しの果実</v>
      </c>
      <c r="M35" s="23" t="str">
        <f ca="1">VLOOKUP(K35,[2]enemies!$A:$D,4,FALSE)</f>
        <v>blue</v>
      </c>
      <c r="N35" s="24" t="str">
        <f ca="1">VLOOKUP(K35,[3]characters!$A:$J,10,FALSE)</f>
        <v>Material</v>
      </c>
      <c r="O35" s="23" t="str">
        <f ca="1">VLOOKUP(K35,[2]enemies!$A:$M,13,FALSE)</f>
        <v>unknown</v>
      </c>
      <c r="P35" s="23">
        <f ca="1">VLOOKUP(K35,[2]enemies!$A:$X,24,FALSE)</f>
        <v>20</v>
      </c>
      <c r="Q35" s="5">
        <v>30</v>
      </c>
      <c r="R35" s="31">
        <v>0.5</v>
      </c>
      <c r="S35" s="31">
        <v>1</v>
      </c>
      <c r="T35" s="5">
        <v>0</v>
      </c>
      <c r="U35" s="4" t="str">
        <f ca="1">VLOOKUP($V35,OFFSET([4]enemy_skill_sets!$B$1,0,0,COUNTA([4]enemy_skill_sets!$B:$B),MATCH(L$1,[4]enemy_skill_sets!$1:$1,0)-MATCH($V$1,[4]enemy_skill_sets!$1:$1,0)+2),MATCH(L$1,[4]enemy_skill_sets!$1:$1,0)-MATCH($V$1,[4]enemy_skill_sets!$1:$1,0)+2,FALSE)</f>
        <v>回復</v>
      </c>
      <c r="V35" s="50">
        <v>1231</v>
      </c>
      <c r="W35" s="6">
        <v>1</v>
      </c>
      <c r="X35" s="6">
        <v>0</v>
      </c>
      <c r="Y35" s="6">
        <v>1</v>
      </c>
      <c r="Z35" s="50">
        <v>3</v>
      </c>
      <c r="AA35" s="49">
        <v>123</v>
      </c>
      <c r="AB35" s="4" t="str">
        <f ca="1">VLOOKUP(AA35,[3]characters!$A:$I,3,FALSE)</f>
        <v>癒しの果実</v>
      </c>
      <c r="AC35" s="4">
        <f ca="1">VLOOKUP(AA35,[3]characters!$A:$I,9,FALSE)</f>
        <v>3</v>
      </c>
      <c r="AD35" s="4" t="str">
        <f ca="1">VLOOKUP(AA35,[3]characters!$A:$J,10,FALSE)</f>
        <v>Material</v>
      </c>
      <c r="AE35" s="7">
        <v>1</v>
      </c>
      <c r="AF35" s="30">
        <f t="shared" ca="1" si="9"/>
        <v>3</v>
      </c>
      <c r="AG35" s="8">
        <v>7</v>
      </c>
      <c r="AH35" s="7">
        <v>0</v>
      </c>
      <c r="AI35" s="7">
        <v>0</v>
      </c>
      <c r="AJ35" s="7">
        <v>0</v>
      </c>
      <c r="AK35" s="7">
        <v>0</v>
      </c>
      <c r="AL35" s="7">
        <v>1</v>
      </c>
    </row>
    <row r="36" spans="1:38" ht="21" customHeight="1" x14ac:dyDescent="0.15">
      <c r="A36" s="20" t="str">
        <f t="shared" ca="1" si="0"/>
        <v>30008_3-3/1&lt;lv42&gt;s1</v>
      </c>
      <c r="B36" s="28">
        <v>30008</v>
      </c>
      <c r="C36" s="27">
        <v>3</v>
      </c>
      <c r="D36" s="2" t="str">
        <f t="shared" si="8"/>
        <v>30008_3</v>
      </c>
      <c r="E36" s="4" t="str">
        <f ca="1">VLOOKUP($B36,OFFSET([1]quests!$A$1,0,0,COUNTA([1]quests!$A:$A),MATCH(E$1,[1]quests!$1:$1,0)-MATCH($B$1,[1]quests!$1:$1,0)+1),MATCH(E$1,[1]quests!$1:$1,0)-MATCH($B$1,[1]quests!$1:$1,0)+1,FALSE)</f>
        <v>わたしの嫁を返してもらおう</v>
      </c>
      <c r="F36" s="4" t="str">
        <f ca="1">VLOOKUP($D36,OFFSET([1]stages!$A$1,0,0,COUNTA([1]stages!$A:$A),MATCH(F$1,[1]stages!$2:$2,0)-MATCH($D$1,[1]stages!$2:$2,0)+1),MATCH(F$1,[1]stages!$2:$2,0)-MATCH($D$1,[1]stages!$2:$2,0)+1,FALSE)</f>
        <v>【超級】わたしの嫁を返してもらおう</v>
      </c>
      <c r="G36" s="51">
        <v>3</v>
      </c>
      <c r="H36" s="19" t="str">
        <f t="shared" ca="1" si="2"/>
        <v>30008_3-3</v>
      </c>
      <c r="I36" s="4">
        <f ca="1">VLOOKUP($H36,OFFSET(floors_multi_2_4!$A$1,0,0,COUNTA(floors_multi_2_4!$A:$A),MATCH(I$1,floors_multi_2_4!$1:$1,0)-MATCH($H$1,floors_multi_2_4!$1:$1,0)+1),MATCH(I$1,floors_multi_2_4!$1:$1,0)-MATCH($H$1,floors_multi_2_4!$1:$1,0)+1,FALSE)</f>
        <v>60</v>
      </c>
      <c r="J36" s="4">
        <f ca="1">VLOOKUP($H36,OFFSET(floors_multi_2_4!$A$1,0,0,COUNTA(floors_multi_2_4!$A:$A),MATCH(J$1,floors_multi_2_4!$1:$1,0)-MATCH($H$1,floors_multi_2_4!$1:$1,0)+1),MATCH(J$1,floors_multi_2_4!$1:$1,0)-MATCH($H$1,floors_multi_2_4!$1:$1,0)+1,FALSE)</f>
        <v>60</v>
      </c>
      <c r="K36" s="45">
        <v>1</v>
      </c>
      <c r="L36" s="23" t="str">
        <f ca="1">VLOOKUP(K36,[2]enemies!$A:$D,2,FALSE)</f>
        <v>ジェリー</v>
      </c>
      <c r="M36" s="23" t="str">
        <f ca="1">VLOOKUP(K36,[2]enemies!$A:$D,4,FALSE)</f>
        <v>red</v>
      </c>
      <c r="N36" s="24" t="str">
        <f ca="1">VLOOKUP(K36,[3]characters!$A:$J,10,FALSE)</f>
        <v>Drop1T</v>
      </c>
      <c r="O36" s="23" t="str">
        <f ca="1">VLOOKUP(K36,[2]enemies!$A:$M,13,FALSE)</f>
        <v>unknown</v>
      </c>
      <c r="P36" s="23">
        <f ca="1">VLOOKUP(K36,[2]enemies!$A:$X,24,FALSE)</f>
        <v>15</v>
      </c>
      <c r="Q36" s="5">
        <v>42</v>
      </c>
      <c r="R36" s="31">
        <v>1</v>
      </c>
      <c r="S36" s="31">
        <v>1</v>
      </c>
      <c r="T36" s="5">
        <v>0</v>
      </c>
      <c r="U36" s="4" t="str">
        <f ca="1">VLOOKUP($V36,OFFSET([4]enemy_skill_sets!$B$1,0,0,COUNTA([4]enemy_skill_sets!$B:$B),MATCH(L$1,[4]enemy_skill_sets!$1:$1,0)-MATCH($V$1,[4]enemy_skill_sets!$1:$1,0)+2),MATCH(L$1,[4]enemy_skill_sets!$1:$1,0)-MATCH($V$1,[4]enemy_skill_sets!$1:$1,0)+2,FALSE)</f>
        <v>なし</v>
      </c>
      <c r="V36" s="53">
        <v>0</v>
      </c>
      <c r="W36" s="6">
        <v>2</v>
      </c>
      <c r="X36" s="6">
        <v>100</v>
      </c>
      <c r="Y36" s="6">
        <v>0</v>
      </c>
      <c r="Z36" s="23">
        <f ca="1">VLOOKUP(K36,[2]enemies!$A:$V,22,FALSE)</f>
        <v>1</v>
      </c>
      <c r="AA36" s="45">
        <v>41</v>
      </c>
      <c r="AB36" s="4" t="str">
        <f ca="1">VLOOKUP(AA36,[3]characters!$A:$I,3,FALSE)</f>
        <v>ヒュウガ</v>
      </c>
      <c r="AC36" s="4">
        <f ca="1">VLOOKUP(AA36,[3]characters!$A:$I,9,FALSE)</f>
        <v>2</v>
      </c>
      <c r="AD36" s="4" t="str">
        <f ca="1">VLOOKUP(AA36,[3]characters!$A:$J,10,FALSE)</f>
        <v>Drop1N</v>
      </c>
      <c r="AE36" s="7">
        <v>1</v>
      </c>
      <c r="AF36" s="30">
        <f t="shared" ca="1" si="9"/>
        <v>2</v>
      </c>
      <c r="AG36" s="8">
        <v>0</v>
      </c>
      <c r="AH36" s="7">
        <v>0</v>
      </c>
      <c r="AI36" s="7">
        <v>0</v>
      </c>
      <c r="AJ36" s="7">
        <v>0</v>
      </c>
      <c r="AK36" s="7">
        <v>0</v>
      </c>
      <c r="AL36" s="7">
        <v>1</v>
      </c>
    </row>
    <row r="37" spans="1:38" ht="21" customHeight="1" x14ac:dyDescent="0.15">
      <c r="A37" s="20" t="str">
        <f t="shared" ca="1" si="0"/>
        <v>30008_3-3/288&lt;lv50&gt;s2</v>
      </c>
      <c r="B37" s="28">
        <v>30008</v>
      </c>
      <c r="C37" s="27">
        <v>3</v>
      </c>
      <c r="D37" s="2" t="str">
        <f t="shared" ref="D37" si="10">B37&amp;"_"&amp;C37</f>
        <v>30008_3</v>
      </c>
      <c r="E37" s="4" t="str">
        <f ca="1">VLOOKUP($B37,OFFSET([1]quests!$A$1,0,0,COUNTA([1]quests!$A:$A),MATCH(E$1,[1]quests!$1:$1,0)-MATCH($B$1,[1]quests!$1:$1,0)+1),MATCH(E$1,[1]quests!$1:$1,0)-MATCH($B$1,[1]quests!$1:$1,0)+1,FALSE)</f>
        <v>わたしの嫁を返してもらおう</v>
      </c>
      <c r="F37" s="4" t="str">
        <f ca="1">VLOOKUP($D37,OFFSET([1]stages!$A$1,0,0,COUNTA([1]stages!$A:$A),MATCH(F$1,[1]stages!$2:$2,0)-MATCH($D$1,[1]stages!$2:$2,0)+1),MATCH(F$1,[1]stages!$2:$2,0)-MATCH($D$1,[1]stages!$2:$2,0)+1,FALSE)</f>
        <v>【超級】わたしの嫁を返してもらおう</v>
      </c>
      <c r="G37" s="51">
        <v>3</v>
      </c>
      <c r="H37" s="19" t="str">
        <f t="shared" ca="1" si="2"/>
        <v>30008_3-3</v>
      </c>
      <c r="I37" s="4">
        <f ca="1">VLOOKUP($H37,OFFSET(floors_multi_2_4!$A$1,0,0,COUNTA(floors_multi_2_4!$A:$A),MATCH(I$1,floors_multi_2_4!$1:$1,0)-MATCH($H$1,floors_multi_2_4!$1:$1,0)+1),MATCH(I$1,floors_multi_2_4!$1:$1,0)-MATCH($H$1,floors_multi_2_4!$1:$1,0)+1,FALSE)</f>
        <v>60</v>
      </c>
      <c r="J37" s="4">
        <f ca="1">VLOOKUP($H37,OFFSET(floors_multi_2_4!$A$1,0,0,COUNTA(floors_multi_2_4!$A:$A),MATCH(J$1,floors_multi_2_4!$1:$1,0)-MATCH($H$1,floors_multi_2_4!$1:$1,0)+1),MATCH(J$1,floors_multi_2_4!$1:$1,0)-MATCH($H$1,floors_multi_2_4!$1:$1,0)+1,FALSE)</f>
        <v>60</v>
      </c>
      <c r="K37" s="26">
        <v>288</v>
      </c>
      <c r="L37" s="23" t="str">
        <f ca="1">VLOOKUP(K37,[2]enemies!$A:$D,2,FALSE)</f>
        <v>ミカド</v>
      </c>
      <c r="M37" s="23" t="str">
        <f ca="1">VLOOKUP(K37,[2]enemies!$A:$D,4,FALSE)</f>
        <v>yellow</v>
      </c>
      <c r="N37" s="24" t="str">
        <f ca="1">VLOOKUP(K37,[3]characters!$A:$J,10,FALSE)</f>
        <v>Drop2N</v>
      </c>
      <c r="O37" s="23" t="str">
        <f ca="1">VLOOKUP(K37,[2]enemies!$A:$M,13,FALSE)</f>
        <v>human</v>
      </c>
      <c r="P37" s="23">
        <f ca="1">VLOOKUP(K37,[2]enemies!$A:$X,24,FALSE)</f>
        <v>30</v>
      </c>
      <c r="Q37" s="5">
        <v>50</v>
      </c>
      <c r="R37" s="31">
        <v>1</v>
      </c>
      <c r="S37" s="31">
        <v>1.1000000000000001</v>
      </c>
      <c r="T37" s="5">
        <v>0</v>
      </c>
      <c r="U37" s="4" t="str">
        <f ca="1">VLOOKUP($V37,OFFSET([4]enemy_skill_sets!$B$1,0,0,COUNTA([4]enemy_skill_sets!$B:$B),MATCH(L$1,[4]enemy_skill_sets!$1:$1,0)-MATCH($V$1,[4]enemy_skill_sets!$1:$1,0)+2),MATCH(L$1,[4]enemy_skill_sets!$1:$1,0)-MATCH($V$1,[4]enemy_skill_sets!$1:$1,0)+2,FALSE)</f>
        <v>5ターン防御力UP</v>
      </c>
      <c r="V37" s="50">
        <v>28801</v>
      </c>
      <c r="W37" s="6">
        <v>1</v>
      </c>
      <c r="X37" s="6">
        <v>0</v>
      </c>
      <c r="Y37" s="6">
        <v>1</v>
      </c>
      <c r="Z37" s="23">
        <f ca="1">VLOOKUP(K37,[2]enemies!$A:$V,22,FALSE)</f>
        <v>2</v>
      </c>
      <c r="AA37" s="49">
        <v>288</v>
      </c>
      <c r="AB37" s="4" t="str">
        <f ca="1">VLOOKUP(AA37,[3]characters!$A:$I,3,FALSE)</f>
        <v>ミカド</v>
      </c>
      <c r="AC37" s="4">
        <f ca="1">VLOOKUP(AA37,[3]characters!$A:$I,9,FALSE)</f>
        <v>4</v>
      </c>
      <c r="AD37" s="4" t="str">
        <f ca="1">VLOOKUP(AA37,[3]characters!$A:$J,10,FALSE)</f>
        <v>Drop2N</v>
      </c>
      <c r="AE37" s="7">
        <v>1</v>
      </c>
      <c r="AF37" s="30">
        <f t="shared" ref="AF37" ca="1" si="11">AC37</f>
        <v>4</v>
      </c>
      <c r="AG37" s="8">
        <v>0</v>
      </c>
      <c r="AH37" s="7">
        <v>0</v>
      </c>
      <c r="AI37" s="7">
        <v>0</v>
      </c>
      <c r="AJ37" s="7">
        <v>0</v>
      </c>
      <c r="AK37" s="7">
        <v>0</v>
      </c>
      <c r="AL37" s="7">
        <v>1</v>
      </c>
    </row>
    <row r="38" spans="1:38" ht="21" customHeight="1" x14ac:dyDescent="0.15">
      <c r="A38" s="20" t="str">
        <f t="shared" ca="1" si="0"/>
        <v>30008_3-4/289&lt;lv57&gt;s2</v>
      </c>
      <c r="B38" s="28">
        <v>30008</v>
      </c>
      <c r="C38" s="27">
        <v>3</v>
      </c>
      <c r="D38" s="2" t="str">
        <f t="shared" si="8"/>
        <v>30008_3</v>
      </c>
      <c r="E38" s="4" t="str">
        <f ca="1">VLOOKUP($B38,OFFSET([1]quests!$A$1,0,0,COUNTA([1]quests!$A:$A),MATCH(E$1,[1]quests!$1:$1,0)-MATCH($B$1,[1]quests!$1:$1,0)+1),MATCH(E$1,[1]quests!$1:$1,0)-MATCH($B$1,[1]quests!$1:$1,0)+1,FALSE)</f>
        <v>わたしの嫁を返してもらおう</v>
      </c>
      <c r="F38" s="4" t="str">
        <f ca="1">VLOOKUP($D38,OFFSET([1]stages!$A$1,0,0,COUNTA([1]stages!$A:$A),MATCH(F$1,[1]stages!$2:$2,0)-MATCH($D$1,[1]stages!$2:$2,0)+1),MATCH(F$1,[1]stages!$2:$2,0)-MATCH($D$1,[1]stages!$2:$2,0)+1,FALSE)</f>
        <v>【超級】わたしの嫁を返してもらおう</v>
      </c>
      <c r="G38" s="27">
        <v>4</v>
      </c>
      <c r="H38" s="19" t="str">
        <f t="shared" ca="1" si="2"/>
        <v>30008_3-4</v>
      </c>
      <c r="I38" s="4">
        <f ca="1">VLOOKUP($H38,OFFSET(floors_multi_2_4!$A$1,0,0,COUNTA(floors_multi_2_4!$A:$A),MATCH(I$1,floors_multi_2_4!$1:$1,0)-MATCH($H$1,floors_multi_2_4!$1:$1,0)+1),MATCH(I$1,floors_multi_2_4!$1:$1,0)-MATCH($H$1,floors_multi_2_4!$1:$1,0)+1,FALSE)</f>
        <v>60</v>
      </c>
      <c r="J38" s="4">
        <f ca="1">VLOOKUP($H38,OFFSET(floors_multi_2_4!$A$1,0,0,COUNTA(floors_multi_2_4!$A:$A),MATCH(J$1,floors_multi_2_4!$1:$1,0)-MATCH($H$1,floors_multi_2_4!$1:$1,0)+1),MATCH(J$1,floors_multi_2_4!$1:$1,0)-MATCH($H$1,floors_multi_2_4!$1:$1,0)+1,FALSE)</f>
        <v>60</v>
      </c>
      <c r="K38" s="26">
        <v>289</v>
      </c>
      <c r="L38" s="23" t="str">
        <f ca="1">VLOOKUP(K38,[2]enemies!$A:$D,2,FALSE)</f>
        <v>高圧なるミカド</v>
      </c>
      <c r="M38" s="23" t="str">
        <f ca="1">VLOOKUP(K38,[2]enemies!$A:$D,4,FALSE)</f>
        <v>yellow</v>
      </c>
      <c r="N38" s="24" t="str">
        <f ca="1">VLOOKUP(K38,[3]characters!$A:$J,10,FALSE)</f>
        <v>Drop2N</v>
      </c>
      <c r="O38" s="23" t="str">
        <f ca="1">VLOOKUP(K38,[2]enemies!$A:$M,13,FALSE)</f>
        <v>human</v>
      </c>
      <c r="P38" s="23">
        <f ca="1">VLOOKUP(K38,[2]enemies!$A:$X,24,FALSE)</f>
        <v>60</v>
      </c>
      <c r="Q38" s="5">
        <v>57</v>
      </c>
      <c r="R38" s="31">
        <v>2.7</v>
      </c>
      <c r="S38" s="31">
        <v>1.4</v>
      </c>
      <c r="T38" s="5">
        <v>0</v>
      </c>
      <c r="U38" s="4" t="str">
        <f ca="1">VLOOKUP($V38,OFFSET([4]enemy_skill_sets!$B$1,0,0,COUNTA([4]enemy_skill_sets!$B:$B),MATCH(L$1,[4]enemy_skill_sets!$1:$1,0)-MATCH($V$1,[4]enemy_skill_sets!$1:$1,0)+2),MATCH(L$1,[4]enemy_skill_sets!$1:$1,0)-MATCH($V$1,[4]enemy_skill_sets!$1:$1,0)+2,FALSE)</f>
        <v>攻撃頻度が1ターンにUP</v>
      </c>
      <c r="V38" s="50">
        <v>28901</v>
      </c>
      <c r="W38" s="6">
        <v>1</v>
      </c>
      <c r="X38" s="6">
        <v>0</v>
      </c>
      <c r="Y38" s="6">
        <v>1</v>
      </c>
      <c r="Z38" s="23">
        <f ca="1">VLOOKUP(K38,[2]enemies!$A:$V,22,FALSE)</f>
        <v>2</v>
      </c>
      <c r="AA38" s="49">
        <v>288</v>
      </c>
      <c r="AB38" s="4" t="str">
        <f ca="1">VLOOKUP(AA38,[3]characters!$A:$I,3,FALSE)</f>
        <v>ミカド</v>
      </c>
      <c r="AC38" s="4">
        <f ca="1">VLOOKUP(AA38,[3]characters!$A:$I,9,FALSE)</f>
        <v>4</v>
      </c>
      <c r="AD38" s="4" t="str">
        <f ca="1">VLOOKUP(AA38,[3]characters!$A:$J,10,FALSE)</f>
        <v>Drop2N</v>
      </c>
      <c r="AE38" s="7">
        <v>1</v>
      </c>
      <c r="AF38" s="30">
        <f t="shared" ca="1" si="9"/>
        <v>4</v>
      </c>
      <c r="AG38" s="54">
        <v>100</v>
      </c>
      <c r="AH38" s="7">
        <v>0</v>
      </c>
      <c r="AI38" s="7">
        <v>0</v>
      </c>
      <c r="AJ38" s="7">
        <v>0</v>
      </c>
      <c r="AK38" s="7">
        <v>0</v>
      </c>
      <c r="AL38" s="7">
        <v>1</v>
      </c>
    </row>
  </sheetData>
  <sheetProtection selectLockedCells="1" selectUnlockedCells="1"/>
  <autoFilter ref="B1:AG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37" activeCellId="1" sqref="A1 I37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floors_multi_2_4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4" si="0">INDIRECT(ADDRESS(ROW()+$A$1,COLUMN(),1,TRUE,$C$1))</f>
        <v>30008_1-1</v>
      </c>
      <c r="B3" s="18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30008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30008_1-2</v>
      </c>
      <c r="B4" s="18">
        <f t="shared" si="1"/>
        <v>30008</v>
      </c>
      <c r="C4" s="18">
        <f t="shared" si="1"/>
        <v>1</v>
      </c>
      <c r="D4" s="18">
        <f t="shared" si="1"/>
        <v>2</v>
      </c>
      <c r="E4" s="18">
        <f t="shared" si="1"/>
        <v>60</v>
      </c>
      <c r="F4" s="18">
        <f t="shared" si="1"/>
        <v>60</v>
      </c>
    </row>
    <row r="5" spans="1:6" x14ac:dyDescent="0.15">
      <c r="A5" s="22" t="str">
        <f t="shared" si="0"/>
        <v>30008_1-3</v>
      </c>
      <c r="B5" s="18">
        <f t="shared" si="1"/>
        <v>30008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30008_1-4</v>
      </c>
      <c r="B6" s="18">
        <f t="shared" si="1"/>
        <v>30008</v>
      </c>
      <c r="C6" s="18">
        <f t="shared" si="1"/>
        <v>1</v>
      </c>
      <c r="D6" s="18">
        <f t="shared" si="1"/>
        <v>4</v>
      </c>
      <c r="E6" s="18">
        <f t="shared" si="1"/>
        <v>60</v>
      </c>
      <c r="F6" s="18">
        <f t="shared" si="1"/>
        <v>60</v>
      </c>
    </row>
    <row r="7" spans="1:6" x14ac:dyDescent="0.15">
      <c r="A7" s="22" t="str">
        <f t="shared" si="0"/>
        <v>30008_2-1</v>
      </c>
      <c r="B7" s="18">
        <f t="shared" si="1"/>
        <v>30008</v>
      </c>
      <c r="C7" s="18">
        <f t="shared" si="1"/>
        <v>2</v>
      </c>
      <c r="D7" s="18">
        <f t="shared" si="1"/>
        <v>1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30008_2-2</v>
      </c>
      <c r="B8" s="18">
        <f t="shared" si="1"/>
        <v>30008</v>
      </c>
      <c r="C8" s="18">
        <f t="shared" si="1"/>
        <v>2</v>
      </c>
      <c r="D8" s="18">
        <f t="shared" si="1"/>
        <v>2</v>
      </c>
      <c r="E8" s="18">
        <f t="shared" si="1"/>
        <v>60</v>
      </c>
      <c r="F8" s="18">
        <f t="shared" si="1"/>
        <v>60</v>
      </c>
    </row>
    <row r="9" spans="1:6" x14ac:dyDescent="0.15">
      <c r="A9" s="22" t="str">
        <f t="shared" si="0"/>
        <v>30008_2-3</v>
      </c>
      <c r="B9" s="18">
        <f t="shared" si="1"/>
        <v>30008</v>
      </c>
      <c r="C9" s="18">
        <f t="shared" si="1"/>
        <v>2</v>
      </c>
      <c r="D9" s="18">
        <f t="shared" si="1"/>
        <v>3</v>
      </c>
      <c r="E9" s="18">
        <f t="shared" si="1"/>
        <v>60</v>
      </c>
      <c r="F9" s="18">
        <f t="shared" si="1"/>
        <v>60</v>
      </c>
    </row>
    <row r="10" spans="1:6" x14ac:dyDescent="0.15">
      <c r="A10" s="22" t="str">
        <f t="shared" si="0"/>
        <v>30008_2-4</v>
      </c>
      <c r="B10" s="18">
        <f t="shared" si="1"/>
        <v>30008</v>
      </c>
      <c r="C10" s="18">
        <f t="shared" si="1"/>
        <v>2</v>
      </c>
      <c r="D10" s="18">
        <f t="shared" si="1"/>
        <v>4</v>
      </c>
      <c r="E10" s="18">
        <f t="shared" si="1"/>
        <v>30</v>
      </c>
      <c r="F10" s="18">
        <f t="shared" si="1"/>
        <v>30</v>
      </c>
    </row>
    <row r="11" spans="1:6" x14ac:dyDescent="0.15">
      <c r="A11" s="22" t="str">
        <f t="shared" si="0"/>
        <v>30008_3-1</v>
      </c>
      <c r="B11" s="18">
        <f t="shared" si="1"/>
        <v>30008</v>
      </c>
      <c r="C11" s="18">
        <f t="shared" si="1"/>
        <v>3</v>
      </c>
      <c r="D11" s="18">
        <f t="shared" si="1"/>
        <v>1</v>
      </c>
      <c r="E11" s="18">
        <f t="shared" si="1"/>
        <v>30</v>
      </c>
      <c r="F11" s="18">
        <f t="shared" si="1"/>
        <v>30</v>
      </c>
    </row>
    <row r="12" spans="1:6" x14ac:dyDescent="0.15">
      <c r="A12" s="22" t="str">
        <f t="shared" si="0"/>
        <v>30008_3-2</v>
      </c>
      <c r="B12" s="18">
        <f t="shared" si="1"/>
        <v>30008</v>
      </c>
      <c r="C12" s="18">
        <f t="shared" si="1"/>
        <v>3</v>
      </c>
      <c r="D12" s="18">
        <f t="shared" si="1"/>
        <v>2</v>
      </c>
      <c r="E12" s="18">
        <f t="shared" si="1"/>
        <v>60</v>
      </c>
      <c r="F12" s="18">
        <f t="shared" si="1"/>
        <v>60</v>
      </c>
    </row>
    <row r="13" spans="1:6" x14ac:dyDescent="0.15">
      <c r="A13" s="22" t="str">
        <f t="shared" si="0"/>
        <v>30008_3-3</v>
      </c>
      <c r="B13" s="18">
        <f t="shared" si="1"/>
        <v>30008</v>
      </c>
      <c r="C13" s="18">
        <f t="shared" si="1"/>
        <v>3</v>
      </c>
      <c r="D13" s="18">
        <f t="shared" si="1"/>
        <v>3</v>
      </c>
      <c r="E13" s="18">
        <f t="shared" si="1"/>
        <v>60</v>
      </c>
      <c r="F13" s="18">
        <f t="shared" si="1"/>
        <v>60</v>
      </c>
    </row>
    <row r="14" spans="1:6" x14ac:dyDescent="0.15">
      <c r="A14" s="22" t="str">
        <f t="shared" si="0"/>
        <v>30008_3-4</v>
      </c>
      <c r="B14" s="18">
        <f t="shared" si="1"/>
        <v>30008</v>
      </c>
      <c r="C14" s="18">
        <f t="shared" si="1"/>
        <v>3</v>
      </c>
      <c r="D14" s="18">
        <f t="shared" si="1"/>
        <v>4</v>
      </c>
      <c r="E14" s="18">
        <f t="shared" si="1"/>
        <v>60</v>
      </c>
      <c r="F14" s="18">
        <f t="shared" si="1"/>
        <v>60</v>
      </c>
    </row>
    <row r="15" spans="1:6" x14ac:dyDescent="0.15">
      <c r="A15"/>
    </row>
    <row r="16" spans="1:6" x14ac:dyDescent="0.15">
      <c r="A16"/>
    </row>
    <row r="17" spans="1:1" x14ac:dyDescent="0.15">
      <c r="A1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62"/>
  <sheetViews>
    <sheetView tabSelected="1" zoomScale="75" zoomScaleNormal="75" zoomScalePageLayoutView="75" workbookViewId="0">
      <pane xSplit="1" ySplit="2" topLeftCell="B20" activePane="bottomRight" state="frozen"/>
      <selection pane="topRight" activeCell="B1" sqref="B1"/>
      <selection pane="bottomLeft" activeCell="A3" sqref="A3"/>
      <selection pane="bottomRight" activeCell="R29" sqref="R29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 ca="1">MATCH(A2,INDIRECT(C1&amp;"!A:A"),0)-2</f>
        <v>-1</v>
      </c>
      <c r="B1" s="16" t="str">
        <f ca="1">"$"&amp;2+$A$1&amp;":$"&amp;2+$A$1</f>
        <v>$1:$1</v>
      </c>
      <c r="C1" s="15" t="str">
        <f ca="1">SUBSTITUTE(RIGHT(CELL("filename",$C$1),LEN(CELL("filename",$C$1))-FIND("]",CELL("filename",$C$1))),".tmp","")</f>
        <v>enemy_habitats_multi_2_4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 ca="1">INDIRECT(ADDRESS(ROW()+$A$1,COLUMN(),1,TRUE,$C$1))</f>
        <v>30008_1-1/9&lt;lv30&gt;s2</v>
      </c>
      <c r="B3" s="18">
        <f t="shared" ref="B3:W14" ca="1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30008</v>
      </c>
      <c r="C3" s="18">
        <f t="shared" ca="1" si="0"/>
        <v>1</v>
      </c>
      <c r="D3" s="18">
        <f t="shared" ca="1" si="0"/>
        <v>1</v>
      </c>
      <c r="E3" s="18">
        <f t="shared" ca="1" si="0"/>
        <v>9</v>
      </c>
      <c r="F3" s="18">
        <f t="shared" ca="1" si="0"/>
        <v>30</v>
      </c>
      <c r="G3" s="18">
        <f t="shared" ca="1" si="0"/>
        <v>1</v>
      </c>
      <c r="H3" s="18">
        <f t="shared" ca="1" si="0"/>
        <v>1</v>
      </c>
      <c r="I3" s="18">
        <f t="shared" ca="1" si="0"/>
        <v>0</v>
      </c>
      <c r="J3" s="18">
        <f t="shared" ca="1" si="0"/>
        <v>0</v>
      </c>
      <c r="K3" s="18">
        <f t="shared" ca="1" si="0"/>
        <v>0</v>
      </c>
      <c r="L3" s="18">
        <f t="shared" ca="1" si="0"/>
        <v>100</v>
      </c>
      <c r="M3" s="18">
        <f t="shared" ca="1" si="0"/>
        <v>0</v>
      </c>
      <c r="N3" s="18">
        <f t="shared" ca="1" si="0"/>
        <v>2</v>
      </c>
      <c r="O3" s="18">
        <f t="shared" ca="1" si="0"/>
        <v>9</v>
      </c>
      <c r="P3" s="18">
        <f t="shared" ca="1" si="0"/>
        <v>4</v>
      </c>
      <c r="Q3" s="18">
        <f t="shared" ca="1" si="0"/>
        <v>1</v>
      </c>
      <c r="R3" s="18">
        <f t="shared" ca="1" si="0"/>
        <v>15</v>
      </c>
      <c r="S3" s="18">
        <f t="shared" ca="1" si="0"/>
        <v>0</v>
      </c>
      <c r="T3" s="18">
        <f t="shared" ca="1" si="0"/>
        <v>0</v>
      </c>
      <c r="U3" s="18">
        <f t="shared" ca="1" si="0"/>
        <v>0</v>
      </c>
      <c r="V3" s="18">
        <f t="shared" ca="1" si="0"/>
        <v>0</v>
      </c>
      <c r="W3" s="18">
        <f t="shared" ca="1" si="0"/>
        <v>1</v>
      </c>
    </row>
    <row r="4" spans="1:23" x14ac:dyDescent="0.15">
      <c r="A4" s="22" t="str">
        <f t="shared" ref="A4:A39" ca="1" si="1">INDIRECT(ADDRESS(ROW()+$A$1,COLUMN(),1,TRUE,$C$1))</f>
        <v>30008_1-1/11&lt;lv30&gt;s3</v>
      </c>
      <c r="B4" s="18">
        <f t="shared" ca="1" si="0"/>
        <v>30008</v>
      </c>
      <c r="C4" s="18">
        <f t="shared" ca="1" si="0"/>
        <v>1</v>
      </c>
      <c r="D4" s="18">
        <f t="shared" ca="1" si="0"/>
        <v>1</v>
      </c>
      <c r="E4" s="18">
        <f t="shared" ca="1" si="0"/>
        <v>11</v>
      </c>
      <c r="F4" s="18">
        <f t="shared" ca="1" si="0"/>
        <v>30</v>
      </c>
      <c r="G4" s="18">
        <f t="shared" ca="1" si="0"/>
        <v>1</v>
      </c>
      <c r="H4" s="18">
        <f t="shared" ca="1" si="0"/>
        <v>1</v>
      </c>
      <c r="I4" s="18">
        <f t="shared" ca="1" si="0"/>
        <v>0</v>
      </c>
      <c r="J4" s="18">
        <f t="shared" ca="1" si="0"/>
        <v>0</v>
      </c>
      <c r="K4" s="18">
        <f t="shared" ca="1" si="0"/>
        <v>0</v>
      </c>
      <c r="L4" s="18">
        <f t="shared" ca="1" si="0"/>
        <v>100</v>
      </c>
      <c r="M4" s="18">
        <f t="shared" ca="1" si="0"/>
        <v>0</v>
      </c>
      <c r="N4" s="18">
        <f t="shared" ca="1" si="0"/>
        <v>3</v>
      </c>
      <c r="O4" s="18">
        <f t="shared" ca="1" si="0"/>
        <v>11</v>
      </c>
      <c r="P4" s="18">
        <f t="shared" ca="1" si="0"/>
        <v>4</v>
      </c>
      <c r="Q4" s="18">
        <f t="shared" ca="1" si="0"/>
        <v>1</v>
      </c>
      <c r="R4" s="18">
        <f t="shared" ca="1" si="0"/>
        <v>15</v>
      </c>
      <c r="S4" s="18">
        <f t="shared" ca="1" si="0"/>
        <v>0</v>
      </c>
      <c r="T4" s="18">
        <f t="shared" ca="1" si="0"/>
        <v>0</v>
      </c>
      <c r="U4" s="18">
        <f t="shared" ca="1" si="0"/>
        <v>0</v>
      </c>
      <c r="V4" s="18">
        <f t="shared" ca="1" si="0"/>
        <v>0</v>
      </c>
      <c r="W4" s="18">
        <f t="shared" ca="1" si="0"/>
        <v>1</v>
      </c>
    </row>
    <row r="5" spans="1:23" x14ac:dyDescent="0.15">
      <c r="A5" s="22" t="str">
        <f t="shared" ca="1" si="1"/>
        <v>30008_1-1/32&lt;lv30&gt;s5</v>
      </c>
      <c r="B5" s="18">
        <f t="shared" ca="1" si="0"/>
        <v>30008</v>
      </c>
      <c r="C5" s="18">
        <f t="shared" ca="1" si="0"/>
        <v>1</v>
      </c>
      <c r="D5" s="18">
        <f t="shared" ca="1" si="0"/>
        <v>1</v>
      </c>
      <c r="E5" s="18">
        <f t="shared" ca="1" si="0"/>
        <v>32</v>
      </c>
      <c r="F5" s="18">
        <f t="shared" ca="1" si="0"/>
        <v>30</v>
      </c>
      <c r="G5" s="18">
        <f t="shared" ca="1" si="0"/>
        <v>1</v>
      </c>
      <c r="H5" s="18">
        <f t="shared" ca="1" si="0"/>
        <v>1</v>
      </c>
      <c r="I5" s="18">
        <f t="shared" ca="1" si="0"/>
        <v>0</v>
      </c>
      <c r="J5" s="18">
        <f t="shared" ca="1" si="0"/>
        <v>0</v>
      </c>
      <c r="K5" s="18">
        <f t="shared" ca="1" si="0"/>
        <v>0</v>
      </c>
      <c r="L5" s="18">
        <f t="shared" ca="1" si="0"/>
        <v>100</v>
      </c>
      <c r="M5" s="18">
        <f t="shared" ca="1" si="0"/>
        <v>0</v>
      </c>
      <c r="N5" s="18">
        <f t="shared" ca="1" si="0"/>
        <v>5</v>
      </c>
      <c r="O5" s="18">
        <f t="shared" ca="1" si="0"/>
        <v>32</v>
      </c>
      <c r="P5" s="18">
        <f t="shared" ca="1" si="0"/>
        <v>2</v>
      </c>
      <c r="Q5" s="18">
        <f t="shared" ca="1" si="0"/>
        <v>2</v>
      </c>
      <c r="R5" s="18">
        <f t="shared" ca="1" si="0"/>
        <v>10</v>
      </c>
      <c r="S5" s="18">
        <f t="shared" ca="1" si="0"/>
        <v>0</v>
      </c>
      <c r="T5" s="18">
        <f t="shared" ca="1" si="0"/>
        <v>0</v>
      </c>
      <c r="U5" s="18">
        <f t="shared" ca="1" si="0"/>
        <v>0</v>
      </c>
      <c r="V5" s="18">
        <f t="shared" ca="1" si="0"/>
        <v>0</v>
      </c>
      <c r="W5" s="18">
        <f t="shared" ca="1" si="0"/>
        <v>1</v>
      </c>
    </row>
    <row r="6" spans="1:23" x14ac:dyDescent="0.15">
      <c r="A6" s="22" t="str">
        <f t="shared" ca="1" si="1"/>
        <v>30008_1-1/17&lt;lv30&gt;s2</v>
      </c>
      <c r="B6" s="18">
        <f t="shared" ca="1" si="0"/>
        <v>30008</v>
      </c>
      <c r="C6" s="18">
        <f t="shared" ca="1" si="0"/>
        <v>1</v>
      </c>
      <c r="D6" s="18">
        <f t="shared" ca="1" si="0"/>
        <v>1</v>
      </c>
      <c r="E6" s="18">
        <f t="shared" ca="1" si="0"/>
        <v>17</v>
      </c>
      <c r="F6" s="18">
        <f t="shared" ca="1" si="0"/>
        <v>30</v>
      </c>
      <c r="G6" s="18">
        <f t="shared" ca="1" si="0"/>
        <v>1</v>
      </c>
      <c r="H6" s="18">
        <f t="shared" ca="1" si="0"/>
        <v>1</v>
      </c>
      <c r="I6" s="18">
        <f t="shared" ca="1" si="0"/>
        <v>0</v>
      </c>
      <c r="J6" s="18">
        <f t="shared" ca="1" si="0"/>
        <v>0</v>
      </c>
      <c r="K6" s="18">
        <f t="shared" ca="1" si="0"/>
        <v>0</v>
      </c>
      <c r="L6" s="18">
        <f t="shared" ca="1" si="0"/>
        <v>100</v>
      </c>
      <c r="M6" s="18">
        <f t="shared" ca="1" si="0"/>
        <v>0</v>
      </c>
      <c r="N6" s="18">
        <f t="shared" ca="1" si="0"/>
        <v>2</v>
      </c>
      <c r="O6" s="18">
        <f t="shared" ca="1" si="0"/>
        <v>17</v>
      </c>
      <c r="P6" s="18">
        <f t="shared" ca="1" si="0"/>
        <v>4</v>
      </c>
      <c r="Q6" s="18">
        <f t="shared" ca="1" si="0"/>
        <v>1</v>
      </c>
      <c r="R6" s="18">
        <f t="shared" ca="1" si="0"/>
        <v>15</v>
      </c>
      <c r="S6" s="18">
        <f t="shared" ca="1" si="0"/>
        <v>0</v>
      </c>
      <c r="T6" s="18">
        <f t="shared" ca="1" si="0"/>
        <v>0</v>
      </c>
      <c r="U6" s="18">
        <f t="shared" ca="1" si="0"/>
        <v>0</v>
      </c>
      <c r="V6" s="18">
        <f t="shared" ca="1" si="0"/>
        <v>0</v>
      </c>
      <c r="W6" s="18">
        <f t="shared" ca="1" si="0"/>
        <v>1</v>
      </c>
    </row>
    <row r="7" spans="1:23" x14ac:dyDescent="0.15">
      <c r="A7" s="22" t="str">
        <f t="shared" ca="1" si="1"/>
        <v>30008_1-1/19&lt;lv30&gt;s3</v>
      </c>
      <c r="B7" s="18">
        <f t="shared" ca="1" si="0"/>
        <v>30008</v>
      </c>
      <c r="C7" s="18">
        <f t="shared" ca="1" si="0"/>
        <v>1</v>
      </c>
      <c r="D7" s="18">
        <f t="shared" ca="1" si="0"/>
        <v>1</v>
      </c>
      <c r="E7" s="18">
        <f t="shared" ca="1" si="0"/>
        <v>19</v>
      </c>
      <c r="F7" s="18">
        <f t="shared" ca="1" si="0"/>
        <v>30</v>
      </c>
      <c r="G7" s="18">
        <f t="shared" ca="1" si="0"/>
        <v>1</v>
      </c>
      <c r="H7" s="18">
        <f t="shared" ca="1" si="0"/>
        <v>1</v>
      </c>
      <c r="I7" s="18">
        <f t="shared" ca="1" si="0"/>
        <v>0</v>
      </c>
      <c r="J7" s="18">
        <f t="shared" ca="1" si="0"/>
        <v>0</v>
      </c>
      <c r="K7" s="18">
        <f t="shared" ca="1" si="0"/>
        <v>0</v>
      </c>
      <c r="L7" s="18">
        <f t="shared" ca="1" si="0"/>
        <v>100</v>
      </c>
      <c r="M7" s="18">
        <f t="shared" ca="1" si="0"/>
        <v>0</v>
      </c>
      <c r="N7" s="18">
        <f t="shared" ca="1" si="0"/>
        <v>3</v>
      </c>
      <c r="O7" s="18">
        <f t="shared" ca="1" si="0"/>
        <v>19</v>
      </c>
      <c r="P7" s="18">
        <f t="shared" ca="1" si="0"/>
        <v>4</v>
      </c>
      <c r="Q7" s="18">
        <f t="shared" ca="1" si="0"/>
        <v>1</v>
      </c>
      <c r="R7" s="18">
        <f t="shared" ca="1" si="0"/>
        <v>15</v>
      </c>
      <c r="S7" s="18">
        <f t="shared" ca="1" si="0"/>
        <v>0</v>
      </c>
      <c r="T7" s="18">
        <f t="shared" ca="1" si="0"/>
        <v>0</v>
      </c>
      <c r="U7" s="18">
        <f t="shared" ca="1" si="0"/>
        <v>0</v>
      </c>
      <c r="V7" s="18">
        <f t="shared" ca="1" si="0"/>
        <v>0</v>
      </c>
      <c r="W7" s="18">
        <f t="shared" ca="1" si="0"/>
        <v>1</v>
      </c>
    </row>
    <row r="8" spans="1:23" x14ac:dyDescent="0.15">
      <c r="A8" s="22" t="str">
        <f t="shared" ca="1" si="1"/>
        <v>30008_1-2/121&lt;lv30&gt;s3</v>
      </c>
      <c r="B8" s="18">
        <f t="shared" ca="1" si="0"/>
        <v>30008</v>
      </c>
      <c r="C8" s="18">
        <f t="shared" ca="1" si="0"/>
        <v>1</v>
      </c>
      <c r="D8" s="18">
        <f t="shared" ca="1" si="0"/>
        <v>2</v>
      </c>
      <c r="E8" s="18">
        <f t="shared" ca="1" si="0"/>
        <v>121</v>
      </c>
      <c r="F8" s="18">
        <f t="shared" ca="1" si="0"/>
        <v>30</v>
      </c>
      <c r="G8" s="18">
        <f t="shared" ca="1" si="0"/>
        <v>1</v>
      </c>
      <c r="H8" s="18">
        <f t="shared" ca="1" si="0"/>
        <v>1</v>
      </c>
      <c r="I8" s="18">
        <f t="shared" ca="1" si="0"/>
        <v>0</v>
      </c>
      <c r="J8" s="18">
        <f t="shared" ca="1" si="0"/>
        <v>1211</v>
      </c>
      <c r="K8" s="18">
        <f t="shared" ca="1" si="0"/>
        <v>1</v>
      </c>
      <c r="L8" s="18">
        <f t="shared" ca="1" si="0"/>
        <v>0</v>
      </c>
      <c r="M8" s="18">
        <f t="shared" ca="1" si="0"/>
        <v>1</v>
      </c>
      <c r="N8" s="18">
        <f t="shared" ca="1" si="0"/>
        <v>3</v>
      </c>
      <c r="O8" s="18">
        <f t="shared" ca="1" si="0"/>
        <v>121</v>
      </c>
      <c r="P8" s="18">
        <f t="shared" ca="1" si="0"/>
        <v>1</v>
      </c>
      <c r="Q8" s="18">
        <f t="shared" ca="1" si="0"/>
        <v>3</v>
      </c>
      <c r="R8" s="18">
        <f t="shared" ca="1" si="0"/>
        <v>3</v>
      </c>
      <c r="S8" s="18">
        <f t="shared" ca="1" si="0"/>
        <v>0</v>
      </c>
      <c r="T8" s="18">
        <f t="shared" ca="1" si="0"/>
        <v>0</v>
      </c>
      <c r="U8" s="18">
        <f t="shared" ca="1" si="0"/>
        <v>0</v>
      </c>
      <c r="V8" s="18">
        <f t="shared" ca="1" si="0"/>
        <v>0</v>
      </c>
      <c r="W8" s="18">
        <f t="shared" ca="1" si="0"/>
        <v>1</v>
      </c>
    </row>
    <row r="9" spans="1:23" x14ac:dyDescent="0.15">
      <c r="A9" s="22" t="str">
        <f t="shared" ca="1" si="1"/>
        <v>30008_1-2/122&lt;lv30&gt;s3</v>
      </c>
      <c r="B9" s="18">
        <f t="shared" ca="1" si="0"/>
        <v>30008</v>
      </c>
      <c r="C9" s="18">
        <f t="shared" ca="1" si="0"/>
        <v>1</v>
      </c>
      <c r="D9" s="18">
        <f t="shared" ca="1" si="0"/>
        <v>2</v>
      </c>
      <c r="E9" s="18">
        <f t="shared" ca="1" si="0"/>
        <v>122</v>
      </c>
      <c r="F9" s="18">
        <f t="shared" ca="1" si="0"/>
        <v>30</v>
      </c>
      <c r="G9" s="18">
        <f t="shared" ca="1" si="0"/>
        <v>1</v>
      </c>
      <c r="H9" s="18">
        <f t="shared" ca="1" si="0"/>
        <v>1</v>
      </c>
      <c r="I9" s="18">
        <f t="shared" ca="1" si="0"/>
        <v>0</v>
      </c>
      <c r="J9" s="18">
        <f t="shared" ca="1" si="0"/>
        <v>1221</v>
      </c>
      <c r="K9" s="18">
        <f t="shared" ca="1" si="0"/>
        <v>1</v>
      </c>
      <c r="L9" s="18">
        <f t="shared" ca="1" si="0"/>
        <v>0</v>
      </c>
      <c r="M9" s="18">
        <f t="shared" ca="1" si="0"/>
        <v>1</v>
      </c>
      <c r="N9" s="18">
        <f t="shared" ca="1" si="0"/>
        <v>3</v>
      </c>
      <c r="O9" s="18">
        <f t="shared" ca="1" si="0"/>
        <v>122</v>
      </c>
      <c r="P9" s="18">
        <f t="shared" ca="1" si="0"/>
        <v>1</v>
      </c>
      <c r="Q9" s="18">
        <f t="shared" ca="1" si="0"/>
        <v>3</v>
      </c>
      <c r="R9" s="18">
        <f t="shared" ca="1" si="0"/>
        <v>3</v>
      </c>
      <c r="S9" s="18">
        <f t="shared" ca="1" si="0"/>
        <v>0</v>
      </c>
      <c r="T9" s="18">
        <f t="shared" ca="1" si="0"/>
        <v>0</v>
      </c>
      <c r="U9" s="18">
        <f t="shared" ca="1" si="0"/>
        <v>0</v>
      </c>
      <c r="V9" s="18">
        <f t="shared" ca="1" si="0"/>
        <v>0</v>
      </c>
      <c r="W9" s="18">
        <f t="shared" ca="1" si="0"/>
        <v>1</v>
      </c>
    </row>
    <row r="10" spans="1:23" x14ac:dyDescent="0.15">
      <c r="A10" s="22" t="str">
        <f t="shared" ca="1" si="1"/>
        <v>30008_1-2/123&lt;lv30&gt;s3</v>
      </c>
      <c r="B10" s="18">
        <f t="shared" ca="1" si="0"/>
        <v>30008</v>
      </c>
      <c r="C10" s="18">
        <f t="shared" ca="1" si="0"/>
        <v>1</v>
      </c>
      <c r="D10" s="18">
        <f t="shared" ca="1" si="0"/>
        <v>2</v>
      </c>
      <c r="E10" s="18">
        <f t="shared" ca="1" si="0"/>
        <v>123</v>
      </c>
      <c r="F10" s="18">
        <f t="shared" ca="1" si="0"/>
        <v>30</v>
      </c>
      <c r="G10" s="18">
        <f t="shared" ca="1" si="0"/>
        <v>0.5</v>
      </c>
      <c r="H10" s="18">
        <f t="shared" ca="1" si="0"/>
        <v>1</v>
      </c>
      <c r="I10" s="18">
        <f t="shared" ca="1" si="0"/>
        <v>0</v>
      </c>
      <c r="J10" s="18">
        <f t="shared" ca="1" si="0"/>
        <v>1231</v>
      </c>
      <c r="K10" s="18">
        <f t="shared" ca="1" si="0"/>
        <v>1</v>
      </c>
      <c r="L10" s="18">
        <f t="shared" ca="1" si="0"/>
        <v>0</v>
      </c>
      <c r="M10" s="18">
        <f t="shared" ca="1" si="0"/>
        <v>1</v>
      </c>
      <c r="N10" s="18">
        <f t="shared" ca="1" si="0"/>
        <v>3</v>
      </c>
      <c r="O10" s="18">
        <f t="shared" ca="1" si="0"/>
        <v>123</v>
      </c>
      <c r="P10" s="18">
        <f t="shared" ca="1" si="0"/>
        <v>1</v>
      </c>
      <c r="Q10" s="18">
        <f t="shared" ca="1" si="0"/>
        <v>3</v>
      </c>
      <c r="R10" s="18">
        <f t="shared" ca="1" si="0"/>
        <v>3</v>
      </c>
      <c r="S10" s="18">
        <f t="shared" ca="1" si="0"/>
        <v>0</v>
      </c>
      <c r="T10" s="18">
        <f t="shared" ca="1" si="0"/>
        <v>0</v>
      </c>
      <c r="U10" s="18">
        <f t="shared" ca="1" si="0"/>
        <v>0</v>
      </c>
      <c r="V10" s="18">
        <f t="shared" ca="1" si="0"/>
        <v>0</v>
      </c>
      <c r="W10" s="18">
        <f t="shared" ca="1" si="0"/>
        <v>1</v>
      </c>
    </row>
    <row r="11" spans="1:23" x14ac:dyDescent="0.15">
      <c r="A11" s="22" t="str">
        <f t="shared" ca="1" si="1"/>
        <v>30008_1-3/9&lt;lv30&gt;s2</v>
      </c>
      <c r="B11" s="18">
        <f t="shared" ca="1" si="0"/>
        <v>30008</v>
      </c>
      <c r="C11" s="18">
        <f t="shared" ca="1" si="0"/>
        <v>1</v>
      </c>
      <c r="D11" s="18">
        <f t="shared" ca="1" si="0"/>
        <v>3</v>
      </c>
      <c r="E11" s="18">
        <f t="shared" ca="1" si="0"/>
        <v>9</v>
      </c>
      <c r="F11" s="18">
        <f t="shared" ca="1" si="0"/>
        <v>30</v>
      </c>
      <c r="G11" s="18">
        <f t="shared" ca="1" si="0"/>
        <v>1</v>
      </c>
      <c r="H11" s="18">
        <f t="shared" ca="1" si="0"/>
        <v>1</v>
      </c>
      <c r="I11" s="18">
        <f t="shared" ca="1" si="0"/>
        <v>0</v>
      </c>
      <c r="J11" s="18">
        <f t="shared" ca="1" si="0"/>
        <v>0</v>
      </c>
      <c r="K11" s="18">
        <f t="shared" ca="1" si="0"/>
        <v>0</v>
      </c>
      <c r="L11" s="18">
        <f t="shared" ca="1" si="0"/>
        <v>100</v>
      </c>
      <c r="M11" s="18">
        <f t="shared" ca="1" si="0"/>
        <v>0</v>
      </c>
      <c r="N11" s="18">
        <f t="shared" ca="1" si="0"/>
        <v>2</v>
      </c>
      <c r="O11" s="18">
        <f t="shared" ca="1" si="0"/>
        <v>9</v>
      </c>
      <c r="P11" s="18">
        <f t="shared" ca="1" si="0"/>
        <v>4</v>
      </c>
      <c r="Q11" s="18">
        <f t="shared" ca="1" si="0"/>
        <v>1</v>
      </c>
      <c r="R11" s="18">
        <f t="shared" ca="1" si="0"/>
        <v>15</v>
      </c>
      <c r="S11" s="18">
        <f t="shared" ca="1" si="0"/>
        <v>0</v>
      </c>
      <c r="T11" s="18">
        <f t="shared" ca="1" si="0"/>
        <v>0</v>
      </c>
      <c r="U11" s="18">
        <f t="shared" ca="1" si="0"/>
        <v>0</v>
      </c>
      <c r="V11" s="18">
        <f t="shared" ca="1" si="0"/>
        <v>0</v>
      </c>
      <c r="W11" s="18">
        <f t="shared" ca="1" si="0"/>
        <v>1</v>
      </c>
    </row>
    <row r="12" spans="1:23" x14ac:dyDescent="0.15">
      <c r="A12" s="22" t="str">
        <f t="shared" ca="1" si="1"/>
        <v>30008_1-3/11&lt;lv30&gt;s3</v>
      </c>
      <c r="B12" s="18">
        <f t="shared" ca="1" si="0"/>
        <v>30008</v>
      </c>
      <c r="C12" s="18">
        <f t="shared" ca="1" si="0"/>
        <v>1</v>
      </c>
      <c r="D12" s="18">
        <f t="shared" ca="1" si="0"/>
        <v>3</v>
      </c>
      <c r="E12" s="18">
        <f t="shared" ca="1" si="0"/>
        <v>11</v>
      </c>
      <c r="F12" s="18">
        <f t="shared" ca="1" si="0"/>
        <v>30</v>
      </c>
      <c r="G12" s="18">
        <f t="shared" ca="1" si="0"/>
        <v>1</v>
      </c>
      <c r="H12" s="18">
        <f t="shared" ca="1" si="0"/>
        <v>1</v>
      </c>
      <c r="I12" s="18">
        <f t="shared" ca="1" si="0"/>
        <v>0</v>
      </c>
      <c r="J12" s="18">
        <f t="shared" ca="1" si="0"/>
        <v>0</v>
      </c>
      <c r="K12" s="18">
        <f t="shared" ca="1" si="0"/>
        <v>0</v>
      </c>
      <c r="L12" s="18">
        <f t="shared" ca="1" si="0"/>
        <v>100</v>
      </c>
      <c r="M12" s="18">
        <f t="shared" ca="1" si="0"/>
        <v>0</v>
      </c>
      <c r="N12" s="18">
        <f t="shared" ca="1" si="0"/>
        <v>3</v>
      </c>
      <c r="O12" s="18">
        <f t="shared" ca="1" si="0"/>
        <v>11</v>
      </c>
      <c r="P12" s="18">
        <f t="shared" ca="1" si="0"/>
        <v>4</v>
      </c>
      <c r="Q12" s="18">
        <f t="shared" ca="1" si="0"/>
        <v>1</v>
      </c>
      <c r="R12" s="18">
        <f t="shared" ca="1" si="0"/>
        <v>15</v>
      </c>
      <c r="S12" s="18">
        <f t="shared" ca="1" si="0"/>
        <v>0</v>
      </c>
      <c r="T12" s="18">
        <f t="shared" ca="1" si="0"/>
        <v>0</v>
      </c>
      <c r="U12" s="18">
        <f t="shared" ca="1" si="0"/>
        <v>0</v>
      </c>
      <c r="V12" s="18">
        <f t="shared" ca="1" si="0"/>
        <v>0</v>
      </c>
      <c r="W12" s="18">
        <f t="shared" ca="1" si="0"/>
        <v>1</v>
      </c>
    </row>
    <row r="13" spans="1:23" x14ac:dyDescent="0.15">
      <c r="A13" s="22" t="str">
        <f t="shared" ca="1" si="1"/>
        <v>30008_1-3/32&lt;lv30&gt;s5</v>
      </c>
      <c r="B13" s="18">
        <f t="shared" ca="1" si="0"/>
        <v>30008</v>
      </c>
      <c r="C13" s="18">
        <f t="shared" ca="1" si="0"/>
        <v>1</v>
      </c>
      <c r="D13" s="18">
        <f t="shared" ca="1" si="0"/>
        <v>3</v>
      </c>
      <c r="E13" s="18">
        <f t="shared" ca="1" si="0"/>
        <v>32</v>
      </c>
      <c r="F13" s="18">
        <f t="shared" ca="1" si="0"/>
        <v>30</v>
      </c>
      <c r="G13" s="18">
        <f t="shared" ca="1" si="0"/>
        <v>1</v>
      </c>
      <c r="H13" s="18">
        <f t="shared" ca="1" si="0"/>
        <v>1</v>
      </c>
      <c r="I13" s="18">
        <f t="shared" ca="1" si="0"/>
        <v>0</v>
      </c>
      <c r="J13" s="18">
        <f t="shared" ca="1" si="0"/>
        <v>0</v>
      </c>
      <c r="K13" s="18">
        <f t="shared" ca="1" si="0"/>
        <v>0</v>
      </c>
      <c r="L13" s="18">
        <f t="shared" ca="1" si="0"/>
        <v>100</v>
      </c>
      <c r="M13" s="18">
        <f t="shared" ca="1" si="0"/>
        <v>0</v>
      </c>
      <c r="N13" s="18">
        <f t="shared" ca="1" si="0"/>
        <v>5</v>
      </c>
      <c r="O13" s="18">
        <f t="shared" ca="1" si="0"/>
        <v>32</v>
      </c>
      <c r="P13" s="18">
        <f t="shared" ca="1" si="0"/>
        <v>2</v>
      </c>
      <c r="Q13" s="18">
        <f t="shared" ca="1" si="0"/>
        <v>2</v>
      </c>
      <c r="R13" s="18">
        <f t="shared" ca="1" si="0"/>
        <v>10</v>
      </c>
      <c r="S13" s="18">
        <f t="shared" ca="1" si="0"/>
        <v>0</v>
      </c>
      <c r="T13" s="18">
        <f t="shared" ca="1" si="0"/>
        <v>0</v>
      </c>
      <c r="U13" s="18">
        <f t="shared" ca="1" si="0"/>
        <v>0</v>
      </c>
      <c r="V13" s="18">
        <f t="shared" ca="1" si="0"/>
        <v>0</v>
      </c>
      <c r="W13" s="18">
        <f t="shared" ca="1" si="0"/>
        <v>1</v>
      </c>
    </row>
    <row r="14" spans="1:23" x14ac:dyDescent="0.15">
      <c r="A14" s="22" t="str">
        <f t="shared" ca="1" si="1"/>
        <v>30008_1-3/17&lt;lv30&gt;s2</v>
      </c>
      <c r="B14" s="18">
        <f t="shared" ca="1" si="0"/>
        <v>30008</v>
      </c>
      <c r="C14" s="18">
        <f t="shared" ca="1" si="0"/>
        <v>1</v>
      </c>
      <c r="D14" s="18">
        <f t="shared" ca="1" si="0"/>
        <v>3</v>
      </c>
      <c r="E14" s="18">
        <f t="shared" ca="1" si="0"/>
        <v>17</v>
      </c>
      <c r="F14" s="18">
        <f t="shared" ca="1" si="0"/>
        <v>30</v>
      </c>
      <c r="G14" s="18">
        <f t="shared" ca="1" si="0"/>
        <v>1</v>
      </c>
      <c r="H14" s="18">
        <f t="shared" ca="1" si="0"/>
        <v>1</v>
      </c>
      <c r="I14" s="18">
        <f t="shared" ca="1" si="0"/>
        <v>0</v>
      </c>
      <c r="J14" s="18">
        <f t="shared" ca="1" si="0"/>
        <v>0</v>
      </c>
      <c r="K14" s="18">
        <f t="shared" ca="1" si="0"/>
        <v>0</v>
      </c>
      <c r="L14" s="18">
        <f t="shared" ca="1" si="0"/>
        <v>100</v>
      </c>
      <c r="M14" s="18">
        <f t="shared" ca="1" si="0"/>
        <v>0</v>
      </c>
      <c r="N14" s="18">
        <f t="shared" ca="1" si="0"/>
        <v>2</v>
      </c>
      <c r="O14" s="18">
        <f t="shared" ref="O14:W29" ca="1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17</v>
      </c>
      <c r="P14" s="18">
        <f t="shared" ca="1" si="2"/>
        <v>4</v>
      </c>
      <c r="Q14" s="18">
        <f t="shared" ca="1" si="2"/>
        <v>1</v>
      </c>
      <c r="R14" s="18">
        <f t="shared" ca="1" si="2"/>
        <v>15</v>
      </c>
      <c r="S14" s="18">
        <f t="shared" ca="1" si="2"/>
        <v>0</v>
      </c>
      <c r="T14" s="18">
        <f t="shared" ca="1" si="2"/>
        <v>0</v>
      </c>
      <c r="U14" s="18">
        <f t="shared" ca="1" si="2"/>
        <v>0</v>
      </c>
      <c r="V14" s="18">
        <f t="shared" ca="1" si="2"/>
        <v>0</v>
      </c>
      <c r="W14" s="18">
        <f t="shared" ca="1" si="2"/>
        <v>1</v>
      </c>
    </row>
    <row r="15" spans="1:23" x14ac:dyDescent="0.15">
      <c r="A15" s="22" t="str">
        <f t="shared" ca="1" si="1"/>
        <v>30008_1-3/19&lt;lv30&gt;s3</v>
      </c>
      <c r="B15" s="18">
        <f t="shared" ref="B15:Q30" ca="1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30008</v>
      </c>
      <c r="C15" s="18">
        <f t="shared" ca="1" si="3"/>
        <v>1</v>
      </c>
      <c r="D15" s="18">
        <f t="shared" ca="1" si="3"/>
        <v>3</v>
      </c>
      <c r="E15" s="18">
        <f t="shared" ca="1" si="3"/>
        <v>19</v>
      </c>
      <c r="F15" s="18">
        <f t="shared" ca="1" si="3"/>
        <v>30</v>
      </c>
      <c r="G15" s="18">
        <f t="shared" ca="1" si="3"/>
        <v>1</v>
      </c>
      <c r="H15" s="18">
        <f t="shared" ca="1" si="3"/>
        <v>1</v>
      </c>
      <c r="I15" s="18">
        <f t="shared" ca="1" si="3"/>
        <v>0</v>
      </c>
      <c r="J15" s="18">
        <f t="shared" ca="1" si="3"/>
        <v>0</v>
      </c>
      <c r="K15" s="18">
        <f t="shared" ca="1" si="3"/>
        <v>0</v>
      </c>
      <c r="L15" s="18">
        <f t="shared" ca="1" si="3"/>
        <v>100</v>
      </c>
      <c r="M15" s="18">
        <f t="shared" ca="1" si="3"/>
        <v>0</v>
      </c>
      <c r="N15" s="18">
        <f t="shared" ca="1" si="3"/>
        <v>3</v>
      </c>
      <c r="O15" s="18">
        <f t="shared" ca="1" si="3"/>
        <v>19</v>
      </c>
      <c r="P15" s="18">
        <f t="shared" ca="1" si="3"/>
        <v>4</v>
      </c>
      <c r="Q15" s="18">
        <f t="shared" ca="1" si="3"/>
        <v>1</v>
      </c>
      <c r="R15" s="18">
        <f t="shared" ca="1" si="2"/>
        <v>15</v>
      </c>
      <c r="S15" s="18">
        <f t="shared" ca="1" si="2"/>
        <v>0</v>
      </c>
      <c r="T15" s="18">
        <f t="shared" ca="1" si="2"/>
        <v>0</v>
      </c>
      <c r="U15" s="18">
        <f t="shared" ca="1" si="2"/>
        <v>0</v>
      </c>
      <c r="V15" s="18">
        <f t="shared" ca="1" si="2"/>
        <v>0</v>
      </c>
      <c r="W15" s="18">
        <f t="shared" ca="1" si="2"/>
        <v>1</v>
      </c>
    </row>
    <row r="16" spans="1:23" x14ac:dyDescent="0.15">
      <c r="A16" s="22" t="str">
        <f t="shared" ca="1" si="1"/>
        <v>30008_1-4/1&lt;lv30&gt;s1</v>
      </c>
      <c r="B16" s="18">
        <f t="shared" ca="1" si="3"/>
        <v>30008</v>
      </c>
      <c r="C16" s="18">
        <f t="shared" ca="1" si="3"/>
        <v>1</v>
      </c>
      <c r="D16" s="18">
        <f t="shared" ca="1" si="3"/>
        <v>4</v>
      </c>
      <c r="E16" s="18">
        <f t="shared" ca="1" si="3"/>
        <v>1</v>
      </c>
      <c r="F16" s="18">
        <f t="shared" ca="1" si="3"/>
        <v>30</v>
      </c>
      <c r="G16" s="18">
        <f t="shared" ca="1" si="3"/>
        <v>1</v>
      </c>
      <c r="H16" s="18">
        <f t="shared" ca="1" si="3"/>
        <v>1</v>
      </c>
      <c r="I16" s="18">
        <f t="shared" ca="1" si="3"/>
        <v>0</v>
      </c>
      <c r="J16" s="18">
        <f t="shared" ca="1" si="3"/>
        <v>0</v>
      </c>
      <c r="K16" s="18">
        <f t="shared" ca="1" si="3"/>
        <v>2</v>
      </c>
      <c r="L16" s="18">
        <f t="shared" ca="1" si="3"/>
        <v>0</v>
      </c>
      <c r="M16" s="18">
        <f t="shared" ca="1" si="3"/>
        <v>0</v>
      </c>
      <c r="N16" s="18">
        <f t="shared" ca="1" si="3"/>
        <v>1</v>
      </c>
      <c r="O16" s="18">
        <f t="shared" ca="1" si="3"/>
        <v>2</v>
      </c>
      <c r="P16" s="18">
        <f t="shared" ca="1" si="3"/>
        <v>1</v>
      </c>
      <c r="Q16" s="18">
        <f t="shared" ca="1" si="3"/>
        <v>2</v>
      </c>
      <c r="R16" s="18">
        <f t="shared" ca="1" si="2"/>
        <v>0</v>
      </c>
      <c r="S16" s="18">
        <f t="shared" ca="1" si="2"/>
        <v>0</v>
      </c>
      <c r="T16" s="18">
        <f t="shared" ca="1" si="2"/>
        <v>0</v>
      </c>
      <c r="U16" s="18">
        <f t="shared" ca="1" si="2"/>
        <v>0</v>
      </c>
      <c r="V16" s="18">
        <f t="shared" ca="1" si="2"/>
        <v>0</v>
      </c>
      <c r="W16" s="18">
        <f t="shared" ca="1" si="2"/>
        <v>1</v>
      </c>
    </row>
    <row r="17" spans="1:23" x14ac:dyDescent="0.15">
      <c r="A17" s="22" t="str">
        <f t="shared" ca="1" si="1"/>
        <v>30008_1-4/288&lt;lv37&gt;s2</v>
      </c>
      <c r="B17" s="18">
        <f t="shared" ca="1" si="3"/>
        <v>30008</v>
      </c>
      <c r="C17" s="18">
        <f t="shared" ca="1" si="3"/>
        <v>1</v>
      </c>
      <c r="D17" s="18">
        <f t="shared" ca="1" si="3"/>
        <v>4</v>
      </c>
      <c r="E17" s="18">
        <f t="shared" ca="1" si="3"/>
        <v>288</v>
      </c>
      <c r="F17" s="18">
        <f t="shared" ca="1" si="3"/>
        <v>37</v>
      </c>
      <c r="G17" s="18">
        <f t="shared" ca="1" si="3"/>
        <v>2.7</v>
      </c>
      <c r="H17" s="18">
        <f t="shared" ca="1" si="3"/>
        <v>1.1000000000000001</v>
      </c>
      <c r="I17" s="18">
        <f t="shared" ca="1" si="3"/>
        <v>0</v>
      </c>
      <c r="J17" s="18">
        <f t="shared" ca="1" si="3"/>
        <v>28803</v>
      </c>
      <c r="K17" s="18">
        <f t="shared" ca="1" si="3"/>
        <v>1</v>
      </c>
      <c r="L17" s="18">
        <f t="shared" ca="1" si="3"/>
        <v>0</v>
      </c>
      <c r="M17" s="18">
        <f t="shared" ca="1" si="3"/>
        <v>1</v>
      </c>
      <c r="N17" s="18">
        <f t="shared" ca="1" si="3"/>
        <v>2</v>
      </c>
      <c r="O17" s="18">
        <f t="shared" ca="1" si="3"/>
        <v>288</v>
      </c>
      <c r="P17" s="18">
        <f t="shared" ca="1" si="3"/>
        <v>1</v>
      </c>
      <c r="Q17" s="18">
        <f t="shared" ca="1" si="3"/>
        <v>4</v>
      </c>
      <c r="R17" s="18">
        <f t="shared" ca="1" si="2"/>
        <v>20</v>
      </c>
      <c r="S17" s="18">
        <f t="shared" ca="1" si="2"/>
        <v>0</v>
      </c>
      <c r="T17" s="18">
        <f t="shared" ca="1" si="2"/>
        <v>0</v>
      </c>
      <c r="U17" s="18">
        <f t="shared" ca="1" si="2"/>
        <v>0</v>
      </c>
      <c r="V17" s="18">
        <f t="shared" ca="1" si="2"/>
        <v>0</v>
      </c>
      <c r="W17" s="18">
        <f t="shared" ca="1" si="2"/>
        <v>1</v>
      </c>
    </row>
    <row r="18" spans="1:23" x14ac:dyDescent="0.15">
      <c r="A18" s="22" t="str">
        <f t="shared" ca="1" si="1"/>
        <v>30008_2-1/32&lt;lv42&gt;s5</v>
      </c>
      <c r="B18" s="18">
        <f t="shared" ca="1" si="3"/>
        <v>30008</v>
      </c>
      <c r="C18" s="18">
        <f t="shared" ca="1" si="3"/>
        <v>2</v>
      </c>
      <c r="D18" s="18">
        <f t="shared" ca="1" si="3"/>
        <v>1</v>
      </c>
      <c r="E18" s="18">
        <f t="shared" ca="1" si="3"/>
        <v>32</v>
      </c>
      <c r="F18" s="18">
        <f t="shared" ca="1" si="3"/>
        <v>42</v>
      </c>
      <c r="G18" s="18">
        <f t="shared" ca="1" si="3"/>
        <v>1</v>
      </c>
      <c r="H18" s="18">
        <f t="shared" ca="1" si="3"/>
        <v>1</v>
      </c>
      <c r="I18" s="18">
        <f t="shared" ca="1" si="3"/>
        <v>0</v>
      </c>
      <c r="J18" s="18">
        <f t="shared" ca="1" si="3"/>
        <v>0</v>
      </c>
      <c r="K18" s="18">
        <f t="shared" ca="1" si="3"/>
        <v>0</v>
      </c>
      <c r="L18" s="18">
        <f t="shared" ca="1" si="3"/>
        <v>100</v>
      </c>
      <c r="M18" s="18">
        <f t="shared" ca="1" si="3"/>
        <v>0</v>
      </c>
      <c r="N18" s="18">
        <f t="shared" ca="1" si="3"/>
        <v>5</v>
      </c>
      <c r="O18" s="18">
        <f t="shared" ca="1" si="3"/>
        <v>32</v>
      </c>
      <c r="P18" s="18">
        <f t="shared" ca="1" si="3"/>
        <v>5</v>
      </c>
      <c r="Q18" s="18">
        <f t="shared" ca="1" si="3"/>
        <v>2</v>
      </c>
      <c r="R18" s="18">
        <f t="shared" ca="1" si="2"/>
        <v>10</v>
      </c>
      <c r="S18" s="18">
        <f t="shared" ca="1" si="2"/>
        <v>0</v>
      </c>
      <c r="T18" s="18">
        <f t="shared" ca="1" si="2"/>
        <v>0</v>
      </c>
      <c r="U18" s="18">
        <f t="shared" ca="1" si="2"/>
        <v>0</v>
      </c>
      <c r="V18" s="18">
        <f t="shared" ca="1" si="2"/>
        <v>0</v>
      </c>
      <c r="W18" s="18">
        <f t="shared" ca="1" si="2"/>
        <v>1</v>
      </c>
    </row>
    <row r="19" spans="1:23" x14ac:dyDescent="0.15">
      <c r="A19" s="22" t="str">
        <f t="shared" ca="1" si="1"/>
        <v>30008_2-1/21&lt;lv42&gt;s2</v>
      </c>
      <c r="B19" s="18">
        <f t="shared" ca="1" si="3"/>
        <v>30008</v>
      </c>
      <c r="C19" s="18">
        <f t="shared" ca="1" si="3"/>
        <v>2</v>
      </c>
      <c r="D19" s="18">
        <f t="shared" ca="1" si="3"/>
        <v>1</v>
      </c>
      <c r="E19" s="18">
        <f t="shared" ca="1" si="3"/>
        <v>21</v>
      </c>
      <c r="F19" s="18">
        <f t="shared" ca="1" si="3"/>
        <v>42</v>
      </c>
      <c r="G19" s="18">
        <f t="shared" ca="1" si="3"/>
        <v>1</v>
      </c>
      <c r="H19" s="18">
        <f t="shared" ca="1" si="3"/>
        <v>1</v>
      </c>
      <c r="I19" s="18">
        <f t="shared" ca="1" si="3"/>
        <v>0</v>
      </c>
      <c r="J19" s="18">
        <f t="shared" ca="1" si="3"/>
        <v>0</v>
      </c>
      <c r="K19" s="18">
        <f t="shared" ca="1" si="3"/>
        <v>0</v>
      </c>
      <c r="L19" s="18">
        <f t="shared" ca="1" si="3"/>
        <v>100</v>
      </c>
      <c r="M19" s="18">
        <f t="shared" ca="1" si="3"/>
        <v>0</v>
      </c>
      <c r="N19" s="18">
        <f t="shared" ca="1" si="3"/>
        <v>2</v>
      </c>
      <c r="O19" s="18">
        <f t="shared" ca="1" si="3"/>
        <v>21</v>
      </c>
      <c r="P19" s="18">
        <f t="shared" ca="1" si="3"/>
        <v>5</v>
      </c>
      <c r="Q19" s="18">
        <f t="shared" ca="1" si="3"/>
        <v>1</v>
      </c>
      <c r="R19" s="18">
        <f t="shared" ca="1" si="2"/>
        <v>15</v>
      </c>
      <c r="S19" s="18">
        <f t="shared" ca="1" si="2"/>
        <v>0</v>
      </c>
      <c r="T19" s="18">
        <f t="shared" ca="1" si="2"/>
        <v>0</v>
      </c>
      <c r="U19" s="18">
        <f t="shared" ca="1" si="2"/>
        <v>0</v>
      </c>
      <c r="V19" s="18">
        <f t="shared" ca="1" si="2"/>
        <v>0</v>
      </c>
      <c r="W19" s="18">
        <f t="shared" ca="1" si="2"/>
        <v>1</v>
      </c>
    </row>
    <row r="20" spans="1:23" x14ac:dyDescent="0.15">
      <c r="A20" s="22" t="str">
        <f t="shared" ca="1" si="1"/>
        <v>30008_2-1/23&lt;lv42&gt;s4</v>
      </c>
      <c r="B20" s="18">
        <f t="shared" ca="1" si="3"/>
        <v>30008</v>
      </c>
      <c r="C20" s="18">
        <f t="shared" ca="1" si="3"/>
        <v>2</v>
      </c>
      <c r="D20" s="18">
        <f t="shared" ca="1" si="3"/>
        <v>1</v>
      </c>
      <c r="E20" s="18">
        <f t="shared" ca="1" si="3"/>
        <v>23</v>
      </c>
      <c r="F20" s="18">
        <f t="shared" ca="1" si="3"/>
        <v>42</v>
      </c>
      <c r="G20" s="18">
        <f t="shared" ca="1" si="3"/>
        <v>1</v>
      </c>
      <c r="H20" s="18">
        <f t="shared" ca="1" si="3"/>
        <v>1</v>
      </c>
      <c r="I20" s="18">
        <f t="shared" ca="1" si="3"/>
        <v>0</v>
      </c>
      <c r="J20" s="18">
        <f t="shared" ca="1" si="3"/>
        <v>0</v>
      </c>
      <c r="K20" s="18">
        <f t="shared" ca="1" si="3"/>
        <v>0</v>
      </c>
      <c r="L20" s="18">
        <f t="shared" ca="1" si="3"/>
        <v>100</v>
      </c>
      <c r="M20" s="18">
        <f t="shared" ca="1" si="3"/>
        <v>0</v>
      </c>
      <c r="N20" s="18">
        <f t="shared" ca="1" si="3"/>
        <v>4</v>
      </c>
      <c r="O20" s="18">
        <f t="shared" ca="1" si="3"/>
        <v>23</v>
      </c>
      <c r="P20" s="18">
        <f t="shared" ca="1" si="3"/>
        <v>5</v>
      </c>
      <c r="Q20" s="18">
        <f t="shared" ca="1" si="3"/>
        <v>1</v>
      </c>
      <c r="R20" s="18">
        <f t="shared" ca="1" si="2"/>
        <v>15</v>
      </c>
      <c r="S20" s="18">
        <f t="shared" ca="1" si="2"/>
        <v>0</v>
      </c>
      <c r="T20" s="18">
        <f t="shared" ca="1" si="2"/>
        <v>0</v>
      </c>
      <c r="U20" s="18">
        <f t="shared" ca="1" si="2"/>
        <v>0</v>
      </c>
      <c r="V20" s="18">
        <f t="shared" ca="1" si="2"/>
        <v>0</v>
      </c>
      <c r="W20" s="18">
        <f t="shared" ca="1" si="2"/>
        <v>1</v>
      </c>
    </row>
    <row r="21" spans="1:23" x14ac:dyDescent="0.15">
      <c r="A21" s="22" t="str">
        <f t="shared" ca="1" si="1"/>
        <v>30008_2-1/29&lt;lv42&gt;s2</v>
      </c>
      <c r="B21" s="18">
        <f t="shared" ca="1" si="3"/>
        <v>30008</v>
      </c>
      <c r="C21" s="18">
        <f t="shared" ca="1" si="3"/>
        <v>2</v>
      </c>
      <c r="D21" s="18">
        <f t="shared" ca="1" si="3"/>
        <v>1</v>
      </c>
      <c r="E21" s="18">
        <f t="shared" ca="1" si="3"/>
        <v>29</v>
      </c>
      <c r="F21" s="18">
        <f t="shared" ca="1" si="3"/>
        <v>42</v>
      </c>
      <c r="G21" s="18">
        <f t="shared" ca="1" si="3"/>
        <v>1</v>
      </c>
      <c r="H21" s="18">
        <f t="shared" ca="1" si="3"/>
        <v>1</v>
      </c>
      <c r="I21" s="18">
        <f t="shared" ca="1" si="3"/>
        <v>0</v>
      </c>
      <c r="J21" s="18">
        <f t="shared" ca="1" si="3"/>
        <v>0</v>
      </c>
      <c r="K21" s="18">
        <f t="shared" ca="1" si="3"/>
        <v>0</v>
      </c>
      <c r="L21" s="18">
        <f t="shared" ca="1" si="3"/>
        <v>100</v>
      </c>
      <c r="M21" s="18">
        <f t="shared" ca="1" si="3"/>
        <v>0</v>
      </c>
      <c r="N21" s="18">
        <f t="shared" ca="1" si="3"/>
        <v>2</v>
      </c>
      <c r="O21" s="18">
        <f t="shared" ca="1" si="3"/>
        <v>29</v>
      </c>
      <c r="P21" s="18">
        <f t="shared" ca="1" si="3"/>
        <v>5</v>
      </c>
      <c r="Q21" s="18">
        <f t="shared" ca="1" si="3"/>
        <v>1</v>
      </c>
      <c r="R21" s="18">
        <f t="shared" ca="1" si="2"/>
        <v>15</v>
      </c>
      <c r="S21" s="18">
        <f t="shared" ca="1" si="2"/>
        <v>0</v>
      </c>
      <c r="T21" s="18">
        <f t="shared" ca="1" si="2"/>
        <v>0</v>
      </c>
      <c r="U21" s="18">
        <f t="shared" ca="1" si="2"/>
        <v>0</v>
      </c>
      <c r="V21" s="18">
        <f t="shared" ca="1" si="2"/>
        <v>0</v>
      </c>
      <c r="W21" s="18">
        <f t="shared" ca="1" si="2"/>
        <v>1</v>
      </c>
    </row>
    <row r="22" spans="1:23" x14ac:dyDescent="0.15">
      <c r="A22" s="22" t="str">
        <f t="shared" ca="1" si="1"/>
        <v>30008_2-1/47&lt;lv42&gt;s1</v>
      </c>
      <c r="B22" s="18">
        <f t="shared" ca="1" si="3"/>
        <v>30008</v>
      </c>
      <c r="C22" s="18">
        <f t="shared" ca="1" si="3"/>
        <v>2</v>
      </c>
      <c r="D22" s="18">
        <f t="shared" ca="1" si="3"/>
        <v>1</v>
      </c>
      <c r="E22" s="18">
        <f t="shared" ca="1" si="3"/>
        <v>47</v>
      </c>
      <c r="F22" s="18">
        <f t="shared" ca="1" si="3"/>
        <v>42</v>
      </c>
      <c r="G22" s="18">
        <f t="shared" ca="1" si="3"/>
        <v>1</v>
      </c>
      <c r="H22" s="18">
        <f t="shared" ca="1" si="3"/>
        <v>1</v>
      </c>
      <c r="I22" s="18">
        <f t="shared" ca="1" si="3"/>
        <v>0</v>
      </c>
      <c r="J22" s="18">
        <f t="shared" ca="1" si="3"/>
        <v>0</v>
      </c>
      <c r="K22" s="18">
        <f t="shared" ca="1" si="3"/>
        <v>0</v>
      </c>
      <c r="L22" s="18">
        <f t="shared" ca="1" si="3"/>
        <v>100</v>
      </c>
      <c r="M22" s="18">
        <f t="shared" ca="1" si="3"/>
        <v>0</v>
      </c>
      <c r="N22" s="18">
        <f t="shared" ca="1" si="3"/>
        <v>1</v>
      </c>
      <c r="O22" s="18">
        <f t="shared" ca="1" si="3"/>
        <v>47</v>
      </c>
      <c r="P22" s="18">
        <f t="shared" ca="1" si="3"/>
        <v>5</v>
      </c>
      <c r="Q22" s="18">
        <f t="shared" ca="1" si="3"/>
        <v>2</v>
      </c>
      <c r="R22" s="18">
        <f t="shared" ca="1" si="2"/>
        <v>15</v>
      </c>
      <c r="S22" s="18">
        <f t="shared" ca="1" si="2"/>
        <v>0</v>
      </c>
      <c r="T22" s="18">
        <f t="shared" ca="1" si="2"/>
        <v>0</v>
      </c>
      <c r="U22" s="18">
        <f t="shared" ca="1" si="2"/>
        <v>0</v>
      </c>
      <c r="V22" s="18">
        <f t="shared" ca="1" si="2"/>
        <v>0</v>
      </c>
      <c r="W22" s="18">
        <f t="shared" ca="1" si="2"/>
        <v>1</v>
      </c>
    </row>
    <row r="23" spans="1:23" x14ac:dyDescent="0.15">
      <c r="A23" s="22" t="str">
        <f t="shared" ca="1" si="1"/>
        <v>30008_2-2/121&lt;lv25&gt;s3</v>
      </c>
      <c r="B23" s="18">
        <f t="shared" ca="1" si="3"/>
        <v>30008</v>
      </c>
      <c r="C23" s="18">
        <f t="shared" ca="1" si="3"/>
        <v>2</v>
      </c>
      <c r="D23" s="18">
        <f t="shared" ca="1" si="3"/>
        <v>2</v>
      </c>
      <c r="E23" s="18">
        <f t="shared" ca="1" si="3"/>
        <v>121</v>
      </c>
      <c r="F23" s="18">
        <f t="shared" ca="1" si="3"/>
        <v>25</v>
      </c>
      <c r="G23" s="18">
        <f t="shared" ca="1" si="3"/>
        <v>1</v>
      </c>
      <c r="H23" s="18">
        <f t="shared" ca="1" si="3"/>
        <v>1</v>
      </c>
      <c r="I23" s="18">
        <f t="shared" ca="1" si="3"/>
        <v>0</v>
      </c>
      <c r="J23" s="18">
        <f t="shared" ca="1" si="3"/>
        <v>1211</v>
      </c>
      <c r="K23" s="18">
        <f t="shared" ca="1" si="3"/>
        <v>1</v>
      </c>
      <c r="L23" s="18">
        <f t="shared" ca="1" si="3"/>
        <v>0</v>
      </c>
      <c r="M23" s="18">
        <f t="shared" ca="1" si="3"/>
        <v>1</v>
      </c>
      <c r="N23" s="18">
        <f t="shared" ca="1" si="3"/>
        <v>3</v>
      </c>
      <c r="O23" s="18">
        <f t="shared" ca="1" si="3"/>
        <v>121</v>
      </c>
      <c r="P23" s="18">
        <f t="shared" ca="1" si="3"/>
        <v>1</v>
      </c>
      <c r="Q23" s="18">
        <f t="shared" ca="1" si="3"/>
        <v>3</v>
      </c>
      <c r="R23" s="18">
        <f t="shared" ca="1" si="2"/>
        <v>5</v>
      </c>
      <c r="S23" s="18">
        <f t="shared" ca="1" si="2"/>
        <v>0</v>
      </c>
      <c r="T23" s="18">
        <f t="shared" ca="1" si="2"/>
        <v>0</v>
      </c>
      <c r="U23" s="18">
        <f t="shared" ca="1" si="2"/>
        <v>0</v>
      </c>
      <c r="V23" s="18">
        <f t="shared" ca="1" si="2"/>
        <v>0</v>
      </c>
      <c r="W23" s="18">
        <f t="shared" ca="1" si="2"/>
        <v>1</v>
      </c>
    </row>
    <row r="24" spans="1:23" x14ac:dyDescent="0.15">
      <c r="A24" s="22" t="str">
        <f t="shared" ca="1" si="1"/>
        <v>30008_2-2/122&lt;lv25&gt;s3</v>
      </c>
      <c r="B24" s="18">
        <f t="shared" ca="1" si="3"/>
        <v>30008</v>
      </c>
      <c r="C24" s="18">
        <f t="shared" ca="1" si="3"/>
        <v>2</v>
      </c>
      <c r="D24" s="18">
        <f t="shared" ca="1" si="3"/>
        <v>2</v>
      </c>
      <c r="E24" s="18">
        <f t="shared" ca="1" si="3"/>
        <v>122</v>
      </c>
      <c r="F24" s="18">
        <f t="shared" ca="1" si="3"/>
        <v>25</v>
      </c>
      <c r="G24" s="18">
        <f t="shared" ca="1" si="3"/>
        <v>1</v>
      </c>
      <c r="H24" s="18">
        <f t="shared" ca="1" si="3"/>
        <v>1</v>
      </c>
      <c r="I24" s="18">
        <f t="shared" ca="1" si="3"/>
        <v>0</v>
      </c>
      <c r="J24" s="18">
        <f t="shared" ca="1" si="3"/>
        <v>1221</v>
      </c>
      <c r="K24" s="18">
        <f t="shared" ca="1" si="3"/>
        <v>1</v>
      </c>
      <c r="L24" s="18">
        <f t="shared" ca="1" si="3"/>
        <v>0</v>
      </c>
      <c r="M24" s="18">
        <f t="shared" ca="1" si="3"/>
        <v>1</v>
      </c>
      <c r="N24" s="18">
        <f t="shared" ca="1" si="3"/>
        <v>3</v>
      </c>
      <c r="O24" s="18">
        <f t="shared" ca="1" si="3"/>
        <v>122</v>
      </c>
      <c r="P24" s="18">
        <f t="shared" ca="1" si="3"/>
        <v>1</v>
      </c>
      <c r="Q24" s="18">
        <f t="shared" ca="1" si="3"/>
        <v>3</v>
      </c>
      <c r="R24" s="18">
        <f t="shared" ca="1" si="2"/>
        <v>5</v>
      </c>
      <c r="S24" s="18">
        <f t="shared" ca="1" si="2"/>
        <v>0</v>
      </c>
      <c r="T24" s="18">
        <f t="shared" ca="1" si="2"/>
        <v>0</v>
      </c>
      <c r="U24" s="18">
        <f t="shared" ca="1" si="2"/>
        <v>0</v>
      </c>
      <c r="V24" s="18">
        <f t="shared" ca="1" si="2"/>
        <v>0</v>
      </c>
      <c r="W24" s="18">
        <f t="shared" ca="1" si="2"/>
        <v>1</v>
      </c>
    </row>
    <row r="25" spans="1:23" x14ac:dyDescent="0.15">
      <c r="A25" s="22" t="str">
        <f t="shared" ca="1" si="1"/>
        <v>30008_2-2/123&lt;lv25&gt;s3</v>
      </c>
      <c r="B25" s="18">
        <f t="shared" ca="1" si="3"/>
        <v>30008</v>
      </c>
      <c r="C25" s="18">
        <f t="shared" ca="1" si="3"/>
        <v>2</v>
      </c>
      <c r="D25" s="18">
        <f t="shared" ca="1" si="3"/>
        <v>2</v>
      </c>
      <c r="E25" s="18">
        <f t="shared" ca="1" si="3"/>
        <v>123</v>
      </c>
      <c r="F25" s="18">
        <f t="shared" ca="1" si="3"/>
        <v>25</v>
      </c>
      <c r="G25" s="18">
        <f t="shared" ca="1" si="3"/>
        <v>0.5</v>
      </c>
      <c r="H25" s="18">
        <f t="shared" ca="1" si="3"/>
        <v>1</v>
      </c>
      <c r="I25" s="18">
        <f t="shared" ca="1" si="3"/>
        <v>0</v>
      </c>
      <c r="J25" s="18">
        <f t="shared" ca="1" si="3"/>
        <v>1231</v>
      </c>
      <c r="K25" s="18">
        <f t="shared" ca="1" si="3"/>
        <v>1</v>
      </c>
      <c r="L25" s="18">
        <f t="shared" ca="1" si="3"/>
        <v>0</v>
      </c>
      <c r="M25" s="18">
        <f t="shared" ca="1" si="3"/>
        <v>1</v>
      </c>
      <c r="N25" s="18">
        <f t="shared" ca="1" si="3"/>
        <v>3</v>
      </c>
      <c r="O25" s="18">
        <f t="shared" ca="1" si="3"/>
        <v>123</v>
      </c>
      <c r="P25" s="18">
        <f t="shared" ca="1" si="3"/>
        <v>1</v>
      </c>
      <c r="Q25" s="18">
        <f t="shared" ca="1" si="3"/>
        <v>3</v>
      </c>
      <c r="R25" s="18">
        <f t="shared" ca="1" si="2"/>
        <v>5</v>
      </c>
      <c r="S25" s="18">
        <f t="shared" ca="1" si="2"/>
        <v>0</v>
      </c>
      <c r="T25" s="18">
        <f t="shared" ca="1" si="2"/>
        <v>0</v>
      </c>
      <c r="U25" s="18">
        <f t="shared" ca="1" si="2"/>
        <v>0</v>
      </c>
      <c r="V25" s="18">
        <f t="shared" ca="1" si="2"/>
        <v>0</v>
      </c>
      <c r="W25" s="18">
        <f t="shared" ca="1" si="2"/>
        <v>1</v>
      </c>
    </row>
    <row r="26" spans="1:23" x14ac:dyDescent="0.15">
      <c r="A26" s="22" t="str">
        <f t="shared" ca="1" si="1"/>
        <v>30008_2-3/1&lt;lv36&gt;s1</v>
      </c>
      <c r="B26" s="18">
        <f t="shared" ca="1" si="3"/>
        <v>30008</v>
      </c>
      <c r="C26" s="18">
        <f t="shared" ca="1" si="3"/>
        <v>2</v>
      </c>
      <c r="D26" s="18">
        <f t="shared" ca="1" si="3"/>
        <v>3</v>
      </c>
      <c r="E26" s="18">
        <f t="shared" ca="1" si="3"/>
        <v>1</v>
      </c>
      <c r="F26" s="18">
        <f t="shared" ca="1" si="3"/>
        <v>36</v>
      </c>
      <c r="G26" s="18">
        <f t="shared" ca="1" si="3"/>
        <v>1</v>
      </c>
      <c r="H26" s="18">
        <f t="shared" ca="1" si="3"/>
        <v>1</v>
      </c>
      <c r="I26" s="18">
        <f t="shared" ca="1" si="3"/>
        <v>0</v>
      </c>
      <c r="J26" s="18">
        <f t="shared" ca="1" si="3"/>
        <v>0</v>
      </c>
      <c r="K26" s="18">
        <f t="shared" ca="1" si="3"/>
        <v>2</v>
      </c>
      <c r="L26" s="18">
        <f t="shared" ca="1" si="3"/>
        <v>100</v>
      </c>
      <c r="M26" s="18">
        <f t="shared" ca="1" si="3"/>
        <v>0</v>
      </c>
      <c r="N26" s="18">
        <f t="shared" ca="1" si="3"/>
        <v>1</v>
      </c>
      <c r="O26" s="18">
        <f t="shared" ca="1" si="3"/>
        <v>41</v>
      </c>
      <c r="P26" s="18">
        <f t="shared" ca="1" si="3"/>
        <v>1</v>
      </c>
      <c r="Q26" s="18">
        <f t="shared" ca="1" si="3"/>
        <v>2</v>
      </c>
      <c r="R26" s="18">
        <f t="shared" ca="1" si="2"/>
        <v>0</v>
      </c>
      <c r="S26" s="18">
        <f t="shared" ca="1" si="2"/>
        <v>0</v>
      </c>
      <c r="T26" s="18">
        <f t="shared" ca="1" si="2"/>
        <v>0</v>
      </c>
      <c r="U26" s="18">
        <f t="shared" ca="1" si="2"/>
        <v>0</v>
      </c>
      <c r="V26" s="18">
        <f t="shared" ca="1" si="2"/>
        <v>0</v>
      </c>
      <c r="W26" s="18">
        <f t="shared" ca="1" si="2"/>
        <v>1</v>
      </c>
    </row>
    <row r="27" spans="1:23" x14ac:dyDescent="0.15">
      <c r="A27" s="22" t="str">
        <f t="shared" ca="1" si="1"/>
        <v>30008_2-3/288&lt;lv40&gt;s2</v>
      </c>
      <c r="B27" s="18">
        <f t="shared" ca="1" si="3"/>
        <v>30008</v>
      </c>
      <c r="C27" s="18">
        <f t="shared" ca="1" si="3"/>
        <v>2</v>
      </c>
      <c r="D27" s="18">
        <f t="shared" ca="1" si="3"/>
        <v>3</v>
      </c>
      <c r="E27" s="18">
        <f t="shared" ca="1" si="3"/>
        <v>288</v>
      </c>
      <c r="F27" s="18">
        <f t="shared" ca="1" si="3"/>
        <v>40</v>
      </c>
      <c r="G27" s="18">
        <f t="shared" ca="1" si="3"/>
        <v>1</v>
      </c>
      <c r="H27" s="18">
        <f t="shared" ca="1" si="3"/>
        <v>1</v>
      </c>
      <c r="I27" s="18">
        <f t="shared" ca="1" si="3"/>
        <v>0</v>
      </c>
      <c r="J27" s="18">
        <f t="shared" ca="1" si="3"/>
        <v>28802</v>
      </c>
      <c r="K27" s="18">
        <f t="shared" ca="1" si="3"/>
        <v>1</v>
      </c>
      <c r="L27" s="18">
        <f t="shared" ca="1" si="3"/>
        <v>0</v>
      </c>
      <c r="M27" s="18">
        <f t="shared" ca="1" si="3"/>
        <v>1</v>
      </c>
      <c r="N27" s="18">
        <f t="shared" ca="1" si="3"/>
        <v>2</v>
      </c>
      <c r="O27" s="18">
        <f t="shared" ca="1" si="3"/>
        <v>288</v>
      </c>
      <c r="P27" s="18">
        <f t="shared" ca="1" si="3"/>
        <v>1</v>
      </c>
      <c r="Q27" s="18">
        <f t="shared" ca="1" si="3"/>
        <v>4</v>
      </c>
      <c r="R27" s="18">
        <f t="shared" ca="1" si="2"/>
        <v>0</v>
      </c>
      <c r="S27" s="18">
        <f t="shared" ca="1" si="2"/>
        <v>0</v>
      </c>
      <c r="T27" s="18">
        <f t="shared" ca="1" si="2"/>
        <v>0</v>
      </c>
      <c r="U27" s="18">
        <f t="shared" ca="1" si="2"/>
        <v>0</v>
      </c>
      <c r="V27" s="18">
        <f t="shared" ca="1" si="2"/>
        <v>0</v>
      </c>
      <c r="W27" s="18">
        <f t="shared" ca="1" si="2"/>
        <v>1</v>
      </c>
    </row>
    <row r="28" spans="1:23" x14ac:dyDescent="0.15">
      <c r="A28" s="22" t="str">
        <f t="shared" ca="1" si="1"/>
        <v>30008_2-4/288&lt;lv50&gt;s2</v>
      </c>
      <c r="B28" s="18">
        <f t="shared" ca="1" si="3"/>
        <v>30008</v>
      </c>
      <c r="C28" s="18">
        <f t="shared" ca="1" si="3"/>
        <v>2</v>
      </c>
      <c r="D28" s="18">
        <f t="shared" ca="1" si="3"/>
        <v>4</v>
      </c>
      <c r="E28" s="18">
        <f t="shared" ca="1" si="3"/>
        <v>288</v>
      </c>
      <c r="F28" s="18">
        <f t="shared" ca="1" si="3"/>
        <v>50</v>
      </c>
      <c r="G28" s="18">
        <f t="shared" ca="1" si="3"/>
        <v>3.5</v>
      </c>
      <c r="H28" s="18">
        <f t="shared" ca="1" si="3"/>
        <v>1.1000000000000001</v>
      </c>
      <c r="I28" s="18">
        <f t="shared" ca="1" si="3"/>
        <v>0</v>
      </c>
      <c r="J28" s="18">
        <f t="shared" ca="1" si="3"/>
        <v>28804</v>
      </c>
      <c r="K28" s="18">
        <f t="shared" ca="1" si="3"/>
        <v>1</v>
      </c>
      <c r="L28" s="18">
        <f t="shared" ca="1" si="3"/>
        <v>0</v>
      </c>
      <c r="M28" s="18">
        <f t="shared" ca="1" si="3"/>
        <v>1</v>
      </c>
      <c r="N28" s="18">
        <f t="shared" ca="1" si="3"/>
        <v>2</v>
      </c>
      <c r="O28" s="18">
        <f t="shared" ca="1" si="3"/>
        <v>288</v>
      </c>
      <c r="P28" s="18">
        <f t="shared" ca="1" si="3"/>
        <v>1</v>
      </c>
      <c r="Q28" s="18">
        <f t="shared" ca="1" si="3"/>
        <v>4</v>
      </c>
      <c r="R28" s="18">
        <f ca="1">VLOOKUP($A28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28" s="18">
        <f t="shared" ca="1" si="2"/>
        <v>0</v>
      </c>
      <c r="T28" s="18">
        <f t="shared" ca="1" si="2"/>
        <v>0</v>
      </c>
      <c r="U28" s="18">
        <f t="shared" ca="1" si="2"/>
        <v>0</v>
      </c>
      <c r="V28" s="18">
        <f t="shared" ca="1" si="2"/>
        <v>0</v>
      </c>
      <c r="W28" s="18">
        <f t="shared" ca="1" si="2"/>
        <v>1</v>
      </c>
    </row>
    <row r="29" spans="1:23" x14ac:dyDescent="0.15">
      <c r="A29" s="22" t="str">
        <f t="shared" ca="1" si="1"/>
        <v>30008_3-1/32&lt;lv50&gt;s5</v>
      </c>
      <c r="B29" s="18">
        <f t="shared" ca="1" si="3"/>
        <v>30008</v>
      </c>
      <c r="C29" s="18">
        <f t="shared" ca="1" si="3"/>
        <v>3</v>
      </c>
      <c r="D29" s="18">
        <f t="shared" ca="1" si="3"/>
        <v>1</v>
      </c>
      <c r="E29" s="18">
        <f t="shared" ca="1" si="3"/>
        <v>32</v>
      </c>
      <c r="F29" s="18">
        <f t="shared" ca="1" si="3"/>
        <v>50</v>
      </c>
      <c r="G29" s="18">
        <f t="shared" ca="1" si="3"/>
        <v>1</v>
      </c>
      <c r="H29" s="18">
        <f t="shared" ca="1" si="3"/>
        <v>1</v>
      </c>
      <c r="I29" s="18">
        <f t="shared" ca="1" si="3"/>
        <v>0</v>
      </c>
      <c r="J29" s="18">
        <f t="shared" ca="1" si="3"/>
        <v>0</v>
      </c>
      <c r="K29" s="18">
        <f t="shared" ca="1" si="3"/>
        <v>0</v>
      </c>
      <c r="L29" s="18">
        <f t="shared" ca="1" si="3"/>
        <v>100</v>
      </c>
      <c r="M29" s="18">
        <f t="shared" ca="1" si="3"/>
        <v>0</v>
      </c>
      <c r="N29" s="18">
        <f t="shared" ca="1" si="3"/>
        <v>5</v>
      </c>
      <c r="O29" s="18">
        <f t="shared" ca="1" si="3"/>
        <v>32</v>
      </c>
      <c r="P29" s="18">
        <f t="shared" ca="1" si="3"/>
        <v>7</v>
      </c>
      <c r="Q29" s="18">
        <f t="shared" ca="1" si="3"/>
        <v>2</v>
      </c>
      <c r="R29" s="18">
        <f t="shared" ca="1" si="2"/>
        <v>10</v>
      </c>
      <c r="S29" s="18">
        <f t="shared" ca="1" si="2"/>
        <v>0</v>
      </c>
      <c r="T29" s="18">
        <f t="shared" ca="1" si="2"/>
        <v>0</v>
      </c>
      <c r="U29" s="18">
        <f t="shared" ca="1" si="2"/>
        <v>0</v>
      </c>
      <c r="V29" s="18">
        <f t="shared" ca="1" si="2"/>
        <v>0</v>
      </c>
      <c r="W29" s="18">
        <f t="shared" ca="1" si="2"/>
        <v>1</v>
      </c>
    </row>
    <row r="30" spans="1:23" x14ac:dyDescent="0.15">
      <c r="A30" s="22" t="str">
        <f t="shared" ca="1" si="1"/>
        <v>30008_3-1/41&lt;lv42&gt;s1</v>
      </c>
      <c r="B30" s="18">
        <f t="shared" ca="1" si="3"/>
        <v>30008</v>
      </c>
      <c r="C30" s="18">
        <f t="shared" ca="1" si="3"/>
        <v>3</v>
      </c>
      <c r="D30" s="18">
        <f t="shared" ca="1" si="3"/>
        <v>1</v>
      </c>
      <c r="E30" s="18">
        <f t="shared" ca="1" si="3"/>
        <v>41</v>
      </c>
      <c r="F30" s="18">
        <f t="shared" ca="1" si="3"/>
        <v>42</v>
      </c>
      <c r="G30" s="18">
        <f t="shared" ca="1" si="3"/>
        <v>1</v>
      </c>
      <c r="H30" s="18">
        <f t="shared" ca="1" si="3"/>
        <v>1</v>
      </c>
      <c r="I30" s="18">
        <f t="shared" ca="1" si="3"/>
        <v>0</v>
      </c>
      <c r="J30" s="18">
        <f t="shared" ca="1" si="3"/>
        <v>0</v>
      </c>
      <c r="K30" s="18">
        <f t="shared" ca="1" si="3"/>
        <v>0</v>
      </c>
      <c r="L30" s="18">
        <f t="shared" ca="1" si="3"/>
        <v>5</v>
      </c>
      <c r="M30" s="18">
        <f t="shared" ca="1" si="3"/>
        <v>0</v>
      </c>
      <c r="N30" s="18">
        <f t="shared" ca="1" si="3"/>
        <v>1</v>
      </c>
      <c r="O30" s="18">
        <f t="shared" ca="1" si="3"/>
        <v>41</v>
      </c>
      <c r="P30" s="18">
        <f t="shared" ca="1" si="3"/>
        <v>7</v>
      </c>
      <c r="Q30" s="18">
        <f t="shared" ref="Q30:W39" ca="1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8">
        <f t="shared" ca="1" si="4"/>
        <v>15</v>
      </c>
      <c r="S30" s="18">
        <f t="shared" ca="1" si="4"/>
        <v>0</v>
      </c>
      <c r="T30" s="18">
        <f t="shared" ca="1" si="4"/>
        <v>0</v>
      </c>
      <c r="U30" s="18">
        <f t="shared" ca="1" si="4"/>
        <v>0</v>
      </c>
      <c r="V30" s="18">
        <f t="shared" ca="1" si="4"/>
        <v>0</v>
      </c>
      <c r="W30" s="18">
        <f t="shared" ca="1" si="4"/>
        <v>1</v>
      </c>
    </row>
    <row r="31" spans="1:23" x14ac:dyDescent="0.15">
      <c r="A31" s="22" t="str">
        <f t="shared" ca="1" si="1"/>
        <v>30008_3-1/43&lt;lv42&gt;s2</v>
      </c>
      <c r="B31" s="18">
        <f t="shared" ref="B31:Q39" ca="1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30008</v>
      </c>
      <c r="C31" s="18">
        <f t="shared" ca="1" si="5"/>
        <v>3</v>
      </c>
      <c r="D31" s="18">
        <f t="shared" ca="1" si="5"/>
        <v>1</v>
      </c>
      <c r="E31" s="18">
        <f t="shared" ca="1" si="5"/>
        <v>43</v>
      </c>
      <c r="F31" s="18">
        <f t="shared" ca="1" si="5"/>
        <v>42</v>
      </c>
      <c r="G31" s="18">
        <f t="shared" ca="1" si="5"/>
        <v>1</v>
      </c>
      <c r="H31" s="18">
        <f t="shared" ca="1" si="5"/>
        <v>1</v>
      </c>
      <c r="I31" s="18">
        <f t="shared" ca="1" si="5"/>
        <v>0</v>
      </c>
      <c r="J31" s="18">
        <f t="shared" ca="1" si="5"/>
        <v>0</v>
      </c>
      <c r="K31" s="18">
        <f t="shared" ca="1" si="5"/>
        <v>0</v>
      </c>
      <c r="L31" s="18">
        <f t="shared" ca="1" si="5"/>
        <v>100</v>
      </c>
      <c r="M31" s="18">
        <f t="shared" ca="1" si="5"/>
        <v>0</v>
      </c>
      <c r="N31" s="18">
        <f t="shared" ca="1" si="5"/>
        <v>2</v>
      </c>
      <c r="O31" s="18">
        <f t="shared" ca="1" si="5"/>
        <v>43</v>
      </c>
      <c r="P31" s="18">
        <f t="shared" ca="1" si="5"/>
        <v>7</v>
      </c>
      <c r="Q31" s="18">
        <f t="shared" ca="1" si="5"/>
        <v>2</v>
      </c>
      <c r="R31" s="18">
        <f t="shared" ca="1" si="4"/>
        <v>15</v>
      </c>
      <c r="S31" s="18">
        <f t="shared" ca="1" si="4"/>
        <v>0</v>
      </c>
      <c r="T31" s="18">
        <f t="shared" ca="1" si="4"/>
        <v>0</v>
      </c>
      <c r="U31" s="18">
        <f t="shared" ca="1" si="4"/>
        <v>0</v>
      </c>
      <c r="V31" s="18">
        <f t="shared" ca="1" si="4"/>
        <v>0</v>
      </c>
      <c r="W31" s="18">
        <f t="shared" ca="1" si="4"/>
        <v>1</v>
      </c>
    </row>
    <row r="32" spans="1:23" x14ac:dyDescent="0.15">
      <c r="A32" s="22" t="str">
        <f t="shared" ca="1" si="1"/>
        <v>30008_3-1/45&lt;lv42&gt;s3</v>
      </c>
      <c r="B32" s="18">
        <f t="shared" ca="1" si="5"/>
        <v>30008</v>
      </c>
      <c r="C32" s="18">
        <f t="shared" ca="1" si="5"/>
        <v>3</v>
      </c>
      <c r="D32" s="18">
        <f t="shared" ca="1" si="5"/>
        <v>1</v>
      </c>
      <c r="E32" s="18">
        <f t="shared" ca="1" si="5"/>
        <v>45</v>
      </c>
      <c r="F32" s="18">
        <f t="shared" ca="1" si="5"/>
        <v>42</v>
      </c>
      <c r="G32" s="18">
        <f t="shared" ca="1" si="5"/>
        <v>1</v>
      </c>
      <c r="H32" s="18">
        <f t="shared" ca="1" si="5"/>
        <v>1</v>
      </c>
      <c r="I32" s="18">
        <f t="shared" ca="1" si="5"/>
        <v>0</v>
      </c>
      <c r="J32" s="18">
        <f t="shared" ca="1" si="5"/>
        <v>0</v>
      </c>
      <c r="K32" s="18">
        <f t="shared" ca="1" si="5"/>
        <v>0</v>
      </c>
      <c r="L32" s="18">
        <f t="shared" ca="1" si="5"/>
        <v>100</v>
      </c>
      <c r="M32" s="18">
        <f t="shared" ca="1" si="5"/>
        <v>0</v>
      </c>
      <c r="N32" s="18">
        <f t="shared" ca="1" si="5"/>
        <v>3</v>
      </c>
      <c r="O32" s="18">
        <f t="shared" ca="1" si="5"/>
        <v>45</v>
      </c>
      <c r="P32" s="18">
        <f t="shared" ca="1" si="5"/>
        <v>7</v>
      </c>
      <c r="Q32" s="18">
        <f t="shared" ca="1" si="5"/>
        <v>2</v>
      </c>
      <c r="R32" s="18">
        <f t="shared" ca="1" si="4"/>
        <v>15</v>
      </c>
      <c r="S32" s="18">
        <f t="shared" ca="1" si="4"/>
        <v>0</v>
      </c>
      <c r="T32" s="18">
        <f t="shared" ca="1" si="4"/>
        <v>0</v>
      </c>
      <c r="U32" s="18">
        <f t="shared" ca="1" si="4"/>
        <v>0</v>
      </c>
      <c r="V32" s="18">
        <f t="shared" ca="1" si="4"/>
        <v>0</v>
      </c>
      <c r="W32" s="18">
        <f t="shared" ca="1" si="4"/>
        <v>1</v>
      </c>
    </row>
    <row r="33" spans="1:23" x14ac:dyDescent="0.15">
      <c r="A33" s="22" t="str">
        <f t="shared" ca="1" si="1"/>
        <v>30008_3-1/13&lt;lv50&gt;s2</v>
      </c>
      <c r="B33" s="18">
        <f t="shared" ca="1" si="5"/>
        <v>30008</v>
      </c>
      <c r="C33" s="18">
        <f t="shared" ca="1" si="5"/>
        <v>3</v>
      </c>
      <c r="D33" s="18">
        <f t="shared" ca="1" si="5"/>
        <v>1</v>
      </c>
      <c r="E33" s="18">
        <f t="shared" ca="1" si="5"/>
        <v>13</v>
      </c>
      <c r="F33" s="18">
        <f t="shared" ca="1" si="5"/>
        <v>50</v>
      </c>
      <c r="G33" s="18">
        <f t="shared" ca="1" si="5"/>
        <v>1</v>
      </c>
      <c r="H33" s="18">
        <f t="shared" ca="1" si="5"/>
        <v>1</v>
      </c>
      <c r="I33" s="18">
        <f t="shared" ca="1" si="5"/>
        <v>0</v>
      </c>
      <c r="J33" s="18">
        <f t="shared" ca="1" si="5"/>
        <v>0</v>
      </c>
      <c r="K33" s="18">
        <f t="shared" ca="1" si="5"/>
        <v>0</v>
      </c>
      <c r="L33" s="18">
        <f t="shared" ca="1" si="5"/>
        <v>100</v>
      </c>
      <c r="M33" s="18">
        <f t="shared" ca="1" si="5"/>
        <v>0</v>
      </c>
      <c r="N33" s="18">
        <f t="shared" ca="1" si="5"/>
        <v>2</v>
      </c>
      <c r="O33" s="18">
        <f t="shared" ca="1" si="5"/>
        <v>13</v>
      </c>
      <c r="P33" s="18">
        <f t="shared" ca="1" si="5"/>
        <v>9</v>
      </c>
      <c r="Q33" s="18">
        <f t="shared" ca="1" si="5"/>
        <v>1</v>
      </c>
      <c r="R33" s="18">
        <f t="shared" ca="1" si="4"/>
        <v>15</v>
      </c>
      <c r="S33" s="18">
        <f t="shared" ca="1" si="4"/>
        <v>0</v>
      </c>
      <c r="T33" s="18">
        <f t="shared" ca="1" si="4"/>
        <v>0</v>
      </c>
      <c r="U33" s="18">
        <f t="shared" ca="1" si="4"/>
        <v>0</v>
      </c>
      <c r="V33" s="18">
        <f t="shared" ca="1" si="4"/>
        <v>0</v>
      </c>
      <c r="W33" s="18">
        <f t="shared" ca="1" si="4"/>
        <v>1</v>
      </c>
    </row>
    <row r="34" spans="1:23" x14ac:dyDescent="0.15">
      <c r="A34" s="22" t="str">
        <f t="shared" ca="1" si="1"/>
        <v>30008_3-2/121&lt;lv30&gt;s3</v>
      </c>
      <c r="B34" s="18">
        <f t="shared" ca="1" si="5"/>
        <v>30008</v>
      </c>
      <c r="C34" s="18">
        <f t="shared" ca="1" si="5"/>
        <v>3</v>
      </c>
      <c r="D34" s="18">
        <f t="shared" ca="1" si="5"/>
        <v>2</v>
      </c>
      <c r="E34" s="18">
        <f t="shared" ca="1" si="5"/>
        <v>121</v>
      </c>
      <c r="F34" s="18">
        <f t="shared" ca="1" si="5"/>
        <v>30</v>
      </c>
      <c r="G34" s="18">
        <f t="shared" ca="1" si="5"/>
        <v>1</v>
      </c>
      <c r="H34" s="18">
        <f t="shared" ca="1" si="5"/>
        <v>1</v>
      </c>
      <c r="I34" s="18">
        <f t="shared" ca="1" si="5"/>
        <v>0</v>
      </c>
      <c r="J34" s="18">
        <f t="shared" ca="1" si="5"/>
        <v>1211</v>
      </c>
      <c r="K34" s="18">
        <f t="shared" ca="1" si="5"/>
        <v>1</v>
      </c>
      <c r="L34" s="18">
        <f t="shared" ca="1" si="5"/>
        <v>0</v>
      </c>
      <c r="M34" s="18">
        <f t="shared" ca="1" si="5"/>
        <v>1</v>
      </c>
      <c r="N34" s="18">
        <f t="shared" ca="1" si="5"/>
        <v>3</v>
      </c>
      <c r="O34" s="18">
        <f t="shared" ca="1" si="5"/>
        <v>121</v>
      </c>
      <c r="P34" s="18">
        <f t="shared" ca="1" si="5"/>
        <v>1</v>
      </c>
      <c r="Q34" s="18">
        <f t="shared" ca="1" si="5"/>
        <v>3</v>
      </c>
      <c r="R34" s="18">
        <f t="shared" ca="1" si="4"/>
        <v>7</v>
      </c>
      <c r="S34" s="18">
        <f t="shared" ca="1" si="4"/>
        <v>0</v>
      </c>
      <c r="T34" s="18">
        <f t="shared" ca="1" si="4"/>
        <v>0</v>
      </c>
      <c r="U34" s="18">
        <f t="shared" ca="1" si="4"/>
        <v>0</v>
      </c>
      <c r="V34" s="18">
        <f t="shared" ca="1" si="4"/>
        <v>0</v>
      </c>
      <c r="W34" s="18">
        <f t="shared" ca="1" si="4"/>
        <v>1</v>
      </c>
    </row>
    <row r="35" spans="1:23" x14ac:dyDescent="0.15">
      <c r="A35" s="22" t="str">
        <f t="shared" ca="1" si="1"/>
        <v>30008_3-2/122&lt;lv30&gt;s3</v>
      </c>
      <c r="B35" s="18">
        <f t="shared" ca="1" si="5"/>
        <v>30008</v>
      </c>
      <c r="C35" s="18">
        <f t="shared" ca="1" si="5"/>
        <v>3</v>
      </c>
      <c r="D35" s="18">
        <f t="shared" ca="1" si="5"/>
        <v>2</v>
      </c>
      <c r="E35" s="18">
        <f t="shared" ca="1" si="5"/>
        <v>122</v>
      </c>
      <c r="F35" s="18">
        <f t="shared" ca="1" si="5"/>
        <v>30</v>
      </c>
      <c r="G35" s="18">
        <f t="shared" ca="1" si="5"/>
        <v>1</v>
      </c>
      <c r="H35" s="18">
        <f t="shared" ca="1" si="5"/>
        <v>1</v>
      </c>
      <c r="I35" s="18">
        <f t="shared" ca="1" si="5"/>
        <v>0</v>
      </c>
      <c r="J35" s="18">
        <f t="shared" ca="1" si="5"/>
        <v>1221</v>
      </c>
      <c r="K35" s="18">
        <f t="shared" ca="1" si="5"/>
        <v>1</v>
      </c>
      <c r="L35" s="18">
        <f t="shared" ca="1" si="5"/>
        <v>0</v>
      </c>
      <c r="M35" s="18">
        <f t="shared" ca="1" si="5"/>
        <v>1</v>
      </c>
      <c r="N35" s="18">
        <f t="shared" ca="1" si="5"/>
        <v>3</v>
      </c>
      <c r="O35" s="18">
        <f t="shared" ca="1" si="5"/>
        <v>122</v>
      </c>
      <c r="P35" s="18">
        <f t="shared" ca="1" si="5"/>
        <v>1</v>
      </c>
      <c r="Q35" s="18">
        <f t="shared" ca="1" si="5"/>
        <v>3</v>
      </c>
      <c r="R35" s="18">
        <f t="shared" ca="1" si="4"/>
        <v>7</v>
      </c>
      <c r="S35" s="18">
        <f t="shared" ca="1" si="4"/>
        <v>0</v>
      </c>
      <c r="T35" s="18">
        <f t="shared" ca="1" si="4"/>
        <v>0</v>
      </c>
      <c r="U35" s="18">
        <f t="shared" ca="1" si="4"/>
        <v>0</v>
      </c>
      <c r="V35" s="18">
        <f t="shared" ca="1" si="4"/>
        <v>0</v>
      </c>
      <c r="W35" s="18">
        <f t="shared" ca="1" si="4"/>
        <v>1</v>
      </c>
    </row>
    <row r="36" spans="1:23" x14ac:dyDescent="0.15">
      <c r="A36" s="22" t="str">
        <f t="shared" ca="1" si="1"/>
        <v>30008_3-2/123&lt;lv30&gt;s3</v>
      </c>
      <c r="B36" s="18">
        <f t="shared" ca="1" si="5"/>
        <v>30008</v>
      </c>
      <c r="C36" s="18">
        <f t="shared" ca="1" si="5"/>
        <v>3</v>
      </c>
      <c r="D36" s="18">
        <f t="shared" ca="1" si="5"/>
        <v>2</v>
      </c>
      <c r="E36" s="18">
        <f t="shared" ca="1" si="5"/>
        <v>123</v>
      </c>
      <c r="F36" s="18">
        <f t="shared" ca="1" si="5"/>
        <v>30</v>
      </c>
      <c r="G36" s="18">
        <f t="shared" ca="1" si="5"/>
        <v>0.5</v>
      </c>
      <c r="H36" s="18">
        <f t="shared" ca="1" si="5"/>
        <v>1</v>
      </c>
      <c r="I36" s="18">
        <f t="shared" ca="1" si="5"/>
        <v>0</v>
      </c>
      <c r="J36" s="18">
        <f t="shared" ca="1" si="5"/>
        <v>1231</v>
      </c>
      <c r="K36" s="18">
        <f t="shared" ca="1" si="5"/>
        <v>1</v>
      </c>
      <c r="L36" s="18">
        <f t="shared" ca="1" si="5"/>
        <v>0</v>
      </c>
      <c r="M36" s="18">
        <f t="shared" ca="1" si="5"/>
        <v>1</v>
      </c>
      <c r="N36" s="18">
        <f t="shared" ca="1" si="5"/>
        <v>3</v>
      </c>
      <c r="O36" s="18">
        <f t="shared" ca="1" si="5"/>
        <v>123</v>
      </c>
      <c r="P36" s="18">
        <f t="shared" ca="1" si="5"/>
        <v>1</v>
      </c>
      <c r="Q36" s="18">
        <f t="shared" ca="1" si="5"/>
        <v>3</v>
      </c>
      <c r="R36" s="18">
        <f t="shared" ca="1" si="4"/>
        <v>7</v>
      </c>
      <c r="S36" s="18">
        <f t="shared" ca="1" si="4"/>
        <v>0</v>
      </c>
      <c r="T36" s="18">
        <f t="shared" ca="1" si="4"/>
        <v>0</v>
      </c>
      <c r="U36" s="18">
        <f t="shared" ca="1" si="4"/>
        <v>0</v>
      </c>
      <c r="V36" s="18">
        <f t="shared" ca="1" si="4"/>
        <v>0</v>
      </c>
      <c r="W36" s="18">
        <f t="shared" ca="1" si="4"/>
        <v>1</v>
      </c>
    </row>
    <row r="37" spans="1:23" x14ac:dyDescent="0.15">
      <c r="A37" s="22" t="str">
        <f t="shared" ca="1" si="1"/>
        <v>30008_3-3/1&lt;lv42&gt;s1</v>
      </c>
      <c r="B37" s="18">
        <f t="shared" ca="1" si="5"/>
        <v>30008</v>
      </c>
      <c r="C37" s="18">
        <f t="shared" ca="1" si="5"/>
        <v>3</v>
      </c>
      <c r="D37" s="18">
        <f t="shared" ca="1" si="5"/>
        <v>3</v>
      </c>
      <c r="E37" s="18">
        <f t="shared" ca="1" si="5"/>
        <v>1</v>
      </c>
      <c r="F37" s="18">
        <f t="shared" ca="1" si="5"/>
        <v>42</v>
      </c>
      <c r="G37" s="18">
        <f t="shared" ca="1" si="5"/>
        <v>1</v>
      </c>
      <c r="H37" s="18">
        <f t="shared" ca="1" si="5"/>
        <v>1</v>
      </c>
      <c r="I37" s="18">
        <f t="shared" ca="1" si="5"/>
        <v>0</v>
      </c>
      <c r="J37" s="18">
        <f t="shared" ca="1" si="5"/>
        <v>0</v>
      </c>
      <c r="K37" s="18">
        <f t="shared" ca="1" si="5"/>
        <v>2</v>
      </c>
      <c r="L37" s="18">
        <f t="shared" ca="1" si="5"/>
        <v>100</v>
      </c>
      <c r="M37" s="18">
        <f t="shared" ca="1" si="5"/>
        <v>0</v>
      </c>
      <c r="N37" s="18">
        <f t="shared" ca="1" si="5"/>
        <v>1</v>
      </c>
      <c r="O37" s="18">
        <f t="shared" ca="1" si="5"/>
        <v>41</v>
      </c>
      <c r="P37" s="18">
        <f t="shared" ca="1" si="5"/>
        <v>1</v>
      </c>
      <c r="Q37" s="18">
        <f t="shared" ca="1" si="5"/>
        <v>2</v>
      </c>
      <c r="R37" s="18">
        <f t="shared" ca="1" si="4"/>
        <v>0</v>
      </c>
      <c r="S37" s="18">
        <f t="shared" ca="1" si="4"/>
        <v>0</v>
      </c>
      <c r="T37" s="18">
        <f t="shared" ca="1" si="4"/>
        <v>0</v>
      </c>
      <c r="U37" s="18">
        <f t="shared" ca="1" si="4"/>
        <v>0</v>
      </c>
      <c r="V37" s="18">
        <f t="shared" ca="1" si="4"/>
        <v>0</v>
      </c>
      <c r="W37" s="18">
        <f t="shared" ca="1" si="4"/>
        <v>1</v>
      </c>
    </row>
    <row r="38" spans="1:23" x14ac:dyDescent="0.15">
      <c r="A38" s="22" t="str">
        <f t="shared" ca="1" si="1"/>
        <v>30008_3-3/288&lt;lv50&gt;s2</v>
      </c>
      <c r="B38" s="18">
        <f t="shared" ca="1" si="5"/>
        <v>30008</v>
      </c>
      <c r="C38" s="18">
        <f t="shared" ca="1" si="5"/>
        <v>3</v>
      </c>
      <c r="D38" s="18">
        <f t="shared" ca="1" si="5"/>
        <v>3</v>
      </c>
      <c r="E38" s="18">
        <f t="shared" ca="1" si="5"/>
        <v>288</v>
      </c>
      <c r="F38" s="18">
        <f t="shared" ca="1" si="5"/>
        <v>50</v>
      </c>
      <c r="G38" s="18">
        <f t="shared" ca="1" si="5"/>
        <v>1</v>
      </c>
      <c r="H38" s="18">
        <f t="shared" ca="1" si="5"/>
        <v>1.1000000000000001</v>
      </c>
      <c r="I38" s="18">
        <f t="shared" ca="1" si="5"/>
        <v>0</v>
      </c>
      <c r="J38" s="18">
        <f t="shared" ca="1" si="5"/>
        <v>28801</v>
      </c>
      <c r="K38" s="18">
        <f t="shared" ca="1" si="5"/>
        <v>1</v>
      </c>
      <c r="L38" s="18">
        <f t="shared" ca="1" si="5"/>
        <v>0</v>
      </c>
      <c r="M38" s="18">
        <f t="shared" ca="1" si="5"/>
        <v>1</v>
      </c>
      <c r="N38" s="18">
        <f t="shared" ca="1" si="5"/>
        <v>2</v>
      </c>
      <c r="O38" s="18">
        <f t="shared" ca="1" si="5"/>
        <v>288</v>
      </c>
      <c r="P38" s="18">
        <f t="shared" ca="1" si="5"/>
        <v>1</v>
      </c>
      <c r="Q38" s="18">
        <f t="shared" ca="1" si="5"/>
        <v>4</v>
      </c>
      <c r="R38" s="18">
        <f t="shared" ca="1" si="4"/>
        <v>0</v>
      </c>
      <c r="S38" s="18">
        <f t="shared" ca="1" si="4"/>
        <v>0</v>
      </c>
      <c r="T38" s="18">
        <f t="shared" ca="1" si="4"/>
        <v>0</v>
      </c>
      <c r="U38" s="18">
        <f t="shared" ca="1" si="4"/>
        <v>0</v>
      </c>
      <c r="V38" s="18">
        <f t="shared" ca="1" si="4"/>
        <v>0</v>
      </c>
      <c r="W38" s="18">
        <f t="shared" ca="1" si="4"/>
        <v>1</v>
      </c>
    </row>
    <row r="39" spans="1:23" x14ac:dyDescent="0.15">
      <c r="A39" s="22" t="str">
        <f t="shared" ca="1" si="1"/>
        <v>30008_3-4/289&lt;lv57&gt;s2</v>
      </c>
      <c r="B39" s="18">
        <f t="shared" ca="1" si="5"/>
        <v>30008</v>
      </c>
      <c r="C39" s="18">
        <f t="shared" ca="1" si="5"/>
        <v>3</v>
      </c>
      <c r="D39" s="18">
        <f t="shared" ca="1" si="5"/>
        <v>4</v>
      </c>
      <c r="E39" s="18">
        <f t="shared" ca="1" si="5"/>
        <v>289</v>
      </c>
      <c r="F39" s="18">
        <f t="shared" ca="1" si="5"/>
        <v>57</v>
      </c>
      <c r="G39" s="18">
        <f t="shared" ca="1" si="5"/>
        <v>2.7</v>
      </c>
      <c r="H39" s="18">
        <f t="shared" ca="1" si="5"/>
        <v>1.4</v>
      </c>
      <c r="I39" s="18">
        <f t="shared" ca="1" si="5"/>
        <v>0</v>
      </c>
      <c r="J39" s="18">
        <f t="shared" ca="1" si="5"/>
        <v>28901</v>
      </c>
      <c r="K39" s="18">
        <f t="shared" ca="1" si="5"/>
        <v>1</v>
      </c>
      <c r="L39" s="18">
        <f t="shared" ca="1" si="5"/>
        <v>0</v>
      </c>
      <c r="M39" s="18">
        <f t="shared" ca="1" si="5"/>
        <v>1</v>
      </c>
      <c r="N39" s="18">
        <f t="shared" ca="1" si="5"/>
        <v>2</v>
      </c>
      <c r="O39" s="18">
        <f t="shared" ca="1" si="5"/>
        <v>288</v>
      </c>
      <c r="P39" s="18">
        <f t="shared" ca="1" si="5"/>
        <v>1</v>
      </c>
      <c r="Q39" s="18">
        <f t="shared" ca="1" si="5"/>
        <v>4</v>
      </c>
      <c r="R39" s="18">
        <f ca="1">VLOOKUP($A39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39" s="18">
        <f t="shared" ca="1" si="4"/>
        <v>0</v>
      </c>
      <c r="T39" s="18">
        <f t="shared" ca="1" si="4"/>
        <v>0</v>
      </c>
      <c r="U39" s="18">
        <f t="shared" ca="1" si="4"/>
        <v>0</v>
      </c>
      <c r="V39" s="18">
        <f t="shared" ca="1" si="4"/>
        <v>0</v>
      </c>
      <c r="W39" s="18">
        <f t="shared" ca="1" si="4"/>
        <v>1</v>
      </c>
    </row>
    <row r="40" spans="1:23" x14ac:dyDescent="0.15">
      <c r="A40"/>
    </row>
    <row r="41" spans="1:23" x14ac:dyDescent="0.15">
      <c r="A41"/>
    </row>
    <row r="42" spans="1:23" x14ac:dyDescent="0.15">
      <c r="A42"/>
    </row>
    <row r="43" spans="1:23" x14ac:dyDescent="0.15">
      <c r="A43"/>
    </row>
    <row r="44" spans="1:23" x14ac:dyDescent="0.15">
      <c r="A44"/>
    </row>
    <row r="45" spans="1:23" x14ac:dyDescent="0.15">
      <c r="A45"/>
    </row>
    <row r="46" spans="1:23" x14ac:dyDescent="0.15">
      <c r="A46"/>
    </row>
    <row r="47" spans="1:23" x14ac:dyDescent="0.15">
      <c r="A47"/>
    </row>
    <row r="48" spans="1:23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floors_multi_2_4</vt:lpstr>
      <vt:lpstr>enemy_habitats_multi_2_4</vt:lpstr>
      <vt:lpstr>floors_multi_2_4.tmp</vt:lpstr>
      <vt:lpstr>enemy_habitats_multi_2_4.tmp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2017-03-08T03:15:30Z</dcterms:modified>
</cp:coreProperties>
</file>