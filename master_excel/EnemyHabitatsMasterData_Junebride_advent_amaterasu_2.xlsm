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2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no/BULL_data/master_excel/"/>
    </mc:Choice>
  </mc:AlternateContent>
  <bookViews>
    <workbookView xWindow="15740" yWindow="460" windowWidth="22140" windowHeight="1960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enemy_habitat_S!$B$1:$AA$4</definedName>
    <definedName name="_xlnm._FilterDatabase" localSheetId="2" hidden="1">enemy_habitats!$B$1:$AJ$1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73" i="10" l="1"/>
  <c r="T73" i="10"/>
  <c r="W73" i="10"/>
  <c r="V73" i="10"/>
  <c r="X73" i="10"/>
  <c r="U73" i="10"/>
  <c r="Y73" i="10"/>
  <c r="M86" i="10"/>
  <c r="M96" i="10"/>
  <c r="M121" i="10"/>
  <c r="M194" i="10"/>
  <c r="N194" i="10"/>
  <c r="Q194" i="10"/>
  <c r="P194" i="10"/>
  <c r="R194" i="10"/>
  <c r="O194" i="10"/>
  <c r="S194" i="10"/>
  <c r="M184" i="10"/>
  <c r="N184" i="10"/>
  <c r="Q184" i="10"/>
  <c r="P184" i="10"/>
  <c r="R184" i="10"/>
  <c r="O184" i="10"/>
  <c r="S184" i="10"/>
  <c r="M159" i="10"/>
  <c r="N159" i="10"/>
  <c r="Q159" i="10"/>
  <c r="P159" i="10"/>
  <c r="R159" i="10"/>
  <c r="O159" i="10"/>
  <c r="S159" i="10"/>
  <c r="N146" i="10"/>
  <c r="Q146" i="10"/>
  <c r="P146" i="10"/>
  <c r="R146" i="10"/>
  <c r="O146" i="10"/>
  <c r="S146" i="10"/>
  <c r="N121" i="10"/>
  <c r="Q121" i="10"/>
  <c r="P121" i="10"/>
  <c r="R121" i="10"/>
  <c r="O121" i="10"/>
  <c r="S121" i="10"/>
  <c r="N96" i="10"/>
  <c r="Q96" i="10"/>
  <c r="P96" i="10"/>
  <c r="R96" i="10"/>
  <c r="O96" i="10"/>
  <c r="S96" i="10"/>
  <c r="N86" i="10"/>
  <c r="Q86" i="10"/>
  <c r="P86" i="10"/>
  <c r="R86" i="10"/>
  <c r="O86" i="10"/>
  <c r="S86" i="10"/>
  <c r="N73" i="10"/>
  <c r="Q73" i="10"/>
  <c r="P73" i="10"/>
  <c r="R73" i="10"/>
  <c r="O73" i="10"/>
  <c r="S73" i="10"/>
  <c r="G73" i="10"/>
  <c r="J73" i="10"/>
  <c r="I73" i="10"/>
  <c r="K73" i="10"/>
  <c r="H73" i="10"/>
  <c r="L73" i="10"/>
  <c r="M72" i="10"/>
  <c r="T72" i="10"/>
  <c r="W72" i="10"/>
  <c r="V72" i="10"/>
  <c r="X72" i="10"/>
  <c r="U72" i="10"/>
  <c r="Y72" i="10"/>
  <c r="M85" i="10"/>
  <c r="M95" i="10"/>
  <c r="M120" i="10"/>
  <c r="M158" i="10"/>
  <c r="M193" i="10"/>
  <c r="N193" i="10"/>
  <c r="Q193" i="10"/>
  <c r="P193" i="10"/>
  <c r="R193" i="10"/>
  <c r="O193" i="10"/>
  <c r="S193" i="10"/>
  <c r="M183" i="10"/>
  <c r="N183" i="10"/>
  <c r="Q183" i="10"/>
  <c r="P183" i="10"/>
  <c r="R183" i="10"/>
  <c r="O183" i="10"/>
  <c r="S183" i="10"/>
  <c r="N158" i="10"/>
  <c r="Q158" i="10"/>
  <c r="P158" i="10"/>
  <c r="R158" i="10"/>
  <c r="O158" i="10"/>
  <c r="S158" i="10"/>
  <c r="N145" i="10"/>
  <c r="Q145" i="10"/>
  <c r="P145" i="10"/>
  <c r="R145" i="10"/>
  <c r="O145" i="10"/>
  <c r="S145" i="10"/>
  <c r="N120" i="10"/>
  <c r="Q120" i="10"/>
  <c r="P120" i="10"/>
  <c r="R120" i="10"/>
  <c r="O120" i="10"/>
  <c r="S120" i="10"/>
  <c r="N95" i="10"/>
  <c r="Q95" i="10"/>
  <c r="P95" i="10"/>
  <c r="R95" i="10"/>
  <c r="O95" i="10"/>
  <c r="S95" i="10"/>
  <c r="N85" i="10"/>
  <c r="Q85" i="10"/>
  <c r="P85" i="10"/>
  <c r="R85" i="10"/>
  <c r="O85" i="10"/>
  <c r="S85" i="10"/>
  <c r="N72" i="10"/>
  <c r="Q72" i="10"/>
  <c r="P72" i="10"/>
  <c r="R72" i="10"/>
  <c r="O72" i="10"/>
  <c r="S72" i="10"/>
  <c r="G72" i="10"/>
  <c r="J72" i="10"/>
  <c r="I72" i="10"/>
  <c r="K72" i="10"/>
  <c r="H72" i="10"/>
  <c r="L72" i="10"/>
  <c r="J211" i="11"/>
  <c r="O211" i="9"/>
  <c r="N211" i="9"/>
  <c r="M211" i="9"/>
  <c r="L211" i="9"/>
  <c r="K211" i="9"/>
  <c r="J211" i="9"/>
  <c r="I211" i="9"/>
  <c r="H211" i="9"/>
  <c r="G211" i="9"/>
  <c r="E211" i="9"/>
  <c r="D211" i="9"/>
  <c r="A211" i="9"/>
  <c r="J210" i="11"/>
  <c r="O210" i="9"/>
  <c r="N210" i="9"/>
  <c r="M210" i="9"/>
  <c r="L210" i="9"/>
  <c r="K210" i="9"/>
  <c r="J210" i="9"/>
  <c r="I210" i="9"/>
  <c r="H210" i="9"/>
  <c r="G210" i="9"/>
  <c r="E210" i="9"/>
  <c r="D210" i="9"/>
  <c r="A210" i="9"/>
  <c r="J181" i="11"/>
  <c r="O181" i="9"/>
  <c r="N181" i="9"/>
  <c r="M181" i="9"/>
  <c r="L181" i="9"/>
  <c r="K181" i="9"/>
  <c r="J181" i="9"/>
  <c r="I181" i="9"/>
  <c r="H181" i="9"/>
  <c r="G181" i="9"/>
  <c r="E181" i="9"/>
  <c r="D181" i="9"/>
  <c r="A181" i="9"/>
  <c r="J180" i="11"/>
  <c r="O180" i="9"/>
  <c r="N180" i="9"/>
  <c r="M180" i="9"/>
  <c r="L180" i="9"/>
  <c r="K180" i="9"/>
  <c r="J180" i="9"/>
  <c r="I180" i="9"/>
  <c r="H180" i="9"/>
  <c r="G180" i="9"/>
  <c r="E180" i="9"/>
  <c r="D180" i="9"/>
  <c r="A180" i="9"/>
  <c r="J141" i="11"/>
  <c r="O141" i="9"/>
  <c r="N141" i="9"/>
  <c r="M141" i="9"/>
  <c r="L141" i="9"/>
  <c r="K141" i="9"/>
  <c r="J141" i="9"/>
  <c r="I141" i="9"/>
  <c r="H141" i="9"/>
  <c r="G141" i="9"/>
  <c r="E141" i="9"/>
  <c r="D141" i="9"/>
  <c r="A141" i="9"/>
  <c r="J140" i="11"/>
  <c r="O140" i="9"/>
  <c r="N140" i="9"/>
  <c r="M140" i="9"/>
  <c r="L140" i="9"/>
  <c r="K140" i="9"/>
  <c r="J140" i="9"/>
  <c r="I140" i="9"/>
  <c r="H140" i="9"/>
  <c r="G140" i="9"/>
  <c r="E140" i="9"/>
  <c r="D140" i="9"/>
  <c r="A140" i="9"/>
  <c r="J111" i="11"/>
  <c r="O111" i="9"/>
  <c r="N111" i="9"/>
  <c r="M111" i="9"/>
  <c r="L111" i="9"/>
  <c r="K111" i="9"/>
  <c r="J111" i="9"/>
  <c r="I111" i="9"/>
  <c r="H111" i="9"/>
  <c r="G111" i="9"/>
  <c r="E111" i="9"/>
  <c r="D111" i="9"/>
  <c r="A111" i="9"/>
  <c r="J110" i="11"/>
  <c r="O110" i="9"/>
  <c r="N110" i="9"/>
  <c r="M110" i="9"/>
  <c r="L110" i="9"/>
  <c r="K110" i="9"/>
  <c r="J110" i="9"/>
  <c r="I110" i="9"/>
  <c r="H110" i="9"/>
  <c r="G110" i="9"/>
  <c r="E110" i="9"/>
  <c r="D110" i="9"/>
  <c r="A110" i="9"/>
  <c r="J71" i="11"/>
  <c r="O71" i="9"/>
  <c r="N71" i="9"/>
  <c r="M71" i="9"/>
  <c r="L71" i="9"/>
  <c r="K71" i="9"/>
  <c r="J71" i="9"/>
  <c r="I71" i="9"/>
  <c r="H71" i="9"/>
  <c r="G71" i="9"/>
  <c r="E71" i="9"/>
  <c r="D71" i="9"/>
  <c r="A71" i="9"/>
  <c r="J70" i="11"/>
  <c r="O70" i="9"/>
  <c r="N70" i="9"/>
  <c r="M70" i="9"/>
  <c r="L70" i="9"/>
  <c r="K70" i="9"/>
  <c r="J70" i="9"/>
  <c r="I70" i="9"/>
  <c r="H70" i="9"/>
  <c r="G70" i="9"/>
  <c r="E70" i="9"/>
  <c r="D70" i="9"/>
  <c r="A70" i="9"/>
  <c r="M211" i="10"/>
  <c r="T211" i="10"/>
  <c r="W211" i="10"/>
  <c r="V211" i="10"/>
  <c r="X211" i="10"/>
  <c r="U211" i="10"/>
  <c r="Y211" i="10"/>
  <c r="N211" i="10"/>
  <c r="Q211" i="10"/>
  <c r="P211" i="10"/>
  <c r="R211" i="10"/>
  <c r="O211" i="10"/>
  <c r="S211" i="10"/>
  <c r="G211" i="10"/>
  <c r="J211" i="10"/>
  <c r="I211" i="10"/>
  <c r="K211" i="10"/>
  <c r="H211" i="10"/>
  <c r="L211" i="10"/>
  <c r="M210" i="10"/>
  <c r="T210" i="10"/>
  <c r="W210" i="10"/>
  <c r="V210" i="10"/>
  <c r="X210" i="10"/>
  <c r="U210" i="10"/>
  <c r="Y210" i="10"/>
  <c r="N210" i="10"/>
  <c r="Q210" i="10"/>
  <c r="P210" i="10"/>
  <c r="R210" i="10"/>
  <c r="O210" i="10"/>
  <c r="S210" i="10"/>
  <c r="G210" i="10"/>
  <c r="J210" i="10"/>
  <c r="I210" i="10"/>
  <c r="K210" i="10"/>
  <c r="H210" i="10"/>
  <c r="L210" i="10"/>
  <c r="M181" i="10"/>
  <c r="T181" i="10"/>
  <c r="W181" i="10"/>
  <c r="V181" i="10"/>
  <c r="X181" i="10"/>
  <c r="U181" i="10"/>
  <c r="Y181" i="10"/>
  <c r="N181" i="10"/>
  <c r="Q181" i="10"/>
  <c r="P181" i="10"/>
  <c r="R181" i="10"/>
  <c r="O181" i="10"/>
  <c r="S181" i="10"/>
  <c r="G181" i="10"/>
  <c r="J181" i="10"/>
  <c r="I181" i="10"/>
  <c r="K181" i="10"/>
  <c r="H181" i="10"/>
  <c r="L181" i="10"/>
  <c r="M180" i="10"/>
  <c r="T180" i="10"/>
  <c r="W180" i="10"/>
  <c r="V180" i="10"/>
  <c r="X180" i="10"/>
  <c r="U180" i="10"/>
  <c r="Y180" i="10"/>
  <c r="N180" i="10"/>
  <c r="Q180" i="10"/>
  <c r="P180" i="10"/>
  <c r="R180" i="10"/>
  <c r="O180" i="10"/>
  <c r="S180" i="10"/>
  <c r="G180" i="10"/>
  <c r="J180" i="10"/>
  <c r="I180" i="10"/>
  <c r="K180" i="10"/>
  <c r="H180" i="10"/>
  <c r="L180" i="10"/>
  <c r="M141" i="10"/>
  <c r="T141" i="10"/>
  <c r="W141" i="10"/>
  <c r="V141" i="10"/>
  <c r="X141" i="10"/>
  <c r="U141" i="10"/>
  <c r="Y141" i="10"/>
  <c r="M161" i="10"/>
  <c r="M186" i="10"/>
  <c r="N186" i="10"/>
  <c r="Q186" i="10"/>
  <c r="P186" i="10"/>
  <c r="R186" i="10"/>
  <c r="O186" i="10"/>
  <c r="S186" i="10"/>
  <c r="N161" i="10"/>
  <c r="Q161" i="10"/>
  <c r="P161" i="10"/>
  <c r="R161" i="10"/>
  <c r="O161" i="10"/>
  <c r="S161" i="10"/>
  <c r="N141" i="10"/>
  <c r="Q141" i="10"/>
  <c r="P141" i="10"/>
  <c r="R141" i="10"/>
  <c r="O141" i="10"/>
  <c r="S141" i="10"/>
  <c r="G141" i="10"/>
  <c r="J141" i="10"/>
  <c r="I141" i="10"/>
  <c r="K141" i="10"/>
  <c r="H141" i="10"/>
  <c r="L141" i="10"/>
  <c r="M140" i="10"/>
  <c r="T140" i="10"/>
  <c r="W140" i="10"/>
  <c r="V140" i="10"/>
  <c r="X140" i="10"/>
  <c r="U140" i="10"/>
  <c r="Y140" i="10"/>
  <c r="M160" i="10"/>
  <c r="M185" i="10"/>
  <c r="M195" i="10"/>
  <c r="N195" i="10"/>
  <c r="Q195" i="10"/>
  <c r="P195" i="10"/>
  <c r="R195" i="10"/>
  <c r="O195" i="10"/>
  <c r="S195" i="10"/>
  <c r="N185" i="10"/>
  <c r="Q185" i="10"/>
  <c r="P185" i="10"/>
  <c r="R185" i="10"/>
  <c r="O185" i="10"/>
  <c r="S185" i="10"/>
  <c r="N160" i="10"/>
  <c r="Q160" i="10"/>
  <c r="P160" i="10"/>
  <c r="R160" i="10"/>
  <c r="O160" i="10"/>
  <c r="S160" i="10"/>
  <c r="N140" i="10"/>
  <c r="Q140" i="10"/>
  <c r="P140" i="10"/>
  <c r="R140" i="10"/>
  <c r="O140" i="10"/>
  <c r="S140" i="10"/>
  <c r="G140" i="10"/>
  <c r="J140" i="10"/>
  <c r="I140" i="10"/>
  <c r="K140" i="10"/>
  <c r="H140" i="10"/>
  <c r="L140" i="10"/>
  <c r="M111" i="10"/>
  <c r="T111" i="10"/>
  <c r="W111" i="10"/>
  <c r="V111" i="10"/>
  <c r="X111" i="10"/>
  <c r="U111" i="10"/>
  <c r="Y111" i="10"/>
  <c r="M150" i="10"/>
  <c r="M162" i="10"/>
  <c r="M187" i="10"/>
  <c r="N187" i="10"/>
  <c r="Q187" i="10"/>
  <c r="P187" i="10"/>
  <c r="R187" i="10"/>
  <c r="O187" i="10"/>
  <c r="S187" i="10"/>
  <c r="N162" i="10"/>
  <c r="Q162" i="10"/>
  <c r="P162" i="10"/>
  <c r="R162" i="10"/>
  <c r="O162" i="10"/>
  <c r="S162" i="10"/>
  <c r="N150" i="10"/>
  <c r="Q150" i="10"/>
  <c r="P150" i="10"/>
  <c r="R150" i="10"/>
  <c r="O150" i="10"/>
  <c r="S150" i="10"/>
  <c r="N111" i="10"/>
  <c r="Q111" i="10"/>
  <c r="P111" i="10"/>
  <c r="R111" i="10"/>
  <c r="O111" i="10"/>
  <c r="S111" i="10"/>
  <c r="G111" i="10"/>
  <c r="J111" i="10"/>
  <c r="I111" i="10"/>
  <c r="K111" i="10"/>
  <c r="H111" i="10"/>
  <c r="L111" i="10"/>
  <c r="M110" i="10"/>
  <c r="T110" i="10"/>
  <c r="W110" i="10"/>
  <c r="V110" i="10"/>
  <c r="X110" i="10"/>
  <c r="U110" i="10"/>
  <c r="Y110" i="10"/>
  <c r="M148" i="10"/>
  <c r="N148" i="10"/>
  <c r="Q148" i="10"/>
  <c r="P148" i="10"/>
  <c r="R148" i="10"/>
  <c r="O148" i="10"/>
  <c r="S148" i="10"/>
  <c r="N110" i="10"/>
  <c r="Q110" i="10"/>
  <c r="P110" i="10"/>
  <c r="R110" i="10"/>
  <c r="O110" i="10"/>
  <c r="S110" i="10"/>
  <c r="G110" i="10"/>
  <c r="J110" i="10"/>
  <c r="I110" i="10"/>
  <c r="K110" i="10"/>
  <c r="H110" i="10"/>
  <c r="L110" i="10"/>
  <c r="M71" i="10"/>
  <c r="T71" i="10"/>
  <c r="W71" i="10"/>
  <c r="V71" i="10"/>
  <c r="X71" i="10"/>
  <c r="U71" i="10"/>
  <c r="Y71" i="10"/>
  <c r="M91" i="10"/>
  <c r="M116" i="10"/>
  <c r="M142" i="10"/>
  <c r="M154" i="10"/>
  <c r="M164" i="10"/>
  <c r="M189" i="10"/>
  <c r="N189" i="10"/>
  <c r="Q189" i="10"/>
  <c r="P189" i="10"/>
  <c r="R189" i="10"/>
  <c r="O189" i="10"/>
  <c r="S189" i="10"/>
  <c r="N164" i="10"/>
  <c r="Q164" i="10"/>
  <c r="P164" i="10"/>
  <c r="R164" i="10"/>
  <c r="O164" i="10"/>
  <c r="S164" i="10"/>
  <c r="N154" i="10"/>
  <c r="Q154" i="10"/>
  <c r="P154" i="10"/>
  <c r="R154" i="10"/>
  <c r="O154" i="10"/>
  <c r="S154" i="10"/>
  <c r="N142" i="10"/>
  <c r="Q142" i="10"/>
  <c r="P142" i="10"/>
  <c r="R142" i="10"/>
  <c r="O142" i="10"/>
  <c r="S142" i="10"/>
  <c r="N116" i="10"/>
  <c r="Q116" i="10"/>
  <c r="P116" i="10"/>
  <c r="R116" i="10"/>
  <c r="O116" i="10"/>
  <c r="S116" i="10"/>
  <c r="N91" i="10"/>
  <c r="Q91" i="10"/>
  <c r="P91" i="10"/>
  <c r="R91" i="10"/>
  <c r="O91" i="10"/>
  <c r="S91" i="10"/>
  <c r="N71" i="10"/>
  <c r="Q71" i="10"/>
  <c r="P71" i="10"/>
  <c r="R71" i="10"/>
  <c r="O71" i="10"/>
  <c r="S71" i="10"/>
  <c r="G71" i="10"/>
  <c r="J71" i="10"/>
  <c r="I71" i="10"/>
  <c r="K71" i="10"/>
  <c r="H71" i="10"/>
  <c r="L71" i="10"/>
  <c r="M70" i="10"/>
  <c r="T70" i="10"/>
  <c r="W70" i="10"/>
  <c r="V70" i="10"/>
  <c r="X70" i="10"/>
  <c r="U70" i="10"/>
  <c r="Y70" i="10"/>
  <c r="M90" i="10"/>
  <c r="M115" i="10"/>
  <c r="M125" i="10"/>
  <c r="N125" i="10"/>
  <c r="Q125" i="10"/>
  <c r="P125" i="10"/>
  <c r="R125" i="10"/>
  <c r="O125" i="10"/>
  <c r="S125" i="10"/>
  <c r="N115" i="10"/>
  <c r="Q115" i="10"/>
  <c r="P115" i="10"/>
  <c r="R115" i="10"/>
  <c r="O115" i="10"/>
  <c r="S115" i="10"/>
  <c r="N90" i="10"/>
  <c r="Q90" i="10"/>
  <c r="P90" i="10"/>
  <c r="R90" i="10"/>
  <c r="O90" i="10"/>
  <c r="S90" i="10"/>
  <c r="N70" i="10"/>
  <c r="Q70" i="10"/>
  <c r="P70" i="10"/>
  <c r="R70" i="10"/>
  <c r="O70" i="10"/>
  <c r="S70" i="10"/>
  <c r="G70" i="10"/>
  <c r="J70" i="10"/>
  <c r="I70" i="10"/>
  <c r="K70" i="10"/>
  <c r="H70" i="10"/>
  <c r="L70" i="10"/>
  <c r="J41" i="11"/>
  <c r="J40" i="11"/>
  <c r="M41" i="10"/>
  <c r="T41" i="10"/>
  <c r="W41" i="10"/>
  <c r="V41" i="10"/>
  <c r="X41" i="10"/>
  <c r="U41" i="10"/>
  <c r="Y41" i="10"/>
  <c r="M80" i="10"/>
  <c r="M92" i="10"/>
  <c r="M117" i="10"/>
  <c r="M147" i="10"/>
  <c r="M155" i="10"/>
  <c r="M165" i="10"/>
  <c r="M190" i="10"/>
  <c r="N190" i="10"/>
  <c r="Q190" i="10"/>
  <c r="P190" i="10"/>
  <c r="R190" i="10"/>
  <c r="O190" i="10"/>
  <c r="S190" i="10"/>
  <c r="N165" i="10"/>
  <c r="Q165" i="10"/>
  <c r="P165" i="10"/>
  <c r="R165" i="10"/>
  <c r="O165" i="10"/>
  <c r="S165" i="10"/>
  <c r="N155" i="10"/>
  <c r="Q155" i="10"/>
  <c r="P155" i="10"/>
  <c r="R155" i="10"/>
  <c r="O155" i="10"/>
  <c r="S155" i="10"/>
  <c r="N147" i="10"/>
  <c r="Q147" i="10"/>
  <c r="P147" i="10"/>
  <c r="R147" i="10"/>
  <c r="O147" i="10"/>
  <c r="S147" i="10"/>
  <c r="N117" i="10"/>
  <c r="Q117" i="10"/>
  <c r="P117" i="10"/>
  <c r="R117" i="10"/>
  <c r="O117" i="10"/>
  <c r="S117" i="10"/>
  <c r="N92" i="10"/>
  <c r="Q92" i="10"/>
  <c r="P92" i="10"/>
  <c r="R92" i="10"/>
  <c r="O92" i="10"/>
  <c r="S92" i="10"/>
  <c r="N80" i="10"/>
  <c r="Q80" i="10"/>
  <c r="P80" i="10"/>
  <c r="R80" i="10"/>
  <c r="O80" i="10"/>
  <c r="S80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M78" i="10"/>
  <c r="M89" i="10"/>
  <c r="M114" i="10"/>
  <c r="M124" i="10"/>
  <c r="M149" i="10"/>
  <c r="N149" i="10"/>
  <c r="Q149" i="10"/>
  <c r="P149" i="10"/>
  <c r="R149" i="10"/>
  <c r="O149" i="10"/>
  <c r="S149" i="10"/>
  <c r="N124" i="10"/>
  <c r="Q124" i="10"/>
  <c r="P124" i="10"/>
  <c r="R124" i="10"/>
  <c r="O124" i="10"/>
  <c r="S124" i="10"/>
  <c r="N114" i="10"/>
  <c r="Q114" i="10"/>
  <c r="P114" i="10"/>
  <c r="R114" i="10"/>
  <c r="O114" i="10"/>
  <c r="S114" i="10"/>
  <c r="N89" i="10"/>
  <c r="Q89" i="10"/>
  <c r="P89" i="10"/>
  <c r="R89" i="10"/>
  <c r="O89" i="10"/>
  <c r="S89" i="10"/>
  <c r="N78" i="10"/>
  <c r="Q78" i="10"/>
  <c r="P78" i="10"/>
  <c r="R78" i="10"/>
  <c r="O78" i="10"/>
  <c r="S78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O41" i="9"/>
  <c r="N41" i="9"/>
  <c r="M41" i="9"/>
  <c r="L41" i="9"/>
  <c r="K41" i="9"/>
  <c r="J41" i="9"/>
  <c r="I41" i="9"/>
  <c r="H41" i="9"/>
  <c r="G41" i="9"/>
  <c r="E41" i="9"/>
  <c r="D41" i="9"/>
  <c r="A41" i="9"/>
  <c r="O40" i="9"/>
  <c r="N40" i="9"/>
  <c r="M40" i="9"/>
  <c r="L40" i="9"/>
  <c r="K40" i="9"/>
  <c r="J40" i="9"/>
  <c r="I40" i="9"/>
  <c r="H40" i="9"/>
  <c r="G40" i="9"/>
  <c r="E40" i="9"/>
  <c r="D40" i="9"/>
  <c r="A40" i="9"/>
  <c r="A42" i="9"/>
  <c r="D42" i="9"/>
  <c r="E42" i="9"/>
  <c r="G42" i="9"/>
  <c r="H42" i="9"/>
  <c r="I42" i="9"/>
  <c r="J42" i="9"/>
  <c r="K42" i="9"/>
  <c r="L42" i="9"/>
  <c r="M42" i="9"/>
  <c r="N42" i="9"/>
  <c r="J42" i="11"/>
  <c r="O42" i="9"/>
  <c r="A43" i="9"/>
  <c r="D43" i="9"/>
  <c r="E43" i="9"/>
  <c r="G43" i="9"/>
  <c r="H43" i="9"/>
  <c r="I43" i="9"/>
  <c r="J43" i="9"/>
  <c r="K43" i="9"/>
  <c r="L43" i="9"/>
  <c r="M43" i="9"/>
  <c r="N43" i="9"/>
  <c r="J43" i="11"/>
  <c r="O43" i="9"/>
  <c r="N5" i="22"/>
  <c r="G5" i="22"/>
  <c r="F5" i="22"/>
  <c r="D5" i="22"/>
  <c r="C5" i="22"/>
  <c r="A5" i="22"/>
  <c r="N4" i="22"/>
  <c r="G4" i="22"/>
  <c r="F4" i="22"/>
  <c r="D4" i="22"/>
  <c r="C4" i="22"/>
  <c r="A4" i="22"/>
  <c r="C9" i="18"/>
  <c r="D9" i="18"/>
  <c r="XFD9" i="18"/>
  <c r="C10" i="18"/>
  <c r="D10" i="18"/>
  <c r="XFD10" i="18"/>
  <c r="C11" i="18"/>
  <c r="D11" i="18"/>
  <c r="XFD11" i="18"/>
  <c r="C12" i="18"/>
  <c r="D12" i="18"/>
  <c r="XFD12" i="18"/>
  <c r="C13" i="18"/>
  <c r="D13" i="18"/>
  <c r="XFD13" i="18"/>
  <c r="C14" i="18"/>
  <c r="D14" i="18"/>
  <c r="XFD14" i="18"/>
  <c r="C15" i="18"/>
  <c r="D15" i="18"/>
  <c r="XFD15" i="18"/>
  <c r="C16" i="18"/>
  <c r="D16" i="18"/>
  <c r="XFD16" i="18"/>
  <c r="C22" i="18"/>
  <c r="D22" i="18"/>
  <c r="C25" i="18"/>
  <c r="D25" i="18"/>
  <c r="C24" i="18"/>
  <c r="D24" i="18"/>
  <c r="C23" i="18"/>
  <c r="D23" i="18"/>
  <c r="C21" i="18"/>
  <c r="D21" i="18"/>
  <c r="C20" i="18"/>
  <c r="D20" i="18"/>
  <c r="C19" i="18"/>
  <c r="D19" i="18"/>
  <c r="C18" i="18"/>
  <c r="D18" i="18"/>
  <c r="C17" i="18"/>
  <c r="D17" i="18"/>
  <c r="C8" i="18"/>
  <c r="D8" i="18"/>
  <c r="A7" i="18"/>
  <c r="C7" i="18"/>
  <c r="D7" i="18"/>
  <c r="A6" i="18"/>
  <c r="C6" i="18"/>
  <c r="D6" i="18"/>
  <c r="A5" i="18"/>
  <c r="C5" i="18"/>
  <c r="D5" i="18"/>
  <c r="A4" i="18"/>
  <c r="C4" i="18"/>
  <c r="D4" i="18"/>
  <c r="A3" i="18"/>
  <c r="C3" i="18"/>
  <c r="D3" i="18"/>
  <c r="A2" i="18"/>
  <c r="C2" i="18"/>
  <c r="D2" i="18"/>
  <c r="M77" i="10"/>
  <c r="T77" i="10"/>
  <c r="W77" i="10"/>
  <c r="V77" i="10"/>
  <c r="X77" i="10"/>
  <c r="U77" i="10"/>
  <c r="Y77" i="10"/>
  <c r="N77" i="10"/>
  <c r="Q77" i="10"/>
  <c r="P77" i="10"/>
  <c r="R77" i="10"/>
  <c r="O77" i="10"/>
  <c r="S77" i="10"/>
  <c r="G77" i="10"/>
  <c r="J77" i="10"/>
  <c r="I77" i="10"/>
  <c r="K77" i="10"/>
  <c r="H77" i="10"/>
  <c r="L77" i="10"/>
  <c r="G78" i="10"/>
  <c r="H78" i="10"/>
  <c r="I78" i="10"/>
  <c r="J78" i="10"/>
  <c r="K78" i="10"/>
  <c r="L78" i="10"/>
  <c r="T78" i="10"/>
  <c r="U78" i="10"/>
  <c r="V78" i="10"/>
  <c r="W78" i="10"/>
  <c r="X78" i="10"/>
  <c r="Y78" i="10"/>
  <c r="J152" i="11"/>
  <c r="J151" i="11"/>
  <c r="J150" i="11"/>
  <c r="J149" i="11"/>
  <c r="J148" i="11"/>
  <c r="J147" i="11"/>
  <c r="J146" i="11"/>
  <c r="J145" i="11"/>
  <c r="J144" i="11"/>
  <c r="J143" i="11"/>
  <c r="J142" i="11"/>
  <c r="J82" i="11"/>
  <c r="J81" i="11"/>
  <c r="J80" i="11"/>
  <c r="J79" i="11"/>
  <c r="J78" i="11"/>
  <c r="J77" i="11"/>
  <c r="J76" i="11"/>
  <c r="J75" i="11"/>
  <c r="J74" i="11"/>
  <c r="J73" i="11"/>
  <c r="M209" i="10"/>
  <c r="T209" i="10"/>
  <c r="W209" i="10"/>
  <c r="V209" i="10"/>
  <c r="X209" i="10"/>
  <c r="U209" i="10"/>
  <c r="Y209" i="10"/>
  <c r="N209" i="10"/>
  <c r="Q209" i="10"/>
  <c r="P209" i="10"/>
  <c r="R209" i="10"/>
  <c r="O209" i="10"/>
  <c r="S209" i="10"/>
  <c r="G209" i="10"/>
  <c r="J209" i="10"/>
  <c r="I209" i="10"/>
  <c r="K209" i="10"/>
  <c r="H209" i="10"/>
  <c r="L209" i="10"/>
  <c r="M208" i="10"/>
  <c r="T208" i="10"/>
  <c r="W208" i="10"/>
  <c r="V208" i="10"/>
  <c r="X208" i="10"/>
  <c r="U208" i="10"/>
  <c r="Y208" i="10"/>
  <c r="N208" i="10"/>
  <c r="Q208" i="10"/>
  <c r="P208" i="10"/>
  <c r="R208" i="10"/>
  <c r="O208" i="10"/>
  <c r="S208" i="10"/>
  <c r="G208" i="10"/>
  <c r="J208" i="10"/>
  <c r="I208" i="10"/>
  <c r="K208" i="10"/>
  <c r="H208" i="10"/>
  <c r="L208" i="10"/>
  <c r="M207" i="10"/>
  <c r="T207" i="10"/>
  <c r="W207" i="10"/>
  <c r="V207" i="10"/>
  <c r="X207" i="10"/>
  <c r="U207" i="10"/>
  <c r="Y207" i="10"/>
  <c r="N207" i="10"/>
  <c r="Q207" i="10"/>
  <c r="P207" i="10"/>
  <c r="R207" i="10"/>
  <c r="O207" i="10"/>
  <c r="S207" i="10"/>
  <c r="G207" i="10"/>
  <c r="J207" i="10"/>
  <c r="I207" i="10"/>
  <c r="K207" i="10"/>
  <c r="H207" i="10"/>
  <c r="L207" i="10"/>
  <c r="M206" i="10"/>
  <c r="T206" i="10"/>
  <c r="W206" i="10"/>
  <c r="V206" i="10"/>
  <c r="X206" i="10"/>
  <c r="U206" i="10"/>
  <c r="Y206" i="10"/>
  <c r="N206" i="10"/>
  <c r="Q206" i="10"/>
  <c r="P206" i="10"/>
  <c r="R206" i="10"/>
  <c r="O206" i="10"/>
  <c r="S206" i="10"/>
  <c r="G206" i="10"/>
  <c r="J206" i="10"/>
  <c r="I206" i="10"/>
  <c r="K206" i="10"/>
  <c r="H206" i="10"/>
  <c r="L206" i="10"/>
  <c r="M205" i="10"/>
  <c r="T205" i="10"/>
  <c r="W205" i="10"/>
  <c r="V205" i="10"/>
  <c r="X205" i="10"/>
  <c r="U205" i="10"/>
  <c r="Y205" i="10"/>
  <c r="N205" i="10"/>
  <c r="Q205" i="10"/>
  <c r="P205" i="10"/>
  <c r="R205" i="10"/>
  <c r="O205" i="10"/>
  <c r="S205" i="10"/>
  <c r="G205" i="10"/>
  <c r="J205" i="10"/>
  <c r="I205" i="10"/>
  <c r="K205" i="10"/>
  <c r="H205" i="10"/>
  <c r="L205" i="10"/>
  <c r="M204" i="10"/>
  <c r="T204" i="10"/>
  <c r="W204" i="10"/>
  <c r="V204" i="10"/>
  <c r="X204" i="10"/>
  <c r="U204" i="10"/>
  <c r="Y204" i="10"/>
  <c r="N204" i="10"/>
  <c r="Q204" i="10"/>
  <c r="P204" i="10"/>
  <c r="R204" i="10"/>
  <c r="O204" i="10"/>
  <c r="S204" i="10"/>
  <c r="G204" i="10"/>
  <c r="J204" i="10"/>
  <c r="I204" i="10"/>
  <c r="K204" i="10"/>
  <c r="H204" i="10"/>
  <c r="L204" i="10"/>
  <c r="M203" i="10"/>
  <c r="T203" i="10"/>
  <c r="W203" i="10"/>
  <c r="V203" i="10"/>
  <c r="X203" i="10"/>
  <c r="U203" i="10"/>
  <c r="Y203" i="10"/>
  <c r="N203" i="10"/>
  <c r="Q203" i="10"/>
  <c r="P203" i="10"/>
  <c r="R203" i="10"/>
  <c r="O203" i="10"/>
  <c r="S203" i="10"/>
  <c r="G203" i="10"/>
  <c r="J203" i="10"/>
  <c r="I203" i="10"/>
  <c r="K203" i="10"/>
  <c r="H203" i="10"/>
  <c r="L203" i="10"/>
  <c r="M202" i="10"/>
  <c r="T202" i="10"/>
  <c r="W202" i="10"/>
  <c r="V202" i="10"/>
  <c r="X202" i="10"/>
  <c r="U202" i="10"/>
  <c r="Y202" i="10"/>
  <c r="N202" i="10"/>
  <c r="Q202" i="10"/>
  <c r="P202" i="10"/>
  <c r="R202" i="10"/>
  <c r="O202" i="10"/>
  <c r="S202" i="10"/>
  <c r="G202" i="10"/>
  <c r="J202" i="10"/>
  <c r="I202" i="10"/>
  <c r="K202" i="10"/>
  <c r="H202" i="10"/>
  <c r="L202" i="10"/>
  <c r="M201" i="10"/>
  <c r="T201" i="10"/>
  <c r="W201" i="10"/>
  <c r="V201" i="10"/>
  <c r="X201" i="10"/>
  <c r="U201" i="10"/>
  <c r="Y201" i="10"/>
  <c r="N201" i="10"/>
  <c r="Q201" i="10"/>
  <c r="P201" i="10"/>
  <c r="R201" i="10"/>
  <c r="O201" i="10"/>
  <c r="S201" i="10"/>
  <c r="G201" i="10"/>
  <c r="J201" i="10"/>
  <c r="I201" i="10"/>
  <c r="K201" i="10"/>
  <c r="H201" i="10"/>
  <c r="L201" i="10"/>
  <c r="M200" i="10"/>
  <c r="T200" i="10"/>
  <c r="W200" i="10"/>
  <c r="V200" i="10"/>
  <c r="X200" i="10"/>
  <c r="U200" i="10"/>
  <c r="Y200" i="10"/>
  <c r="N200" i="10"/>
  <c r="Q200" i="10"/>
  <c r="P200" i="10"/>
  <c r="R200" i="10"/>
  <c r="O200" i="10"/>
  <c r="S200" i="10"/>
  <c r="G200" i="10"/>
  <c r="J200" i="10"/>
  <c r="I200" i="10"/>
  <c r="K200" i="10"/>
  <c r="H200" i="10"/>
  <c r="L200" i="10"/>
  <c r="M199" i="10"/>
  <c r="T199" i="10"/>
  <c r="W199" i="10"/>
  <c r="V199" i="10"/>
  <c r="X199" i="10"/>
  <c r="U199" i="10"/>
  <c r="Y199" i="10"/>
  <c r="N199" i="10"/>
  <c r="Q199" i="10"/>
  <c r="P199" i="10"/>
  <c r="R199" i="10"/>
  <c r="O199" i="10"/>
  <c r="S199" i="10"/>
  <c r="G199" i="10"/>
  <c r="J199" i="10"/>
  <c r="I199" i="10"/>
  <c r="K199" i="10"/>
  <c r="H199" i="10"/>
  <c r="L199" i="10"/>
  <c r="M198" i="10"/>
  <c r="T198" i="10"/>
  <c r="W198" i="10"/>
  <c r="V198" i="10"/>
  <c r="X198" i="10"/>
  <c r="U198" i="10"/>
  <c r="Y198" i="10"/>
  <c r="N198" i="10"/>
  <c r="Q198" i="10"/>
  <c r="P198" i="10"/>
  <c r="R198" i="10"/>
  <c r="O198" i="10"/>
  <c r="S198" i="10"/>
  <c r="G198" i="10"/>
  <c r="J198" i="10"/>
  <c r="I198" i="10"/>
  <c r="K198" i="10"/>
  <c r="H198" i="10"/>
  <c r="L198" i="10"/>
  <c r="M197" i="10"/>
  <c r="T197" i="10"/>
  <c r="W197" i="10"/>
  <c r="V197" i="10"/>
  <c r="X197" i="10"/>
  <c r="U197" i="10"/>
  <c r="Y197" i="10"/>
  <c r="N197" i="10"/>
  <c r="Q197" i="10"/>
  <c r="P197" i="10"/>
  <c r="R197" i="10"/>
  <c r="O197" i="10"/>
  <c r="S197" i="10"/>
  <c r="G197" i="10"/>
  <c r="J197" i="10"/>
  <c r="I197" i="10"/>
  <c r="K197" i="10"/>
  <c r="H197" i="10"/>
  <c r="L197" i="10"/>
  <c r="M196" i="10"/>
  <c r="T196" i="10"/>
  <c r="W196" i="10"/>
  <c r="V196" i="10"/>
  <c r="X196" i="10"/>
  <c r="U196" i="10"/>
  <c r="Y196" i="10"/>
  <c r="N196" i="10"/>
  <c r="Q196" i="10"/>
  <c r="P196" i="10"/>
  <c r="R196" i="10"/>
  <c r="O196" i="10"/>
  <c r="S196" i="10"/>
  <c r="G196" i="10"/>
  <c r="J196" i="10"/>
  <c r="I196" i="10"/>
  <c r="K196" i="10"/>
  <c r="H196" i="10"/>
  <c r="L196" i="10"/>
  <c r="T195" i="10"/>
  <c r="W195" i="10"/>
  <c r="V195" i="10"/>
  <c r="X195" i="10"/>
  <c r="U195" i="10"/>
  <c r="Y195" i="10"/>
  <c r="G195" i="10"/>
  <c r="J195" i="10"/>
  <c r="I195" i="10"/>
  <c r="K195" i="10"/>
  <c r="H195" i="10"/>
  <c r="L195" i="10"/>
  <c r="T194" i="10"/>
  <c r="W194" i="10"/>
  <c r="V194" i="10"/>
  <c r="X194" i="10"/>
  <c r="U194" i="10"/>
  <c r="Y194" i="10"/>
  <c r="G194" i="10"/>
  <c r="J194" i="10"/>
  <c r="I194" i="10"/>
  <c r="K194" i="10"/>
  <c r="H194" i="10"/>
  <c r="L194" i="10"/>
  <c r="T193" i="10"/>
  <c r="W193" i="10"/>
  <c r="V193" i="10"/>
  <c r="X193" i="10"/>
  <c r="U193" i="10"/>
  <c r="Y193" i="10"/>
  <c r="G193" i="10"/>
  <c r="J193" i="10"/>
  <c r="I193" i="10"/>
  <c r="K193" i="10"/>
  <c r="H193" i="10"/>
  <c r="L193" i="10"/>
  <c r="M192" i="10"/>
  <c r="T192" i="10"/>
  <c r="W192" i="10"/>
  <c r="V192" i="10"/>
  <c r="X192" i="10"/>
  <c r="U192" i="10"/>
  <c r="Y192" i="10"/>
  <c r="N192" i="10"/>
  <c r="Q192" i="10"/>
  <c r="P192" i="10"/>
  <c r="R192" i="10"/>
  <c r="O192" i="10"/>
  <c r="S192" i="10"/>
  <c r="G192" i="10"/>
  <c r="J192" i="10"/>
  <c r="I192" i="10"/>
  <c r="K192" i="10"/>
  <c r="H192" i="10"/>
  <c r="L192" i="10"/>
  <c r="M191" i="10"/>
  <c r="T191" i="10"/>
  <c r="W191" i="10"/>
  <c r="V191" i="10"/>
  <c r="X191" i="10"/>
  <c r="U191" i="10"/>
  <c r="Y191" i="10"/>
  <c r="N191" i="10"/>
  <c r="Q191" i="10"/>
  <c r="P191" i="10"/>
  <c r="R191" i="10"/>
  <c r="O191" i="10"/>
  <c r="S191" i="10"/>
  <c r="G191" i="10"/>
  <c r="J191" i="10"/>
  <c r="I191" i="10"/>
  <c r="K191" i="10"/>
  <c r="H191" i="10"/>
  <c r="L191" i="10"/>
  <c r="T190" i="10"/>
  <c r="W190" i="10"/>
  <c r="V190" i="10"/>
  <c r="X190" i="10"/>
  <c r="U190" i="10"/>
  <c r="Y190" i="10"/>
  <c r="G190" i="10"/>
  <c r="J190" i="10"/>
  <c r="I190" i="10"/>
  <c r="K190" i="10"/>
  <c r="H190" i="10"/>
  <c r="L190" i="10"/>
  <c r="T189" i="10"/>
  <c r="W189" i="10"/>
  <c r="V189" i="10"/>
  <c r="X189" i="10"/>
  <c r="U189" i="10"/>
  <c r="Y189" i="10"/>
  <c r="G189" i="10"/>
  <c r="J189" i="10"/>
  <c r="I189" i="10"/>
  <c r="K189" i="10"/>
  <c r="H189" i="10"/>
  <c r="L189" i="10"/>
  <c r="M188" i="10"/>
  <c r="T188" i="10"/>
  <c r="W188" i="10"/>
  <c r="V188" i="10"/>
  <c r="X188" i="10"/>
  <c r="U188" i="10"/>
  <c r="Y188" i="10"/>
  <c r="N188" i="10"/>
  <c r="Q188" i="10"/>
  <c r="P188" i="10"/>
  <c r="R188" i="10"/>
  <c r="O188" i="10"/>
  <c r="S188" i="10"/>
  <c r="G188" i="10"/>
  <c r="J188" i="10"/>
  <c r="I188" i="10"/>
  <c r="K188" i="10"/>
  <c r="H188" i="10"/>
  <c r="L188" i="10"/>
  <c r="T187" i="10"/>
  <c r="W187" i="10"/>
  <c r="V187" i="10"/>
  <c r="X187" i="10"/>
  <c r="U187" i="10"/>
  <c r="Y187" i="10"/>
  <c r="G187" i="10"/>
  <c r="J187" i="10"/>
  <c r="I187" i="10"/>
  <c r="K187" i="10"/>
  <c r="H187" i="10"/>
  <c r="L187" i="10"/>
  <c r="T186" i="10"/>
  <c r="W186" i="10"/>
  <c r="V186" i="10"/>
  <c r="X186" i="10"/>
  <c r="U186" i="10"/>
  <c r="Y186" i="10"/>
  <c r="G186" i="10"/>
  <c r="J186" i="10"/>
  <c r="I186" i="10"/>
  <c r="K186" i="10"/>
  <c r="H186" i="10"/>
  <c r="L186" i="10"/>
  <c r="T185" i="10"/>
  <c r="W185" i="10"/>
  <c r="V185" i="10"/>
  <c r="X185" i="10"/>
  <c r="U185" i="10"/>
  <c r="Y185" i="10"/>
  <c r="G185" i="10"/>
  <c r="J185" i="10"/>
  <c r="I185" i="10"/>
  <c r="K185" i="10"/>
  <c r="H185" i="10"/>
  <c r="L185" i="10"/>
  <c r="T184" i="10"/>
  <c r="W184" i="10"/>
  <c r="V184" i="10"/>
  <c r="X184" i="10"/>
  <c r="U184" i="10"/>
  <c r="Y184" i="10"/>
  <c r="G184" i="10"/>
  <c r="J184" i="10"/>
  <c r="I184" i="10"/>
  <c r="K184" i="10"/>
  <c r="H184" i="10"/>
  <c r="L184" i="10"/>
  <c r="T183" i="10"/>
  <c r="W183" i="10"/>
  <c r="V183" i="10"/>
  <c r="X183" i="10"/>
  <c r="U183" i="10"/>
  <c r="Y183" i="10"/>
  <c r="G183" i="10"/>
  <c r="J183" i="10"/>
  <c r="I183" i="10"/>
  <c r="K183" i="10"/>
  <c r="H183" i="10"/>
  <c r="L183" i="10"/>
  <c r="M182" i="10"/>
  <c r="T182" i="10"/>
  <c r="W182" i="10"/>
  <c r="V182" i="10"/>
  <c r="X182" i="10"/>
  <c r="U182" i="10"/>
  <c r="Y182" i="10"/>
  <c r="N182" i="10"/>
  <c r="Q182" i="10"/>
  <c r="P182" i="10"/>
  <c r="R182" i="10"/>
  <c r="O182" i="10"/>
  <c r="S182" i="10"/>
  <c r="G182" i="10"/>
  <c r="J182" i="10"/>
  <c r="I182" i="10"/>
  <c r="K182" i="10"/>
  <c r="H182" i="10"/>
  <c r="L182" i="10"/>
  <c r="M179" i="10"/>
  <c r="T179" i="10"/>
  <c r="W179" i="10"/>
  <c r="V179" i="10"/>
  <c r="X179" i="10"/>
  <c r="U179" i="10"/>
  <c r="Y179" i="10"/>
  <c r="N179" i="10"/>
  <c r="Q179" i="10"/>
  <c r="P179" i="10"/>
  <c r="R179" i="10"/>
  <c r="O179" i="10"/>
  <c r="S179" i="10"/>
  <c r="G179" i="10"/>
  <c r="J179" i="10"/>
  <c r="I179" i="10"/>
  <c r="K179" i="10"/>
  <c r="H179" i="10"/>
  <c r="L179" i="10"/>
  <c r="M178" i="10"/>
  <c r="T178" i="10"/>
  <c r="W178" i="10"/>
  <c r="V178" i="10"/>
  <c r="X178" i="10"/>
  <c r="U178" i="10"/>
  <c r="Y178" i="10"/>
  <c r="N178" i="10"/>
  <c r="Q178" i="10"/>
  <c r="P178" i="10"/>
  <c r="R178" i="10"/>
  <c r="O178" i="10"/>
  <c r="S178" i="10"/>
  <c r="G178" i="10"/>
  <c r="J178" i="10"/>
  <c r="I178" i="10"/>
  <c r="K178" i="10"/>
  <c r="H178" i="10"/>
  <c r="L178" i="10"/>
  <c r="M177" i="10"/>
  <c r="T177" i="10"/>
  <c r="W177" i="10"/>
  <c r="V177" i="10"/>
  <c r="X177" i="10"/>
  <c r="U177" i="10"/>
  <c r="Y177" i="10"/>
  <c r="N177" i="10"/>
  <c r="Q177" i="10"/>
  <c r="P177" i="10"/>
  <c r="R177" i="10"/>
  <c r="O177" i="10"/>
  <c r="S177" i="10"/>
  <c r="G177" i="10"/>
  <c r="J177" i="10"/>
  <c r="I177" i="10"/>
  <c r="K177" i="10"/>
  <c r="H177" i="10"/>
  <c r="L177" i="10"/>
  <c r="M176" i="10"/>
  <c r="T176" i="10"/>
  <c r="W176" i="10"/>
  <c r="V176" i="10"/>
  <c r="X176" i="10"/>
  <c r="U176" i="10"/>
  <c r="Y176" i="10"/>
  <c r="N176" i="10"/>
  <c r="Q176" i="10"/>
  <c r="P176" i="10"/>
  <c r="R176" i="10"/>
  <c r="O176" i="10"/>
  <c r="S176" i="10"/>
  <c r="G176" i="10"/>
  <c r="J176" i="10"/>
  <c r="I176" i="10"/>
  <c r="K176" i="10"/>
  <c r="H176" i="10"/>
  <c r="L176" i="10"/>
  <c r="M175" i="10"/>
  <c r="T175" i="10"/>
  <c r="W175" i="10"/>
  <c r="V175" i="10"/>
  <c r="X175" i="10"/>
  <c r="U175" i="10"/>
  <c r="Y175" i="10"/>
  <c r="N175" i="10"/>
  <c r="Q175" i="10"/>
  <c r="P175" i="10"/>
  <c r="R175" i="10"/>
  <c r="O175" i="10"/>
  <c r="S175" i="10"/>
  <c r="G175" i="10"/>
  <c r="J175" i="10"/>
  <c r="I175" i="10"/>
  <c r="K175" i="10"/>
  <c r="H175" i="10"/>
  <c r="L175" i="10"/>
  <c r="M174" i="10"/>
  <c r="T174" i="10"/>
  <c r="W174" i="10"/>
  <c r="V174" i="10"/>
  <c r="X174" i="10"/>
  <c r="U174" i="10"/>
  <c r="Y174" i="10"/>
  <c r="N174" i="10"/>
  <c r="Q174" i="10"/>
  <c r="P174" i="10"/>
  <c r="R174" i="10"/>
  <c r="O174" i="10"/>
  <c r="S174" i="10"/>
  <c r="G174" i="10"/>
  <c r="J174" i="10"/>
  <c r="I174" i="10"/>
  <c r="K174" i="10"/>
  <c r="H174" i="10"/>
  <c r="L174" i="10"/>
  <c r="M173" i="10"/>
  <c r="T173" i="10"/>
  <c r="W173" i="10"/>
  <c r="V173" i="10"/>
  <c r="X173" i="10"/>
  <c r="U173" i="10"/>
  <c r="Y173" i="10"/>
  <c r="N173" i="10"/>
  <c r="Q173" i="10"/>
  <c r="P173" i="10"/>
  <c r="R173" i="10"/>
  <c r="O173" i="10"/>
  <c r="S173" i="10"/>
  <c r="G173" i="10"/>
  <c r="J173" i="10"/>
  <c r="I173" i="10"/>
  <c r="K173" i="10"/>
  <c r="H173" i="10"/>
  <c r="L173" i="10"/>
  <c r="M172" i="10"/>
  <c r="T172" i="10"/>
  <c r="W172" i="10"/>
  <c r="V172" i="10"/>
  <c r="X172" i="10"/>
  <c r="U172" i="10"/>
  <c r="Y172" i="10"/>
  <c r="N172" i="10"/>
  <c r="Q172" i="10"/>
  <c r="P172" i="10"/>
  <c r="R172" i="10"/>
  <c r="O172" i="10"/>
  <c r="S172" i="10"/>
  <c r="G172" i="10"/>
  <c r="J172" i="10"/>
  <c r="I172" i="10"/>
  <c r="K172" i="10"/>
  <c r="H172" i="10"/>
  <c r="L172" i="10"/>
  <c r="M171" i="10"/>
  <c r="T171" i="10"/>
  <c r="W171" i="10"/>
  <c r="V171" i="10"/>
  <c r="X171" i="10"/>
  <c r="U171" i="10"/>
  <c r="Y171" i="10"/>
  <c r="N171" i="10"/>
  <c r="Q171" i="10"/>
  <c r="P171" i="10"/>
  <c r="R171" i="10"/>
  <c r="O171" i="10"/>
  <c r="S171" i="10"/>
  <c r="G171" i="10"/>
  <c r="J171" i="10"/>
  <c r="I171" i="10"/>
  <c r="K171" i="10"/>
  <c r="H171" i="10"/>
  <c r="L171" i="10"/>
  <c r="M170" i="10"/>
  <c r="T170" i="10"/>
  <c r="W170" i="10"/>
  <c r="V170" i="10"/>
  <c r="X170" i="10"/>
  <c r="U170" i="10"/>
  <c r="Y170" i="10"/>
  <c r="N170" i="10"/>
  <c r="Q170" i="10"/>
  <c r="P170" i="10"/>
  <c r="R170" i="10"/>
  <c r="O170" i="10"/>
  <c r="S170" i="10"/>
  <c r="G170" i="10"/>
  <c r="J170" i="10"/>
  <c r="I170" i="10"/>
  <c r="K170" i="10"/>
  <c r="H170" i="10"/>
  <c r="L170" i="10"/>
  <c r="M169" i="10"/>
  <c r="T169" i="10"/>
  <c r="W169" i="10"/>
  <c r="V169" i="10"/>
  <c r="X169" i="10"/>
  <c r="U169" i="10"/>
  <c r="Y169" i="10"/>
  <c r="N169" i="10"/>
  <c r="Q169" i="10"/>
  <c r="P169" i="10"/>
  <c r="R169" i="10"/>
  <c r="O169" i="10"/>
  <c r="S169" i="10"/>
  <c r="G169" i="10"/>
  <c r="J169" i="10"/>
  <c r="I169" i="10"/>
  <c r="K169" i="10"/>
  <c r="H169" i="10"/>
  <c r="L169" i="10"/>
  <c r="M168" i="10"/>
  <c r="T168" i="10"/>
  <c r="W168" i="10"/>
  <c r="V168" i="10"/>
  <c r="X168" i="10"/>
  <c r="U168" i="10"/>
  <c r="Y168" i="10"/>
  <c r="N168" i="10"/>
  <c r="Q168" i="10"/>
  <c r="P168" i="10"/>
  <c r="R168" i="10"/>
  <c r="O168" i="10"/>
  <c r="S168" i="10"/>
  <c r="G168" i="10"/>
  <c r="J168" i="10"/>
  <c r="I168" i="10"/>
  <c r="K168" i="10"/>
  <c r="H168" i="10"/>
  <c r="L168" i="10"/>
  <c r="M167" i="10"/>
  <c r="T167" i="10"/>
  <c r="W167" i="10"/>
  <c r="V167" i="10"/>
  <c r="X167" i="10"/>
  <c r="U167" i="10"/>
  <c r="Y167" i="10"/>
  <c r="N167" i="10"/>
  <c r="Q167" i="10"/>
  <c r="P167" i="10"/>
  <c r="R167" i="10"/>
  <c r="O167" i="10"/>
  <c r="S167" i="10"/>
  <c r="G167" i="10"/>
  <c r="J167" i="10"/>
  <c r="I167" i="10"/>
  <c r="K167" i="10"/>
  <c r="H167" i="10"/>
  <c r="L167" i="10"/>
  <c r="M166" i="10"/>
  <c r="T166" i="10"/>
  <c r="W166" i="10"/>
  <c r="V166" i="10"/>
  <c r="X166" i="10"/>
  <c r="U166" i="10"/>
  <c r="Y166" i="10"/>
  <c r="N166" i="10"/>
  <c r="Q166" i="10"/>
  <c r="P166" i="10"/>
  <c r="R166" i="10"/>
  <c r="O166" i="10"/>
  <c r="S166" i="10"/>
  <c r="G166" i="10"/>
  <c r="J166" i="10"/>
  <c r="I166" i="10"/>
  <c r="K166" i="10"/>
  <c r="H166" i="10"/>
  <c r="L166" i="10"/>
  <c r="T165" i="10"/>
  <c r="W165" i="10"/>
  <c r="V165" i="10"/>
  <c r="X165" i="10"/>
  <c r="U165" i="10"/>
  <c r="Y165" i="10"/>
  <c r="G165" i="10"/>
  <c r="J165" i="10"/>
  <c r="I165" i="10"/>
  <c r="K165" i="10"/>
  <c r="H165" i="10"/>
  <c r="L165" i="10"/>
  <c r="T164" i="10"/>
  <c r="W164" i="10"/>
  <c r="V164" i="10"/>
  <c r="X164" i="10"/>
  <c r="U164" i="10"/>
  <c r="Y164" i="10"/>
  <c r="G164" i="10"/>
  <c r="J164" i="10"/>
  <c r="I164" i="10"/>
  <c r="K164" i="10"/>
  <c r="H164" i="10"/>
  <c r="L164" i="10"/>
  <c r="M163" i="10"/>
  <c r="T163" i="10"/>
  <c r="W163" i="10"/>
  <c r="V163" i="10"/>
  <c r="X163" i="10"/>
  <c r="U163" i="10"/>
  <c r="Y163" i="10"/>
  <c r="N163" i="10"/>
  <c r="Q163" i="10"/>
  <c r="P163" i="10"/>
  <c r="R163" i="10"/>
  <c r="O163" i="10"/>
  <c r="S163" i="10"/>
  <c r="G163" i="10"/>
  <c r="J163" i="10"/>
  <c r="I163" i="10"/>
  <c r="K163" i="10"/>
  <c r="H163" i="10"/>
  <c r="L163" i="10"/>
  <c r="T162" i="10"/>
  <c r="W162" i="10"/>
  <c r="V162" i="10"/>
  <c r="X162" i="10"/>
  <c r="U162" i="10"/>
  <c r="Y162" i="10"/>
  <c r="G162" i="10"/>
  <c r="J162" i="10"/>
  <c r="I162" i="10"/>
  <c r="K162" i="10"/>
  <c r="H162" i="10"/>
  <c r="L162" i="10"/>
  <c r="T161" i="10"/>
  <c r="W161" i="10"/>
  <c r="V161" i="10"/>
  <c r="X161" i="10"/>
  <c r="U161" i="10"/>
  <c r="Y161" i="10"/>
  <c r="G161" i="10"/>
  <c r="J161" i="10"/>
  <c r="I161" i="10"/>
  <c r="K161" i="10"/>
  <c r="H161" i="10"/>
  <c r="L161" i="10"/>
  <c r="T160" i="10"/>
  <c r="W160" i="10"/>
  <c r="V160" i="10"/>
  <c r="X160" i="10"/>
  <c r="U160" i="10"/>
  <c r="Y160" i="10"/>
  <c r="G160" i="10"/>
  <c r="J160" i="10"/>
  <c r="I160" i="10"/>
  <c r="K160" i="10"/>
  <c r="H160" i="10"/>
  <c r="L160" i="10"/>
  <c r="T159" i="10"/>
  <c r="W159" i="10"/>
  <c r="V159" i="10"/>
  <c r="X159" i="10"/>
  <c r="U159" i="10"/>
  <c r="Y159" i="10"/>
  <c r="G159" i="10"/>
  <c r="J159" i="10"/>
  <c r="I159" i="10"/>
  <c r="K159" i="10"/>
  <c r="H159" i="10"/>
  <c r="L159" i="10"/>
  <c r="T158" i="10"/>
  <c r="W158" i="10"/>
  <c r="V158" i="10"/>
  <c r="X158" i="10"/>
  <c r="U158" i="10"/>
  <c r="Y158" i="10"/>
  <c r="G158" i="10"/>
  <c r="J158" i="10"/>
  <c r="I158" i="10"/>
  <c r="K158" i="10"/>
  <c r="H158" i="10"/>
  <c r="L158" i="10"/>
  <c r="M157" i="10"/>
  <c r="T157" i="10"/>
  <c r="W157" i="10"/>
  <c r="V157" i="10"/>
  <c r="X157" i="10"/>
  <c r="U157" i="10"/>
  <c r="Y157" i="10"/>
  <c r="N157" i="10"/>
  <c r="Q157" i="10"/>
  <c r="P157" i="10"/>
  <c r="R157" i="10"/>
  <c r="O157" i="10"/>
  <c r="S157" i="10"/>
  <c r="G157" i="10"/>
  <c r="J157" i="10"/>
  <c r="I157" i="10"/>
  <c r="K157" i="10"/>
  <c r="H157" i="10"/>
  <c r="L157" i="10"/>
  <c r="M156" i="10"/>
  <c r="T156" i="10"/>
  <c r="W156" i="10"/>
  <c r="V156" i="10"/>
  <c r="X156" i="10"/>
  <c r="U156" i="10"/>
  <c r="Y156" i="10"/>
  <c r="N156" i="10"/>
  <c r="Q156" i="10"/>
  <c r="P156" i="10"/>
  <c r="R156" i="10"/>
  <c r="O156" i="10"/>
  <c r="S156" i="10"/>
  <c r="G156" i="10"/>
  <c r="J156" i="10"/>
  <c r="I156" i="10"/>
  <c r="K156" i="10"/>
  <c r="H156" i="10"/>
  <c r="L156" i="10"/>
  <c r="T155" i="10"/>
  <c r="W155" i="10"/>
  <c r="V155" i="10"/>
  <c r="X155" i="10"/>
  <c r="U155" i="10"/>
  <c r="Y155" i="10"/>
  <c r="G155" i="10"/>
  <c r="J155" i="10"/>
  <c r="I155" i="10"/>
  <c r="K155" i="10"/>
  <c r="H155" i="10"/>
  <c r="L155" i="10"/>
  <c r="T154" i="10"/>
  <c r="W154" i="10"/>
  <c r="V154" i="10"/>
  <c r="X154" i="10"/>
  <c r="U154" i="10"/>
  <c r="Y154" i="10"/>
  <c r="G154" i="10"/>
  <c r="J154" i="10"/>
  <c r="I154" i="10"/>
  <c r="K154" i="10"/>
  <c r="H154" i="10"/>
  <c r="L154" i="10"/>
  <c r="M153" i="10"/>
  <c r="T153" i="10"/>
  <c r="W153" i="10"/>
  <c r="V153" i="10"/>
  <c r="X153" i="10"/>
  <c r="U153" i="10"/>
  <c r="Y153" i="10"/>
  <c r="N153" i="10"/>
  <c r="Q153" i="10"/>
  <c r="P153" i="10"/>
  <c r="R153" i="10"/>
  <c r="O153" i="10"/>
  <c r="S153" i="10"/>
  <c r="G153" i="10"/>
  <c r="J153" i="10"/>
  <c r="I153" i="10"/>
  <c r="K153" i="10"/>
  <c r="H153" i="10"/>
  <c r="L153" i="10"/>
  <c r="M151" i="10"/>
  <c r="T151" i="10"/>
  <c r="W151" i="10"/>
  <c r="V151" i="10"/>
  <c r="X151" i="10"/>
  <c r="U151" i="10"/>
  <c r="Y151" i="10"/>
  <c r="N151" i="10"/>
  <c r="Q151" i="10"/>
  <c r="P151" i="10"/>
  <c r="R151" i="10"/>
  <c r="O151" i="10"/>
  <c r="S151" i="10"/>
  <c r="G151" i="10"/>
  <c r="J151" i="10"/>
  <c r="I151" i="10"/>
  <c r="K151" i="10"/>
  <c r="H151" i="10"/>
  <c r="L151" i="10"/>
  <c r="T150" i="10"/>
  <c r="W150" i="10"/>
  <c r="V150" i="10"/>
  <c r="X150" i="10"/>
  <c r="U150" i="10"/>
  <c r="Y150" i="10"/>
  <c r="G150" i="10"/>
  <c r="J150" i="10"/>
  <c r="I150" i="10"/>
  <c r="K150" i="10"/>
  <c r="H150" i="10"/>
  <c r="L150" i="10"/>
  <c r="T149" i="10"/>
  <c r="W149" i="10"/>
  <c r="V149" i="10"/>
  <c r="X149" i="10"/>
  <c r="U149" i="10"/>
  <c r="Y149" i="10"/>
  <c r="G149" i="10"/>
  <c r="J149" i="10"/>
  <c r="I149" i="10"/>
  <c r="K149" i="10"/>
  <c r="H149" i="10"/>
  <c r="L149" i="10"/>
  <c r="M152" i="10"/>
  <c r="T152" i="10"/>
  <c r="W152" i="10"/>
  <c r="V152" i="10"/>
  <c r="X152" i="10"/>
  <c r="U152" i="10"/>
  <c r="Y152" i="10"/>
  <c r="N152" i="10"/>
  <c r="Q152" i="10"/>
  <c r="P152" i="10"/>
  <c r="R152" i="10"/>
  <c r="O152" i="10"/>
  <c r="S152" i="10"/>
  <c r="G152" i="10"/>
  <c r="J152" i="10"/>
  <c r="I152" i="10"/>
  <c r="K152" i="10"/>
  <c r="H152" i="10"/>
  <c r="L152" i="10"/>
  <c r="T148" i="10"/>
  <c r="W148" i="10"/>
  <c r="V148" i="10"/>
  <c r="X148" i="10"/>
  <c r="U148" i="10"/>
  <c r="Y148" i="10"/>
  <c r="G148" i="10"/>
  <c r="J148" i="10"/>
  <c r="I148" i="10"/>
  <c r="K148" i="10"/>
  <c r="H148" i="10"/>
  <c r="L148" i="10"/>
  <c r="M146" i="10"/>
  <c r="T146" i="10"/>
  <c r="W146" i="10"/>
  <c r="V146" i="10"/>
  <c r="X146" i="10"/>
  <c r="U146" i="10"/>
  <c r="Y146" i="10"/>
  <c r="G146" i="10"/>
  <c r="J146" i="10"/>
  <c r="I146" i="10"/>
  <c r="K146" i="10"/>
  <c r="H146" i="10"/>
  <c r="L146" i="10"/>
  <c r="M145" i="10"/>
  <c r="T145" i="10"/>
  <c r="W145" i="10"/>
  <c r="V145" i="10"/>
  <c r="X145" i="10"/>
  <c r="U145" i="10"/>
  <c r="Y145" i="10"/>
  <c r="G145" i="10"/>
  <c r="J145" i="10"/>
  <c r="I145" i="10"/>
  <c r="K145" i="10"/>
  <c r="H145" i="10"/>
  <c r="L145" i="10"/>
  <c r="M144" i="10"/>
  <c r="T144" i="10"/>
  <c r="W144" i="10"/>
  <c r="V144" i="10"/>
  <c r="X144" i="10"/>
  <c r="U144" i="10"/>
  <c r="Y144" i="10"/>
  <c r="N144" i="10"/>
  <c r="Q144" i="10"/>
  <c r="P144" i="10"/>
  <c r="R144" i="10"/>
  <c r="O144" i="10"/>
  <c r="S144" i="10"/>
  <c r="G144" i="10"/>
  <c r="J144" i="10"/>
  <c r="I144" i="10"/>
  <c r="K144" i="10"/>
  <c r="H144" i="10"/>
  <c r="L144" i="10"/>
  <c r="M143" i="10"/>
  <c r="T143" i="10"/>
  <c r="W143" i="10"/>
  <c r="V143" i="10"/>
  <c r="X143" i="10"/>
  <c r="U143" i="10"/>
  <c r="Y143" i="10"/>
  <c r="N143" i="10"/>
  <c r="Q143" i="10"/>
  <c r="P143" i="10"/>
  <c r="R143" i="10"/>
  <c r="O143" i="10"/>
  <c r="S143" i="10"/>
  <c r="G143" i="10"/>
  <c r="J143" i="10"/>
  <c r="I143" i="10"/>
  <c r="K143" i="10"/>
  <c r="H143" i="10"/>
  <c r="L143" i="10"/>
  <c r="T147" i="10"/>
  <c r="W147" i="10"/>
  <c r="V147" i="10"/>
  <c r="X147" i="10"/>
  <c r="U147" i="10"/>
  <c r="Y147" i="10"/>
  <c r="G147" i="10"/>
  <c r="J147" i="10"/>
  <c r="I147" i="10"/>
  <c r="K147" i="10"/>
  <c r="H147" i="10"/>
  <c r="L147" i="10"/>
  <c r="T142" i="10"/>
  <c r="W142" i="10"/>
  <c r="V142" i="10"/>
  <c r="X142" i="10"/>
  <c r="U142" i="10"/>
  <c r="Y142" i="10"/>
  <c r="G142" i="10"/>
  <c r="J142" i="10"/>
  <c r="I142" i="10"/>
  <c r="K142" i="10"/>
  <c r="H142" i="10"/>
  <c r="L142" i="10"/>
  <c r="M139" i="10"/>
  <c r="T139" i="10"/>
  <c r="W139" i="10"/>
  <c r="V139" i="10"/>
  <c r="X139" i="10"/>
  <c r="U139" i="10"/>
  <c r="Y139" i="10"/>
  <c r="N139" i="10"/>
  <c r="Q139" i="10"/>
  <c r="P139" i="10"/>
  <c r="R139" i="10"/>
  <c r="O139" i="10"/>
  <c r="S139" i="10"/>
  <c r="G139" i="10"/>
  <c r="J139" i="10"/>
  <c r="I139" i="10"/>
  <c r="K139" i="10"/>
  <c r="H139" i="10"/>
  <c r="L139" i="10"/>
  <c r="M138" i="10"/>
  <c r="T138" i="10"/>
  <c r="W138" i="10"/>
  <c r="V138" i="10"/>
  <c r="X138" i="10"/>
  <c r="U138" i="10"/>
  <c r="Y138" i="10"/>
  <c r="N138" i="10"/>
  <c r="Q138" i="10"/>
  <c r="P138" i="10"/>
  <c r="R138" i="10"/>
  <c r="O138" i="10"/>
  <c r="S138" i="10"/>
  <c r="G138" i="10"/>
  <c r="J138" i="10"/>
  <c r="I138" i="10"/>
  <c r="K138" i="10"/>
  <c r="H138" i="10"/>
  <c r="L138" i="10"/>
  <c r="M137" i="10"/>
  <c r="T137" i="10"/>
  <c r="W137" i="10"/>
  <c r="V137" i="10"/>
  <c r="X137" i="10"/>
  <c r="U137" i="10"/>
  <c r="Y137" i="10"/>
  <c r="N137" i="10"/>
  <c r="Q137" i="10"/>
  <c r="P137" i="10"/>
  <c r="R137" i="10"/>
  <c r="O137" i="10"/>
  <c r="S137" i="10"/>
  <c r="G137" i="10"/>
  <c r="J137" i="10"/>
  <c r="I137" i="10"/>
  <c r="K137" i="10"/>
  <c r="H137" i="10"/>
  <c r="L137" i="10"/>
  <c r="M136" i="10"/>
  <c r="T136" i="10"/>
  <c r="W136" i="10"/>
  <c r="V136" i="10"/>
  <c r="X136" i="10"/>
  <c r="U136" i="10"/>
  <c r="Y136" i="10"/>
  <c r="N136" i="10"/>
  <c r="Q136" i="10"/>
  <c r="P136" i="10"/>
  <c r="R136" i="10"/>
  <c r="O136" i="10"/>
  <c r="S136" i="10"/>
  <c r="G136" i="10"/>
  <c r="J136" i="10"/>
  <c r="I136" i="10"/>
  <c r="K136" i="10"/>
  <c r="H136" i="10"/>
  <c r="L136" i="10"/>
  <c r="M135" i="10"/>
  <c r="T135" i="10"/>
  <c r="W135" i="10"/>
  <c r="V135" i="10"/>
  <c r="X135" i="10"/>
  <c r="U135" i="10"/>
  <c r="Y135" i="10"/>
  <c r="N135" i="10"/>
  <c r="Q135" i="10"/>
  <c r="P135" i="10"/>
  <c r="R135" i="10"/>
  <c r="O135" i="10"/>
  <c r="S135" i="10"/>
  <c r="G135" i="10"/>
  <c r="J135" i="10"/>
  <c r="I135" i="10"/>
  <c r="K135" i="10"/>
  <c r="H135" i="10"/>
  <c r="L135" i="10"/>
  <c r="M134" i="10"/>
  <c r="T134" i="10"/>
  <c r="W134" i="10"/>
  <c r="V134" i="10"/>
  <c r="X134" i="10"/>
  <c r="U134" i="10"/>
  <c r="Y134" i="10"/>
  <c r="N134" i="10"/>
  <c r="Q134" i="10"/>
  <c r="P134" i="10"/>
  <c r="R134" i="10"/>
  <c r="O134" i="10"/>
  <c r="S134" i="10"/>
  <c r="G134" i="10"/>
  <c r="J134" i="10"/>
  <c r="I134" i="10"/>
  <c r="K134" i="10"/>
  <c r="H134" i="10"/>
  <c r="L134" i="10"/>
  <c r="M133" i="10"/>
  <c r="T133" i="10"/>
  <c r="W133" i="10"/>
  <c r="V133" i="10"/>
  <c r="X133" i="10"/>
  <c r="U133" i="10"/>
  <c r="Y133" i="10"/>
  <c r="N133" i="10"/>
  <c r="Q133" i="10"/>
  <c r="P133" i="10"/>
  <c r="R133" i="10"/>
  <c r="O133" i="10"/>
  <c r="S133" i="10"/>
  <c r="G133" i="10"/>
  <c r="J133" i="10"/>
  <c r="I133" i="10"/>
  <c r="K133" i="10"/>
  <c r="H133" i="10"/>
  <c r="L133" i="10"/>
  <c r="M132" i="10"/>
  <c r="T132" i="10"/>
  <c r="W132" i="10"/>
  <c r="V132" i="10"/>
  <c r="X132" i="10"/>
  <c r="U132" i="10"/>
  <c r="Y132" i="10"/>
  <c r="N132" i="10"/>
  <c r="Q132" i="10"/>
  <c r="P132" i="10"/>
  <c r="R132" i="10"/>
  <c r="O132" i="10"/>
  <c r="S132" i="10"/>
  <c r="G132" i="10"/>
  <c r="J132" i="10"/>
  <c r="I132" i="10"/>
  <c r="K132" i="10"/>
  <c r="H132" i="10"/>
  <c r="L132" i="10"/>
  <c r="M131" i="10"/>
  <c r="T131" i="10"/>
  <c r="W131" i="10"/>
  <c r="V131" i="10"/>
  <c r="X131" i="10"/>
  <c r="U131" i="10"/>
  <c r="Y131" i="10"/>
  <c r="N131" i="10"/>
  <c r="Q131" i="10"/>
  <c r="P131" i="10"/>
  <c r="R131" i="10"/>
  <c r="O131" i="10"/>
  <c r="S131" i="10"/>
  <c r="G131" i="10"/>
  <c r="J131" i="10"/>
  <c r="I131" i="10"/>
  <c r="K131" i="10"/>
  <c r="H131" i="10"/>
  <c r="L131" i="10"/>
  <c r="M130" i="10"/>
  <c r="T130" i="10"/>
  <c r="W130" i="10"/>
  <c r="V130" i="10"/>
  <c r="X130" i="10"/>
  <c r="U130" i="10"/>
  <c r="Y130" i="10"/>
  <c r="N130" i="10"/>
  <c r="Q130" i="10"/>
  <c r="P130" i="10"/>
  <c r="R130" i="10"/>
  <c r="O130" i="10"/>
  <c r="S130" i="10"/>
  <c r="G130" i="10"/>
  <c r="J130" i="10"/>
  <c r="I130" i="10"/>
  <c r="K130" i="10"/>
  <c r="H130" i="10"/>
  <c r="L130" i="10"/>
  <c r="M129" i="10"/>
  <c r="T129" i="10"/>
  <c r="W129" i="10"/>
  <c r="V129" i="10"/>
  <c r="X129" i="10"/>
  <c r="U129" i="10"/>
  <c r="Y129" i="10"/>
  <c r="N129" i="10"/>
  <c r="Q129" i="10"/>
  <c r="P129" i="10"/>
  <c r="R129" i="10"/>
  <c r="O129" i="10"/>
  <c r="S129" i="10"/>
  <c r="G129" i="10"/>
  <c r="J129" i="10"/>
  <c r="I129" i="10"/>
  <c r="K129" i="10"/>
  <c r="H129" i="10"/>
  <c r="L129" i="10"/>
  <c r="M128" i="10"/>
  <c r="T128" i="10"/>
  <c r="W128" i="10"/>
  <c r="V128" i="10"/>
  <c r="X128" i="10"/>
  <c r="U128" i="10"/>
  <c r="Y128" i="10"/>
  <c r="N128" i="10"/>
  <c r="Q128" i="10"/>
  <c r="P128" i="10"/>
  <c r="R128" i="10"/>
  <c r="O128" i="10"/>
  <c r="S128" i="10"/>
  <c r="G128" i="10"/>
  <c r="J128" i="10"/>
  <c r="I128" i="10"/>
  <c r="K128" i="10"/>
  <c r="H128" i="10"/>
  <c r="L128" i="10"/>
  <c r="M127" i="10"/>
  <c r="T127" i="10"/>
  <c r="W127" i="10"/>
  <c r="V127" i="10"/>
  <c r="X127" i="10"/>
  <c r="U127" i="10"/>
  <c r="Y127" i="10"/>
  <c r="N127" i="10"/>
  <c r="Q127" i="10"/>
  <c r="P127" i="10"/>
  <c r="R127" i="10"/>
  <c r="O127" i="10"/>
  <c r="S127" i="10"/>
  <c r="G127" i="10"/>
  <c r="J127" i="10"/>
  <c r="I127" i="10"/>
  <c r="K127" i="10"/>
  <c r="H127" i="10"/>
  <c r="L127" i="10"/>
  <c r="M126" i="10"/>
  <c r="T126" i="10"/>
  <c r="W126" i="10"/>
  <c r="V126" i="10"/>
  <c r="X126" i="10"/>
  <c r="U126" i="10"/>
  <c r="Y126" i="10"/>
  <c r="N126" i="10"/>
  <c r="Q126" i="10"/>
  <c r="P126" i="10"/>
  <c r="R126" i="10"/>
  <c r="O126" i="10"/>
  <c r="S126" i="10"/>
  <c r="G126" i="10"/>
  <c r="J126" i="10"/>
  <c r="I126" i="10"/>
  <c r="K126" i="10"/>
  <c r="H126" i="10"/>
  <c r="L126" i="10"/>
  <c r="T125" i="10"/>
  <c r="W125" i="10"/>
  <c r="V125" i="10"/>
  <c r="X125" i="10"/>
  <c r="U125" i="10"/>
  <c r="Y125" i="10"/>
  <c r="G125" i="10"/>
  <c r="J125" i="10"/>
  <c r="I125" i="10"/>
  <c r="K125" i="10"/>
  <c r="H125" i="10"/>
  <c r="L125" i="10"/>
  <c r="T124" i="10"/>
  <c r="W124" i="10"/>
  <c r="V124" i="10"/>
  <c r="X124" i="10"/>
  <c r="U124" i="10"/>
  <c r="Y124" i="10"/>
  <c r="G124" i="10"/>
  <c r="J124" i="10"/>
  <c r="I124" i="10"/>
  <c r="K124" i="10"/>
  <c r="H124" i="10"/>
  <c r="L124" i="10"/>
  <c r="M123" i="10"/>
  <c r="T123" i="10"/>
  <c r="W123" i="10"/>
  <c r="V123" i="10"/>
  <c r="X123" i="10"/>
  <c r="U123" i="10"/>
  <c r="Y123" i="10"/>
  <c r="N123" i="10"/>
  <c r="Q123" i="10"/>
  <c r="P123" i="10"/>
  <c r="R123" i="10"/>
  <c r="O123" i="10"/>
  <c r="S123" i="10"/>
  <c r="G123" i="10"/>
  <c r="J123" i="10"/>
  <c r="I123" i="10"/>
  <c r="K123" i="10"/>
  <c r="H123" i="10"/>
  <c r="L123" i="10"/>
  <c r="M122" i="10"/>
  <c r="T122" i="10"/>
  <c r="W122" i="10"/>
  <c r="V122" i="10"/>
  <c r="X122" i="10"/>
  <c r="U122" i="10"/>
  <c r="Y122" i="10"/>
  <c r="N122" i="10"/>
  <c r="Q122" i="10"/>
  <c r="P122" i="10"/>
  <c r="R122" i="10"/>
  <c r="O122" i="10"/>
  <c r="S122" i="10"/>
  <c r="G122" i="10"/>
  <c r="J122" i="10"/>
  <c r="I122" i="10"/>
  <c r="K122" i="10"/>
  <c r="H122" i="10"/>
  <c r="L122" i="10"/>
  <c r="T121" i="10"/>
  <c r="W121" i="10"/>
  <c r="V121" i="10"/>
  <c r="X121" i="10"/>
  <c r="U121" i="10"/>
  <c r="Y121" i="10"/>
  <c r="G121" i="10"/>
  <c r="J121" i="10"/>
  <c r="I121" i="10"/>
  <c r="K121" i="10"/>
  <c r="H121" i="10"/>
  <c r="L121" i="10"/>
  <c r="T120" i="10"/>
  <c r="W120" i="10"/>
  <c r="V120" i="10"/>
  <c r="X120" i="10"/>
  <c r="U120" i="10"/>
  <c r="Y120" i="10"/>
  <c r="G120" i="10"/>
  <c r="J120" i="10"/>
  <c r="I120" i="10"/>
  <c r="K120" i="10"/>
  <c r="H120" i="10"/>
  <c r="L120" i="10"/>
  <c r="M119" i="10"/>
  <c r="T119" i="10"/>
  <c r="W119" i="10"/>
  <c r="V119" i="10"/>
  <c r="X119" i="10"/>
  <c r="U119" i="10"/>
  <c r="Y119" i="10"/>
  <c r="N119" i="10"/>
  <c r="Q119" i="10"/>
  <c r="P119" i="10"/>
  <c r="R119" i="10"/>
  <c r="O119" i="10"/>
  <c r="S119" i="10"/>
  <c r="G119" i="10"/>
  <c r="J119" i="10"/>
  <c r="I119" i="10"/>
  <c r="K119" i="10"/>
  <c r="H119" i="10"/>
  <c r="L119" i="10"/>
  <c r="M118" i="10"/>
  <c r="T118" i="10"/>
  <c r="W118" i="10"/>
  <c r="V118" i="10"/>
  <c r="X118" i="10"/>
  <c r="U118" i="10"/>
  <c r="Y118" i="10"/>
  <c r="N118" i="10"/>
  <c r="Q118" i="10"/>
  <c r="P118" i="10"/>
  <c r="R118" i="10"/>
  <c r="O118" i="10"/>
  <c r="S118" i="10"/>
  <c r="G118" i="10"/>
  <c r="J118" i="10"/>
  <c r="I118" i="10"/>
  <c r="K118" i="10"/>
  <c r="H118" i="10"/>
  <c r="L118" i="10"/>
  <c r="T117" i="10"/>
  <c r="W117" i="10"/>
  <c r="V117" i="10"/>
  <c r="X117" i="10"/>
  <c r="U117" i="10"/>
  <c r="Y117" i="10"/>
  <c r="G117" i="10"/>
  <c r="J117" i="10"/>
  <c r="I117" i="10"/>
  <c r="K117" i="10"/>
  <c r="H117" i="10"/>
  <c r="L117" i="10"/>
  <c r="T116" i="10"/>
  <c r="W116" i="10"/>
  <c r="V116" i="10"/>
  <c r="X116" i="10"/>
  <c r="U116" i="10"/>
  <c r="Y116" i="10"/>
  <c r="G116" i="10"/>
  <c r="J116" i="10"/>
  <c r="I116" i="10"/>
  <c r="K116" i="10"/>
  <c r="H116" i="10"/>
  <c r="L116" i="10"/>
  <c r="T115" i="10"/>
  <c r="W115" i="10"/>
  <c r="V115" i="10"/>
  <c r="X115" i="10"/>
  <c r="U115" i="10"/>
  <c r="Y115" i="10"/>
  <c r="G115" i="10"/>
  <c r="J115" i="10"/>
  <c r="I115" i="10"/>
  <c r="K115" i="10"/>
  <c r="H115" i="10"/>
  <c r="L115" i="10"/>
  <c r="T114" i="10"/>
  <c r="W114" i="10"/>
  <c r="V114" i="10"/>
  <c r="X114" i="10"/>
  <c r="U114" i="10"/>
  <c r="Y114" i="10"/>
  <c r="G114" i="10"/>
  <c r="J114" i="10"/>
  <c r="I114" i="10"/>
  <c r="K114" i="10"/>
  <c r="H114" i="10"/>
  <c r="L114" i="10"/>
  <c r="M113" i="10"/>
  <c r="T113" i="10"/>
  <c r="W113" i="10"/>
  <c r="V113" i="10"/>
  <c r="X113" i="10"/>
  <c r="U113" i="10"/>
  <c r="Y113" i="10"/>
  <c r="N113" i="10"/>
  <c r="Q113" i="10"/>
  <c r="P113" i="10"/>
  <c r="R113" i="10"/>
  <c r="O113" i="10"/>
  <c r="S113" i="10"/>
  <c r="G113" i="10"/>
  <c r="J113" i="10"/>
  <c r="I113" i="10"/>
  <c r="K113" i="10"/>
  <c r="H113" i="10"/>
  <c r="L113" i="10"/>
  <c r="M112" i="10"/>
  <c r="T112" i="10"/>
  <c r="W112" i="10"/>
  <c r="V112" i="10"/>
  <c r="X112" i="10"/>
  <c r="U112" i="10"/>
  <c r="Y112" i="10"/>
  <c r="N112" i="10"/>
  <c r="Q112" i="10"/>
  <c r="P112" i="10"/>
  <c r="R112" i="10"/>
  <c r="O112" i="10"/>
  <c r="S112" i="10"/>
  <c r="G112" i="10"/>
  <c r="J112" i="10"/>
  <c r="I112" i="10"/>
  <c r="K112" i="10"/>
  <c r="H112" i="10"/>
  <c r="L112" i="10"/>
  <c r="M109" i="10"/>
  <c r="T109" i="10"/>
  <c r="W109" i="10"/>
  <c r="V109" i="10"/>
  <c r="X109" i="10"/>
  <c r="U109" i="10"/>
  <c r="Y109" i="10"/>
  <c r="N109" i="10"/>
  <c r="Q109" i="10"/>
  <c r="P109" i="10"/>
  <c r="R109" i="10"/>
  <c r="O109" i="10"/>
  <c r="S109" i="10"/>
  <c r="G109" i="10"/>
  <c r="J109" i="10"/>
  <c r="I109" i="10"/>
  <c r="K109" i="10"/>
  <c r="H109" i="10"/>
  <c r="L109" i="10"/>
  <c r="M108" i="10"/>
  <c r="T108" i="10"/>
  <c r="W108" i="10"/>
  <c r="V108" i="10"/>
  <c r="X108" i="10"/>
  <c r="U108" i="10"/>
  <c r="Y108" i="10"/>
  <c r="N108" i="10"/>
  <c r="Q108" i="10"/>
  <c r="P108" i="10"/>
  <c r="R108" i="10"/>
  <c r="O108" i="10"/>
  <c r="S108" i="10"/>
  <c r="G108" i="10"/>
  <c r="J108" i="10"/>
  <c r="I108" i="10"/>
  <c r="K108" i="10"/>
  <c r="H108" i="10"/>
  <c r="L108" i="10"/>
  <c r="M107" i="10"/>
  <c r="T107" i="10"/>
  <c r="W107" i="10"/>
  <c r="V107" i="10"/>
  <c r="X107" i="10"/>
  <c r="U107" i="10"/>
  <c r="Y107" i="10"/>
  <c r="N107" i="10"/>
  <c r="Q107" i="10"/>
  <c r="P107" i="10"/>
  <c r="R107" i="10"/>
  <c r="O107" i="10"/>
  <c r="S107" i="10"/>
  <c r="G107" i="10"/>
  <c r="J107" i="10"/>
  <c r="I107" i="10"/>
  <c r="K107" i="10"/>
  <c r="H107" i="10"/>
  <c r="L107" i="10"/>
  <c r="M106" i="10"/>
  <c r="T106" i="10"/>
  <c r="W106" i="10"/>
  <c r="V106" i="10"/>
  <c r="X106" i="10"/>
  <c r="U106" i="10"/>
  <c r="Y106" i="10"/>
  <c r="N106" i="10"/>
  <c r="Q106" i="10"/>
  <c r="P106" i="10"/>
  <c r="R106" i="10"/>
  <c r="O106" i="10"/>
  <c r="S106" i="10"/>
  <c r="G106" i="10"/>
  <c r="J106" i="10"/>
  <c r="I106" i="10"/>
  <c r="K106" i="10"/>
  <c r="H106" i="10"/>
  <c r="L106" i="10"/>
  <c r="M105" i="10"/>
  <c r="T105" i="10"/>
  <c r="W105" i="10"/>
  <c r="V105" i="10"/>
  <c r="X105" i="10"/>
  <c r="U105" i="10"/>
  <c r="Y105" i="10"/>
  <c r="N105" i="10"/>
  <c r="Q105" i="10"/>
  <c r="P105" i="10"/>
  <c r="R105" i="10"/>
  <c r="O105" i="10"/>
  <c r="S105" i="10"/>
  <c r="G105" i="10"/>
  <c r="J105" i="10"/>
  <c r="I105" i="10"/>
  <c r="K105" i="10"/>
  <c r="H105" i="10"/>
  <c r="L105" i="10"/>
  <c r="M104" i="10"/>
  <c r="T104" i="10"/>
  <c r="W104" i="10"/>
  <c r="V104" i="10"/>
  <c r="X104" i="10"/>
  <c r="U104" i="10"/>
  <c r="Y104" i="10"/>
  <c r="N104" i="10"/>
  <c r="Q104" i="10"/>
  <c r="P104" i="10"/>
  <c r="R104" i="10"/>
  <c r="O104" i="10"/>
  <c r="S104" i="10"/>
  <c r="G104" i="10"/>
  <c r="J104" i="10"/>
  <c r="I104" i="10"/>
  <c r="K104" i="10"/>
  <c r="H104" i="10"/>
  <c r="L104" i="10"/>
  <c r="M103" i="10"/>
  <c r="T103" i="10"/>
  <c r="W103" i="10"/>
  <c r="V103" i="10"/>
  <c r="X103" i="10"/>
  <c r="U103" i="10"/>
  <c r="Y103" i="10"/>
  <c r="N103" i="10"/>
  <c r="Q103" i="10"/>
  <c r="P103" i="10"/>
  <c r="R103" i="10"/>
  <c r="O103" i="10"/>
  <c r="S103" i="10"/>
  <c r="G103" i="10"/>
  <c r="J103" i="10"/>
  <c r="I103" i="10"/>
  <c r="K103" i="10"/>
  <c r="H103" i="10"/>
  <c r="L103" i="10"/>
  <c r="M102" i="10"/>
  <c r="T102" i="10"/>
  <c r="W102" i="10"/>
  <c r="V102" i="10"/>
  <c r="X102" i="10"/>
  <c r="U102" i="10"/>
  <c r="Y102" i="10"/>
  <c r="N102" i="10"/>
  <c r="Q102" i="10"/>
  <c r="P102" i="10"/>
  <c r="R102" i="10"/>
  <c r="O102" i="10"/>
  <c r="S102" i="10"/>
  <c r="G102" i="10"/>
  <c r="J102" i="10"/>
  <c r="I102" i="10"/>
  <c r="K102" i="10"/>
  <c r="H102" i="10"/>
  <c r="L102" i="10"/>
  <c r="M101" i="10"/>
  <c r="T101" i="10"/>
  <c r="W101" i="10"/>
  <c r="V101" i="10"/>
  <c r="X101" i="10"/>
  <c r="U101" i="10"/>
  <c r="Y101" i="10"/>
  <c r="N101" i="10"/>
  <c r="Q101" i="10"/>
  <c r="P101" i="10"/>
  <c r="R101" i="10"/>
  <c r="O101" i="10"/>
  <c r="S101" i="10"/>
  <c r="G101" i="10"/>
  <c r="J101" i="10"/>
  <c r="I101" i="10"/>
  <c r="K101" i="10"/>
  <c r="H101" i="10"/>
  <c r="L101" i="10"/>
  <c r="M100" i="10"/>
  <c r="T100" i="10"/>
  <c r="W100" i="10"/>
  <c r="V100" i="10"/>
  <c r="X100" i="10"/>
  <c r="U100" i="10"/>
  <c r="Y100" i="10"/>
  <c r="N100" i="10"/>
  <c r="Q100" i="10"/>
  <c r="P100" i="10"/>
  <c r="R100" i="10"/>
  <c r="O100" i="10"/>
  <c r="S100" i="10"/>
  <c r="G100" i="10"/>
  <c r="J100" i="10"/>
  <c r="I100" i="10"/>
  <c r="K100" i="10"/>
  <c r="H100" i="10"/>
  <c r="L100" i="10"/>
  <c r="M99" i="10"/>
  <c r="T99" i="10"/>
  <c r="W99" i="10"/>
  <c r="V99" i="10"/>
  <c r="X99" i="10"/>
  <c r="U99" i="10"/>
  <c r="Y99" i="10"/>
  <c r="N99" i="10"/>
  <c r="Q99" i="10"/>
  <c r="P99" i="10"/>
  <c r="R99" i="10"/>
  <c r="O99" i="10"/>
  <c r="S99" i="10"/>
  <c r="G99" i="10"/>
  <c r="J99" i="10"/>
  <c r="I99" i="10"/>
  <c r="K99" i="10"/>
  <c r="H99" i="10"/>
  <c r="L99" i="10"/>
  <c r="M98" i="10"/>
  <c r="T98" i="10"/>
  <c r="W98" i="10"/>
  <c r="V98" i="10"/>
  <c r="X98" i="10"/>
  <c r="U98" i="10"/>
  <c r="Y98" i="10"/>
  <c r="N98" i="10"/>
  <c r="Q98" i="10"/>
  <c r="P98" i="10"/>
  <c r="R98" i="10"/>
  <c r="O98" i="10"/>
  <c r="S98" i="10"/>
  <c r="G98" i="10"/>
  <c r="J98" i="10"/>
  <c r="I98" i="10"/>
  <c r="K98" i="10"/>
  <c r="H98" i="10"/>
  <c r="L98" i="10"/>
  <c r="M97" i="10"/>
  <c r="T97" i="10"/>
  <c r="W97" i="10"/>
  <c r="V97" i="10"/>
  <c r="X97" i="10"/>
  <c r="U97" i="10"/>
  <c r="Y97" i="10"/>
  <c r="N97" i="10"/>
  <c r="Q97" i="10"/>
  <c r="P97" i="10"/>
  <c r="R97" i="10"/>
  <c r="O97" i="10"/>
  <c r="S97" i="10"/>
  <c r="G97" i="10"/>
  <c r="J97" i="10"/>
  <c r="I97" i="10"/>
  <c r="K97" i="10"/>
  <c r="H97" i="10"/>
  <c r="L97" i="10"/>
  <c r="T96" i="10"/>
  <c r="W96" i="10"/>
  <c r="V96" i="10"/>
  <c r="X96" i="10"/>
  <c r="U96" i="10"/>
  <c r="Y96" i="10"/>
  <c r="G96" i="10"/>
  <c r="J96" i="10"/>
  <c r="I96" i="10"/>
  <c r="K96" i="10"/>
  <c r="H96" i="10"/>
  <c r="L96" i="10"/>
  <c r="T95" i="10"/>
  <c r="W95" i="10"/>
  <c r="V95" i="10"/>
  <c r="X95" i="10"/>
  <c r="U95" i="10"/>
  <c r="Y95" i="10"/>
  <c r="G95" i="10"/>
  <c r="J95" i="10"/>
  <c r="I95" i="10"/>
  <c r="K95" i="10"/>
  <c r="H95" i="10"/>
  <c r="L95" i="10"/>
  <c r="M94" i="10"/>
  <c r="T94" i="10"/>
  <c r="W94" i="10"/>
  <c r="V94" i="10"/>
  <c r="X94" i="10"/>
  <c r="U94" i="10"/>
  <c r="Y94" i="10"/>
  <c r="N94" i="10"/>
  <c r="Q94" i="10"/>
  <c r="P94" i="10"/>
  <c r="R94" i="10"/>
  <c r="O94" i="10"/>
  <c r="S94" i="10"/>
  <c r="G94" i="10"/>
  <c r="J94" i="10"/>
  <c r="I94" i="10"/>
  <c r="K94" i="10"/>
  <c r="H94" i="10"/>
  <c r="L94" i="10"/>
  <c r="M93" i="10"/>
  <c r="T93" i="10"/>
  <c r="W93" i="10"/>
  <c r="V93" i="10"/>
  <c r="X93" i="10"/>
  <c r="U93" i="10"/>
  <c r="Y93" i="10"/>
  <c r="N93" i="10"/>
  <c r="Q93" i="10"/>
  <c r="P93" i="10"/>
  <c r="R93" i="10"/>
  <c r="O93" i="10"/>
  <c r="S93" i="10"/>
  <c r="G93" i="10"/>
  <c r="J93" i="10"/>
  <c r="I93" i="10"/>
  <c r="K93" i="10"/>
  <c r="H93" i="10"/>
  <c r="L93" i="10"/>
  <c r="T92" i="10"/>
  <c r="W92" i="10"/>
  <c r="V92" i="10"/>
  <c r="X92" i="10"/>
  <c r="U92" i="10"/>
  <c r="Y92" i="10"/>
  <c r="G92" i="10"/>
  <c r="J92" i="10"/>
  <c r="I92" i="10"/>
  <c r="K92" i="10"/>
  <c r="H92" i="10"/>
  <c r="L92" i="10"/>
  <c r="T91" i="10"/>
  <c r="W91" i="10"/>
  <c r="V91" i="10"/>
  <c r="X91" i="10"/>
  <c r="U91" i="10"/>
  <c r="Y91" i="10"/>
  <c r="G91" i="10"/>
  <c r="J91" i="10"/>
  <c r="I91" i="10"/>
  <c r="K91" i="10"/>
  <c r="H91" i="10"/>
  <c r="L91" i="10"/>
  <c r="T90" i="10"/>
  <c r="W90" i="10"/>
  <c r="V90" i="10"/>
  <c r="X90" i="10"/>
  <c r="U90" i="10"/>
  <c r="Y90" i="10"/>
  <c r="G90" i="10"/>
  <c r="J90" i="10"/>
  <c r="I90" i="10"/>
  <c r="K90" i="10"/>
  <c r="H90" i="10"/>
  <c r="L90" i="10"/>
  <c r="T89" i="10"/>
  <c r="W89" i="10"/>
  <c r="V89" i="10"/>
  <c r="X89" i="10"/>
  <c r="U89" i="10"/>
  <c r="Y89" i="10"/>
  <c r="G89" i="10"/>
  <c r="J89" i="10"/>
  <c r="I89" i="10"/>
  <c r="K89" i="10"/>
  <c r="H89" i="10"/>
  <c r="L89" i="10"/>
  <c r="M88" i="10"/>
  <c r="T88" i="10"/>
  <c r="W88" i="10"/>
  <c r="V88" i="10"/>
  <c r="X88" i="10"/>
  <c r="U88" i="10"/>
  <c r="Y88" i="10"/>
  <c r="N88" i="10"/>
  <c r="Q88" i="10"/>
  <c r="P88" i="10"/>
  <c r="R88" i="10"/>
  <c r="O88" i="10"/>
  <c r="S88" i="10"/>
  <c r="G88" i="10"/>
  <c r="J88" i="10"/>
  <c r="I88" i="10"/>
  <c r="K88" i="10"/>
  <c r="H88" i="10"/>
  <c r="L88" i="10"/>
  <c r="M87" i="10"/>
  <c r="T87" i="10"/>
  <c r="W87" i="10"/>
  <c r="V87" i="10"/>
  <c r="X87" i="10"/>
  <c r="U87" i="10"/>
  <c r="Y87" i="10"/>
  <c r="N87" i="10"/>
  <c r="Q87" i="10"/>
  <c r="P87" i="10"/>
  <c r="R87" i="10"/>
  <c r="O87" i="10"/>
  <c r="S87" i="10"/>
  <c r="G87" i="10"/>
  <c r="J87" i="10"/>
  <c r="I87" i="10"/>
  <c r="K87" i="10"/>
  <c r="H87" i="10"/>
  <c r="L87" i="10"/>
  <c r="T86" i="10"/>
  <c r="W86" i="10"/>
  <c r="V86" i="10"/>
  <c r="X86" i="10"/>
  <c r="U86" i="10"/>
  <c r="Y86" i="10"/>
  <c r="G86" i="10"/>
  <c r="J86" i="10"/>
  <c r="I86" i="10"/>
  <c r="K86" i="10"/>
  <c r="H86" i="10"/>
  <c r="L86" i="10"/>
  <c r="T85" i="10"/>
  <c r="W85" i="10"/>
  <c r="V85" i="10"/>
  <c r="X85" i="10"/>
  <c r="U85" i="10"/>
  <c r="Y85" i="10"/>
  <c r="G85" i="10"/>
  <c r="J85" i="10"/>
  <c r="I85" i="10"/>
  <c r="K85" i="10"/>
  <c r="H85" i="10"/>
  <c r="L85" i="10"/>
  <c r="M84" i="10"/>
  <c r="T84" i="10"/>
  <c r="W84" i="10"/>
  <c r="V84" i="10"/>
  <c r="X84" i="10"/>
  <c r="U84" i="10"/>
  <c r="Y84" i="10"/>
  <c r="N84" i="10"/>
  <c r="Q84" i="10"/>
  <c r="P84" i="10"/>
  <c r="R84" i="10"/>
  <c r="O84" i="10"/>
  <c r="S84" i="10"/>
  <c r="G84" i="10"/>
  <c r="J84" i="10"/>
  <c r="I84" i="10"/>
  <c r="K84" i="10"/>
  <c r="H84" i="10"/>
  <c r="L84" i="10"/>
  <c r="M83" i="10"/>
  <c r="T83" i="10"/>
  <c r="W83" i="10"/>
  <c r="V83" i="10"/>
  <c r="X83" i="10"/>
  <c r="U83" i="10"/>
  <c r="Y83" i="10"/>
  <c r="N83" i="10"/>
  <c r="Q83" i="10"/>
  <c r="P83" i="10"/>
  <c r="R83" i="10"/>
  <c r="O83" i="10"/>
  <c r="S83" i="10"/>
  <c r="G83" i="10"/>
  <c r="J83" i="10"/>
  <c r="I83" i="10"/>
  <c r="K83" i="10"/>
  <c r="H83" i="10"/>
  <c r="L83" i="10"/>
  <c r="M81" i="10"/>
  <c r="T81" i="10"/>
  <c r="W81" i="10"/>
  <c r="V81" i="10"/>
  <c r="X81" i="10"/>
  <c r="U81" i="10"/>
  <c r="Y81" i="10"/>
  <c r="N81" i="10"/>
  <c r="Q81" i="10"/>
  <c r="P81" i="10"/>
  <c r="R81" i="10"/>
  <c r="O81" i="10"/>
  <c r="S81" i="10"/>
  <c r="G81" i="10"/>
  <c r="J81" i="10"/>
  <c r="I81" i="10"/>
  <c r="K81" i="10"/>
  <c r="H81" i="10"/>
  <c r="L81" i="10"/>
  <c r="T80" i="10"/>
  <c r="W80" i="10"/>
  <c r="V80" i="10"/>
  <c r="X80" i="10"/>
  <c r="U80" i="10"/>
  <c r="Y80" i="10"/>
  <c r="G80" i="10"/>
  <c r="J80" i="10"/>
  <c r="I80" i="10"/>
  <c r="K80" i="10"/>
  <c r="H80" i="10"/>
  <c r="L80" i="10"/>
  <c r="M79" i="10"/>
  <c r="T79" i="10"/>
  <c r="W79" i="10"/>
  <c r="V79" i="10"/>
  <c r="X79" i="10"/>
  <c r="U79" i="10"/>
  <c r="Y79" i="10"/>
  <c r="N79" i="10"/>
  <c r="Q79" i="10"/>
  <c r="P79" i="10"/>
  <c r="R79" i="10"/>
  <c r="O79" i="10"/>
  <c r="S79" i="10"/>
  <c r="G79" i="10"/>
  <c r="J79" i="10"/>
  <c r="I79" i="10"/>
  <c r="K79" i="10"/>
  <c r="H79" i="10"/>
  <c r="L79" i="10"/>
  <c r="M82" i="10"/>
  <c r="T82" i="10"/>
  <c r="W82" i="10"/>
  <c r="V82" i="10"/>
  <c r="X82" i="10"/>
  <c r="U82" i="10"/>
  <c r="Y82" i="10"/>
  <c r="N82" i="10"/>
  <c r="Q82" i="10"/>
  <c r="P82" i="10"/>
  <c r="R82" i="10"/>
  <c r="O82" i="10"/>
  <c r="S82" i="10"/>
  <c r="G82" i="10"/>
  <c r="J82" i="10"/>
  <c r="I82" i="10"/>
  <c r="K82" i="10"/>
  <c r="H82" i="10"/>
  <c r="L82" i="10"/>
  <c r="M76" i="10"/>
  <c r="T76" i="10"/>
  <c r="W76" i="10"/>
  <c r="V76" i="10"/>
  <c r="X76" i="10"/>
  <c r="U76" i="10"/>
  <c r="Y76" i="10"/>
  <c r="N76" i="10"/>
  <c r="Q76" i="10"/>
  <c r="P76" i="10"/>
  <c r="R76" i="10"/>
  <c r="O76" i="10"/>
  <c r="S76" i="10"/>
  <c r="G76" i="10"/>
  <c r="J76" i="10"/>
  <c r="I76" i="10"/>
  <c r="K76" i="10"/>
  <c r="H76" i="10"/>
  <c r="L76" i="10"/>
  <c r="M75" i="10"/>
  <c r="T75" i="10"/>
  <c r="W75" i="10"/>
  <c r="V75" i="10"/>
  <c r="X75" i="10"/>
  <c r="U75" i="10"/>
  <c r="Y75" i="10"/>
  <c r="N75" i="10"/>
  <c r="Q75" i="10"/>
  <c r="P75" i="10"/>
  <c r="R75" i="10"/>
  <c r="O75" i="10"/>
  <c r="S75" i="10"/>
  <c r="G75" i="10"/>
  <c r="J75" i="10"/>
  <c r="I75" i="10"/>
  <c r="K75" i="10"/>
  <c r="H75" i="10"/>
  <c r="L75" i="10"/>
  <c r="M74" i="10"/>
  <c r="T74" i="10"/>
  <c r="W74" i="10"/>
  <c r="V74" i="10"/>
  <c r="X74" i="10"/>
  <c r="U74" i="10"/>
  <c r="Y74" i="10"/>
  <c r="N74" i="10"/>
  <c r="Q74" i="10"/>
  <c r="P74" i="10"/>
  <c r="R74" i="10"/>
  <c r="O74" i="10"/>
  <c r="S74" i="10"/>
  <c r="G74" i="10"/>
  <c r="J74" i="10"/>
  <c r="I74" i="10"/>
  <c r="K74" i="10"/>
  <c r="H74" i="10"/>
  <c r="L74" i="10"/>
  <c r="B11" i="21"/>
  <c r="I11" i="21"/>
  <c r="J11" i="21"/>
  <c r="G11" i="21"/>
  <c r="F11" i="21"/>
  <c r="D11" i="21"/>
  <c r="C11" i="21"/>
  <c r="B2" i="21"/>
  <c r="I2" i="21"/>
  <c r="J2" i="21"/>
  <c r="B3" i="21"/>
  <c r="C3" i="21"/>
  <c r="D3" i="21"/>
  <c r="F3" i="21"/>
  <c r="G3" i="21"/>
  <c r="I3" i="21"/>
  <c r="J3" i="21"/>
  <c r="B4" i="21"/>
  <c r="C4" i="21"/>
  <c r="D4" i="21"/>
  <c r="F4" i="21"/>
  <c r="G4" i="21"/>
  <c r="I4" i="21"/>
  <c r="J4" i="21"/>
  <c r="B5" i="21"/>
  <c r="C5" i="21"/>
  <c r="D5" i="21"/>
  <c r="F5" i="21"/>
  <c r="G5" i="21"/>
  <c r="I5" i="21"/>
  <c r="J5" i="21"/>
  <c r="B6" i="21"/>
  <c r="C6" i="21"/>
  <c r="D6" i="21"/>
  <c r="F6" i="21"/>
  <c r="G6" i="21"/>
  <c r="I6" i="21"/>
  <c r="J6" i="21"/>
  <c r="B7" i="21"/>
  <c r="C7" i="21"/>
  <c r="D7" i="21"/>
  <c r="F7" i="21"/>
  <c r="G7" i="21"/>
  <c r="I7" i="21"/>
  <c r="J7" i="21"/>
  <c r="B8" i="21"/>
  <c r="C8" i="21"/>
  <c r="D8" i="21"/>
  <c r="F8" i="21"/>
  <c r="G8" i="21"/>
  <c r="I8" i="21"/>
  <c r="J8" i="21"/>
  <c r="B9" i="21"/>
  <c r="C9" i="21"/>
  <c r="D9" i="21"/>
  <c r="F9" i="21"/>
  <c r="G9" i="21"/>
  <c r="I9" i="21"/>
  <c r="J9" i="21"/>
  <c r="B10" i="21"/>
  <c r="C10" i="21"/>
  <c r="D10" i="21"/>
  <c r="F10" i="21"/>
  <c r="G10" i="21"/>
  <c r="I10" i="21"/>
  <c r="J10" i="21"/>
  <c r="B12" i="21"/>
  <c r="C12" i="21"/>
  <c r="D12" i="21"/>
  <c r="F12" i="21"/>
  <c r="G12" i="21"/>
  <c r="I12" i="21"/>
  <c r="J12" i="21"/>
  <c r="B13" i="21"/>
  <c r="C13" i="21"/>
  <c r="D13" i="21"/>
  <c r="F13" i="21"/>
  <c r="G13" i="21"/>
  <c r="I13" i="21"/>
  <c r="J13" i="21"/>
  <c r="B14" i="21"/>
  <c r="C14" i="21"/>
  <c r="D14" i="21"/>
  <c r="F14" i="21"/>
  <c r="G14" i="21"/>
  <c r="I14" i="21"/>
  <c r="J14" i="21"/>
  <c r="B15" i="21"/>
  <c r="C15" i="21"/>
  <c r="D15" i="21"/>
  <c r="F15" i="21"/>
  <c r="G15" i="21"/>
  <c r="I15" i="21"/>
  <c r="J15" i="21"/>
  <c r="B16" i="21"/>
  <c r="C16" i="21"/>
  <c r="D16" i="21"/>
  <c r="F16" i="21"/>
  <c r="G16" i="21"/>
  <c r="I16" i="21"/>
  <c r="J16" i="21"/>
  <c r="B17" i="21"/>
  <c r="C17" i="21"/>
  <c r="D17" i="21"/>
  <c r="F17" i="21"/>
  <c r="G17" i="21"/>
  <c r="I17" i="21"/>
  <c r="J17" i="21"/>
  <c r="B18" i="21"/>
  <c r="C18" i="21"/>
  <c r="D18" i="21"/>
  <c r="F18" i="21"/>
  <c r="G18" i="21"/>
  <c r="I18" i="21"/>
  <c r="J18" i="21"/>
  <c r="B19" i="21"/>
  <c r="C19" i="21"/>
  <c r="D19" i="21"/>
  <c r="F19" i="21"/>
  <c r="G19" i="21"/>
  <c r="I19" i="21"/>
  <c r="J19" i="21"/>
  <c r="B20" i="21"/>
  <c r="C20" i="21"/>
  <c r="D20" i="21"/>
  <c r="F20" i="21"/>
  <c r="G20" i="21"/>
  <c r="I20" i="21"/>
  <c r="J20" i="21"/>
  <c r="B21" i="21"/>
  <c r="C21" i="21"/>
  <c r="D21" i="21"/>
  <c r="F21" i="21"/>
  <c r="G21" i="21"/>
  <c r="I21" i="21"/>
  <c r="J21" i="21"/>
  <c r="B22" i="21"/>
  <c r="C22" i="21"/>
  <c r="D22" i="21"/>
  <c r="F22" i="21"/>
  <c r="G22" i="21"/>
  <c r="I22" i="21"/>
  <c r="J22" i="21"/>
  <c r="B23" i="21"/>
  <c r="C23" i="21"/>
  <c r="D23" i="21"/>
  <c r="F23" i="21"/>
  <c r="G23" i="21"/>
  <c r="I23" i="21"/>
  <c r="J23" i="21"/>
  <c r="B24" i="21"/>
  <c r="C24" i="21"/>
  <c r="D24" i="21"/>
  <c r="F24" i="21"/>
  <c r="G24" i="21"/>
  <c r="I24" i="21"/>
  <c r="J24" i="21"/>
  <c r="B25" i="21"/>
  <c r="C25" i="21"/>
  <c r="D25" i="21"/>
  <c r="F25" i="21"/>
  <c r="G25" i="21"/>
  <c r="I25" i="21"/>
  <c r="J25" i="21"/>
  <c r="B26" i="21"/>
  <c r="C26" i="21"/>
  <c r="D26" i="21"/>
  <c r="F26" i="21"/>
  <c r="G26" i="21"/>
  <c r="I26" i="21"/>
  <c r="J26" i="21"/>
  <c r="B27" i="21"/>
  <c r="C27" i="21"/>
  <c r="D27" i="21"/>
  <c r="F27" i="21"/>
  <c r="G27" i="21"/>
  <c r="I27" i="21"/>
  <c r="J27" i="21"/>
  <c r="B28" i="21"/>
  <c r="C28" i="21"/>
  <c r="D28" i="21"/>
  <c r="F28" i="21"/>
  <c r="G28" i="21"/>
  <c r="I28" i="21"/>
  <c r="J28" i="21"/>
  <c r="B29" i="21"/>
  <c r="C29" i="21"/>
  <c r="D29" i="21"/>
  <c r="F29" i="21"/>
  <c r="G29" i="21"/>
  <c r="I29" i="21"/>
  <c r="J29" i="21"/>
  <c r="B30" i="21"/>
  <c r="C30" i="21"/>
  <c r="D30" i="21"/>
  <c r="F30" i="21"/>
  <c r="G30" i="21"/>
  <c r="I30" i="21"/>
  <c r="J30" i="21"/>
  <c r="B31" i="21"/>
  <c r="C31" i="21"/>
  <c r="D31" i="21"/>
  <c r="F31" i="21"/>
  <c r="G31" i="21"/>
  <c r="I31" i="21"/>
  <c r="J31" i="21"/>
  <c r="J209" i="11"/>
  <c r="O209" i="9"/>
  <c r="N209" i="9"/>
  <c r="M209" i="9"/>
  <c r="L209" i="9"/>
  <c r="K209" i="9"/>
  <c r="J209" i="9"/>
  <c r="I209" i="9"/>
  <c r="H209" i="9"/>
  <c r="G209" i="9"/>
  <c r="E209" i="9"/>
  <c r="D209" i="9"/>
  <c r="A209" i="9"/>
  <c r="J208" i="11"/>
  <c r="O208" i="9"/>
  <c r="N208" i="9"/>
  <c r="M208" i="9"/>
  <c r="L208" i="9"/>
  <c r="K208" i="9"/>
  <c r="J208" i="9"/>
  <c r="I208" i="9"/>
  <c r="H208" i="9"/>
  <c r="G208" i="9"/>
  <c r="E208" i="9"/>
  <c r="D208" i="9"/>
  <c r="A208" i="9"/>
  <c r="J207" i="11"/>
  <c r="O207" i="9"/>
  <c r="N207" i="9"/>
  <c r="M207" i="9"/>
  <c r="L207" i="9"/>
  <c r="K207" i="9"/>
  <c r="J207" i="9"/>
  <c r="I207" i="9"/>
  <c r="H207" i="9"/>
  <c r="G207" i="9"/>
  <c r="E207" i="9"/>
  <c r="D207" i="9"/>
  <c r="A207" i="9"/>
  <c r="J206" i="11"/>
  <c r="O206" i="9"/>
  <c r="N206" i="9"/>
  <c r="M206" i="9"/>
  <c r="L206" i="9"/>
  <c r="K206" i="9"/>
  <c r="J206" i="9"/>
  <c r="I206" i="9"/>
  <c r="H206" i="9"/>
  <c r="G206" i="9"/>
  <c r="E206" i="9"/>
  <c r="D206" i="9"/>
  <c r="A206" i="9"/>
  <c r="J205" i="11"/>
  <c r="O205" i="9"/>
  <c r="N205" i="9"/>
  <c r="M205" i="9"/>
  <c r="L205" i="9"/>
  <c r="K205" i="9"/>
  <c r="J205" i="9"/>
  <c r="I205" i="9"/>
  <c r="H205" i="9"/>
  <c r="G205" i="9"/>
  <c r="E205" i="9"/>
  <c r="D205" i="9"/>
  <c r="A205" i="9"/>
  <c r="J204" i="11"/>
  <c r="O204" i="9"/>
  <c r="N204" i="9"/>
  <c r="M204" i="9"/>
  <c r="L204" i="9"/>
  <c r="K204" i="9"/>
  <c r="J204" i="9"/>
  <c r="I204" i="9"/>
  <c r="H204" i="9"/>
  <c r="G204" i="9"/>
  <c r="E204" i="9"/>
  <c r="D204" i="9"/>
  <c r="A204" i="9"/>
  <c r="J203" i="11"/>
  <c r="O203" i="9"/>
  <c r="N203" i="9"/>
  <c r="M203" i="9"/>
  <c r="L203" i="9"/>
  <c r="K203" i="9"/>
  <c r="J203" i="9"/>
  <c r="I203" i="9"/>
  <c r="H203" i="9"/>
  <c r="G203" i="9"/>
  <c r="E203" i="9"/>
  <c r="D203" i="9"/>
  <c r="A203" i="9"/>
  <c r="J202" i="11"/>
  <c r="O202" i="9"/>
  <c r="N202" i="9"/>
  <c r="M202" i="9"/>
  <c r="L202" i="9"/>
  <c r="K202" i="9"/>
  <c r="J202" i="9"/>
  <c r="I202" i="9"/>
  <c r="H202" i="9"/>
  <c r="G202" i="9"/>
  <c r="E202" i="9"/>
  <c r="D202" i="9"/>
  <c r="A202" i="9"/>
  <c r="J201" i="11"/>
  <c r="O201" i="9"/>
  <c r="N201" i="9"/>
  <c r="M201" i="9"/>
  <c r="L201" i="9"/>
  <c r="K201" i="9"/>
  <c r="J201" i="9"/>
  <c r="I201" i="9"/>
  <c r="H201" i="9"/>
  <c r="G201" i="9"/>
  <c r="E201" i="9"/>
  <c r="D201" i="9"/>
  <c r="A201" i="9"/>
  <c r="J200" i="11"/>
  <c r="O200" i="9"/>
  <c r="N200" i="9"/>
  <c r="M200" i="9"/>
  <c r="L200" i="9"/>
  <c r="K200" i="9"/>
  <c r="J200" i="9"/>
  <c r="I200" i="9"/>
  <c r="H200" i="9"/>
  <c r="G200" i="9"/>
  <c r="E200" i="9"/>
  <c r="D200" i="9"/>
  <c r="A200" i="9"/>
  <c r="J199" i="11"/>
  <c r="O199" i="9"/>
  <c r="N199" i="9"/>
  <c r="M199" i="9"/>
  <c r="L199" i="9"/>
  <c r="K199" i="9"/>
  <c r="J199" i="9"/>
  <c r="I199" i="9"/>
  <c r="H199" i="9"/>
  <c r="G199" i="9"/>
  <c r="E199" i="9"/>
  <c r="D199" i="9"/>
  <c r="A199" i="9"/>
  <c r="J198" i="11"/>
  <c r="O198" i="9"/>
  <c r="N198" i="9"/>
  <c r="M198" i="9"/>
  <c r="L198" i="9"/>
  <c r="K198" i="9"/>
  <c r="J198" i="9"/>
  <c r="I198" i="9"/>
  <c r="H198" i="9"/>
  <c r="G198" i="9"/>
  <c r="E198" i="9"/>
  <c r="D198" i="9"/>
  <c r="A198" i="9"/>
  <c r="J197" i="11"/>
  <c r="O197" i="9"/>
  <c r="N197" i="9"/>
  <c r="M197" i="9"/>
  <c r="L197" i="9"/>
  <c r="K197" i="9"/>
  <c r="J197" i="9"/>
  <c r="I197" i="9"/>
  <c r="H197" i="9"/>
  <c r="G197" i="9"/>
  <c r="E197" i="9"/>
  <c r="D197" i="9"/>
  <c r="A197" i="9"/>
  <c r="J196" i="11"/>
  <c r="O196" i="9"/>
  <c r="N196" i="9"/>
  <c r="M196" i="9"/>
  <c r="L196" i="9"/>
  <c r="K196" i="9"/>
  <c r="J196" i="9"/>
  <c r="I196" i="9"/>
  <c r="H196" i="9"/>
  <c r="G196" i="9"/>
  <c r="E196" i="9"/>
  <c r="D196" i="9"/>
  <c r="A196" i="9"/>
  <c r="J195" i="11"/>
  <c r="O195" i="9"/>
  <c r="N195" i="9"/>
  <c r="M195" i="9"/>
  <c r="L195" i="9"/>
  <c r="K195" i="9"/>
  <c r="J195" i="9"/>
  <c r="I195" i="9"/>
  <c r="H195" i="9"/>
  <c r="G195" i="9"/>
  <c r="E195" i="9"/>
  <c r="D195" i="9"/>
  <c r="A195" i="9"/>
  <c r="J194" i="11"/>
  <c r="O194" i="9"/>
  <c r="N194" i="9"/>
  <c r="M194" i="9"/>
  <c r="L194" i="9"/>
  <c r="K194" i="9"/>
  <c r="J194" i="9"/>
  <c r="I194" i="9"/>
  <c r="H194" i="9"/>
  <c r="G194" i="9"/>
  <c r="E194" i="9"/>
  <c r="D194" i="9"/>
  <c r="A194" i="9"/>
  <c r="J193" i="11"/>
  <c r="O193" i="9"/>
  <c r="N193" i="9"/>
  <c r="M193" i="9"/>
  <c r="L193" i="9"/>
  <c r="K193" i="9"/>
  <c r="J193" i="9"/>
  <c r="I193" i="9"/>
  <c r="H193" i="9"/>
  <c r="G193" i="9"/>
  <c r="E193" i="9"/>
  <c r="D193" i="9"/>
  <c r="A193" i="9"/>
  <c r="J192" i="11"/>
  <c r="O192" i="9"/>
  <c r="N192" i="9"/>
  <c r="M192" i="9"/>
  <c r="L192" i="9"/>
  <c r="K192" i="9"/>
  <c r="J192" i="9"/>
  <c r="I192" i="9"/>
  <c r="H192" i="9"/>
  <c r="G192" i="9"/>
  <c r="E192" i="9"/>
  <c r="D192" i="9"/>
  <c r="A192" i="9"/>
  <c r="J191" i="11"/>
  <c r="O191" i="9"/>
  <c r="N191" i="9"/>
  <c r="M191" i="9"/>
  <c r="L191" i="9"/>
  <c r="K191" i="9"/>
  <c r="J191" i="9"/>
  <c r="I191" i="9"/>
  <c r="H191" i="9"/>
  <c r="G191" i="9"/>
  <c r="E191" i="9"/>
  <c r="D191" i="9"/>
  <c r="A191" i="9"/>
  <c r="J190" i="11"/>
  <c r="O190" i="9"/>
  <c r="N190" i="9"/>
  <c r="M190" i="9"/>
  <c r="L190" i="9"/>
  <c r="K190" i="9"/>
  <c r="J190" i="9"/>
  <c r="I190" i="9"/>
  <c r="H190" i="9"/>
  <c r="G190" i="9"/>
  <c r="E190" i="9"/>
  <c r="D190" i="9"/>
  <c r="A190" i="9"/>
  <c r="J189" i="11"/>
  <c r="O189" i="9"/>
  <c r="N189" i="9"/>
  <c r="M189" i="9"/>
  <c r="L189" i="9"/>
  <c r="K189" i="9"/>
  <c r="J189" i="9"/>
  <c r="I189" i="9"/>
  <c r="H189" i="9"/>
  <c r="G189" i="9"/>
  <c r="E189" i="9"/>
  <c r="D189" i="9"/>
  <c r="A189" i="9"/>
  <c r="J188" i="11"/>
  <c r="O188" i="9"/>
  <c r="N188" i="9"/>
  <c r="M188" i="9"/>
  <c r="L188" i="9"/>
  <c r="K188" i="9"/>
  <c r="J188" i="9"/>
  <c r="I188" i="9"/>
  <c r="H188" i="9"/>
  <c r="G188" i="9"/>
  <c r="E188" i="9"/>
  <c r="D188" i="9"/>
  <c r="A188" i="9"/>
  <c r="J187" i="11"/>
  <c r="O187" i="9"/>
  <c r="N187" i="9"/>
  <c r="M187" i="9"/>
  <c r="L187" i="9"/>
  <c r="K187" i="9"/>
  <c r="J187" i="9"/>
  <c r="I187" i="9"/>
  <c r="H187" i="9"/>
  <c r="G187" i="9"/>
  <c r="E187" i="9"/>
  <c r="D187" i="9"/>
  <c r="A187" i="9"/>
  <c r="J186" i="11"/>
  <c r="O186" i="9"/>
  <c r="N186" i="9"/>
  <c r="M186" i="9"/>
  <c r="L186" i="9"/>
  <c r="K186" i="9"/>
  <c r="J186" i="9"/>
  <c r="I186" i="9"/>
  <c r="H186" i="9"/>
  <c r="G186" i="9"/>
  <c r="E186" i="9"/>
  <c r="D186" i="9"/>
  <c r="A186" i="9"/>
  <c r="J185" i="11"/>
  <c r="O185" i="9"/>
  <c r="N185" i="9"/>
  <c r="M185" i="9"/>
  <c r="L185" i="9"/>
  <c r="K185" i="9"/>
  <c r="J185" i="9"/>
  <c r="I185" i="9"/>
  <c r="H185" i="9"/>
  <c r="G185" i="9"/>
  <c r="E185" i="9"/>
  <c r="D185" i="9"/>
  <c r="A185" i="9"/>
  <c r="J184" i="11"/>
  <c r="O184" i="9"/>
  <c r="N184" i="9"/>
  <c r="M184" i="9"/>
  <c r="L184" i="9"/>
  <c r="K184" i="9"/>
  <c r="J184" i="9"/>
  <c r="I184" i="9"/>
  <c r="H184" i="9"/>
  <c r="G184" i="9"/>
  <c r="E184" i="9"/>
  <c r="D184" i="9"/>
  <c r="A184" i="9"/>
  <c r="J183" i="11"/>
  <c r="O183" i="9"/>
  <c r="N183" i="9"/>
  <c r="M183" i="9"/>
  <c r="L183" i="9"/>
  <c r="K183" i="9"/>
  <c r="J183" i="9"/>
  <c r="I183" i="9"/>
  <c r="H183" i="9"/>
  <c r="G183" i="9"/>
  <c r="E183" i="9"/>
  <c r="D183" i="9"/>
  <c r="A183" i="9"/>
  <c r="J182" i="11"/>
  <c r="O182" i="9"/>
  <c r="N182" i="9"/>
  <c r="M182" i="9"/>
  <c r="L182" i="9"/>
  <c r="K182" i="9"/>
  <c r="J182" i="9"/>
  <c r="I182" i="9"/>
  <c r="H182" i="9"/>
  <c r="G182" i="9"/>
  <c r="E182" i="9"/>
  <c r="D182" i="9"/>
  <c r="A182" i="9"/>
  <c r="J179" i="11"/>
  <c r="O179" i="9"/>
  <c r="N179" i="9"/>
  <c r="M179" i="9"/>
  <c r="L179" i="9"/>
  <c r="K179" i="9"/>
  <c r="J179" i="9"/>
  <c r="I179" i="9"/>
  <c r="H179" i="9"/>
  <c r="G179" i="9"/>
  <c r="E179" i="9"/>
  <c r="D179" i="9"/>
  <c r="A179" i="9"/>
  <c r="J178" i="11"/>
  <c r="O178" i="9"/>
  <c r="N178" i="9"/>
  <c r="M178" i="9"/>
  <c r="L178" i="9"/>
  <c r="K178" i="9"/>
  <c r="J178" i="9"/>
  <c r="I178" i="9"/>
  <c r="H178" i="9"/>
  <c r="G178" i="9"/>
  <c r="E178" i="9"/>
  <c r="D178" i="9"/>
  <c r="A178" i="9"/>
  <c r="J177" i="11"/>
  <c r="O177" i="9"/>
  <c r="N177" i="9"/>
  <c r="M177" i="9"/>
  <c r="L177" i="9"/>
  <c r="K177" i="9"/>
  <c r="J177" i="9"/>
  <c r="I177" i="9"/>
  <c r="H177" i="9"/>
  <c r="G177" i="9"/>
  <c r="E177" i="9"/>
  <c r="D177" i="9"/>
  <c r="A177" i="9"/>
  <c r="J176" i="11"/>
  <c r="O176" i="9"/>
  <c r="N176" i="9"/>
  <c r="M176" i="9"/>
  <c r="L176" i="9"/>
  <c r="K176" i="9"/>
  <c r="J176" i="9"/>
  <c r="I176" i="9"/>
  <c r="H176" i="9"/>
  <c r="G176" i="9"/>
  <c r="E176" i="9"/>
  <c r="D176" i="9"/>
  <c r="A176" i="9"/>
  <c r="J175" i="11"/>
  <c r="O175" i="9"/>
  <c r="N175" i="9"/>
  <c r="M175" i="9"/>
  <c r="L175" i="9"/>
  <c r="K175" i="9"/>
  <c r="J175" i="9"/>
  <c r="I175" i="9"/>
  <c r="H175" i="9"/>
  <c r="G175" i="9"/>
  <c r="E175" i="9"/>
  <c r="D175" i="9"/>
  <c r="A175" i="9"/>
  <c r="J174" i="11"/>
  <c r="O174" i="9"/>
  <c r="N174" i="9"/>
  <c r="M174" i="9"/>
  <c r="L174" i="9"/>
  <c r="K174" i="9"/>
  <c r="J174" i="9"/>
  <c r="I174" i="9"/>
  <c r="H174" i="9"/>
  <c r="G174" i="9"/>
  <c r="E174" i="9"/>
  <c r="D174" i="9"/>
  <c r="A174" i="9"/>
  <c r="J173" i="11"/>
  <c r="O173" i="9"/>
  <c r="N173" i="9"/>
  <c r="M173" i="9"/>
  <c r="L173" i="9"/>
  <c r="K173" i="9"/>
  <c r="J173" i="9"/>
  <c r="I173" i="9"/>
  <c r="H173" i="9"/>
  <c r="G173" i="9"/>
  <c r="E173" i="9"/>
  <c r="D173" i="9"/>
  <c r="A173" i="9"/>
  <c r="J172" i="11"/>
  <c r="O172" i="9"/>
  <c r="N172" i="9"/>
  <c r="M172" i="9"/>
  <c r="L172" i="9"/>
  <c r="K172" i="9"/>
  <c r="J172" i="9"/>
  <c r="I172" i="9"/>
  <c r="H172" i="9"/>
  <c r="G172" i="9"/>
  <c r="E172" i="9"/>
  <c r="D172" i="9"/>
  <c r="A172" i="9"/>
  <c r="J171" i="11"/>
  <c r="O171" i="9"/>
  <c r="N171" i="9"/>
  <c r="M171" i="9"/>
  <c r="L171" i="9"/>
  <c r="K171" i="9"/>
  <c r="J171" i="9"/>
  <c r="I171" i="9"/>
  <c r="H171" i="9"/>
  <c r="G171" i="9"/>
  <c r="E171" i="9"/>
  <c r="D171" i="9"/>
  <c r="A171" i="9"/>
  <c r="J170" i="11"/>
  <c r="O170" i="9"/>
  <c r="N170" i="9"/>
  <c r="M170" i="9"/>
  <c r="L170" i="9"/>
  <c r="K170" i="9"/>
  <c r="J170" i="9"/>
  <c r="I170" i="9"/>
  <c r="H170" i="9"/>
  <c r="G170" i="9"/>
  <c r="E170" i="9"/>
  <c r="D170" i="9"/>
  <c r="A170" i="9"/>
  <c r="J169" i="11"/>
  <c r="O169" i="9"/>
  <c r="N169" i="9"/>
  <c r="M169" i="9"/>
  <c r="L169" i="9"/>
  <c r="K169" i="9"/>
  <c r="J169" i="9"/>
  <c r="I169" i="9"/>
  <c r="H169" i="9"/>
  <c r="G169" i="9"/>
  <c r="E169" i="9"/>
  <c r="D169" i="9"/>
  <c r="A169" i="9"/>
  <c r="J168" i="11"/>
  <c r="O168" i="9"/>
  <c r="N168" i="9"/>
  <c r="M168" i="9"/>
  <c r="L168" i="9"/>
  <c r="K168" i="9"/>
  <c r="J168" i="9"/>
  <c r="I168" i="9"/>
  <c r="H168" i="9"/>
  <c r="G168" i="9"/>
  <c r="E168" i="9"/>
  <c r="D168" i="9"/>
  <c r="A168" i="9"/>
  <c r="J167" i="11"/>
  <c r="O167" i="9"/>
  <c r="N167" i="9"/>
  <c r="M167" i="9"/>
  <c r="L167" i="9"/>
  <c r="K167" i="9"/>
  <c r="J167" i="9"/>
  <c r="I167" i="9"/>
  <c r="H167" i="9"/>
  <c r="G167" i="9"/>
  <c r="E167" i="9"/>
  <c r="D167" i="9"/>
  <c r="A167" i="9"/>
  <c r="J166" i="11"/>
  <c r="O166" i="9"/>
  <c r="N166" i="9"/>
  <c r="M166" i="9"/>
  <c r="L166" i="9"/>
  <c r="K166" i="9"/>
  <c r="J166" i="9"/>
  <c r="I166" i="9"/>
  <c r="H166" i="9"/>
  <c r="G166" i="9"/>
  <c r="E166" i="9"/>
  <c r="D166" i="9"/>
  <c r="A166" i="9"/>
  <c r="J165" i="11"/>
  <c r="O165" i="9"/>
  <c r="N165" i="9"/>
  <c r="M165" i="9"/>
  <c r="L165" i="9"/>
  <c r="K165" i="9"/>
  <c r="J165" i="9"/>
  <c r="I165" i="9"/>
  <c r="H165" i="9"/>
  <c r="G165" i="9"/>
  <c r="E165" i="9"/>
  <c r="D165" i="9"/>
  <c r="A165" i="9"/>
  <c r="J164" i="11"/>
  <c r="O164" i="9"/>
  <c r="N164" i="9"/>
  <c r="M164" i="9"/>
  <c r="L164" i="9"/>
  <c r="K164" i="9"/>
  <c r="J164" i="9"/>
  <c r="I164" i="9"/>
  <c r="H164" i="9"/>
  <c r="G164" i="9"/>
  <c r="E164" i="9"/>
  <c r="D164" i="9"/>
  <c r="A164" i="9"/>
  <c r="J163" i="11"/>
  <c r="O163" i="9"/>
  <c r="N163" i="9"/>
  <c r="M163" i="9"/>
  <c r="L163" i="9"/>
  <c r="K163" i="9"/>
  <c r="J163" i="9"/>
  <c r="I163" i="9"/>
  <c r="H163" i="9"/>
  <c r="G163" i="9"/>
  <c r="E163" i="9"/>
  <c r="D163" i="9"/>
  <c r="A163" i="9"/>
  <c r="J162" i="11"/>
  <c r="O162" i="9"/>
  <c r="N162" i="9"/>
  <c r="M162" i="9"/>
  <c r="L162" i="9"/>
  <c r="K162" i="9"/>
  <c r="J162" i="9"/>
  <c r="I162" i="9"/>
  <c r="H162" i="9"/>
  <c r="G162" i="9"/>
  <c r="E162" i="9"/>
  <c r="D162" i="9"/>
  <c r="A162" i="9"/>
  <c r="J161" i="11"/>
  <c r="O161" i="9"/>
  <c r="N161" i="9"/>
  <c r="M161" i="9"/>
  <c r="L161" i="9"/>
  <c r="K161" i="9"/>
  <c r="J161" i="9"/>
  <c r="I161" i="9"/>
  <c r="H161" i="9"/>
  <c r="G161" i="9"/>
  <c r="E161" i="9"/>
  <c r="D161" i="9"/>
  <c r="A161" i="9"/>
  <c r="J160" i="11"/>
  <c r="O160" i="9"/>
  <c r="N160" i="9"/>
  <c r="M160" i="9"/>
  <c r="L160" i="9"/>
  <c r="K160" i="9"/>
  <c r="J160" i="9"/>
  <c r="I160" i="9"/>
  <c r="H160" i="9"/>
  <c r="G160" i="9"/>
  <c r="E160" i="9"/>
  <c r="D160" i="9"/>
  <c r="A160" i="9"/>
  <c r="J159" i="11"/>
  <c r="O159" i="9"/>
  <c r="N159" i="9"/>
  <c r="M159" i="9"/>
  <c r="L159" i="9"/>
  <c r="K159" i="9"/>
  <c r="J159" i="9"/>
  <c r="I159" i="9"/>
  <c r="H159" i="9"/>
  <c r="G159" i="9"/>
  <c r="E159" i="9"/>
  <c r="D159" i="9"/>
  <c r="A159" i="9"/>
  <c r="J158" i="11"/>
  <c r="O158" i="9"/>
  <c r="N158" i="9"/>
  <c r="M158" i="9"/>
  <c r="L158" i="9"/>
  <c r="K158" i="9"/>
  <c r="J158" i="9"/>
  <c r="I158" i="9"/>
  <c r="H158" i="9"/>
  <c r="G158" i="9"/>
  <c r="E158" i="9"/>
  <c r="D158" i="9"/>
  <c r="A158" i="9"/>
  <c r="J157" i="11"/>
  <c r="O157" i="9"/>
  <c r="N157" i="9"/>
  <c r="M157" i="9"/>
  <c r="L157" i="9"/>
  <c r="K157" i="9"/>
  <c r="J157" i="9"/>
  <c r="I157" i="9"/>
  <c r="H157" i="9"/>
  <c r="G157" i="9"/>
  <c r="E157" i="9"/>
  <c r="D157" i="9"/>
  <c r="A157" i="9"/>
  <c r="J156" i="11"/>
  <c r="O156" i="9"/>
  <c r="N156" i="9"/>
  <c r="M156" i="9"/>
  <c r="L156" i="9"/>
  <c r="K156" i="9"/>
  <c r="J156" i="9"/>
  <c r="I156" i="9"/>
  <c r="H156" i="9"/>
  <c r="G156" i="9"/>
  <c r="E156" i="9"/>
  <c r="D156" i="9"/>
  <c r="A156" i="9"/>
  <c r="J155" i="11"/>
  <c r="O155" i="9"/>
  <c r="N155" i="9"/>
  <c r="M155" i="9"/>
  <c r="L155" i="9"/>
  <c r="K155" i="9"/>
  <c r="J155" i="9"/>
  <c r="I155" i="9"/>
  <c r="H155" i="9"/>
  <c r="G155" i="9"/>
  <c r="E155" i="9"/>
  <c r="D155" i="9"/>
  <c r="A155" i="9"/>
  <c r="J154" i="11"/>
  <c r="O154" i="9"/>
  <c r="N154" i="9"/>
  <c r="M154" i="9"/>
  <c r="L154" i="9"/>
  <c r="K154" i="9"/>
  <c r="J154" i="9"/>
  <c r="I154" i="9"/>
  <c r="H154" i="9"/>
  <c r="G154" i="9"/>
  <c r="E154" i="9"/>
  <c r="D154" i="9"/>
  <c r="A154" i="9"/>
  <c r="J153" i="11"/>
  <c r="O153" i="9"/>
  <c r="N153" i="9"/>
  <c r="M153" i="9"/>
  <c r="L153" i="9"/>
  <c r="K153" i="9"/>
  <c r="J153" i="9"/>
  <c r="I153" i="9"/>
  <c r="H153" i="9"/>
  <c r="G153" i="9"/>
  <c r="E153" i="9"/>
  <c r="D153" i="9"/>
  <c r="A153" i="9"/>
  <c r="O151" i="9"/>
  <c r="N151" i="9"/>
  <c r="M151" i="9"/>
  <c r="L151" i="9"/>
  <c r="K151" i="9"/>
  <c r="J151" i="9"/>
  <c r="I151" i="9"/>
  <c r="H151" i="9"/>
  <c r="G151" i="9"/>
  <c r="E151" i="9"/>
  <c r="D151" i="9"/>
  <c r="A151" i="9"/>
  <c r="O150" i="9"/>
  <c r="N150" i="9"/>
  <c r="M150" i="9"/>
  <c r="L150" i="9"/>
  <c r="K150" i="9"/>
  <c r="J150" i="9"/>
  <c r="I150" i="9"/>
  <c r="H150" i="9"/>
  <c r="G150" i="9"/>
  <c r="E150" i="9"/>
  <c r="D150" i="9"/>
  <c r="A150" i="9"/>
  <c r="O149" i="9"/>
  <c r="N149" i="9"/>
  <c r="M149" i="9"/>
  <c r="L149" i="9"/>
  <c r="K149" i="9"/>
  <c r="J149" i="9"/>
  <c r="I149" i="9"/>
  <c r="H149" i="9"/>
  <c r="G149" i="9"/>
  <c r="E149" i="9"/>
  <c r="D149" i="9"/>
  <c r="A149" i="9"/>
  <c r="O152" i="9"/>
  <c r="N152" i="9"/>
  <c r="M152" i="9"/>
  <c r="L152" i="9"/>
  <c r="K152" i="9"/>
  <c r="J152" i="9"/>
  <c r="I152" i="9"/>
  <c r="H152" i="9"/>
  <c r="G152" i="9"/>
  <c r="E152" i="9"/>
  <c r="D152" i="9"/>
  <c r="A152" i="9"/>
  <c r="O148" i="9"/>
  <c r="N148" i="9"/>
  <c r="M148" i="9"/>
  <c r="L148" i="9"/>
  <c r="K148" i="9"/>
  <c r="J148" i="9"/>
  <c r="I148" i="9"/>
  <c r="H148" i="9"/>
  <c r="G148" i="9"/>
  <c r="E148" i="9"/>
  <c r="D148" i="9"/>
  <c r="A148" i="9"/>
  <c r="O146" i="9"/>
  <c r="N146" i="9"/>
  <c r="M146" i="9"/>
  <c r="L146" i="9"/>
  <c r="K146" i="9"/>
  <c r="J146" i="9"/>
  <c r="I146" i="9"/>
  <c r="H146" i="9"/>
  <c r="G146" i="9"/>
  <c r="E146" i="9"/>
  <c r="D146" i="9"/>
  <c r="A146" i="9"/>
  <c r="O145" i="9"/>
  <c r="N145" i="9"/>
  <c r="M145" i="9"/>
  <c r="L145" i="9"/>
  <c r="K145" i="9"/>
  <c r="J145" i="9"/>
  <c r="I145" i="9"/>
  <c r="H145" i="9"/>
  <c r="G145" i="9"/>
  <c r="E145" i="9"/>
  <c r="D145" i="9"/>
  <c r="A145" i="9"/>
  <c r="O144" i="9"/>
  <c r="N144" i="9"/>
  <c r="M144" i="9"/>
  <c r="L144" i="9"/>
  <c r="K144" i="9"/>
  <c r="J144" i="9"/>
  <c r="I144" i="9"/>
  <c r="H144" i="9"/>
  <c r="G144" i="9"/>
  <c r="E144" i="9"/>
  <c r="D144" i="9"/>
  <c r="A144" i="9"/>
  <c r="O143" i="9"/>
  <c r="N143" i="9"/>
  <c r="M143" i="9"/>
  <c r="L143" i="9"/>
  <c r="K143" i="9"/>
  <c r="J143" i="9"/>
  <c r="I143" i="9"/>
  <c r="H143" i="9"/>
  <c r="G143" i="9"/>
  <c r="E143" i="9"/>
  <c r="D143" i="9"/>
  <c r="A143" i="9"/>
  <c r="O147" i="9"/>
  <c r="N147" i="9"/>
  <c r="M147" i="9"/>
  <c r="L147" i="9"/>
  <c r="K147" i="9"/>
  <c r="J147" i="9"/>
  <c r="I147" i="9"/>
  <c r="H147" i="9"/>
  <c r="G147" i="9"/>
  <c r="E147" i="9"/>
  <c r="D147" i="9"/>
  <c r="A147" i="9"/>
  <c r="O142" i="9"/>
  <c r="N142" i="9"/>
  <c r="M142" i="9"/>
  <c r="L142" i="9"/>
  <c r="K142" i="9"/>
  <c r="J142" i="9"/>
  <c r="I142" i="9"/>
  <c r="H142" i="9"/>
  <c r="G142" i="9"/>
  <c r="E142" i="9"/>
  <c r="D142" i="9"/>
  <c r="A142" i="9"/>
  <c r="J139" i="11"/>
  <c r="O139" i="9"/>
  <c r="N139" i="9"/>
  <c r="M139" i="9"/>
  <c r="L139" i="9"/>
  <c r="K139" i="9"/>
  <c r="J139" i="9"/>
  <c r="I139" i="9"/>
  <c r="H139" i="9"/>
  <c r="G139" i="9"/>
  <c r="E139" i="9"/>
  <c r="D139" i="9"/>
  <c r="A139" i="9"/>
  <c r="J138" i="11"/>
  <c r="O138" i="9"/>
  <c r="N138" i="9"/>
  <c r="M138" i="9"/>
  <c r="L138" i="9"/>
  <c r="K138" i="9"/>
  <c r="J138" i="9"/>
  <c r="I138" i="9"/>
  <c r="H138" i="9"/>
  <c r="G138" i="9"/>
  <c r="E138" i="9"/>
  <c r="D138" i="9"/>
  <c r="A138" i="9"/>
  <c r="J137" i="11"/>
  <c r="O137" i="9"/>
  <c r="N137" i="9"/>
  <c r="M137" i="9"/>
  <c r="L137" i="9"/>
  <c r="K137" i="9"/>
  <c r="J137" i="9"/>
  <c r="I137" i="9"/>
  <c r="H137" i="9"/>
  <c r="G137" i="9"/>
  <c r="E137" i="9"/>
  <c r="D137" i="9"/>
  <c r="A137" i="9"/>
  <c r="J136" i="11"/>
  <c r="O136" i="9"/>
  <c r="N136" i="9"/>
  <c r="M136" i="9"/>
  <c r="L136" i="9"/>
  <c r="K136" i="9"/>
  <c r="J136" i="9"/>
  <c r="I136" i="9"/>
  <c r="H136" i="9"/>
  <c r="G136" i="9"/>
  <c r="E136" i="9"/>
  <c r="D136" i="9"/>
  <c r="A136" i="9"/>
  <c r="J135" i="11"/>
  <c r="O135" i="9"/>
  <c r="N135" i="9"/>
  <c r="M135" i="9"/>
  <c r="L135" i="9"/>
  <c r="K135" i="9"/>
  <c r="J135" i="9"/>
  <c r="I135" i="9"/>
  <c r="H135" i="9"/>
  <c r="G135" i="9"/>
  <c r="E135" i="9"/>
  <c r="D135" i="9"/>
  <c r="A135" i="9"/>
  <c r="J134" i="11"/>
  <c r="O134" i="9"/>
  <c r="N134" i="9"/>
  <c r="M134" i="9"/>
  <c r="L134" i="9"/>
  <c r="K134" i="9"/>
  <c r="J134" i="9"/>
  <c r="I134" i="9"/>
  <c r="H134" i="9"/>
  <c r="G134" i="9"/>
  <c r="E134" i="9"/>
  <c r="D134" i="9"/>
  <c r="A134" i="9"/>
  <c r="J133" i="11"/>
  <c r="O133" i="9"/>
  <c r="N133" i="9"/>
  <c r="M133" i="9"/>
  <c r="L133" i="9"/>
  <c r="K133" i="9"/>
  <c r="J133" i="9"/>
  <c r="I133" i="9"/>
  <c r="H133" i="9"/>
  <c r="G133" i="9"/>
  <c r="E133" i="9"/>
  <c r="D133" i="9"/>
  <c r="A133" i="9"/>
  <c r="J132" i="11"/>
  <c r="O132" i="9"/>
  <c r="N132" i="9"/>
  <c r="M132" i="9"/>
  <c r="L132" i="9"/>
  <c r="K132" i="9"/>
  <c r="J132" i="9"/>
  <c r="I132" i="9"/>
  <c r="H132" i="9"/>
  <c r="G132" i="9"/>
  <c r="E132" i="9"/>
  <c r="D132" i="9"/>
  <c r="A132" i="9"/>
  <c r="J131" i="11"/>
  <c r="O131" i="9"/>
  <c r="N131" i="9"/>
  <c r="M131" i="9"/>
  <c r="L131" i="9"/>
  <c r="K131" i="9"/>
  <c r="J131" i="9"/>
  <c r="I131" i="9"/>
  <c r="H131" i="9"/>
  <c r="G131" i="9"/>
  <c r="E131" i="9"/>
  <c r="D131" i="9"/>
  <c r="A131" i="9"/>
  <c r="J130" i="11"/>
  <c r="O130" i="9"/>
  <c r="N130" i="9"/>
  <c r="M130" i="9"/>
  <c r="L130" i="9"/>
  <c r="K130" i="9"/>
  <c r="J130" i="9"/>
  <c r="I130" i="9"/>
  <c r="H130" i="9"/>
  <c r="G130" i="9"/>
  <c r="E130" i="9"/>
  <c r="D130" i="9"/>
  <c r="A130" i="9"/>
  <c r="J129" i="11"/>
  <c r="O129" i="9"/>
  <c r="N129" i="9"/>
  <c r="M129" i="9"/>
  <c r="L129" i="9"/>
  <c r="K129" i="9"/>
  <c r="J129" i="9"/>
  <c r="I129" i="9"/>
  <c r="H129" i="9"/>
  <c r="G129" i="9"/>
  <c r="E129" i="9"/>
  <c r="D129" i="9"/>
  <c r="A129" i="9"/>
  <c r="J128" i="11"/>
  <c r="O128" i="9"/>
  <c r="N128" i="9"/>
  <c r="M128" i="9"/>
  <c r="L128" i="9"/>
  <c r="K128" i="9"/>
  <c r="J128" i="9"/>
  <c r="I128" i="9"/>
  <c r="H128" i="9"/>
  <c r="G128" i="9"/>
  <c r="E128" i="9"/>
  <c r="D128" i="9"/>
  <c r="A128" i="9"/>
  <c r="J127" i="11"/>
  <c r="O127" i="9"/>
  <c r="N127" i="9"/>
  <c r="M127" i="9"/>
  <c r="L127" i="9"/>
  <c r="K127" i="9"/>
  <c r="J127" i="9"/>
  <c r="I127" i="9"/>
  <c r="H127" i="9"/>
  <c r="G127" i="9"/>
  <c r="E127" i="9"/>
  <c r="D127" i="9"/>
  <c r="A127" i="9"/>
  <c r="J126" i="11"/>
  <c r="O126" i="9"/>
  <c r="N126" i="9"/>
  <c r="M126" i="9"/>
  <c r="L126" i="9"/>
  <c r="K126" i="9"/>
  <c r="J126" i="9"/>
  <c r="I126" i="9"/>
  <c r="H126" i="9"/>
  <c r="G126" i="9"/>
  <c r="E126" i="9"/>
  <c r="D126" i="9"/>
  <c r="A126" i="9"/>
  <c r="J125" i="11"/>
  <c r="O125" i="9"/>
  <c r="N125" i="9"/>
  <c r="M125" i="9"/>
  <c r="L125" i="9"/>
  <c r="K125" i="9"/>
  <c r="J125" i="9"/>
  <c r="I125" i="9"/>
  <c r="H125" i="9"/>
  <c r="G125" i="9"/>
  <c r="E125" i="9"/>
  <c r="D125" i="9"/>
  <c r="A125" i="9"/>
  <c r="J124" i="11"/>
  <c r="O124" i="9"/>
  <c r="N124" i="9"/>
  <c r="M124" i="9"/>
  <c r="L124" i="9"/>
  <c r="K124" i="9"/>
  <c r="J124" i="9"/>
  <c r="I124" i="9"/>
  <c r="H124" i="9"/>
  <c r="G124" i="9"/>
  <c r="E124" i="9"/>
  <c r="D124" i="9"/>
  <c r="A124" i="9"/>
  <c r="J123" i="11"/>
  <c r="O123" i="9"/>
  <c r="N123" i="9"/>
  <c r="M123" i="9"/>
  <c r="L123" i="9"/>
  <c r="K123" i="9"/>
  <c r="J123" i="9"/>
  <c r="I123" i="9"/>
  <c r="H123" i="9"/>
  <c r="G123" i="9"/>
  <c r="E123" i="9"/>
  <c r="D123" i="9"/>
  <c r="A123" i="9"/>
  <c r="J122" i="11"/>
  <c r="O122" i="9"/>
  <c r="N122" i="9"/>
  <c r="M122" i="9"/>
  <c r="L122" i="9"/>
  <c r="K122" i="9"/>
  <c r="J122" i="9"/>
  <c r="I122" i="9"/>
  <c r="H122" i="9"/>
  <c r="G122" i="9"/>
  <c r="E122" i="9"/>
  <c r="D122" i="9"/>
  <c r="A122" i="9"/>
  <c r="J121" i="11"/>
  <c r="O121" i="9"/>
  <c r="N121" i="9"/>
  <c r="M121" i="9"/>
  <c r="L121" i="9"/>
  <c r="K121" i="9"/>
  <c r="J121" i="9"/>
  <c r="I121" i="9"/>
  <c r="H121" i="9"/>
  <c r="G121" i="9"/>
  <c r="E121" i="9"/>
  <c r="D121" i="9"/>
  <c r="A121" i="9"/>
  <c r="J120" i="11"/>
  <c r="O120" i="9"/>
  <c r="N120" i="9"/>
  <c r="M120" i="9"/>
  <c r="L120" i="9"/>
  <c r="K120" i="9"/>
  <c r="J120" i="9"/>
  <c r="I120" i="9"/>
  <c r="H120" i="9"/>
  <c r="G120" i="9"/>
  <c r="E120" i="9"/>
  <c r="D120" i="9"/>
  <c r="A120" i="9"/>
  <c r="J119" i="11"/>
  <c r="O119" i="9"/>
  <c r="N119" i="9"/>
  <c r="M119" i="9"/>
  <c r="L119" i="9"/>
  <c r="K119" i="9"/>
  <c r="J119" i="9"/>
  <c r="I119" i="9"/>
  <c r="H119" i="9"/>
  <c r="G119" i="9"/>
  <c r="E119" i="9"/>
  <c r="D119" i="9"/>
  <c r="A119" i="9"/>
  <c r="J118" i="11"/>
  <c r="O118" i="9"/>
  <c r="N118" i="9"/>
  <c r="M118" i="9"/>
  <c r="L118" i="9"/>
  <c r="K118" i="9"/>
  <c r="J118" i="9"/>
  <c r="I118" i="9"/>
  <c r="H118" i="9"/>
  <c r="G118" i="9"/>
  <c r="E118" i="9"/>
  <c r="D118" i="9"/>
  <c r="A118" i="9"/>
  <c r="J117" i="11"/>
  <c r="O117" i="9"/>
  <c r="N117" i="9"/>
  <c r="M117" i="9"/>
  <c r="L117" i="9"/>
  <c r="K117" i="9"/>
  <c r="J117" i="9"/>
  <c r="I117" i="9"/>
  <c r="H117" i="9"/>
  <c r="G117" i="9"/>
  <c r="E117" i="9"/>
  <c r="D117" i="9"/>
  <c r="A117" i="9"/>
  <c r="J116" i="11"/>
  <c r="O116" i="9"/>
  <c r="N116" i="9"/>
  <c r="M116" i="9"/>
  <c r="L116" i="9"/>
  <c r="K116" i="9"/>
  <c r="J116" i="9"/>
  <c r="I116" i="9"/>
  <c r="H116" i="9"/>
  <c r="G116" i="9"/>
  <c r="E116" i="9"/>
  <c r="D116" i="9"/>
  <c r="A116" i="9"/>
  <c r="J115" i="11"/>
  <c r="O115" i="9"/>
  <c r="N115" i="9"/>
  <c r="M115" i="9"/>
  <c r="L115" i="9"/>
  <c r="K115" i="9"/>
  <c r="J115" i="9"/>
  <c r="I115" i="9"/>
  <c r="H115" i="9"/>
  <c r="G115" i="9"/>
  <c r="E115" i="9"/>
  <c r="D115" i="9"/>
  <c r="A115" i="9"/>
  <c r="J114" i="11"/>
  <c r="O114" i="9"/>
  <c r="N114" i="9"/>
  <c r="M114" i="9"/>
  <c r="L114" i="9"/>
  <c r="K114" i="9"/>
  <c r="J114" i="9"/>
  <c r="I114" i="9"/>
  <c r="H114" i="9"/>
  <c r="G114" i="9"/>
  <c r="E114" i="9"/>
  <c r="D114" i="9"/>
  <c r="A114" i="9"/>
  <c r="J113" i="11"/>
  <c r="O113" i="9"/>
  <c r="N113" i="9"/>
  <c r="M113" i="9"/>
  <c r="L113" i="9"/>
  <c r="K113" i="9"/>
  <c r="J113" i="9"/>
  <c r="I113" i="9"/>
  <c r="H113" i="9"/>
  <c r="G113" i="9"/>
  <c r="E113" i="9"/>
  <c r="D113" i="9"/>
  <c r="A113" i="9"/>
  <c r="J112" i="11"/>
  <c r="O112" i="9"/>
  <c r="N112" i="9"/>
  <c r="M112" i="9"/>
  <c r="L112" i="9"/>
  <c r="K112" i="9"/>
  <c r="J112" i="9"/>
  <c r="I112" i="9"/>
  <c r="H112" i="9"/>
  <c r="G112" i="9"/>
  <c r="E112" i="9"/>
  <c r="D112" i="9"/>
  <c r="A112" i="9"/>
  <c r="J109" i="11"/>
  <c r="O109" i="9"/>
  <c r="N109" i="9"/>
  <c r="M109" i="9"/>
  <c r="L109" i="9"/>
  <c r="K109" i="9"/>
  <c r="J109" i="9"/>
  <c r="I109" i="9"/>
  <c r="H109" i="9"/>
  <c r="G109" i="9"/>
  <c r="E109" i="9"/>
  <c r="D109" i="9"/>
  <c r="A109" i="9"/>
  <c r="J108" i="11"/>
  <c r="O108" i="9"/>
  <c r="N108" i="9"/>
  <c r="M108" i="9"/>
  <c r="L108" i="9"/>
  <c r="K108" i="9"/>
  <c r="J108" i="9"/>
  <c r="I108" i="9"/>
  <c r="H108" i="9"/>
  <c r="G108" i="9"/>
  <c r="E108" i="9"/>
  <c r="D108" i="9"/>
  <c r="A108" i="9"/>
  <c r="J107" i="11"/>
  <c r="O107" i="9"/>
  <c r="N107" i="9"/>
  <c r="M107" i="9"/>
  <c r="L107" i="9"/>
  <c r="K107" i="9"/>
  <c r="J107" i="9"/>
  <c r="I107" i="9"/>
  <c r="H107" i="9"/>
  <c r="G107" i="9"/>
  <c r="E107" i="9"/>
  <c r="D107" i="9"/>
  <c r="A107" i="9"/>
  <c r="J106" i="11"/>
  <c r="O106" i="9"/>
  <c r="N106" i="9"/>
  <c r="M106" i="9"/>
  <c r="L106" i="9"/>
  <c r="K106" i="9"/>
  <c r="J106" i="9"/>
  <c r="I106" i="9"/>
  <c r="H106" i="9"/>
  <c r="G106" i="9"/>
  <c r="E106" i="9"/>
  <c r="D106" i="9"/>
  <c r="A106" i="9"/>
  <c r="J105" i="11"/>
  <c r="O105" i="9"/>
  <c r="N105" i="9"/>
  <c r="M105" i="9"/>
  <c r="L105" i="9"/>
  <c r="K105" i="9"/>
  <c r="J105" i="9"/>
  <c r="I105" i="9"/>
  <c r="H105" i="9"/>
  <c r="G105" i="9"/>
  <c r="E105" i="9"/>
  <c r="D105" i="9"/>
  <c r="A105" i="9"/>
  <c r="J104" i="11"/>
  <c r="O104" i="9"/>
  <c r="N104" i="9"/>
  <c r="M104" i="9"/>
  <c r="L104" i="9"/>
  <c r="K104" i="9"/>
  <c r="J104" i="9"/>
  <c r="I104" i="9"/>
  <c r="H104" i="9"/>
  <c r="G104" i="9"/>
  <c r="E104" i="9"/>
  <c r="D104" i="9"/>
  <c r="A104" i="9"/>
  <c r="J103" i="11"/>
  <c r="O103" i="9"/>
  <c r="N103" i="9"/>
  <c r="M103" i="9"/>
  <c r="L103" i="9"/>
  <c r="K103" i="9"/>
  <c r="J103" i="9"/>
  <c r="I103" i="9"/>
  <c r="H103" i="9"/>
  <c r="G103" i="9"/>
  <c r="E103" i="9"/>
  <c r="D103" i="9"/>
  <c r="A103" i="9"/>
  <c r="J102" i="11"/>
  <c r="O102" i="9"/>
  <c r="N102" i="9"/>
  <c r="M102" i="9"/>
  <c r="L102" i="9"/>
  <c r="K102" i="9"/>
  <c r="J102" i="9"/>
  <c r="I102" i="9"/>
  <c r="H102" i="9"/>
  <c r="G102" i="9"/>
  <c r="E102" i="9"/>
  <c r="D102" i="9"/>
  <c r="A102" i="9"/>
  <c r="J101" i="11"/>
  <c r="O101" i="9"/>
  <c r="N101" i="9"/>
  <c r="M101" i="9"/>
  <c r="L101" i="9"/>
  <c r="K101" i="9"/>
  <c r="J101" i="9"/>
  <c r="I101" i="9"/>
  <c r="H101" i="9"/>
  <c r="G101" i="9"/>
  <c r="E101" i="9"/>
  <c r="D101" i="9"/>
  <c r="A101" i="9"/>
  <c r="J100" i="11"/>
  <c r="O100" i="9"/>
  <c r="N100" i="9"/>
  <c r="M100" i="9"/>
  <c r="L100" i="9"/>
  <c r="K100" i="9"/>
  <c r="J100" i="9"/>
  <c r="I100" i="9"/>
  <c r="H100" i="9"/>
  <c r="G100" i="9"/>
  <c r="E100" i="9"/>
  <c r="D100" i="9"/>
  <c r="A100" i="9"/>
  <c r="J99" i="11"/>
  <c r="O99" i="9"/>
  <c r="N99" i="9"/>
  <c r="M99" i="9"/>
  <c r="L99" i="9"/>
  <c r="K99" i="9"/>
  <c r="J99" i="9"/>
  <c r="I99" i="9"/>
  <c r="H99" i="9"/>
  <c r="G99" i="9"/>
  <c r="E99" i="9"/>
  <c r="D99" i="9"/>
  <c r="A99" i="9"/>
  <c r="J98" i="11"/>
  <c r="O98" i="9"/>
  <c r="N98" i="9"/>
  <c r="M98" i="9"/>
  <c r="L98" i="9"/>
  <c r="K98" i="9"/>
  <c r="J98" i="9"/>
  <c r="I98" i="9"/>
  <c r="H98" i="9"/>
  <c r="G98" i="9"/>
  <c r="E98" i="9"/>
  <c r="D98" i="9"/>
  <c r="A98" i="9"/>
  <c r="J97" i="11"/>
  <c r="O97" i="9"/>
  <c r="N97" i="9"/>
  <c r="M97" i="9"/>
  <c r="L97" i="9"/>
  <c r="K97" i="9"/>
  <c r="J97" i="9"/>
  <c r="I97" i="9"/>
  <c r="H97" i="9"/>
  <c r="G97" i="9"/>
  <c r="E97" i="9"/>
  <c r="D97" i="9"/>
  <c r="A97" i="9"/>
  <c r="J96" i="11"/>
  <c r="O96" i="9"/>
  <c r="N96" i="9"/>
  <c r="M96" i="9"/>
  <c r="L96" i="9"/>
  <c r="K96" i="9"/>
  <c r="J96" i="9"/>
  <c r="I96" i="9"/>
  <c r="H96" i="9"/>
  <c r="G96" i="9"/>
  <c r="E96" i="9"/>
  <c r="D96" i="9"/>
  <c r="A96" i="9"/>
  <c r="J95" i="11"/>
  <c r="O95" i="9"/>
  <c r="N95" i="9"/>
  <c r="M95" i="9"/>
  <c r="L95" i="9"/>
  <c r="K95" i="9"/>
  <c r="J95" i="9"/>
  <c r="I95" i="9"/>
  <c r="H95" i="9"/>
  <c r="G95" i="9"/>
  <c r="E95" i="9"/>
  <c r="D95" i="9"/>
  <c r="A95" i="9"/>
  <c r="J94" i="11"/>
  <c r="O94" i="9"/>
  <c r="N94" i="9"/>
  <c r="M94" i="9"/>
  <c r="L94" i="9"/>
  <c r="K94" i="9"/>
  <c r="J94" i="9"/>
  <c r="I94" i="9"/>
  <c r="H94" i="9"/>
  <c r="G94" i="9"/>
  <c r="E94" i="9"/>
  <c r="D94" i="9"/>
  <c r="A94" i="9"/>
  <c r="J93" i="11"/>
  <c r="O93" i="9"/>
  <c r="N93" i="9"/>
  <c r="M93" i="9"/>
  <c r="L93" i="9"/>
  <c r="K93" i="9"/>
  <c r="J93" i="9"/>
  <c r="I93" i="9"/>
  <c r="H93" i="9"/>
  <c r="G93" i="9"/>
  <c r="E93" i="9"/>
  <c r="D93" i="9"/>
  <c r="A93" i="9"/>
  <c r="J92" i="11"/>
  <c r="O92" i="9"/>
  <c r="N92" i="9"/>
  <c r="M92" i="9"/>
  <c r="L92" i="9"/>
  <c r="K92" i="9"/>
  <c r="J92" i="9"/>
  <c r="I92" i="9"/>
  <c r="H92" i="9"/>
  <c r="G92" i="9"/>
  <c r="E92" i="9"/>
  <c r="D92" i="9"/>
  <c r="A92" i="9"/>
  <c r="J91" i="11"/>
  <c r="O91" i="9"/>
  <c r="N91" i="9"/>
  <c r="M91" i="9"/>
  <c r="L91" i="9"/>
  <c r="K91" i="9"/>
  <c r="J91" i="9"/>
  <c r="I91" i="9"/>
  <c r="H91" i="9"/>
  <c r="G91" i="9"/>
  <c r="E91" i="9"/>
  <c r="D91" i="9"/>
  <c r="A91" i="9"/>
  <c r="J90" i="11"/>
  <c r="O90" i="9"/>
  <c r="N90" i="9"/>
  <c r="M90" i="9"/>
  <c r="L90" i="9"/>
  <c r="K90" i="9"/>
  <c r="J90" i="9"/>
  <c r="I90" i="9"/>
  <c r="H90" i="9"/>
  <c r="G90" i="9"/>
  <c r="E90" i="9"/>
  <c r="D90" i="9"/>
  <c r="A90" i="9"/>
  <c r="J89" i="11"/>
  <c r="O89" i="9"/>
  <c r="N89" i="9"/>
  <c r="M89" i="9"/>
  <c r="L89" i="9"/>
  <c r="K89" i="9"/>
  <c r="J89" i="9"/>
  <c r="I89" i="9"/>
  <c r="H89" i="9"/>
  <c r="G89" i="9"/>
  <c r="E89" i="9"/>
  <c r="D89" i="9"/>
  <c r="A89" i="9"/>
  <c r="J88" i="11"/>
  <c r="O88" i="9"/>
  <c r="N88" i="9"/>
  <c r="M88" i="9"/>
  <c r="L88" i="9"/>
  <c r="K88" i="9"/>
  <c r="J88" i="9"/>
  <c r="I88" i="9"/>
  <c r="H88" i="9"/>
  <c r="G88" i="9"/>
  <c r="E88" i="9"/>
  <c r="D88" i="9"/>
  <c r="A88" i="9"/>
  <c r="J87" i="11"/>
  <c r="O87" i="9"/>
  <c r="N87" i="9"/>
  <c r="M87" i="9"/>
  <c r="L87" i="9"/>
  <c r="K87" i="9"/>
  <c r="J87" i="9"/>
  <c r="I87" i="9"/>
  <c r="H87" i="9"/>
  <c r="G87" i="9"/>
  <c r="E87" i="9"/>
  <c r="D87" i="9"/>
  <c r="A87" i="9"/>
  <c r="J86" i="11"/>
  <c r="O86" i="9"/>
  <c r="N86" i="9"/>
  <c r="M86" i="9"/>
  <c r="L86" i="9"/>
  <c r="K86" i="9"/>
  <c r="J86" i="9"/>
  <c r="I86" i="9"/>
  <c r="H86" i="9"/>
  <c r="G86" i="9"/>
  <c r="E86" i="9"/>
  <c r="D86" i="9"/>
  <c r="A86" i="9"/>
  <c r="J85" i="11"/>
  <c r="O85" i="9"/>
  <c r="N85" i="9"/>
  <c r="M85" i="9"/>
  <c r="L85" i="9"/>
  <c r="K85" i="9"/>
  <c r="J85" i="9"/>
  <c r="I85" i="9"/>
  <c r="H85" i="9"/>
  <c r="G85" i="9"/>
  <c r="E85" i="9"/>
  <c r="D85" i="9"/>
  <c r="A85" i="9"/>
  <c r="J84" i="11"/>
  <c r="O84" i="9"/>
  <c r="N84" i="9"/>
  <c r="M84" i="9"/>
  <c r="L84" i="9"/>
  <c r="K84" i="9"/>
  <c r="J84" i="9"/>
  <c r="I84" i="9"/>
  <c r="H84" i="9"/>
  <c r="G84" i="9"/>
  <c r="E84" i="9"/>
  <c r="D84" i="9"/>
  <c r="A84" i="9"/>
  <c r="J83" i="11"/>
  <c r="O83" i="9"/>
  <c r="N83" i="9"/>
  <c r="M83" i="9"/>
  <c r="L83" i="9"/>
  <c r="K83" i="9"/>
  <c r="J83" i="9"/>
  <c r="I83" i="9"/>
  <c r="H83" i="9"/>
  <c r="G83" i="9"/>
  <c r="E83" i="9"/>
  <c r="D83" i="9"/>
  <c r="A83" i="9"/>
  <c r="O81" i="9"/>
  <c r="N81" i="9"/>
  <c r="M81" i="9"/>
  <c r="L81" i="9"/>
  <c r="K81" i="9"/>
  <c r="J81" i="9"/>
  <c r="I81" i="9"/>
  <c r="H81" i="9"/>
  <c r="G81" i="9"/>
  <c r="E81" i="9"/>
  <c r="D81" i="9"/>
  <c r="A81" i="9"/>
  <c r="O80" i="9"/>
  <c r="N80" i="9"/>
  <c r="M80" i="9"/>
  <c r="L80" i="9"/>
  <c r="K80" i="9"/>
  <c r="J80" i="9"/>
  <c r="I80" i="9"/>
  <c r="H80" i="9"/>
  <c r="G80" i="9"/>
  <c r="E80" i="9"/>
  <c r="D80" i="9"/>
  <c r="A80" i="9"/>
  <c r="O79" i="9"/>
  <c r="N79" i="9"/>
  <c r="M79" i="9"/>
  <c r="L79" i="9"/>
  <c r="K79" i="9"/>
  <c r="J79" i="9"/>
  <c r="I79" i="9"/>
  <c r="H79" i="9"/>
  <c r="G79" i="9"/>
  <c r="E79" i="9"/>
  <c r="D79" i="9"/>
  <c r="A79" i="9"/>
  <c r="O82" i="9"/>
  <c r="N82" i="9"/>
  <c r="M82" i="9"/>
  <c r="L82" i="9"/>
  <c r="K82" i="9"/>
  <c r="J82" i="9"/>
  <c r="I82" i="9"/>
  <c r="H82" i="9"/>
  <c r="G82" i="9"/>
  <c r="E82" i="9"/>
  <c r="D82" i="9"/>
  <c r="A82" i="9"/>
  <c r="O78" i="9"/>
  <c r="N78" i="9"/>
  <c r="M78" i="9"/>
  <c r="L78" i="9"/>
  <c r="K78" i="9"/>
  <c r="J78" i="9"/>
  <c r="I78" i="9"/>
  <c r="H78" i="9"/>
  <c r="G78" i="9"/>
  <c r="E78" i="9"/>
  <c r="D78" i="9"/>
  <c r="A78" i="9"/>
  <c r="O76" i="9"/>
  <c r="N76" i="9"/>
  <c r="M76" i="9"/>
  <c r="L76" i="9"/>
  <c r="K76" i="9"/>
  <c r="J76" i="9"/>
  <c r="I76" i="9"/>
  <c r="H76" i="9"/>
  <c r="G76" i="9"/>
  <c r="E76" i="9"/>
  <c r="D76" i="9"/>
  <c r="A76" i="9"/>
  <c r="O75" i="9"/>
  <c r="N75" i="9"/>
  <c r="M75" i="9"/>
  <c r="L75" i="9"/>
  <c r="K75" i="9"/>
  <c r="J75" i="9"/>
  <c r="I75" i="9"/>
  <c r="H75" i="9"/>
  <c r="G75" i="9"/>
  <c r="E75" i="9"/>
  <c r="D75" i="9"/>
  <c r="A75" i="9"/>
  <c r="O74" i="9"/>
  <c r="N74" i="9"/>
  <c r="M74" i="9"/>
  <c r="L74" i="9"/>
  <c r="K74" i="9"/>
  <c r="J74" i="9"/>
  <c r="I74" i="9"/>
  <c r="H74" i="9"/>
  <c r="G74" i="9"/>
  <c r="E74" i="9"/>
  <c r="D74" i="9"/>
  <c r="A74" i="9"/>
  <c r="O73" i="9"/>
  <c r="N73" i="9"/>
  <c r="M73" i="9"/>
  <c r="L73" i="9"/>
  <c r="K73" i="9"/>
  <c r="J73" i="9"/>
  <c r="I73" i="9"/>
  <c r="H73" i="9"/>
  <c r="G73" i="9"/>
  <c r="E73" i="9"/>
  <c r="D73" i="9"/>
  <c r="A73" i="9"/>
  <c r="O77" i="9"/>
  <c r="N77" i="9"/>
  <c r="M77" i="9"/>
  <c r="L77" i="9"/>
  <c r="K77" i="9"/>
  <c r="J77" i="9"/>
  <c r="I77" i="9"/>
  <c r="H77" i="9"/>
  <c r="G77" i="9"/>
  <c r="E77" i="9"/>
  <c r="D77" i="9"/>
  <c r="A77" i="9"/>
  <c r="J72" i="11"/>
  <c r="O72" i="9"/>
  <c r="N72" i="9"/>
  <c r="M72" i="9"/>
  <c r="L72" i="9"/>
  <c r="K72" i="9"/>
  <c r="J72" i="9"/>
  <c r="I72" i="9"/>
  <c r="H72" i="9"/>
  <c r="G72" i="9"/>
  <c r="E72" i="9"/>
  <c r="D72" i="9"/>
  <c r="A72" i="9"/>
  <c r="A57" i="9"/>
  <c r="D57" i="9"/>
  <c r="E57" i="9"/>
  <c r="G57" i="9"/>
  <c r="H57" i="9"/>
  <c r="I57" i="9"/>
  <c r="J57" i="9"/>
  <c r="K57" i="9"/>
  <c r="L57" i="9"/>
  <c r="M57" i="9"/>
  <c r="N57" i="9"/>
  <c r="J57" i="11"/>
  <c r="O57" i="9"/>
  <c r="A58" i="9"/>
  <c r="D58" i="9"/>
  <c r="E58" i="9"/>
  <c r="G58" i="9"/>
  <c r="H58" i="9"/>
  <c r="I58" i="9"/>
  <c r="J58" i="9"/>
  <c r="K58" i="9"/>
  <c r="L58" i="9"/>
  <c r="M58" i="9"/>
  <c r="N58" i="9"/>
  <c r="J58" i="11"/>
  <c r="O58" i="9"/>
  <c r="A59" i="9"/>
  <c r="D59" i="9"/>
  <c r="E59" i="9"/>
  <c r="G59" i="9"/>
  <c r="H59" i="9"/>
  <c r="I59" i="9"/>
  <c r="J59" i="9"/>
  <c r="K59" i="9"/>
  <c r="L59" i="9"/>
  <c r="M59" i="9"/>
  <c r="N59" i="9"/>
  <c r="J59" i="11"/>
  <c r="O59" i="9"/>
  <c r="A60" i="9"/>
  <c r="D60" i="9"/>
  <c r="E60" i="9"/>
  <c r="G60" i="9"/>
  <c r="H60" i="9"/>
  <c r="I60" i="9"/>
  <c r="J60" i="9"/>
  <c r="K60" i="9"/>
  <c r="L60" i="9"/>
  <c r="M60" i="9"/>
  <c r="N60" i="9"/>
  <c r="J60" i="11"/>
  <c r="O60" i="9"/>
  <c r="A61" i="9"/>
  <c r="D61" i="9"/>
  <c r="E61" i="9"/>
  <c r="G61" i="9"/>
  <c r="H61" i="9"/>
  <c r="I61" i="9"/>
  <c r="J61" i="9"/>
  <c r="K61" i="9"/>
  <c r="L61" i="9"/>
  <c r="M61" i="9"/>
  <c r="N61" i="9"/>
  <c r="J61" i="11"/>
  <c r="O61" i="9"/>
  <c r="A62" i="9"/>
  <c r="D62" i="9"/>
  <c r="E62" i="9"/>
  <c r="G62" i="9"/>
  <c r="H62" i="9"/>
  <c r="I62" i="9"/>
  <c r="J62" i="9"/>
  <c r="K62" i="9"/>
  <c r="L62" i="9"/>
  <c r="M62" i="9"/>
  <c r="N62" i="9"/>
  <c r="J62" i="11"/>
  <c r="O62" i="9"/>
  <c r="A63" i="9"/>
  <c r="D63" i="9"/>
  <c r="E63" i="9"/>
  <c r="G63" i="9"/>
  <c r="H63" i="9"/>
  <c r="I63" i="9"/>
  <c r="J63" i="9"/>
  <c r="K63" i="9"/>
  <c r="L63" i="9"/>
  <c r="M63" i="9"/>
  <c r="N63" i="9"/>
  <c r="J63" i="11"/>
  <c r="O63" i="9"/>
  <c r="A64" i="9"/>
  <c r="D64" i="9"/>
  <c r="E64" i="9"/>
  <c r="G64" i="9"/>
  <c r="H64" i="9"/>
  <c r="I64" i="9"/>
  <c r="J64" i="9"/>
  <c r="K64" i="9"/>
  <c r="L64" i="9"/>
  <c r="M64" i="9"/>
  <c r="N64" i="9"/>
  <c r="J64" i="11"/>
  <c r="O64" i="9"/>
  <c r="A65" i="9"/>
  <c r="D65" i="9"/>
  <c r="E65" i="9"/>
  <c r="G65" i="9"/>
  <c r="H65" i="9"/>
  <c r="I65" i="9"/>
  <c r="J65" i="9"/>
  <c r="K65" i="9"/>
  <c r="L65" i="9"/>
  <c r="M65" i="9"/>
  <c r="N65" i="9"/>
  <c r="J65" i="11"/>
  <c r="O65" i="9"/>
  <c r="A66" i="9"/>
  <c r="D66" i="9"/>
  <c r="E66" i="9"/>
  <c r="G66" i="9"/>
  <c r="H66" i="9"/>
  <c r="I66" i="9"/>
  <c r="J66" i="9"/>
  <c r="K66" i="9"/>
  <c r="L66" i="9"/>
  <c r="M66" i="9"/>
  <c r="N66" i="9"/>
  <c r="J66" i="11"/>
  <c r="O66" i="9"/>
  <c r="A67" i="9"/>
  <c r="D67" i="9"/>
  <c r="E67" i="9"/>
  <c r="G67" i="9"/>
  <c r="H67" i="9"/>
  <c r="I67" i="9"/>
  <c r="J67" i="9"/>
  <c r="K67" i="9"/>
  <c r="L67" i="9"/>
  <c r="M67" i="9"/>
  <c r="N67" i="9"/>
  <c r="J67" i="11"/>
  <c r="O67" i="9"/>
  <c r="A68" i="9"/>
  <c r="D68" i="9"/>
  <c r="E68" i="9"/>
  <c r="G68" i="9"/>
  <c r="H68" i="9"/>
  <c r="I68" i="9"/>
  <c r="J68" i="9"/>
  <c r="K68" i="9"/>
  <c r="L68" i="9"/>
  <c r="M68" i="9"/>
  <c r="N68" i="9"/>
  <c r="J68" i="11"/>
  <c r="O68" i="9"/>
  <c r="A69" i="9"/>
  <c r="D69" i="9"/>
  <c r="E69" i="9"/>
  <c r="G69" i="9"/>
  <c r="H69" i="9"/>
  <c r="I69" i="9"/>
  <c r="J69" i="9"/>
  <c r="K69" i="9"/>
  <c r="L69" i="9"/>
  <c r="M69" i="9"/>
  <c r="N69" i="9"/>
  <c r="J69" i="11"/>
  <c r="O69" i="9"/>
  <c r="J56" i="11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69" i="10"/>
  <c r="T69" i="10"/>
  <c r="W69" i="10"/>
  <c r="V69" i="10"/>
  <c r="X69" i="10"/>
  <c r="U69" i="10"/>
  <c r="Y69" i="10"/>
  <c r="N69" i="10"/>
  <c r="Q69" i="10"/>
  <c r="P69" i="10"/>
  <c r="R69" i="10"/>
  <c r="O69" i="10"/>
  <c r="S69" i="10"/>
  <c r="G69" i="10"/>
  <c r="J69" i="10"/>
  <c r="I69" i="10"/>
  <c r="K69" i="10"/>
  <c r="H69" i="10"/>
  <c r="L69" i="10"/>
  <c r="M68" i="10"/>
  <c r="T68" i="10"/>
  <c r="W68" i="10"/>
  <c r="V68" i="10"/>
  <c r="X68" i="10"/>
  <c r="U68" i="10"/>
  <c r="Y6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O56" i="9"/>
  <c r="N56" i="9"/>
  <c r="M56" i="9"/>
  <c r="L56" i="9"/>
  <c r="K56" i="9"/>
  <c r="J56" i="9"/>
  <c r="I56" i="9"/>
  <c r="H56" i="9"/>
  <c r="G56" i="9"/>
  <c r="E56" i="9"/>
  <c r="D56" i="9"/>
  <c r="A56" i="9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J39" i="11"/>
  <c r="O39" i="9"/>
  <c r="N39" i="9"/>
  <c r="M39" i="9"/>
  <c r="L39" i="9"/>
  <c r="K39" i="9"/>
  <c r="J39" i="9"/>
  <c r="I39" i="9"/>
  <c r="H39" i="9"/>
  <c r="G39" i="9"/>
  <c r="E39" i="9"/>
  <c r="D39" i="9"/>
  <c r="A39" i="9"/>
  <c r="J38" i="11"/>
  <c r="O38" i="9"/>
  <c r="N38" i="9"/>
  <c r="M38" i="9"/>
  <c r="L38" i="9"/>
  <c r="K38" i="9"/>
  <c r="J38" i="9"/>
  <c r="I38" i="9"/>
  <c r="H38" i="9"/>
  <c r="G38" i="9"/>
  <c r="E38" i="9"/>
  <c r="D38" i="9"/>
  <c r="A38" i="9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J37" i="11"/>
  <c r="O37" i="9"/>
  <c r="N37" i="9"/>
  <c r="M37" i="9"/>
  <c r="L37" i="9"/>
  <c r="K37" i="9"/>
  <c r="J37" i="9"/>
  <c r="I37" i="9"/>
  <c r="H37" i="9"/>
  <c r="G37" i="9"/>
  <c r="E37" i="9"/>
  <c r="D37" i="9"/>
  <c r="A37" i="9"/>
  <c r="J36" i="11"/>
  <c r="O36" i="9"/>
  <c r="N36" i="9"/>
  <c r="M36" i="9"/>
  <c r="L36" i="9"/>
  <c r="K36" i="9"/>
  <c r="J36" i="9"/>
  <c r="I36" i="9"/>
  <c r="H36" i="9"/>
  <c r="G36" i="9"/>
  <c r="E36" i="9"/>
  <c r="D36" i="9"/>
  <c r="A36" i="9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J35" i="11"/>
  <c r="O35" i="9"/>
  <c r="N35" i="9"/>
  <c r="M35" i="9"/>
  <c r="L35" i="9"/>
  <c r="K35" i="9"/>
  <c r="J35" i="9"/>
  <c r="I35" i="9"/>
  <c r="H35" i="9"/>
  <c r="G35" i="9"/>
  <c r="E35" i="9"/>
  <c r="D35" i="9"/>
  <c r="A35" i="9"/>
  <c r="J34" i="11"/>
  <c r="O34" i="9"/>
  <c r="N34" i="9"/>
  <c r="M34" i="9"/>
  <c r="L34" i="9"/>
  <c r="K34" i="9"/>
  <c r="J34" i="9"/>
  <c r="I34" i="9"/>
  <c r="H34" i="9"/>
  <c r="G34" i="9"/>
  <c r="E34" i="9"/>
  <c r="D34" i="9"/>
  <c r="A34" i="9"/>
  <c r="J33" i="11"/>
  <c r="O33" i="9"/>
  <c r="N33" i="9"/>
  <c r="M33" i="9"/>
  <c r="L33" i="9"/>
  <c r="K33" i="9"/>
  <c r="J33" i="9"/>
  <c r="I33" i="9"/>
  <c r="H33" i="9"/>
  <c r="G33" i="9"/>
  <c r="E33" i="9"/>
  <c r="D33" i="9"/>
  <c r="A33" i="9"/>
  <c r="J48" i="11"/>
  <c r="J49" i="11"/>
  <c r="J32" i="11"/>
  <c r="O32" i="9"/>
  <c r="N32" i="9"/>
  <c r="M32" i="9"/>
  <c r="L32" i="9"/>
  <c r="K32" i="9"/>
  <c r="J32" i="9"/>
  <c r="I32" i="9"/>
  <c r="H32" i="9"/>
  <c r="G32" i="9"/>
  <c r="E32" i="9"/>
  <c r="D32" i="9"/>
  <c r="A32" i="9"/>
  <c r="J31" i="11"/>
  <c r="O31" i="9"/>
  <c r="N31" i="9"/>
  <c r="M31" i="9"/>
  <c r="L31" i="9"/>
  <c r="K31" i="9"/>
  <c r="J31" i="9"/>
  <c r="I31" i="9"/>
  <c r="H31" i="9"/>
  <c r="G31" i="9"/>
  <c r="E31" i="9"/>
  <c r="D31" i="9"/>
  <c r="A31" i="9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J44" i="11"/>
  <c r="J45" i="11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M55" i="10"/>
  <c r="N55" i="10"/>
  <c r="Q55" i="10"/>
  <c r="P55" i="10"/>
  <c r="R55" i="10"/>
  <c r="O55" i="10"/>
  <c r="S55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M54" i="10"/>
  <c r="N54" i="10"/>
  <c r="Q54" i="10"/>
  <c r="P54" i="10"/>
  <c r="R54" i="10"/>
  <c r="O54" i="10"/>
  <c r="S54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J27" i="11"/>
  <c r="J30" i="11"/>
  <c r="J29" i="11"/>
  <c r="O30" i="9"/>
  <c r="N30" i="9"/>
  <c r="M30" i="9"/>
  <c r="L30" i="9"/>
  <c r="K30" i="9"/>
  <c r="J30" i="9"/>
  <c r="I30" i="9"/>
  <c r="H30" i="9"/>
  <c r="G30" i="9"/>
  <c r="E30" i="9"/>
  <c r="D30" i="9"/>
  <c r="A30" i="9"/>
  <c r="O29" i="9"/>
  <c r="N29" i="9"/>
  <c r="M29" i="9"/>
  <c r="L29" i="9"/>
  <c r="K29" i="9"/>
  <c r="J29" i="9"/>
  <c r="I29" i="9"/>
  <c r="H29" i="9"/>
  <c r="G29" i="9"/>
  <c r="E29" i="9"/>
  <c r="D29" i="9"/>
  <c r="A29" i="9"/>
  <c r="M28" i="10"/>
  <c r="T28" i="10"/>
  <c r="W28" i="10"/>
  <c r="V28" i="10"/>
  <c r="X28" i="10"/>
  <c r="U28" i="10"/>
  <c r="Y28" i="10"/>
  <c r="M51" i="10"/>
  <c r="N51" i="10"/>
  <c r="Q51" i="10"/>
  <c r="P51" i="10"/>
  <c r="R51" i="10"/>
  <c r="O51" i="10"/>
  <c r="S51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M50" i="10"/>
  <c r="N50" i="10"/>
  <c r="Q50" i="10"/>
  <c r="P50" i="10"/>
  <c r="R50" i="10"/>
  <c r="O50" i="10"/>
  <c r="S50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G29" i="10"/>
  <c r="H29" i="10"/>
  <c r="I29" i="10"/>
  <c r="J29" i="10"/>
  <c r="K29" i="10"/>
  <c r="L29" i="10"/>
  <c r="M29" i="10"/>
  <c r="M52" i="10"/>
  <c r="N52" i="10"/>
  <c r="Q52" i="10"/>
  <c r="P52" i="10"/>
  <c r="R52" i="10"/>
  <c r="O52" i="10"/>
  <c r="S52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G30" i="10"/>
  <c r="H30" i="10"/>
  <c r="I30" i="10"/>
  <c r="J30" i="10"/>
  <c r="K30" i="10"/>
  <c r="L30" i="10"/>
  <c r="M30" i="10"/>
  <c r="M53" i="10"/>
  <c r="N53" i="10"/>
  <c r="Q53" i="10"/>
  <c r="P53" i="10"/>
  <c r="R53" i="10"/>
  <c r="O53" i="10"/>
  <c r="S53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G42" i="10"/>
  <c r="H42" i="10"/>
  <c r="I42" i="10"/>
  <c r="J42" i="10"/>
  <c r="K42" i="10"/>
  <c r="L42" i="10"/>
  <c r="M42" i="10"/>
  <c r="N42" i="10"/>
  <c r="O42" i="10"/>
  <c r="P42" i="10"/>
  <c r="Q42" i="10"/>
  <c r="R42" i="10"/>
  <c r="S42" i="10"/>
  <c r="T42" i="10"/>
  <c r="U42" i="10"/>
  <c r="V42" i="10"/>
  <c r="W42" i="10"/>
  <c r="X42" i="10"/>
  <c r="Y42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O27" i="9"/>
  <c r="N27" i="9"/>
  <c r="M27" i="9"/>
  <c r="L27" i="9"/>
  <c r="K27" i="9"/>
  <c r="J27" i="9"/>
  <c r="I27" i="9"/>
  <c r="H27" i="9"/>
  <c r="G27" i="9"/>
  <c r="E27" i="9"/>
  <c r="D27" i="9"/>
  <c r="A27" i="9"/>
  <c r="J28" i="11"/>
  <c r="O28" i="9"/>
  <c r="N28" i="9"/>
  <c r="M28" i="9"/>
  <c r="L28" i="9"/>
  <c r="K28" i="9"/>
  <c r="J28" i="9"/>
  <c r="I28" i="9"/>
  <c r="H28" i="9"/>
  <c r="G28" i="9"/>
  <c r="E28" i="9"/>
  <c r="D28" i="9"/>
  <c r="A28" i="9"/>
  <c r="T9" i="1"/>
  <c r="Y10" i="7"/>
  <c r="W10" i="7"/>
  <c r="U10" i="7"/>
  <c r="R10" i="7"/>
  <c r="Q10" i="7"/>
  <c r="P10" i="7"/>
  <c r="O10" i="7"/>
  <c r="N10" i="7"/>
  <c r="H10" i="7"/>
  <c r="J10" i="7"/>
  <c r="I10" i="7"/>
  <c r="D10" i="7"/>
  <c r="F10" i="7"/>
  <c r="E10" i="7"/>
  <c r="A10" i="7"/>
  <c r="Y9" i="7"/>
  <c r="W9" i="7"/>
  <c r="U9" i="7"/>
  <c r="R9" i="7"/>
  <c r="Q9" i="7"/>
  <c r="P9" i="7"/>
  <c r="O9" i="7"/>
  <c r="N9" i="7"/>
  <c r="H9" i="7"/>
  <c r="J9" i="7"/>
  <c r="I9" i="7"/>
  <c r="D9" i="7"/>
  <c r="F9" i="7"/>
  <c r="E9" i="7"/>
  <c r="A9" i="7"/>
  <c r="Y8" i="7"/>
  <c r="W8" i="7"/>
  <c r="U8" i="7"/>
  <c r="R8" i="7"/>
  <c r="Q8" i="7"/>
  <c r="P8" i="7"/>
  <c r="O8" i="7"/>
  <c r="N8" i="7"/>
  <c r="H8" i="7"/>
  <c r="J8" i="7"/>
  <c r="I8" i="7"/>
  <c r="D8" i="7"/>
  <c r="F8" i="7"/>
  <c r="E8" i="7"/>
  <c r="A8" i="7"/>
  <c r="Y7" i="7"/>
  <c r="W7" i="7"/>
  <c r="U7" i="7"/>
  <c r="R7" i="7"/>
  <c r="Q7" i="7"/>
  <c r="P7" i="7"/>
  <c r="O7" i="7"/>
  <c r="N7" i="7"/>
  <c r="H7" i="7"/>
  <c r="J7" i="7"/>
  <c r="I7" i="7"/>
  <c r="D7" i="7"/>
  <c r="F7" i="7"/>
  <c r="E7" i="7"/>
  <c r="A7" i="7"/>
  <c r="Y6" i="7"/>
  <c r="W6" i="7"/>
  <c r="U6" i="7"/>
  <c r="R6" i="7"/>
  <c r="Q6" i="7"/>
  <c r="P6" i="7"/>
  <c r="O6" i="7"/>
  <c r="N6" i="7"/>
  <c r="H6" i="7"/>
  <c r="J6" i="7"/>
  <c r="I6" i="7"/>
  <c r="D6" i="7"/>
  <c r="F6" i="7"/>
  <c r="E6" i="7"/>
  <c r="A6" i="7"/>
  <c r="Y5" i="7"/>
  <c r="W5" i="7"/>
  <c r="U5" i="7"/>
  <c r="R5" i="7"/>
  <c r="Q5" i="7"/>
  <c r="P5" i="7"/>
  <c r="O5" i="7"/>
  <c r="N5" i="7"/>
  <c r="H5" i="7"/>
  <c r="J5" i="7"/>
  <c r="I5" i="7"/>
  <c r="D5" i="7"/>
  <c r="F5" i="7"/>
  <c r="E5" i="7"/>
  <c r="A5" i="7"/>
  <c r="AD13" i="1"/>
  <c r="AF13" i="1"/>
  <c r="AI13" i="1"/>
  <c r="AG13" i="1"/>
  <c r="AE13" i="1"/>
  <c r="X13" i="1"/>
  <c r="V13" i="1"/>
  <c r="T13" i="1"/>
  <c r="Q13" i="1"/>
  <c r="P13" i="1"/>
  <c r="O13" i="1"/>
  <c r="N13" i="1"/>
  <c r="M13" i="1"/>
  <c r="H13" i="1"/>
  <c r="J13" i="1"/>
  <c r="I13" i="1"/>
  <c r="D13" i="1"/>
  <c r="F13" i="1"/>
  <c r="E13" i="1"/>
  <c r="A13" i="1"/>
  <c r="AF12" i="1"/>
  <c r="AI12" i="1"/>
  <c r="AG12" i="1"/>
  <c r="AE12" i="1"/>
  <c r="X12" i="1"/>
  <c r="V12" i="1"/>
  <c r="T12" i="1"/>
  <c r="Q12" i="1"/>
  <c r="P12" i="1"/>
  <c r="O12" i="1"/>
  <c r="N12" i="1"/>
  <c r="M12" i="1"/>
  <c r="H12" i="1"/>
  <c r="J12" i="1"/>
  <c r="I12" i="1"/>
  <c r="D12" i="1"/>
  <c r="F12" i="1"/>
  <c r="E12" i="1"/>
  <c r="A12" i="1"/>
  <c r="AD11" i="1"/>
  <c r="AF11" i="1"/>
  <c r="AI11" i="1"/>
  <c r="AG11" i="1"/>
  <c r="AE11" i="1"/>
  <c r="AC11" i="1"/>
  <c r="X11" i="1"/>
  <c r="V11" i="1"/>
  <c r="T11" i="1"/>
  <c r="Q11" i="1"/>
  <c r="P11" i="1"/>
  <c r="O11" i="1"/>
  <c r="N11" i="1"/>
  <c r="M11" i="1"/>
  <c r="H11" i="1"/>
  <c r="J11" i="1"/>
  <c r="I11" i="1"/>
  <c r="D11" i="1"/>
  <c r="F11" i="1"/>
  <c r="E11" i="1"/>
  <c r="A11" i="1"/>
  <c r="AF10" i="1"/>
  <c r="AI10" i="1"/>
  <c r="AG10" i="1"/>
  <c r="AE10" i="1"/>
  <c r="X10" i="1"/>
  <c r="V10" i="1"/>
  <c r="T10" i="1"/>
  <c r="Q10" i="1"/>
  <c r="P10" i="1"/>
  <c r="O10" i="1"/>
  <c r="N10" i="1"/>
  <c r="M10" i="1"/>
  <c r="H10" i="1"/>
  <c r="J10" i="1"/>
  <c r="I10" i="1"/>
  <c r="D10" i="1"/>
  <c r="F10" i="1"/>
  <c r="E10" i="1"/>
  <c r="A10" i="1"/>
  <c r="AD9" i="1"/>
  <c r="AF9" i="1"/>
  <c r="AI9" i="1"/>
  <c r="AG9" i="1"/>
  <c r="AE9" i="1"/>
  <c r="X9" i="1"/>
  <c r="V9" i="1"/>
  <c r="Q9" i="1"/>
  <c r="P9" i="1"/>
  <c r="O9" i="1"/>
  <c r="N9" i="1"/>
  <c r="M9" i="1"/>
  <c r="H9" i="1"/>
  <c r="J9" i="1"/>
  <c r="I9" i="1"/>
  <c r="D9" i="1"/>
  <c r="F9" i="1"/>
  <c r="E9" i="1"/>
  <c r="A9" i="1"/>
  <c r="AF8" i="1"/>
  <c r="AI8" i="1"/>
  <c r="AG8" i="1"/>
  <c r="AE8" i="1"/>
  <c r="X8" i="1"/>
  <c r="V8" i="1"/>
  <c r="T8" i="1"/>
  <c r="Q8" i="1"/>
  <c r="P8" i="1"/>
  <c r="O8" i="1"/>
  <c r="N8" i="1"/>
  <c r="M8" i="1"/>
  <c r="H8" i="1"/>
  <c r="J8" i="1"/>
  <c r="I8" i="1"/>
  <c r="D8" i="1"/>
  <c r="F8" i="1"/>
  <c r="E8" i="1"/>
  <c r="A8" i="1"/>
  <c r="AD7" i="1"/>
  <c r="AF7" i="1"/>
  <c r="AI7" i="1"/>
  <c r="AG7" i="1"/>
  <c r="AE7" i="1"/>
  <c r="AC7" i="1"/>
  <c r="X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AF6" i="1"/>
  <c r="AI6" i="1"/>
  <c r="AG6" i="1"/>
  <c r="AE6" i="1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V5" i="1"/>
  <c r="W4" i="7"/>
  <c r="W3" i="7"/>
  <c r="U4" i="7"/>
  <c r="U3" i="7"/>
  <c r="T5" i="1"/>
  <c r="J10" i="11"/>
  <c r="J3" i="11"/>
  <c r="J7" i="11"/>
  <c r="O7" i="9"/>
  <c r="N7" i="9"/>
  <c r="M7" i="9"/>
  <c r="L7" i="9"/>
  <c r="K7" i="9"/>
  <c r="J7" i="9"/>
  <c r="I7" i="9"/>
  <c r="H7" i="9"/>
  <c r="G7" i="9"/>
  <c r="E7" i="9"/>
  <c r="D7" i="9"/>
  <c r="A7" i="9"/>
  <c r="J9" i="11"/>
  <c r="J12" i="11"/>
  <c r="O12" i="9"/>
  <c r="N12" i="9"/>
  <c r="M12" i="9"/>
  <c r="L12" i="9"/>
  <c r="K12" i="9"/>
  <c r="J12" i="9"/>
  <c r="I12" i="9"/>
  <c r="H12" i="9"/>
  <c r="G12" i="9"/>
  <c r="E12" i="9"/>
  <c r="D12" i="9"/>
  <c r="A12" i="9"/>
  <c r="T4" i="1"/>
  <c r="M12" i="10"/>
  <c r="T12" i="10"/>
  <c r="W12" i="10"/>
  <c r="V12" i="10"/>
  <c r="X12" i="10"/>
  <c r="U12" i="10"/>
  <c r="Y12" i="10"/>
  <c r="M23" i="10"/>
  <c r="M48" i="10"/>
  <c r="N48" i="10"/>
  <c r="Q48" i="10"/>
  <c r="P48" i="10"/>
  <c r="R48" i="10"/>
  <c r="O48" i="10"/>
  <c r="S48" i="10"/>
  <c r="N23" i="10"/>
  <c r="Q23" i="10"/>
  <c r="P23" i="10"/>
  <c r="R23" i="10"/>
  <c r="O23" i="10"/>
  <c r="S23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7" i="10"/>
  <c r="T7" i="10"/>
  <c r="W7" i="10"/>
  <c r="V7" i="10"/>
  <c r="X7" i="10"/>
  <c r="U7" i="10"/>
  <c r="Y7" i="10"/>
  <c r="M19" i="10"/>
  <c r="M44" i="10"/>
  <c r="N44" i="10"/>
  <c r="Q44" i="10"/>
  <c r="P44" i="10"/>
  <c r="R44" i="10"/>
  <c r="O44" i="10"/>
  <c r="S44" i="10"/>
  <c r="N19" i="10"/>
  <c r="Q19" i="10"/>
  <c r="P19" i="10"/>
  <c r="R19" i="10"/>
  <c r="O19" i="10"/>
  <c r="S19" i="10"/>
  <c r="N7" i="10"/>
  <c r="Q7" i="10"/>
  <c r="P7" i="10"/>
  <c r="R7" i="10"/>
  <c r="O7" i="10"/>
  <c r="S7" i="10"/>
  <c r="G7" i="10"/>
  <c r="J7" i="10"/>
  <c r="I7" i="10"/>
  <c r="K7" i="10"/>
  <c r="H7" i="10"/>
  <c r="L7" i="10"/>
  <c r="G8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G9" i="2"/>
  <c r="A9" i="2"/>
  <c r="H2" i="1"/>
  <c r="H3" i="1"/>
  <c r="H4" i="1"/>
  <c r="H5" i="1"/>
  <c r="B9" i="2"/>
  <c r="D9" i="2"/>
  <c r="E9" i="2"/>
  <c r="H9" i="2"/>
  <c r="G10" i="2"/>
  <c r="A10" i="2"/>
  <c r="B10" i="2"/>
  <c r="D10" i="2"/>
  <c r="E10" i="2"/>
  <c r="H10" i="2"/>
  <c r="G8" i="2"/>
  <c r="H8" i="2"/>
  <c r="E8" i="2"/>
  <c r="D8" i="2"/>
  <c r="A8" i="2"/>
  <c r="B8" i="2"/>
  <c r="G6" i="2"/>
  <c r="A6" i="2"/>
  <c r="B6" i="2"/>
  <c r="D6" i="2"/>
  <c r="E6" i="2"/>
  <c r="H6" i="2"/>
  <c r="G7" i="2"/>
  <c r="A7" i="2"/>
  <c r="B7" i="2"/>
  <c r="D7" i="2"/>
  <c r="E7" i="2"/>
  <c r="H7" i="2"/>
  <c r="G5" i="2"/>
  <c r="H5" i="2"/>
  <c r="E5" i="2"/>
  <c r="D5" i="2"/>
  <c r="A5" i="2"/>
  <c r="B5" i="2"/>
  <c r="Y2" i="7"/>
  <c r="G3" i="10"/>
  <c r="J25" i="11"/>
  <c r="J26" i="11"/>
  <c r="J46" i="11"/>
  <c r="J47" i="11"/>
  <c r="J50" i="11"/>
  <c r="J51" i="11"/>
  <c r="J52" i="11"/>
  <c r="J53" i="11"/>
  <c r="J54" i="11"/>
  <c r="J55" i="11"/>
  <c r="J4" i="11"/>
  <c r="J5" i="11"/>
  <c r="J6" i="11"/>
  <c r="J8" i="11"/>
  <c r="J11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T55" i="10"/>
  <c r="W55" i="10"/>
  <c r="V55" i="10"/>
  <c r="X55" i="10"/>
  <c r="U55" i="10"/>
  <c r="Y55" i="10"/>
  <c r="G55" i="10"/>
  <c r="J55" i="10"/>
  <c r="I55" i="10"/>
  <c r="K55" i="10"/>
  <c r="H55" i="10"/>
  <c r="L55" i="10"/>
  <c r="T54" i="10"/>
  <c r="W54" i="10"/>
  <c r="V54" i="10"/>
  <c r="X54" i="10"/>
  <c r="U54" i="10"/>
  <c r="Y54" i="10"/>
  <c r="G54" i="10"/>
  <c r="J54" i="10"/>
  <c r="I54" i="10"/>
  <c r="K54" i="10"/>
  <c r="H54" i="10"/>
  <c r="L54" i="10"/>
  <c r="T53" i="10"/>
  <c r="W53" i="10"/>
  <c r="V53" i="10"/>
  <c r="X53" i="10"/>
  <c r="U53" i="10"/>
  <c r="Y53" i="10"/>
  <c r="G53" i="10"/>
  <c r="J53" i="10"/>
  <c r="I53" i="10"/>
  <c r="K53" i="10"/>
  <c r="H53" i="10"/>
  <c r="L53" i="10"/>
  <c r="T52" i="10"/>
  <c r="W52" i="10"/>
  <c r="V52" i="10"/>
  <c r="X52" i="10"/>
  <c r="U52" i="10"/>
  <c r="Y52" i="10"/>
  <c r="G52" i="10"/>
  <c r="J52" i="10"/>
  <c r="I52" i="10"/>
  <c r="K52" i="10"/>
  <c r="H52" i="10"/>
  <c r="L52" i="10"/>
  <c r="T51" i="10"/>
  <c r="W51" i="10"/>
  <c r="V51" i="10"/>
  <c r="X51" i="10"/>
  <c r="U51" i="10"/>
  <c r="Y51" i="10"/>
  <c r="G51" i="10"/>
  <c r="J51" i="10"/>
  <c r="I51" i="10"/>
  <c r="K51" i="10"/>
  <c r="H51" i="10"/>
  <c r="L51" i="10"/>
  <c r="T50" i="10"/>
  <c r="W50" i="10"/>
  <c r="V50" i="10"/>
  <c r="X50" i="10"/>
  <c r="U50" i="10"/>
  <c r="Y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T48" i="10"/>
  <c r="W48" i="10"/>
  <c r="V48" i="10"/>
  <c r="X48" i="10"/>
  <c r="U48" i="10"/>
  <c r="Y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T44" i="10"/>
  <c r="W44" i="10"/>
  <c r="V44" i="10"/>
  <c r="X44" i="10"/>
  <c r="U44" i="10"/>
  <c r="Y44" i="10"/>
  <c r="G44" i="10"/>
  <c r="J44" i="10"/>
  <c r="I44" i="10"/>
  <c r="K44" i="10"/>
  <c r="H44" i="10"/>
  <c r="L44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T23" i="10"/>
  <c r="W23" i="10"/>
  <c r="V23" i="10"/>
  <c r="X23" i="10"/>
  <c r="U23" i="10"/>
  <c r="Y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T19" i="10"/>
  <c r="W19" i="10"/>
  <c r="V19" i="10"/>
  <c r="X19" i="10"/>
  <c r="U19" i="10"/>
  <c r="Y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J3" i="10"/>
  <c r="I3" i="10"/>
  <c r="K3" i="10"/>
  <c r="H3" i="10"/>
  <c r="L3" i="10"/>
  <c r="D24" i="9"/>
  <c r="O55" i="9"/>
  <c r="N55" i="9"/>
  <c r="M55" i="9"/>
  <c r="L55" i="9"/>
  <c r="K55" i="9"/>
  <c r="J55" i="9"/>
  <c r="I55" i="9"/>
  <c r="H55" i="9"/>
  <c r="G55" i="9"/>
  <c r="E55" i="9"/>
  <c r="D55" i="9"/>
  <c r="A55" i="9"/>
  <c r="O54" i="9"/>
  <c r="N54" i="9"/>
  <c r="M54" i="9"/>
  <c r="L54" i="9"/>
  <c r="K54" i="9"/>
  <c r="J54" i="9"/>
  <c r="I54" i="9"/>
  <c r="H54" i="9"/>
  <c r="G54" i="9"/>
  <c r="E54" i="9"/>
  <c r="D54" i="9"/>
  <c r="A54" i="9"/>
  <c r="O53" i="9"/>
  <c r="N53" i="9"/>
  <c r="M53" i="9"/>
  <c r="L53" i="9"/>
  <c r="K53" i="9"/>
  <c r="J53" i="9"/>
  <c r="I53" i="9"/>
  <c r="H53" i="9"/>
  <c r="G53" i="9"/>
  <c r="E53" i="9"/>
  <c r="D53" i="9"/>
  <c r="A53" i="9"/>
  <c r="O52" i="9"/>
  <c r="N52" i="9"/>
  <c r="M52" i="9"/>
  <c r="L52" i="9"/>
  <c r="K52" i="9"/>
  <c r="J52" i="9"/>
  <c r="I52" i="9"/>
  <c r="H52" i="9"/>
  <c r="G52" i="9"/>
  <c r="E52" i="9"/>
  <c r="D52" i="9"/>
  <c r="A52" i="9"/>
  <c r="O51" i="9"/>
  <c r="N51" i="9"/>
  <c r="M51" i="9"/>
  <c r="L51" i="9"/>
  <c r="K51" i="9"/>
  <c r="J51" i="9"/>
  <c r="I51" i="9"/>
  <c r="H51" i="9"/>
  <c r="G51" i="9"/>
  <c r="E51" i="9"/>
  <c r="D51" i="9"/>
  <c r="A51" i="9"/>
  <c r="O50" i="9"/>
  <c r="N50" i="9"/>
  <c r="M50" i="9"/>
  <c r="L50" i="9"/>
  <c r="K50" i="9"/>
  <c r="J50" i="9"/>
  <c r="I50" i="9"/>
  <c r="H50" i="9"/>
  <c r="G50" i="9"/>
  <c r="E50" i="9"/>
  <c r="D50" i="9"/>
  <c r="A50" i="9"/>
  <c r="O49" i="9"/>
  <c r="N49" i="9"/>
  <c r="M49" i="9"/>
  <c r="L49" i="9"/>
  <c r="K49" i="9"/>
  <c r="J49" i="9"/>
  <c r="I49" i="9"/>
  <c r="H49" i="9"/>
  <c r="G49" i="9"/>
  <c r="E49" i="9"/>
  <c r="D49" i="9"/>
  <c r="A49" i="9"/>
  <c r="O48" i="9"/>
  <c r="N48" i="9"/>
  <c r="M48" i="9"/>
  <c r="L48" i="9"/>
  <c r="K48" i="9"/>
  <c r="J48" i="9"/>
  <c r="I48" i="9"/>
  <c r="H48" i="9"/>
  <c r="G48" i="9"/>
  <c r="E48" i="9"/>
  <c r="D48" i="9"/>
  <c r="A48" i="9"/>
  <c r="O47" i="9"/>
  <c r="N47" i="9"/>
  <c r="M47" i="9"/>
  <c r="L47" i="9"/>
  <c r="K47" i="9"/>
  <c r="J47" i="9"/>
  <c r="I47" i="9"/>
  <c r="H47" i="9"/>
  <c r="G47" i="9"/>
  <c r="E47" i="9"/>
  <c r="D47" i="9"/>
  <c r="A47" i="9"/>
  <c r="O46" i="9"/>
  <c r="N46" i="9"/>
  <c r="M46" i="9"/>
  <c r="L46" i="9"/>
  <c r="K46" i="9"/>
  <c r="J46" i="9"/>
  <c r="I46" i="9"/>
  <c r="H46" i="9"/>
  <c r="G46" i="9"/>
  <c r="E46" i="9"/>
  <c r="D46" i="9"/>
  <c r="A46" i="9"/>
  <c r="O45" i="9"/>
  <c r="N45" i="9"/>
  <c r="M45" i="9"/>
  <c r="L45" i="9"/>
  <c r="K45" i="9"/>
  <c r="J45" i="9"/>
  <c r="I45" i="9"/>
  <c r="H45" i="9"/>
  <c r="G45" i="9"/>
  <c r="E45" i="9"/>
  <c r="D45" i="9"/>
  <c r="A45" i="9"/>
  <c r="O44" i="9"/>
  <c r="N44" i="9"/>
  <c r="M44" i="9"/>
  <c r="L44" i="9"/>
  <c r="K44" i="9"/>
  <c r="J44" i="9"/>
  <c r="I44" i="9"/>
  <c r="H44" i="9"/>
  <c r="G44" i="9"/>
  <c r="E44" i="9"/>
  <c r="D44" i="9"/>
  <c r="A44" i="9"/>
  <c r="O26" i="9"/>
  <c r="N26" i="9"/>
  <c r="M26" i="9"/>
  <c r="L26" i="9"/>
  <c r="K26" i="9"/>
  <c r="J26" i="9"/>
  <c r="I26" i="9"/>
  <c r="H26" i="9"/>
  <c r="G26" i="9"/>
  <c r="E26" i="9"/>
  <c r="D26" i="9"/>
  <c r="A26" i="9"/>
  <c r="A13" i="9"/>
  <c r="O25" i="9"/>
  <c r="N25" i="9"/>
  <c r="M25" i="9"/>
  <c r="L25" i="9"/>
  <c r="K25" i="9"/>
  <c r="J25" i="9"/>
  <c r="I25" i="9"/>
  <c r="H25" i="9"/>
  <c r="G25" i="9"/>
  <c r="E25" i="9"/>
  <c r="D25" i="9"/>
  <c r="A25" i="9"/>
  <c r="O24" i="9"/>
  <c r="N24" i="9"/>
  <c r="M24" i="9"/>
  <c r="L24" i="9"/>
  <c r="K24" i="9"/>
  <c r="J24" i="9"/>
  <c r="I24" i="9"/>
  <c r="H24" i="9"/>
  <c r="G24" i="9"/>
  <c r="E24" i="9"/>
  <c r="A24" i="9"/>
  <c r="O23" i="9"/>
  <c r="N23" i="9"/>
  <c r="M23" i="9"/>
  <c r="L23" i="9"/>
  <c r="K23" i="9"/>
  <c r="J23" i="9"/>
  <c r="I23" i="9"/>
  <c r="H23" i="9"/>
  <c r="G23" i="9"/>
  <c r="E23" i="9"/>
  <c r="D23" i="9"/>
  <c r="A23" i="9"/>
  <c r="O22" i="9"/>
  <c r="N22" i="9"/>
  <c r="M22" i="9"/>
  <c r="L22" i="9"/>
  <c r="K22" i="9"/>
  <c r="J22" i="9"/>
  <c r="I22" i="9"/>
  <c r="H22" i="9"/>
  <c r="G22" i="9"/>
  <c r="E22" i="9"/>
  <c r="D22" i="9"/>
  <c r="A22" i="9"/>
  <c r="O21" i="9"/>
  <c r="N21" i="9"/>
  <c r="M21" i="9"/>
  <c r="L21" i="9"/>
  <c r="K21" i="9"/>
  <c r="J21" i="9"/>
  <c r="I21" i="9"/>
  <c r="H21" i="9"/>
  <c r="G21" i="9"/>
  <c r="E21" i="9"/>
  <c r="D21" i="9"/>
  <c r="A21" i="9"/>
  <c r="O20" i="9"/>
  <c r="N20" i="9"/>
  <c r="M20" i="9"/>
  <c r="L20" i="9"/>
  <c r="K20" i="9"/>
  <c r="J20" i="9"/>
  <c r="I20" i="9"/>
  <c r="H20" i="9"/>
  <c r="G20" i="9"/>
  <c r="E20" i="9"/>
  <c r="D20" i="9"/>
  <c r="A20" i="9"/>
  <c r="O19" i="9"/>
  <c r="N19" i="9"/>
  <c r="M19" i="9"/>
  <c r="L19" i="9"/>
  <c r="K19" i="9"/>
  <c r="J19" i="9"/>
  <c r="I19" i="9"/>
  <c r="H19" i="9"/>
  <c r="G19" i="9"/>
  <c r="E19" i="9"/>
  <c r="D19" i="9"/>
  <c r="A19" i="9"/>
  <c r="D10" i="9"/>
  <c r="O18" i="9"/>
  <c r="N18" i="9"/>
  <c r="M18" i="9"/>
  <c r="L18" i="9"/>
  <c r="K18" i="9"/>
  <c r="J18" i="9"/>
  <c r="I18" i="9"/>
  <c r="H18" i="9"/>
  <c r="G18" i="9"/>
  <c r="E18" i="9"/>
  <c r="D18" i="9"/>
  <c r="A18" i="9"/>
  <c r="O17" i="9"/>
  <c r="N17" i="9"/>
  <c r="M17" i="9"/>
  <c r="L17" i="9"/>
  <c r="K17" i="9"/>
  <c r="J17" i="9"/>
  <c r="I17" i="9"/>
  <c r="H17" i="9"/>
  <c r="G17" i="9"/>
  <c r="E17" i="9"/>
  <c r="D17" i="9"/>
  <c r="A17" i="9"/>
  <c r="O16" i="9"/>
  <c r="N16" i="9"/>
  <c r="M16" i="9"/>
  <c r="L16" i="9"/>
  <c r="K16" i="9"/>
  <c r="J16" i="9"/>
  <c r="I16" i="9"/>
  <c r="H16" i="9"/>
  <c r="G16" i="9"/>
  <c r="E16" i="9"/>
  <c r="D16" i="9"/>
  <c r="A16" i="9"/>
  <c r="O15" i="9"/>
  <c r="N15" i="9"/>
  <c r="M15" i="9"/>
  <c r="L15" i="9"/>
  <c r="K15" i="9"/>
  <c r="J15" i="9"/>
  <c r="I15" i="9"/>
  <c r="H15" i="9"/>
  <c r="G15" i="9"/>
  <c r="E15" i="9"/>
  <c r="D15" i="9"/>
  <c r="A15" i="9"/>
  <c r="O14" i="9"/>
  <c r="N14" i="9"/>
  <c r="M14" i="9"/>
  <c r="L14" i="9"/>
  <c r="K14" i="9"/>
  <c r="J14" i="9"/>
  <c r="I14" i="9"/>
  <c r="H14" i="9"/>
  <c r="G14" i="9"/>
  <c r="E14" i="9"/>
  <c r="D14" i="9"/>
  <c r="A14" i="9"/>
  <c r="O13" i="9"/>
  <c r="N13" i="9"/>
  <c r="M13" i="9"/>
  <c r="L13" i="9"/>
  <c r="K13" i="9"/>
  <c r="J13" i="9"/>
  <c r="I13" i="9"/>
  <c r="H13" i="9"/>
  <c r="G13" i="9"/>
  <c r="E13" i="9"/>
  <c r="D13" i="9"/>
  <c r="O11" i="9"/>
  <c r="N11" i="9"/>
  <c r="M11" i="9"/>
  <c r="L11" i="9"/>
  <c r="K11" i="9"/>
  <c r="J11" i="9"/>
  <c r="I11" i="9"/>
  <c r="H11" i="9"/>
  <c r="G11" i="9"/>
  <c r="E11" i="9"/>
  <c r="D11" i="9"/>
  <c r="A11" i="9"/>
  <c r="O10" i="9"/>
  <c r="N10" i="9"/>
  <c r="M10" i="9"/>
  <c r="L10" i="9"/>
  <c r="K10" i="9"/>
  <c r="J10" i="9"/>
  <c r="I10" i="9"/>
  <c r="H10" i="9"/>
  <c r="G10" i="9"/>
  <c r="E10" i="9"/>
  <c r="A10" i="9"/>
  <c r="O9" i="9"/>
  <c r="N9" i="9"/>
  <c r="M9" i="9"/>
  <c r="L9" i="9"/>
  <c r="K9" i="9"/>
  <c r="J9" i="9"/>
  <c r="I9" i="9"/>
  <c r="H9" i="9"/>
  <c r="G9" i="9"/>
  <c r="E9" i="9"/>
  <c r="D9" i="9"/>
  <c r="A9" i="9"/>
  <c r="O8" i="9"/>
  <c r="N8" i="9"/>
  <c r="M8" i="9"/>
  <c r="L8" i="9"/>
  <c r="K8" i="9"/>
  <c r="J8" i="9"/>
  <c r="I8" i="9"/>
  <c r="H8" i="9"/>
  <c r="G8" i="9"/>
  <c r="E8" i="9"/>
  <c r="D8" i="9"/>
  <c r="A8" i="9"/>
  <c r="O6" i="9"/>
  <c r="N6" i="9"/>
  <c r="M6" i="9"/>
  <c r="L6" i="9"/>
  <c r="K6" i="9"/>
  <c r="J6" i="9"/>
  <c r="I6" i="9"/>
  <c r="H6" i="9"/>
  <c r="G6" i="9"/>
  <c r="E6" i="9"/>
  <c r="D6" i="9"/>
  <c r="A6" i="9"/>
  <c r="O5" i="9"/>
  <c r="N5" i="9"/>
  <c r="M5" i="9"/>
  <c r="L5" i="9"/>
  <c r="K5" i="9"/>
  <c r="J5" i="9"/>
  <c r="I5" i="9"/>
  <c r="H5" i="9"/>
  <c r="G5" i="9"/>
  <c r="E5" i="9"/>
  <c r="D5" i="9"/>
  <c r="A5" i="9"/>
  <c r="O4" i="9"/>
  <c r="N4" i="9"/>
  <c r="M4" i="9"/>
  <c r="L4" i="9"/>
  <c r="K4" i="9"/>
  <c r="J4" i="9"/>
  <c r="I4" i="9"/>
  <c r="H4" i="9"/>
  <c r="G4" i="9"/>
  <c r="E4" i="9"/>
  <c r="D4" i="9"/>
  <c r="A4" i="9"/>
  <c r="O3" i="9"/>
  <c r="N3" i="9"/>
  <c r="M3" i="9"/>
  <c r="L3" i="9"/>
  <c r="K3" i="9"/>
  <c r="J3" i="9"/>
  <c r="I3" i="9"/>
  <c r="H3" i="9"/>
  <c r="G3" i="9"/>
  <c r="E3" i="9"/>
  <c r="D3" i="9"/>
  <c r="A3" i="9"/>
  <c r="Y4" i="7"/>
  <c r="R4" i="7"/>
  <c r="Q4" i="7"/>
  <c r="P4" i="7"/>
  <c r="O4" i="7"/>
  <c r="N4" i="7"/>
  <c r="H4" i="7"/>
  <c r="G2" i="2"/>
  <c r="A2" i="2"/>
  <c r="G3" i="2"/>
  <c r="A3" i="2"/>
  <c r="G4" i="2"/>
  <c r="A4" i="2"/>
  <c r="J4" i="7"/>
  <c r="I4" i="7"/>
  <c r="D4" i="7"/>
  <c r="F4" i="7"/>
  <c r="E4" i="7"/>
  <c r="A4" i="7"/>
  <c r="Y3" i="7"/>
  <c r="R3" i="7"/>
  <c r="Q3" i="7"/>
  <c r="P3" i="7"/>
  <c r="O3" i="7"/>
  <c r="N3" i="7"/>
  <c r="H3" i="7"/>
  <c r="J3" i="7"/>
  <c r="I3" i="7"/>
  <c r="D3" i="7"/>
  <c r="F3" i="7"/>
  <c r="E3" i="7"/>
  <c r="A3" i="7"/>
  <c r="AD5" i="1"/>
  <c r="AF5" i="1"/>
  <c r="AI5" i="1"/>
  <c r="AG5" i="1"/>
  <c r="AE5" i="1"/>
  <c r="X5" i="1"/>
  <c r="Q5" i="1"/>
  <c r="P5" i="1"/>
  <c r="O5" i="1"/>
  <c r="N5" i="1"/>
  <c r="M5" i="1"/>
  <c r="J5" i="1"/>
  <c r="I5" i="1"/>
  <c r="D5" i="1"/>
  <c r="F5" i="1"/>
  <c r="E5" i="1"/>
  <c r="A5" i="1"/>
  <c r="AF4" i="1"/>
  <c r="AI4" i="1"/>
  <c r="AG4" i="1"/>
  <c r="AE4" i="1"/>
  <c r="X4" i="1"/>
  <c r="V4" i="1"/>
  <c r="Q4" i="1"/>
  <c r="P4" i="1"/>
  <c r="O4" i="1"/>
  <c r="N4" i="1"/>
  <c r="M4" i="1"/>
  <c r="J4" i="1"/>
  <c r="I4" i="1"/>
  <c r="D4" i="1"/>
  <c r="F4" i="1"/>
  <c r="E4" i="1"/>
  <c r="A4" i="1"/>
  <c r="AD3" i="1"/>
  <c r="AF3" i="1"/>
  <c r="AI3" i="1"/>
  <c r="AG3" i="1"/>
  <c r="AE3" i="1"/>
  <c r="AC3" i="1"/>
  <c r="X3" i="1"/>
  <c r="V3" i="1"/>
  <c r="T3" i="1"/>
  <c r="Q3" i="1"/>
  <c r="P3" i="1"/>
  <c r="O3" i="1"/>
  <c r="N3" i="1"/>
  <c r="M3" i="1"/>
  <c r="J3" i="1"/>
  <c r="I3" i="1"/>
  <c r="D3" i="1"/>
  <c r="F3" i="1"/>
  <c r="E3" i="1"/>
  <c r="A3" i="1"/>
  <c r="H4" i="2"/>
  <c r="E4" i="2"/>
  <c r="D4" i="2"/>
  <c r="B4" i="2"/>
  <c r="H3" i="2"/>
  <c r="E3" i="2"/>
  <c r="D3" i="2"/>
  <c r="B3" i="2"/>
  <c r="W2" i="7"/>
  <c r="U2" i="7"/>
  <c r="V2" i="1"/>
  <c r="T2" i="1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G2" i="21"/>
  <c r="F2" i="21"/>
  <c r="D2" i="21"/>
  <c r="C2" i="21"/>
  <c r="E12" i="16"/>
  <c r="E11" i="16"/>
  <c r="E10" i="16"/>
  <c r="J2" i="11"/>
  <c r="O2" i="9"/>
  <c r="N2" i="9"/>
  <c r="M2" i="9"/>
  <c r="L2" i="9"/>
  <c r="K2" i="9"/>
  <c r="J2" i="9"/>
  <c r="I2" i="9"/>
  <c r="H2" i="9"/>
  <c r="G2" i="9"/>
  <c r="E2" i="9"/>
  <c r="D2" i="9"/>
  <c r="E9" i="16"/>
  <c r="R2" i="7"/>
  <c r="Q2" i="7"/>
  <c r="P2" i="7"/>
  <c r="O2" i="7"/>
  <c r="N2" i="7"/>
  <c r="AG2" i="1"/>
  <c r="AF2" i="1"/>
  <c r="AE2" i="1"/>
  <c r="X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H2" i="7"/>
  <c r="J2" i="7"/>
  <c r="E8" i="16"/>
  <c r="E7" i="16"/>
  <c r="E6" i="16"/>
  <c r="E5" i="16"/>
  <c r="E4" i="16"/>
  <c r="E3" i="16"/>
  <c r="E2" i="16"/>
  <c r="A2" i="1"/>
  <c r="AI2" i="1"/>
  <c r="A2" i="9"/>
  <c r="J2" i="1"/>
  <c r="I2" i="1"/>
  <c r="D2" i="1"/>
  <c r="F2" i="1"/>
  <c r="E2" i="1"/>
  <c r="A2" i="7"/>
  <c r="I2" i="7"/>
  <c r="D2" i="7"/>
  <c r="F2" i="7"/>
  <c r="E2" i="7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<sst xmlns="http://schemas.openxmlformats.org/spreadsheetml/2006/main" count="2420" uniqueCount="503">
  <si>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</si>
  <si>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</si>
  <si>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</si>
  <si>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</si>
  <si>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</si>
  <si>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</si>
  <si>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</si>
  <si>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</si>
  <si>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</si>
  <si>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</si>
  <si>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</si>
  <si>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</si>
  <si>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</si>
  <si>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</si>
  <si>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</si>
  <si>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</si>
  <si>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</si>
  <si>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</si>
  <si>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</si>
  <si>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</si>
  <si>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</si>
  <si>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</si>
  <si>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</si>
  <si>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</si>
  <si>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</si>
  <si>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</si>
  <si>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</si>
  <si>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</si>
  <si>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</si>
  <si>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</si>
  <si>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</si>
  <si>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</si>
  <si>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</si>
  <si>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</si>
  <si>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</si>
  <si>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</si>
  <si>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</si>
  <si>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</si>
  <si>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</si>
  <si>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</si>
  <si>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</si>
  <si>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</si>
  <si>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</si>
  <si>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</si>
  <si>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</si>
  <si>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</si>
  <si>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</si>
  <si>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</si>
  <si>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</si>
  <si>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</si>
  <si>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</si>
  <si>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</si>
  <si>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</si>
  <si>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</si>
  <si>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</si>
  <si>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</si>
  <si>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</si>
  <si>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</si>
  <si>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</si>
  <si>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</si>
  <si>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</si>
  <si>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</si>
  <si>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</si>
  <si>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</si>
  <si>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</si>
  <si>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</si>
  <si>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</si>
  <si>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</si>
  <si>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</si>
  <si>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</si>
  <si>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</si>
  <si>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</si>
  <si>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</si>
  <si>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</si>
  <si>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</si>
  <si>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</si>
  <si>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</si>
  <si>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</si>
  <si>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</si>
  <si>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</si>
  <si>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</si>
  <si>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</si>
  <si>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</si>
  <si>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</si>
  <si>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</si>
  <si>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</si>
  <si>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</si>
  <si>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</si>
  <si>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</si>
  <si>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</si>
  <si>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</si>
  <si>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</si>
  <si>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</si>
  <si>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</si>
  <si>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</si>
  <si>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</si>
  <si>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</si>
  <si>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</si>
  <si>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</si>
  <si>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</si>
  <si>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</si>
  <si>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</si>
  <si>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</si>
  <si>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</si>
  <si>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</si>
  <si>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</si>
  <si>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</si>
  <si>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</si>
  <si>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</si>
  <si>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</si>
  <si>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</si>
  <si>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</si>
  <si>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</si>
  <si>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</si>
  <si>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</si>
  <si>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</si>
  <si>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</si>
  <si>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</si>
  <si>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</si>
  <si>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</si>
  <si>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</si>
  <si>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</si>
  <si>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</si>
  <si>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</si>
  <si>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</si>
  <si>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</si>
  <si>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</si>
  <si>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</si>
  <si>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</si>
  <si>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</si>
  <si>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</si>
  <si>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</si>
  <si>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</si>
  <si>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</si>
  <si>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</si>
  <si>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</si>
  <si>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</si>
  <si>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</si>
  <si>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</si>
  <si>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</si>
  <si>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</si>
  <si>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</si>
  <si>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</si>
  <si>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</si>
  <si>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</si>
  <si>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</si>
  <si>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</si>
  <si>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</si>
  <si>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</si>
  <si>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</si>
  <si>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</si>
  <si>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</si>
  <si>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</si>
  <si>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</si>
  <si>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</si>
  <si>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</si>
  <si>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</si>
  <si>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</si>
  <si>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</si>
  <si>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</si>
  <si>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</si>
  <si>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</si>
  <si>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</si>
  <si>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</si>
  <si>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</si>
  <si>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</si>
  <si>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</si>
  <si>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</si>
  <si>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</si>
  <si>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</si>
  <si>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</si>
  <si>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</si>
  <si>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</si>
  <si>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</si>
  <si>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</si>
  <si>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</si>
  <si>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</si>
  <si>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</si>
  <si>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</si>
  <si>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</si>
  <si>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</si>
  <si>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</si>
  <si>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</si>
  <si>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</si>
  <si>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</si>
  <si>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</si>
  <si>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</si>
  <si>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</si>
  <si>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</si>
  <si>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</si>
  <si>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</si>
  <si>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</si>
  <si>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</si>
  <si>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</si>
  <si>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</si>
  <si>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</si>
  <si>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</si>
  <si>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</si>
  <si>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</si>
  <si>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</si>
  <si>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</si>
  <si>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</si>
  <si>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</si>
  <si>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</si>
  <si>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</si>
  <si>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</si>
  <si>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</si>
  <si>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</si>
  <si>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</si>
  <si>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</si>
  <si>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</si>
  <si>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</si>
  <si>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</si>
  <si>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</si>
  <si>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</si>
  <si>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</si>
  <si>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</si>
  <si>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</si>
  <si>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</si>
  <si>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</si>
  <si>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</si>
  <si>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</si>
  <si>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</si>
  <si>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</si>
  <si>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</si>
  <si>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</si>
  <si>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</si>
  <si>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</si>
  <si>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</si>
  <si>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</si>
  <si>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</si>
  <si>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</si>
  <si>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</si>
  <si>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</si>
  <si>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</si>
  <si>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</si>
  <si>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</si>
  <si>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</si>
  <si>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</si>
  <si>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</si>
  <si>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</si>
  <si>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</si>
  <si>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</si>
  <si>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</si>
  <si>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</si>
  <si>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</si>
  <si>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</si>
  <si>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</si>
  <si>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</si>
  <si>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</si>
  <si>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</si>
  <si>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</si>
  <si>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</si>
  <si>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</si>
  <si>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ゴッドキラー攻撃</t>
    <phoneticPr fontId="5"/>
  </si>
  <si>
    <t>全体攻撃</t>
  </si>
  <si>
    <t>6回連続攻撃</t>
  </si>
  <si>
    <t>おねえさまの所へは行かせないよ！</t>
    <rPh sb="6" eb="7">
      <t>トコロ</t>
    </rPh>
    <rPh sb="9" eb="10">
      <t>イカセナイy</t>
    </rPh>
    <phoneticPr fontId="5"/>
  </si>
  <si>
    <t>お引取りを！</t>
    <phoneticPr fontId="5"/>
  </si>
  <si>
    <t>これで…！</t>
    <phoneticPr fontId="5"/>
  </si>
  <si>
    <t>ダメだよ！</t>
    <phoneticPr fontId="5"/>
  </si>
  <si>
    <t>もー</t>
    <phoneticPr fontId="5"/>
  </si>
  <si>
    <t>てい！</t>
    <phoneticPr fontId="5"/>
  </si>
  <si>
    <t>帰ってよぉ</t>
    <rPh sb="0" eb="1">
      <t>カエッt</t>
    </rPh>
    <phoneticPr fontId="5"/>
  </si>
  <si>
    <t>どーしても帰らないなら！</t>
    <rPh sb="5" eb="6">
      <t>カエラn</t>
    </rPh>
    <phoneticPr fontId="5"/>
  </si>
  <si>
    <t>怒ったよ！</t>
    <rPh sb="0" eb="1">
      <t>オコッt</t>
    </rPh>
    <phoneticPr fontId="5"/>
  </si>
  <si>
    <t>ダメだって言ってるの！！</t>
    <rPh sb="5" eb="6">
      <t>イッt</t>
    </rPh>
    <phoneticPr fontId="5"/>
  </si>
  <si>
    <t>花嫁修行</t>
    <rPh sb="0" eb="4">
      <t>ハナヨm</t>
    </rPh>
    <phoneticPr fontId="5"/>
  </si>
  <si>
    <t>少し本気を出しましょうか</t>
    <rPh sb="2" eb="4">
      <t>スコs</t>
    </rPh>
    <phoneticPr fontId="5"/>
  </si>
  <si>
    <t>花嫁の嗜み</t>
    <rPh sb="0" eb="2">
      <t>ハナヨm</t>
    </rPh>
    <phoneticPr fontId="5"/>
  </si>
  <si>
    <t>もっと盛り上がりましょう！</t>
    <rPh sb="3" eb="4">
      <t>モリアガr</t>
    </rPh>
    <phoneticPr fontId="5"/>
  </si>
  <si>
    <t>まだ見足りないのではなくて？</t>
    <phoneticPr fontId="5"/>
  </si>
  <si>
    <t>old</t>
  </si>
  <si>
    <t>2ターン青属性の攻撃力DOWN+単体攻撃</t>
    <rPh sb="16" eb="20">
      <t>タンタ</t>
    </rPh>
    <phoneticPr fontId="5"/>
  </si>
  <si>
    <t>存分に見て良いのですよ！</t>
    <rPh sb="0" eb="2">
      <t>ゾンブn</t>
    </rPh>
    <phoneticPr fontId="5"/>
  </si>
  <si>
    <t>今のおねえさまの姿を見たら…</t>
    <rPh sb="0" eb="1">
      <t>イm</t>
    </rPh>
    <rPh sb="8" eb="9">
      <t>スガタヲミ</t>
    </rPh>
    <phoneticPr fontId="5"/>
  </si>
  <si>
    <t>深山の芽吹き</t>
    <phoneticPr fontId="5"/>
  </si>
  <si>
    <t>美しい花には棘があるのですよ</t>
    <rPh sb="0" eb="1">
      <t>ウツクs</t>
    </rPh>
    <rPh sb="6" eb="7">
      <t>トゲg</t>
    </rPh>
    <phoneticPr fontId="5"/>
  </si>
  <si>
    <t>お触りは禁止ですよ</t>
    <phoneticPr fontId="5"/>
  </si>
  <si>
    <t>2ターン後に即死級大ダメージ
フィーバーゲージ増加</t>
    <phoneticPr fontId="5"/>
  </si>
  <si>
    <t>帰っていただけませんのね</t>
    <rPh sb="0" eb="1">
      <t>カエッt</t>
    </rPh>
    <phoneticPr fontId="5"/>
  </si>
  <si>
    <t>あら、可愛いお嬢さん
ここから先は行っちゃダメよ</t>
    <rPh sb="3" eb="5">
      <t>カワイ</t>
    </rPh>
    <rPh sb="17" eb="18">
      <t>イッチャ</t>
    </rPh>
    <phoneticPr fontId="5"/>
  </si>
  <si>
    <t>彼女とビジュアル勝負？
ごめんね、今日はダメよ</t>
    <phoneticPr fontId="5"/>
  </si>
  <si>
    <t>ウィルスのユニットに効果大のダメージ</t>
    <phoneticPr fontId="5"/>
  </si>
  <si>
    <t>ハートパネルを緑のダメージパネルに5個変換+全体攻撃</t>
    <phoneticPr fontId="5"/>
  </si>
  <si>
    <t>攻撃頻度UP
5ターン10％の確率でCパネルがドロップ</t>
    <rPh sb="15" eb="17">
      <t>カクリt</t>
    </rPh>
    <phoneticPr fontId="5"/>
  </si>
  <si>
    <t>単体攻撃+特定エリアを緑パネルに変換</t>
    <rPh sb="5" eb="7">
      <t>トクテ</t>
    </rPh>
    <rPh sb="11" eb="12">
      <t>ミドr</t>
    </rPh>
    <rPh sb="16" eb="18">
      <t>ヘンカン</t>
    </rPh>
    <phoneticPr fontId="5"/>
  </si>
  <si>
    <t>5ターン全体の回復力をDOWN</t>
    <rPh sb="4" eb="6">
      <t>ゼンタ</t>
    </rPh>
    <phoneticPr fontId="5"/>
  </si>
  <si>
    <t>全ユニットのスキルターンを2減少</t>
    <rPh sb="0" eb="1">
      <t>ゼンユニット</t>
    </rPh>
    <rPh sb="14" eb="16">
      <t>ゲンショ</t>
    </rPh>
    <phoneticPr fontId="5"/>
  </si>
  <si>
    <t>10ターン全ユニットにウィルス</t>
  </si>
  <si>
    <t>状態異常耐性+攻撃力UP
2ターン全ユニットの攻撃をカウンター</t>
    <rPh sb="17" eb="18">
      <t>ゼn</t>
    </rPh>
    <phoneticPr fontId="5"/>
  </si>
  <si>
    <t>ランダムで緑ダメージパネルに15個変換</t>
    <rPh sb="5" eb="6">
      <t>ミドr</t>
    </rPh>
    <rPh sb="16" eb="19">
      <t>kohennkan</t>
    </rPh>
    <phoneticPr fontId="5"/>
  </si>
  <si>
    <t>緑パネルを吸収して攻撃+HP小回復</t>
    <phoneticPr fontId="5"/>
  </si>
  <si>
    <t>全体攻撃+全ユニットに2ターンウィルス</t>
    <rPh sb="5" eb="6">
      <t>ゼn</t>
    </rPh>
    <phoneticPr fontId="5"/>
  </si>
  <si>
    <t>Cパネルを吸収して攻撃
ランダムで緑ダメージパネルへ3個変換</t>
    <rPh sb="17" eb="18">
      <t>ミドr</t>
    </rPh>
    <rPh sb="28" eb="30">
      <t>ヘンカn</t>
    </rPh>
    <phoneticPr fontId="5"/>
  </si>
  <si>
    <t>1ターン防御力UP
1ターン全ユニットの攻撃をカウンター</t>
    <rPh sb="14" eb="15">
      <t>ゼンユn</t>
    </rPh>
    <phoneticPr fontId="5"/>
  </si>
  <si>
    <t>2ターン暗闇+爆風軽減
ランダムに緑ダメージパネルへ5個変換</t>
    <rPh sb="17" eb="18">
      <t>ミドr</t>
    </rPh>
    <rPh sb="28" eb="30">
      <t>ヘンカン</t>
    </rPh>
    <phoneticPr fontId="5"/>
  </si>
  <si>
    <t>全てのマイナス効果を解除
特定エリアをハートパネルへ変換
フィーバーゲージ増加</t>
    <rPh sb="0" eb="1">
      <t>スベt</t>
    </rPh>
    <rPh sb="10" eb="12">
      <t>カ</t>
    </rPh>
    <rPh sb="26" eb="28">
      <t>ヘンカn</t>
    </rPh>
    <phoneticPr fontId="5"/>
  </si>
  <si>
    <t>ランダムで緑ダメージパネルへ20個変換
ランダムでハートボムパネル（大）1個変換</t>
    <rPh sb="5" eb="6">
      <t>ミドr</t>
    </rPh>
    <rPh sb="16" eb="19">
      <t>コ</t>
    </rPh>
    <rPh sb="38" eb="40">
      <t>ヘンカn</t>
    </rPh>
    <phoneticPr fontId="5"/>
  </si>
  <si>
    <t>全体攻撃+1ターン全ユニットスキルバインド</t>
    <rPh sb="9" eb="10">
      <t>ゼn</t>
    </rPh>
    <phoneticPr fontId="5"/>
  </si>
  <si>
    <t>4ターンの間防御力超大UP
4ターン全ユニットのタップ回数1減少
一部のエリアをハートパネルを変換</t>
    <rPh sb="6" eb="9">
      <t>ボウgy</t>
    </rPh>
    <rPh sb="9" eb="11">
      <t>チョウダイ</t>
    </rPh>
    <rPh sb="18" eb="19">
      <t>ゼn</t>
    </rPh>
    <rPh sb="33" eb="35">
      <t>イチブノエ</t>
    </rPh>
    <rPh sb="47" eb="49">
      <t>ヘンカn</t>
    </rPh>
    <phoneticPr fontId="5"/>
  </si>
  <si>
    <t>「ブーケトスって一度やってみたかったの！！」
【即死級の大ダメージ】</t>
    <rPh sb="8" eb="10">
      <t>1d</t>
    </rPh>
    <rPh sb="24" eb="27">
      <t>ソクs</t>
    </rPh>
    <rPh sb="28" eb="29">
      <t>ダイd</t>
    </rPh>
    <phoneticPr fontId="5"/>
  </si>
  <si>
    <t>種族ゴッドのユニットに効果大の全体攻撃</t>
    <rPh sb="11" eb="14">
      <t>コウk</t>
    </rPh>
    <rPh sb="15" eb="19">
      <t>ゼンタ</t>
    </rPh>
    <phoneticPr fontId="5"/>
  </si>
  <si>
    <t>見ちゃダメ！</t>
    <rPh sb="0" eb="1">
      <t>ミチャダメ</t>
    </rPh>
    <phoneticPr fontId="5"/>
  </si>
  <si>
    <t>誰ですか？
興を削がれてしまったのですが。</t>
    <rPh sb="0" eb="1">
      <t>ダレd</t>
    </rPh>
    <rPh sb="6" eb="7">
      <t>キョ</t>
    </rPh>
    <phoneticPr fontId="5"/>
  </si>
  <si>
    <t>ふぃなーれですよ！</t>
    <phoneticPr fontId="5"/>
  </si>
  <si>
    <t>化粧直し</t>
    <rPh sb="0" eb="3">
      <t>ケショ</t>
    </rPh>
    <phoneticPr fontId="5"/>
  </si>
  <si>
    <t>1ターン全ユニットスキルバインド
青パネルを緑のダメージパネルに4個変換</t>
    <rPh sb="4" eb="5">
      <t>ゼン</t>
    </rPh>
    <rPh sb="22" eb="23">
      <t>ミドr</t>
    </rPh>
    <rPh sb="33" eb="34">
      <t>k</t>
    </rPh>
    <phoneticPr fontId="5"/>
  </si>
  <si>
    <t>アマテラスが花束を大きく振りかぶる</t>
    <rPh sb="6" eb="8">
      <t>ハナタバヲヲチ</t>
    </rPh>
    <rPh sb="9" eb="10">
      <t>オオキk</t>
    </rPh>
    <phoneticPr fontId="5"/>
  </si>
  <si>
    <t>「とても怒っている」
【6ターンの間攻撃力UP+全ユニットの攻撃力DOWN】</t>
    <rPh sb="4" eb="5">
      <t>オコッt</t>
    </rPh>
    <rPh sb="24" eb="25">
      <t>ゼンユn</t>
    </rPh>
    <rPh sb="30" eb="33">
      <t>コウゲk</t>
    </rPh>
    <phoneticPr fontId="5"/>
  </si>
  <si>
    <t>「ぜったい好きになっちゃうよ！」
【状態異常耐性+HP20％のダメージ】</t>
    <rPh sb="5" eb="6">
      <t>スk</t>
    </rPh>
    <phoneticPr fontId="5"/>
  </si>
  <si>
    <t>10ターン全ユニットにウィルス
緑パネルを赤パネルへ変換</t>
    <rPh sb="5" eb="6">
      <t>ゼn</t>
    </rPh>
    <rPh sb="16" eb="17">
      <t>ミドリ</t>
    </rPh>
    <rPh sb="21" eb="22">
      <t>アカパネル</t>
    </rPh>
    <phoneticPr fontId="5"/>
  </si>
  <si>
    <t xml:space="preserve">全体攻撃
属性パネルを6個ダメージパネルに変換 </t>
    <rPh sb="0" eb="4">
      <t>ゼンタ</t>
    </rPh>
    <phoneticPr fontId="5"/>
  </si>
  <si>
    <t>残りHPの30%ダメージ
属性パネルを緑ダメージパネルに8個変換</t>
    <rPh sb="13" eb="15">
      <t>ゾクセ</t>
    </rPh>
    <rPh sb="19" eb="20">
      <t>ミドr</t>
    </rPh>
    <phoneticPr fontId="5"/>
  </si>
  <si>
    <t>青パネルを吸収して攻撃</t>
    <phoneticPr fontId="5"/>
  </si>
  <si>
    <t>状態異常耐性
5ターン10％の確率でCパネルがドロップ
属性パネルを緑ダメージパネル15個設置</t>
    <rPh sb="0" eb="6">
      <t>ジョウタ</t>
    </rPh>
    <rPh sb="28" eb="30">
      <t>ゾクセ</t>
    </rPh>
    <rPh sb="34" eb="35">
      <t>ミドr</t>
    </rPh>
    <phoneticPr fontId="5"/>
  </si>
  <si>
    <t>攻撃頻度UP
属性パネルを緑ダメージパネルへ5個変換</t>
    <rPh sb="7" eb="9">
      <t>ゾクセイ</t>
    </rPh>
    <rPh sb="13" eb="14">
      <t>ミドr</t>
    </rPh>
    <rPh sb="23" eb="26">
      <t>コ</t>
    </rPh>
    <phoneticPr fontId="5"/>
  </si>
  <si>
    <t>ハートパネルを吸収して小回復
全ユニットの回復量が33％DOWN</t>
    <rPh sb="11" eb="12">
      <t>ショウ</t>
    </rPh>
    <rPh sb="15" eb="16">
      <t>ゼn</t>
    </rPh>
    <phoneticPr fontId="5"/>
  </si>
  <si>
    <t>3ターン暗闇</t>
    <phoneticPr fontId="5"/>
  </si>
  <si>
    <t>全体の攻撃力UP</t>
    <rPh sb="0" eb="2">
      <t>テk</t>
    </rPh>
    <rPh sb="3" eb="6">
      <t>コウゲk</t>
    </rPh>
    <phoneticPr fontId="5"/>
  </si>
  <si>
    <t>「では、勝負といきましょう！」
【6ターンの間攻撃力UP+全ユニットの攻撃力DOWN】</t>
    <rPh sb="4" eb="6">
      <t>ショウb</t>
    </rPh>
    <rPh sb="29" eb="30">
      <t>ゼンユn</t>
    </rPh>
    <rPh sb="35" eb="38">
      <t>コウゲk</t>
    </rPh>
    <phoneticPr fontId="5"/>
  </si>
  <si>
    <t>姉の晴れ着姿はどうです？</t>
    <rPh sb="2" eb="3">
      <t>アネノハレ</t>
    </rPh>
    <phoneticPr fontId="5"/>
  </si>
  <si>
    <t>「美しすぎます！おねえさま！」
【6ターンの間攻撃力UP+全ユニットの攻撃力DOWN】</t>
    <rPh sb="1" eb="2">
      <t>ウツクシスギマス</t>
    </rPh>
    <rPh sb="29" eb="30">
      <t>ゼンユn</t>
    </rPh>
    <rPh sb="35" eb="38">
      <t>コウゲk</t>
    </rPh>
    <phoneticPr fontId="5"/>
  </si>
  <si>
    <t>「美しすぎます！おねえさま！」
【6ターンの間攻撃力UP+全ユニットの攻撃力DOWN】</t>
    <rPh sb="29" eb="30">
      <t>ゼンユn</t>
    </rPh>
    <rPh sb="35" eb="38">
      <t>コウゲk</t>
    </rPh>
    <phoneticPr fontId="5"/>
  </si>
  <si>
    <t>”じゅーんぶらいど”という行事らしいですよ！</t>
    <phoneticPr fontId="5"/>
  </si>
  <si>
    <t>「この衣装にあっていますか？」
【6ターンの間攻撃力UP+全ユニットの攻撃力DOWN】</t>
    <rPh sb="3" eb="5">
      <t>コノイショ</t>
    </rPh>
    <rPh sb="29" eb="30">
      <t>ゼンユn</t>
    </rPh>
    <rPh sb="35" eb="38">
      <t>コウゲk</t>
    </rPh>
    <phoneticPr fontId="5"/>
  </si>
  <si>
    <t>「妾もたまには羽目を外してもいいですよね？」
【6ターンの間攻撃力UP+全ユニットの攻撃力DOWN】</t>
    <rPh sb="1" eb="2">
      <t>ワラワ</t>
    </rPh>
    <rPh sb="7" eb="9">
      <t>ハメw</t>
    </rPh>
    <rPh sb="36" eb="37">
      <t>ゼンユn</t>
    </rPh>
    <rPh sb="42" eb="45">
      <t>コウゲk</t>
    </rPh>
    <phoneticPr fontId="5"/>
  </si>
  <si>
    <t>”じゅーんぶらいど”
とても素敵なお祭りでしたね</t>
    <rPh sb="14" eb="16">
      <t>ステk</t>
    </rPh>
    <phoneticPr fontId="5"/>
  </si>
  <si>
    <t>あぁ、祭りが終わってしまいます…</t>
    <rPh sb="3" eb="4">
      <t>マツR</t>
    </rPh>
    <phoneticPr fontId="5"/>
  </si>
  <si>
    <t>なんとも楽しい勝負でした</t>
    <rPh sb="4" eb="5">
      <t>タノS</t>
    </rPh>
    <phoneticPr fontId="5"/>
  </si>
  <si>
    <t>ふふふ、楽しいお祭りでしたね</t>
    <rPh sb="4" eb="5">
      <t>タノS</t>
    </rPh>
    <phoneticPr fontId="5"/>
  </si>
  <si>
    <t>ありがとう
楽しい時間でしたよ</t>
    <rPh sb="6" eb="7">
      <t>タノシカッタ</t>
    </rPh>
    <rPh sb="9" eb="11">
      <t>ジカンデシタ</t>
    </rPh>
    <phoneticPr fontId="5"/>
  </si>
  <si>
    <t>...祭りの終わりは少し悲しいですね</t>
    <rPh sb="3" eb="4">
      <t>マツR</t>
    </rPh>
    <rPh sb="10" eb="11">
      <t>スコS</t>
    </rPh>
    <phoneticPr fontId="5"/>
  </si>
  <si>
    <t>しかし、あまり人に会えなかったんですよね
なぜでしょう…？</t>
    <rPh sb="7" eb="8">
      <t>ヒT</t>
    </rPh>
    <phoneticPr fontId="5"/>
  </si>
  <si>
    <t>少々羽目を外しすぎてしまいましたね</t>
    <rPh sb="2" eb="4">
      <t>ハメヲハズシスギM</t>
    </rPh>
    <phoneticPr fontId="5"/>
  </si>
  <si>
    <t>ウィルス状態のユニットに大ダメージの全体攻撃</t>
    <rPh sb="4" eb="6">
      <t>ジョウタ</t>
    </rPh>
    <rPh sb="18" eb="22">
      <t>ゼンタイコウg</t>
    </rPh>
    <phoneticPr fontId="5"/>
  </si>
  <si>
    <t>全体攻撃</t>
    <phoneticPr fontId="5"/>
  </si>
  <si>
    <t>種族ゴッドのユニットに大ダメージの全体攻撃</t>
    <rPh sb="11" eb="12">
      <t>コウk</t>
    </rPh>
    <rPh sb="17" eb="21">
      <t>ゼンタ</t>
    </rPh>
    <phoneticPr fontId="5"/>
  </si>
  <si>
    <t>注目の的</t>
    <rPh sb="0" eb="2">
      <t>チュ</t>
    </rPh>
    <phoneticPr fontId="5"/>
  </si>
  <si>
    <t>ジューンブライドイベントに
アマテラスも参加！
その美しさから男女問わず
注目の的になってしまいました</t>
    <rPh sb="20" eb="22">
      <t>サンk</t>
    </rPh>
    <rPh sb="31" eb="34">
      <t>ダンzy</t>
    </rPh>
    <rPh sb="37" eb="39">
      <t>チュ</t>
    </rPh>
    <phoneticPr fontId="5"/>
  </si>
  <si>
    <t>アマテラスの1ゲージ目の
攻撃力DOWNは6ターンと長いので
攻撃力を上げて対策しましょう</t>
    <phoneticPr fontId="5"/>
  </si>
  <si>
    <t>アマテラスの2ゲージ目は
Cパネル吸収攻撃を使用します
Cパネルを残すと大ダメージを
受けますので注意しましょう</t>
    <phoneticPr fontId="5"/>
  </si>
  <si>
    <t>アマテラスの3ゲージ目は
防御力UPを使用します
フィーバーを使って押し切りましょう</t>
    <phoneticPr fontId="5"/>
  </si>
  <si>
    <t>リリィ</t>
    <phoneticPr fontId="5"/>
  </si>
  <si>
    <t>少し楽しくなってきました</t>
    <rPh sb="0" eb="1">
      <t>スコs</t>
    </rPh>
    <rPh sb="2" eb="3">
      <t>タノs</t>
    </rPh>
    <phoneticPr fontId="5"/>
  </si>
  <si>
    <t>ふふ、命知らずですね</t>
    <rPh sb="3" eb="5">
      <t>イノt</t>
    </rPh>
    <phoneticPr fontId="5"/>
  </si>
  <si>
    <t>[effect:enemy_message, val1:1.2, val2:2.6],[effect:spread, val:0.3],[effect:force_change_block, new_block:damage, target:block_heart, count:5, val:0.05, animation:change_block]</t>
    <phoneticPr fontId="5"/>
  </si>
  <si>
    <t>unit</t>
  </si>
  <si>
    <t>素敵な出会いを求めてイベントへ参加！
アマテラスの大人の魅力に負けるまいと
若さと勢いで立ち向かいました</t>
    <rPh sb="0" eb="2">
      <t>ステk</t>
    </rPh>
    <rPh sb="15" eb="17">
      <t>サンk</t>
    </rPh>
    <rPh sb="26" eb="28">
      <t>オt</t>
    </rPh>
    <rPh sb="39" eb="40">
      <t>ワカs</t>
    </rPh>
    <rPh sb="45" eb="46">
      <t>タチムカ</t>
    </rPh>
    <phoneticPr fontId="5"/>
  </si>
  <si>
    <t>彼女に会いたいのなら！</t>
    <rPh sb="0" eb="2">
      <t>カノzy</t>
    </rPh>
    <phoneticPr fontId="5"/>
  </si>
  <si>
    <t>私達を倒してみなさい！！</t>
    <rPh sb="0" eb="2">
      <t>ワタシタチ</t>
    </rPh>
    <rPh sb="3" eb="4">
      <t>タオs</t>
    </rPh>
    <phoneticPr fontId="5"/>
  </si>
  <si>
    <t>野次馬は通しません！</t>
    <rPh sb="0" eb="3">
      <t>ヤジウm</t>
    </rPh>
    <rPh sb="4" eb="5">
      <t>トオs</t>
    </rPh>
    <phoneticPr fontId="5"/>
  </si>
  <si>
    <t>行かせません！</t>
    <rPh sb="0" eb="1">
      <t>イカs</t>
    </rPh>
    <phoneticPr fontId="5"/>
  </si>
  <si>
    <t>[effect:enemy_message, val1:1.2, val2:1.2],[effect:break_attack, target:unit_one, val:0.2, lowest_val:1500, count:-1, color:green, block01:block_blue]</t>
    <phoneticPr fontId="5"/>
  </si>
  <si>
    <t>[effect:enemy_message, val1:1.2, val2:1.9],[effect:force_change_block, new_block:damage, target:normal, count:15, val:0.05, animation:change_block]</t>
    <phoneticPr fontId="5"/>
  </si>
  <si>
    <t>帰り道</t>
    <rPh sb="0" eb="1">
      <t>カエr</t>
    </rPh>
    <phoneticPr fontId="5"/>
  </si>
  <si>
    <t>仲間内でイベントを
楽しんでいたアマテラス
プレイヤーが急に声をかけ
曲者と勘違いてしまったようです</t>
    <phoneticPr fontId="5"/>
  </si>
  <si>
    <t>貴方も中々の美貌ですね</t>
    <rPh sb="0" eb="2">
      <t>アナタ</t>
    </rPh>
    <rPh sb="3" eb="4">
      <t>ナカナカ</t>
    </rPh>
    <rPh sb="6" eb="8">
      <t>ビボ</t>
    </rPh>
    <phoneticPr fontId="5"/>
  </si>
  <si>
    <t>貴方もこの祭りに参加していたのですね</t>
    <rPh sb="0" eb="2">
      <t>アナt</t>
    </rPh>
    <rPh sb="5" eb="6">
      <t>マツリ</t>
    </rPh>
    <rPh sb="8" eb="10">
      <t>サンk</t>
    </rPh>
    <phoneticPr fontId="5"/>
  </si>
  <si>
    <t>あら？貴方達だったのですか！
ごめんね、勘違いしちゃったの</t>
    <rPh sb="3" eb="5">
      <t>アナt</t>
    </rPh>
    <rPh sb="5" eb="6">
      <t>タチ</t>
    </rPh>
    <rPh sb="20" eb="22">
      <t>カンチガ</t>
    </rPh>
    <phoneticPr fontId="5"/>
  </si>
  <si>
    <t>私、綺麗ですか？</t>
    <rPh sb="0" eb="1">
      <t>ワタs</t>
    </rPh>
    <rPh sb="2" eb="4">
      <t>ワラワ</t>
    </rPh>
    <phoneticPr fontId="5"/>
  </si>
  <si>
    <t>貴方達も楽しめましたか？</t>
    <rPh sb="0" eb="2">
      <t>アナt</t>
    </rPh>
    <rPh sb="2" eb="3">
      <t>タチ</t>
    </rPh>
    <rPh sb="4" eb="5">
      <t>タノS</t>
    </rPh>
    <phoneticPr fontId="5"/>
  </si>
  <si>
    <t>楽しみの中</t>
    <rPh sb="0" eb="1">
      <t>タノs</t>
    </rPh>
    <phoneticPr fontId="5"/>
  </si>
  <si>
    <t>full_member</t>
    <phoneticPr fontId="5"/>
  </si>
  <si>
    <t>item</t>
    <phoneticPr fontId="5"/>
  </si>
  <si>
    <t>しかし、他の参加者に
あまり会えなかったのはなぜでしょう…？</t>
    <rPh sb="4" eb="5">
      <t>ホk</t>
    </rPh>
    <rPh sb="6" eb="9">
      <t>サn</t>
    </rPh>
    <rPh sb="14" eb="15">
      <t>ア</t>
    </rPh>
    <phoneticPr fontId="5"/>
  </si>
  <si>
    <t>私に本気を出させてみなさい</t>
    <rPh sb="0" eb="1">
      <t>ワタs</t>
    </rPh>
    <rPh sb="2" eb="4">
      <t>ホn</t>
    </rPh>
    <rPh sb="5" eb="6">
      <t>ダサs</t>
    </rPh>
    <phoneticPr fontId="5"/>
  </si>
  <si>
    <t>花嫁衣装が気に入ったアマテラスは
イベントが終わっても着替えずに
そのままの格好で帰ろうとし
ワカヒルメたちに止められたようです</t>
    <phoneticPr fontId="5"/>
  </si>
  <si>
    <t>10ターン全ユニットにウィルス+
緑パネルを赤パネルに変換</t>
    <rPh sb="5" eb="6">
      <t>ゼn</t>
    </rPh>
    <rPh sb="17" eb="18">
      <t>ミドリ</t>
    </rPh>
    <rPh sb="22" eb="23">
      <t>アカパネル</t>
    </rPh>
    <phoneticPr fontId="5"/>
  </si>
  <si>
    <t>全ユニットのスキルターンを2ターン短縮</t>
  </si>
  <si>
    <t>5ターン全ユニットの回復力20%DOWN</t>
  </si>
  <si>
    <t>2ターン青属性のユニットの攻撃力20%DOWN+単体攻撃</t>
  </si>
  <si>
    <t>種族ゴッドのユニットに大ダメージ</t>
  </si>
  <si>
    <t>3ターン敵全体の攻撃力UP</t>
  </si>
  <si>
    <t>状態異常耐性+2ターン攻撃力UP+
2ターン全属性の攻撃をカウンター</t>
    <phoneticPr fontId="5"/>
  </si>
  <si>
    <t>[effect:enemy_message, val1:1.2, val2:1.2],[effect:dark, target:unit_all, turn:3, animation:enemy_dark]</t>
    <phoneticPr fontId="5"/>
  </si>
  <si>
    <t>1ターン全ユニットにスキルバインド+
青パネルを緑のダメージパネルに4個変換</t>
    <phoneticPr fontId="5"/>
  </si>
  <si>
    <t>[effect:enemy_message, val1:2.2, val2:1.9],[effect:sp_boost, target:unit_all, val:2, animation:sp_boost_one02]</t>
    <phoneticPr fontId="5"/>
  </si>
  <si>
    <t>[effect:enemy_message, val1:1.2, val2:2.0],[effect:degrade_unit, target:unit_all, turn:5, status:heal, val:0.2, calc:mul, animation:degrade_unit_all_heal]</t>
    <phoneticPr fontId="5"/>
  </si>
  <si>
    <t>[effect:enemy_message, val1:1.2, val2:1.6],[effect:damage_anti_tribe, target:unit_one, tribe:god, val1:2, val2:0.8]</t>
    <phoneticPr fontId="5"/>
  </si>
  <si>
    <t>[effect:enemy_message, val1:1.2, val2:2.8],[effect:attack_break, target:unit_blue, turn:2, val:0.2, calc:mul, animation:attack_break02],[effect:rush, count:1, val:1]</t>
    <phoneticPr fontId="5"/>
  </si>
  <si>
    <t>[effect:enemy_message, val1:1.2, val2:1.3],[effect:enhance_enemy, target:enemy_all, turn:3, status:attack, val:0.2, calc:mul, animation:enemy_enhance_attack]</t>
    <phoneticPr fontId="5"/>
  </si>
  <si>
    <t>[effect:enemy_message, val1:2.3, val2:2.8],[effect:force_change_block, new_block:block_red, target:block_green, count:0, val:0, animation:change_block],[effect:virus, turn:10, rate:1, val:0.05, animation:enemy_virus]</t>
    <phoneticPr fontId="5"/>
  </si>
  <si>
    <t>[effect:enemy_message, val1:1.2, val2:1.5],[effect:virus, turn:10, rate:1, val:0.05, animation:enemy_virus]</t>
    <phoneticPr fontId="5"/>
  </si>
  <si>
    <t>[effect:enemy_message, val1:1.2, val2:2.2],[effect:damage_anti_abnormal, target:unit_all, target_effect01:virus, val1:0.2, val2:0.1]</t>
    <phoneticPr fontId="5"/>
  </si>
  <si>
    <t>[effect:enemy_message, val1:1.2, val2:2.4],[effect:spread, val:0.3],[effect:force_change_block, new_block:damage, target:normal, count:6, val:0.05, animation:change_block]</t>
    <phoneticPr fontId="5"/>
  </si>
  <si>
    <t>[effect:enemy_message, val1:1.2, val2:3.3],[effect:damage_gravity, val:0.3, animation:fevergauge_down],[effect:force_change_block, new_block:damage, target:normal, count:8, val:0.05, animation:change_block]</t>
    <phoneticPr fontId="5"/>
  </si>
  <si>
    <t>[effect:enemy_message, val1:1.3, val2:1.9],[effect:damage_abnormal, target:unit_all, val:0.07, status:virus, turn:2, val_abnormal:0.07, animation:enemy_virus]</t>
    <phoneticPr fontId="5"/>
  </si>
  <si>
    <t>[effect:enemy_message, val1:1.2, val2:1.2],[effect:spread, val:0.3]</t>
    <phoneticPr fontId="5"/>
  </si>
  <si>
    <t>[effect:enemy_message, val1:1.2, val2:1.2],[effect:rush, count:6, val:0.3]</t>
    <phoneticPr fontId="5"/>
  </si>
  <si>
    <t>[effect:enemy_message, val1:1.3, val2:2.1],[effect:damage_anti_tribe, target:unit_all, tribe:god, val1:0.7, val2:0.02]</t>
    <phoneticPr fontId="5"/>
  </si>
  <si>
    <t>行動頻度UP+
5ターン確率でCパネルがドロップ</t>
    <phoneticPr fontId="5"/>
  </si>
  <si>
    <t>[effect:enemy_message, val1:1.2, val2:1.8],[effect:rush, count:1, val:0.5],[effect:change_range_block, block_change:1, base_type:0, square_count:5, position01:6, position02:13, position03:16, value_h01:3, value_h02:1, value_h03:1, value_w01:3, value_w02:1, value_w03:3, new_block:green, target:block_all, ignore01:block_positive, ignore02:block_green, count:0, val:0, animation:change_range_block]</t>
    <phoneticPr fontId="5"/>
  </si>
  <si>
    <t>[effect:enemy_message, val1:1.6, val2:3.3],[effect:fix_speed, target:myself, turn:2],[effect:tolerance, target:myself, turn:-1, count:-1, tolerance_effect:all, animation:enemy_tolerance],[effect:enemy_counter, target:myself, invoke_condition:unit_all, counter_target:attacker, turn:2, val:0.5, animation:enemy_counter],[effect:enhance_enemy, target:myself, turn:2, status:attack, val:0.2, calc:mul, animation:enemy_enhance_attack]</t>
    <phoneticPr fontId="5"/>
  </si>
  <si>
    <t>全体攻撃+2ターン全ユニットにウィルス</t>
  </si>
  <si>
    <t>緑パネルを吸収して攻撃+自己回復</t>
  </si>
  <si>
    <t>ぜったい好きになっちゃうよ！
【状態異常耐性+残りHPの20%ダメージ！】</t>
    <rPh sb="4" eb="5">
      <t>スk</t>
    </rPh>
    <phoneticPr fontId="5"/>
  </si>
  <si>
    <t>状態異常耐性+
5ターン確率でCパネルがドロップ+
属性パネルを緑のダメージパネルに15個変換</t>
    <phoneticPr fontId="5"/>
  </si>
  <si>
    <t>Cパネルを吸収して攻撃+
ランダムで緑のダメージパネルに最大3個変換</t>
    <phoneticPr fontId="5"/>
  </si>
  <si>
    <t>ハートパネルを吸収して回復+
4ターン全ユニットの回復力33％DOWN</t>
    <phoneticPr fontId="5"/>
  </si>
  <si>
    <t>1ターン防御力大UP+
1ターン全属性の攻撃をカウンター</t>
    <phoneticPr fontId="5"/>
  </si>
  <si>
    <t>2ターン暗闇+10ターンボムの爆風を50%DOWN+
ランダムで緑のダメージパネルに最大5個変換</t>
    <phoneticPr fontId="5"/>
  </si>
  <si>
    <t>ランダムで緑のダメージパネルに最大20個変換+
ランダムでボムパネルに最大1個変換</t>
    <phoneticPr fontId="5"/>
  </si>
  <si>
    <t>全体攻撃+1ターン全ユニットにスキルバインド</t>
    <phoneticPr fontId="5"/>
  </si>
  <si>
    <t>4ターン防御力大UP+
4ターン全ユニットのタップ回数を1DOWN+
特定エリアをハートパネルに変換</t>
    <phoneticPr fontId="5"/>
  </si>
  <si>
    <t>[effect:enemy_message, val1:1.2, val2:2.4],[effect:spread, val:0.3],[effect:force_change_block, new_block:damage, target:normal, count:3, val:0.04, animation:change_block]</t>
    <phoneticPr fontId="5"/>
  </si>
  <si>
    <t>2ターン暗闇</t>
    <phoneticPr fontId="5"/>
  </si>
  <si>
    <t>[effect:enemy_message, val1:1.2, val2:1.2],[effect:dark, target:unit_all, turn:2, animation:enemy_dark]</t>
    <phoneticPr fontId="5"/>
  </si>
  <si>
    <t>ハートパネルを緑のダメージパネルに3個変換+全体攻撃</t>
    <phoneticPr fontId="5"/>
  </si>
  <si>
    <t>[effect:enemy_message, val1:1.2, val2:2.6],[effect:spread, val:0.3],[effect:force_change_block, new_block:damage, target:block_heart, count:3, val:0.04, animation:change_block]</t>
    <phoneticPr fontId="5"/>
  </si>
  <si>
    <t>[effect:enemy_message, val1:1.2, val2:3.3],[effect:damage_gravity, val:0.3, animation:fevergauge_down],[effect:force_change_block, new_block:damage, target:normal, count:4, val:0.04, animation:change_block]</t>
    <phoneticPr fontId="5"/>
  </si>
  <si>
    <t>状態異常耐性+
5ターン確率でCパネルがドロップ+
属性パネルを緑のダメージパネルに8個変換</t>
    <phoneticPr fontId="5"/>
  </si>
  <si>
    <t>Cパネルを吸収して攻撃+
ランダムで緑のダメージパネルに最大2個変換</t>
    <phoneticPr fontId="5"/>
  </si>
  <si>
    <t>ハートパネルを吸収して回復+
4ターン全ユニットの回復力25％DOWN</t>
    <phoneticPr fontId="5"/>
  </si>
  <si>
    <t>1ターン防御力UP+
1ターン全属性の攻撃をカウンター</t>
    <phoneticPr fontId="5"/>
  </si>
  <si>
    <t>2ターン暗闇+10ターンボムの爆風を50%DOWN+
ランダムで緑のダメージパネルに最大3個変換</t>
    <phoneticPr fontId="5"/>
  </si>
  <si>
    <t>ランダムで緑のダメージパネルに最大10個変換+
ランダムでボムパネルに最大1個変換</t>
    <phoneticPr fontId="5"/>
  </si>
  <si>
    <t>4ターン防御力UP+
4ターン全ユニットのタップ回数を1DOWN+
特定エリアをハートパネルに変換</t>
    <phoneticPr fontId="5"/>
  </si>
  <si>
    <t>[effect:enemy_message, val1:2.3, val2:2.8],[effect:force_change_block, new_block:block_red, target:block_green, count:0, val:0, animation:change_block],[effect:virus, turn:10, rate:1, val:0.03, animation:enemy_virus]</t>
    <phoneticPr fontId="5"/>
  </si>
  <si>
    <t>[effect:enemy_message, val1:1.2, val2:1.5],[effect:virus, turn:10, rate:1, val:0.03, animation:enemy_virus]</t>
    <phoneticPr fontId="5"/>
  </si>
  <si>
    <t>[effect:enemy_message, val1:1.2, val2:2.4],[effect:spread, val:0.3],[effect:force_change_block, new_block:damage, target:normal, count:2, val:0.04, animation:change_block]</t>
    <phoneticPr fontId="5"/>
  </si>
  <si>
    <t>1ターン全ユニットにスキルバインド+
青パネルを緑のダメージパネルに2個変換</t>
    <phoneticPr fontId="5"/>
  </si>
  <si>
    <t>ハートパネルを緑のダメージパネルに2個変換+全体攻撃</t>
    <phoneticPr fontId="5"/>
  </si>
  <si>
    <t>[effect:enemy_message, val1:1.2, val2:2.6],[effect:spread, val:0.3],[effect:force_change_block, new_block:damage, target:block_heart, count:2, val:0.04, animation:change_block]</t>
    <phoneticPr fontId="5"/>
  </si>
  <si>
    <t>[effect:enemy_message, val1:1.2, val2:3.3],[effect:damage_gravity, val:0.2, animation:fevergauge_down],[effect:force_change_block, new_block:damage, target:normal, count:3, val:0.05, animation:change_block]</t>
    <phoneticPr fontId="5"/>
  </si>
  <si>
    <t>状態異常耐性+
5ターン確率でCパネルがドロップ+
属性パネルを緑のダメージパネルに5個変換</t>
    <phoneticPr fontId="5"/>
  </si>
  <si>
    <t>Cパネルを吸収して攻撃+
ランダムで緑のダメージパネルに最大1個変換</t>
    <phoneticPr fontId="5"/>
  </si>
  <si>
    <t>ハートパネルを吸収して回復+
4ターン全ユニットの回復力20％DOWN</t>
    <phoneticPr fontId="5"/>
  </si>
  <si>
    <t>2ターン暗闇+10ターンボムの爆風を50%DOWN+
ランダムで緑のダメージパネルに最大2個変換</t>
    <phoneticPr fontId="5"/>
  </si>
  <si>
    <t>ランダムで緑のダメージパネルに最大5個変換+
ランダムでボムパネルに最大1個変換</t>
    <phoneticPr fontId="5"/>
  </si>
  <si>
    <t>卑弥呼はHPが50%以下で敵全体の
攻撃力を上げます
夕霧もHPが50%以下でダメージパネルを
変換するので注意しましょう</t>
    <rPh sb="10" eb="12">
      <t>イカ</t>
    </rPh>
    <rPh sb="37" eb="39">
      <t>イカ</t>
    </rPh>
    <rPh sb="55" eb="57">
      <t>チュ</t>
    </rPh>
    <phoneticPr fontId="5"/>
  </si>
  <si>
    <t>[effect:enemy_message, val1:1.2, val2:2.3],[effect:freq_turn, target:myself, turn:-1, val:1, animation:enemy_freq_turn],[effect:drop_block, block_type:crash, color:block_all, val:6, rate:0.1, turn:5, animation:crash_influence04]</t>
    <phoneticPr fontId="5"/>
  </si>
  <si>
    <t>[effect:enemy_message, val1:2.0, val2:4.9],[effect:fix_speed,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t>
    <phoneticPr fontId="5"/>
  </si>
  <si>
    <t>[effect:enemy_message, val1:1.2, val2:1.6],[effect:break_attack, target:unit_one, val:0.2, lowest_val:500, count:-1, color:green, block01:block_green],[effect:heal, target:myself, val:0.02, animation:enemy_heal]</t>
    <phoneticPr fontId="5"/>
  </si>
  <si>
    <t>[effect:enemy_message, val1:1.2, val2:2.7],[effect:freq_turn, target:myself, turn:-1, val:1, animation:enemy_freq_turn],[effect:force_change_block, new_block:damage, target:normal, count:5, val:0.05, animation:change_block]</t>
    <phoneticPr fontId="5"/>
  </si>
  <si>
    <t xml:space="preserve">[effect:enemy_message, val1:1.2, val2:3.4],[effect:break_heal_ratio, target:myself, val:0.01, lowest_val:2000, count:-1, block01:block_heart, animation:enemy_heal],[effect:degrade_unit, target:unit_all, turn:4, status:heal, val:0.33, calc:mul, animation:degrade_unit_all_heal]    </t>
    <phoneticPr fontId="5"/>
  </si>
  <si>
    <t>[effect:enemy_message, val1:1.2, val2:2.7],[effect:enhance_enemy, target:myself, turn:1, status:defense, val:5000, calc:add, animation:enemy_enhance_defense],[effect:enemy_counter, target:myself, invoke_condition:unit_all, counter_target:attacker, turn:1, val:0.3, animation:enemy_counter]</t>
    <phoneticPr fontId="5"/>
  </si>
  <si>
    <t>[effect:enemy_message, val1:1.2, val2:2.2],[effect:spread, val:0.3],[effect:hungup, target:unit_all, turn:1, rate:1, animation:hungup01]</t>
    <phoneticPr fontId="5"/>
  </si>
  <si>
    <t>[effect:enemy_message, val1:1.4, val2:4.8],[effect:change_range_block, block_change:1, base_type:1, square_count:5, position01:12, value_rad01:3.0, value_h01:1.0, value_w01:1.0, new_block:block_heart, target:block_all, ignore01:block_positive, ignore02:block_heart, count:0, val:0, animation:change_range_block],[effect:enhance_enemy, target:myself, turn:4, status:defense, val:8500, calc:add, animation:enemy_enhance_defense],[effect:degrade_unit, target:unit_all, turn:4, status:action, val:1, calc:mul, animation:enemy_tap_down]</t>
    <phoneticPr fontId="5"/>
  </si>
  <si>
    <t>[effect:enemy_message, val1:1.2, val2:2.7],[effect:freq_turn, target:myself, turn:-1, val:1, animation:enemy_freq_turn],[effect:force_change_block, new_block:damage, target:normal, count:3, val:0.04, animation:change_block]</t>
    <phoneticPr fontId="5"/>
  </si>
  <si>
    <t xml:space="preserve">[effect:enemy_message, val1:1.2, val2:3.4],[effect:break_heal_ratio, target:myself, val:0.01, lowest_val:2000, count:-1, block01:block_heart, animation:enemy_heal],[effect:degrade_unit, target:unit_all, turn:4, status:heal, val:0.25, calc:mul, animation:degrade_unit_all_heal]    </t>
    <phoneticPr fontId="5"/>
  </si>
  <si>
    <t>[effect:enemy_message, val1:1.2, val2:2.7],[effect:enhance_enemy, target:myself, turn:1, status:defense, val:2500, calc:add, animation:enemy_enhance_defense],[effect:enemy_counter, target:myself, invoke_condition:unit_all, counter_target:attacker, turn:1, val:0.3, animation:enemy_counter]</t>
    <phoneticPr fontId="5"/>
  </si>
  <si>
    <t>[effect:enemy_message, val1:1.4, val2:4.8],[effect:change_range_block, block_change:1, base_type:1, square_count:5, position01:12, value_rad01:3.0, value_h01:1.0, value_w01:1.0, new_block:block_heart, target:block_all, ignore01:block_positive, ignore02:block_heart, count:0, val:0, animation:change_range_block],[effect:enhance_enemy, target:myself, turn:4, status:defense, val:4500, calc:add, animation:enemy_enhance_defense],[effect:degrade_unit, target:unit_all, turn:4, status:action, val:1, calc:mul, animation:enemy_tap_down]</t>
    <phoneticPr fontId="5"/>
  </si>
  <si>
    <t>[effect:enemy_message, val1:1.2, val2:2.7],[effect:freq_turn, target:myself, turn:-1, val:1, animation:enemy_freq_turn],[effect:force_change_block, new_block:damage, target:normal, count:2, val:0.04, animation:change_block]</t>
    <phoneticPr fontId="5"/>
  </si>
  <si>
    <t xml:space="preserve">[effect:enemy_message, val1:1.2, val2:3.4],[effect:break_heal_ratio, target:myself, val:0.01, lowest_val:2000, count:-1, block01:block_heart, animation:enemy_heal],[effect:degrade_unit, target:unit_all, turn:4, status:heal, val:0.20, calc:mul, animation:degrade_unit_all_heal]    </t>
    <phoneticPr fontId="5"/>
  </si>
  <si>
    <t>[effect:enemy_message, val1:1.2, val2:2.7],[effect:enhance_enemy, target:myself, turn:1, status:defense, val:1500, calc:add, animation:enemy_enhance_defense],[effect:enemy_counter, target:myself, invoke_condition:unit_all, counter_target:attacker, turn:1, val:0.3, animation:enemy_counter]</t>
    <phoneticPr fontId="5"/>
  </si>
  <si>
    <t>残りHPの30%ダメージ！+
属性パネルを緑のダメージパネルに8個変換</t>
    <phoneticPr fontId="5"/>
  </si>
  <si>
    <t>残りHPの30%ダメージ！+
属性パネルを緑のダメージパネルに4個変換</t>
    <phoneticPr fontId="5"/>
  </si>
  <si>
    <t>残りHPの20%ダメージ！+
属性パネルを緑のダメージパネルに3個変換</t>
    <phoneticPr fontId="5"/>
  </si>
  <si>
    <t>《とても怒っている…》
【状態異常耐性+6ターン攻撃力大UP+
全ユニットの攻撃力50%DOWN】</t>
    <rPh sb="13" eb="19">
      <t>ジョウタ</t>
    </rPh>
    <rPh sb="27" eb="28">
      <t>ダ</t>
    </rPh>
    <rPh sb="32" eb="33">
      <t>ゼンユn</t>
    </rPh>
    <rPh sb="38" eb="41">
      <t>コウゲk</t>
    </rPh>
    <phoneticPr fontId="5"/>
  </si>
  <si>
    <t>[effect:enemy_message, val1:1.4, val2:3.6],[effect:fix_speed, target:myself, turn:2],[effect:damage_gravity, val:0.2, animation:fevergauge_down],[effect:tolerance, target:myself, turn:-1, count:-1, tolerance_effect:all, animation:enemy_tolerance]</t>
    <phoneticPr fontId="5"/>
  </si>
  <si>
    <t>[effect:enemy_message, val1:1.2, val2:4.5],[effect:fix_speed, target:myself, turn:1],[effect:tolerance, target:myself, turn:-1, count:-1, tolerance_effect:all, animation:enemy_tolerance],[effect:force_change_block, new_block:damage, target:normal, count:8, val:0.04, animation:change_block],[effect:drop_block, block_type:crash, color:block_all, val:6, rate:0.1, turn:5, animation:crash_influence04]</t>
    <phoneticPr fontId="5"/>
  </si>
  <si>
    <t>[effect:enemy_message, val1:1.2, val2:4.5],[effect:fix_speed, target:myself, turn:1],[effect:tolerance, target:myself, turn:-1, count:-1, tolerance_effect:all, animation:enemy_tolerance],[effect:force_change_block, new_block:damage, target:normal, count:15, val:0.05, animation:change_block],[effect:drop_block, block_type:crash, color:block_all, val:6, rate:0.1, turn:5, animation:crash_influence04]</t>
    <phoneticPr fontId="5"/>
  </si>
  <si>
    <t>行動頻度UP+
属性パネルを緑のダメージパネルに5個変換</t>
    <phoneticPr fontId="5"/>
  </si>
  <si>
    <t>花嫁衣装が気に入ったアマテラスは
イベントが終わっても着替えずに
そのままの格好で帰ろうとし
ワカヒルメたちに止められたようです</t>
    <phoneticPr fontId="5"/>
  </si>
  <si>
    <t>行動頻度UP+
属性パネルを緑のダメージパネルに2個変換</t>
    <phoneticPr fontId="5"/>
  </si>
  <si>
    <t>行動頻度UP+
属性パネルを緑のダメージパネルに3個変換</t>
    <phoneticPr fontId="5"/>
  </si>
  <si>
    <t>[effect:enemy_message, val1:1.2, val2:3.7],[effect:hungup, target:unit_all, turn:1, rate:1, animation:hungup01],[effect:force_change_block, new_block:damage, target:block_blue, count:4, val:0.05, animation:change_block]</t>
    <phoneticPr fontId="5"/>
  </si>
  <si>
    <t>[effect:enemy_message, val1:1.2, val2:3.7],[effect:hungup, target:unit_all, turn:1, rate:1, animation:hungup01],[effect:force_change_block, new_block:damage, target:block_blue, count:2, val:0.04, animation:change_block]</t>
    <phoneticPr fontId="5"/>
  </si>
  <si>
    <t>ワカヒルメの2ゲージ目は
Cパネルをドロップします
Cパネルを利用して一気に押し切りましょう</t>
    <rPh sb="32" eb="34">
      <t>リヨウ</t>
    </rPh>
    <rPh sb="36" eb="38">
      <t>イッk</t>
    </rPh>
    <phoneticPr fontId="5"/>
  </si>
  <si>
    <t>ワカヒルメの2ゲージ目は
Cパネルをドロップします
Cパネルを利用して一気に押し切りましょう</t>
    <phoneticPr fontId="5"/>
  </si>
  <si>
    <t>属性パネルを緑のダメージパネルに8個変換</t>
    <phoneticPr fontId="5"/>
  </si>
  <si>
    <t>属性パネルを緑のダメージパネルに15個変換</t>
    <phoneticPr fontId="5"/>
  </si>
  <si>
    <t>[effect:enemy_message, val1:1.2, val2:1.9],[effect:force_change_block, new_block:damage, target:normal, count:8, val:0.04, animation:change_block]</t>
    <phoneticPr fontId="5"/>
  </si>
  <si>
    <t>属性パネルを緑のダメージパネルに5個変換</t>
    <phoneticPr fontId="5"/>
  </si>
  <si>
    <t>[effect:enemy_message, val1:1.2, val2:1.9],[effect:force_change_block, new_block:damage, target:normal, count:5, val:0.04, animation:change_block]</t>
    <phoneticPr fontId="5"/>
  </si>
  <si>
    <t>では、勝負といきましょう！
【状態異常耐性+6ターン攻撃力大UP+
全ユニットの攻撃力50%DOWN】</t>
    <rPh sb="3" eb="5">
      <t>ショウb</t>
    </rPh>
    <phoneticPr fontId="5"/>
  </si>
  <si>
    <t>「美しすぎます！おねえさま！」
【状態異常耐性+6ターン攻撃力大UP+
全ユニットの攻撃力50%DOWN】</t>
    <rPh sb="1" eb="2">
      <t>ウツクシスギマス</t>
    </rPh>
    <phoneticPr fontId="5"/>
  </si>
  <si>
    <t>この衣装似合っていますか？
【状態異常耐性+6ターン攻撃力大UP+ 
全ユニットの攻撃力50%DOWN】</t>
    <phoneticPr fontId="5"/>
  </si>
  <si>
    <t>この衣装似合っていますか？
【状態異常耐性+6ターン攻撃力大UP+
全ユニットの攻撃力50%DOWN】</t>
    <phoneticPr fontId="5"/>
  </si>
  <si>
    <t>「美しすぎます！おねえさま！」
【状態異常耐性+6ターン攻撃力大UP+
全ユニットの攻撃力50%DOWN】</t>
    <phoneticPr fontId="5"/>
  </si>
  <si>
    <t>私もたまには羽目を外してもいいですよね？
【状態異常耐性+6ターン攻撃力大UP+
全ユニットの攻撃力50%DOWN】</t>
    <rPh sb="0" eb="1">
      <t>ワタs</t>
    </rPh>
    <rPh sb="6" eb="8">
      <t>ハメw</t>
    </rPh>
    <phoneticPr fontId="5"/>
  </si>
  <si>
    <t>[effect:enemy_message, val1:1.4, val2:3.3],[effect:break_attack, target:unit_one, val:0.05, lowest_val:1500, count:-1, color:green, block01:crash],[effect:force_change_block, new_block:damage, target:block_all, ignore01:block_positive, ignore02:damage, count:2, val:0.04, animation:change_block]</t>
    <phoneticPr fontId="5"/>
  </si>
  <si>
    <t>[effect:enemy_message, val1:1.4, val2:3.3],[effect:break_attack, target:unit_one, val:0.05, lowest_val:1500, count:-1, color:green, block01:crash],[effect:force_change_block, new_block:damage, target:block_all, ignore01:block_positive, ignore02:damage, count:1, val:0.04, animation:change_block]</t>
    <phoneticPr fontId="5"/>
  </si>
  <si>
    <t>ワカヒルメの1ゲージ目は
ダメージパネル変換を多用します
戦闘が長引くほど不利になるので
スキルやフィーバーで一気に倒しましょう</t>
    <rPh sb="23" eb="25">
      <t>タヨ</t>
    </rPh>
    <phoneticPr fontId="5"/>
  </si>
  <si>
    <t>[effect:enemy_message, val1:1.2, val2:4.7],[effect:dark, target:unit_all, turn:2, animation:enemy_dark],[effect:change_bomb_range, target:unit_all, val:0.5, rate:1, turn:10, animation:bomb_small],[effect:force_change_block, new_block:damage, target:block_all, ignore01:block_positive, ignore02:damage, count:5, val:0.05, animation:change_block]</t>
    <phoneticPr fontId="5"/>
  </si>
  <si>
    <t>[effect:enemy_message, val1:1.4, val2:3.3],[effect:break_attack, target:unit_one, val:0.05, lowest_val:1500, count:-1, color:green, block01:crash],[effect:force_change_block, new_block:damage, target:block_all, ignore01:block_positive, ignore02:damage, count:3, val:0.05, animation:change_block]</t>
    <phoneticPr fontId="5"/>
  </si>
  <si>
    <t>[effect:enemy_message, val1:1.2, val2:4.7],[effect:dark, target:unit_all, turn:2, animation:enemy_dark],[effect:change_bomb_range, target:unit_all, val:0.5, rate:1, turn:10, animation:bomb_small],[effect:force_change_block, new_block:damage, target:block_all, ignore01:block_positive, ignore02:damage, count:3, val:0.04, animation:change_block]</t>
    <phoneticPr fontId="5"/>
  </si>
  <si>
    <t>[effect:enemy_message, val1:1.2, val2:4.7],[effect:dark, target:unit_all, turn:2, animation:enemy_dark],[effect:change_bomb_range, target:unit_all, val:0.5, rate:1, turn:10, animation:bomb_small],[effect:force_change_block, new_block:damage, target:block_all, ignore01:block_positive, ignore02:damage, count:2, val:0.04, animation:change_block]</t>
    <phoneticPr fontId="5"/>
  </si>
  <si>
    <t>[effect:enemy_message, val1:1.2, val2:4.0],[effect:force_change_block, new_block:damage, target:block_all, ignore01:block_heart, ignore02:block_positive, ignore03:damage, count:20, val:0.03, animation:change_block],[effect:force_change_block, new_block:crack_bomb, target:block_all, ignore01:block_positive, count:1, val:24, animation:change_block]</t>
    <phoneticPr fontId="5"/>
  </si>
  <si>
    <t>[effect:enemy_message, val1:1.2, val2:4.0],[effect:force_change_block, new_block:damage, target:block_all, ignore01:block_heart, ignore02:block_positive, ignore03:damage, count:10, val:0.03, animation:change_block],[effect:force_change_block, new_block:crack_bomb, target:block_all, ignore01:block_positive, count:1, val:24, animation:change_block]</t>
    <phoneticPr fontId="5"/>
  </si>
  <si>
    <t>[effect:enemy_message, val1:1.2, val2:4.0],[effect:force_change_block, new_block:damage, target:block_all, ignore01:block_heart, ignore02:block_positive, ignore03:damage, count:5, val:0.03, animation:change_block],[effect:force_change_block, new_block:crack_bomb, target:block_all, ignore01:block_positive, count:1, val:24, animation:change_block]</t>
    <phoneticPr fontId="5"/>
  </si>
  <si>
    <t>[effect:enemy_message, val1:1.4, val2:4.8],[effect:change_range_block, block_change:1, base_type:1, square_count:5, position01:12, value_rad01:3.0, value_h01:1.0, value_w01:1.0, new_block:block_heart, target:block_all, ignore01:block_positive, ignore02:block_heart, count:0, val:0, animation:change_range_block],[effect:enhance_enemy, target:myself, turn:4, status:defense, val:2500, calc:add, animation:enemy_enhance_defense],[effect:degrade_unit, target:unit_all, turn:4, status:action, val:1, calc:mul, animation:enemy_tap_down]</t>
    <phoneticPr fontId="5"/>
  </si>
  <si>
    <t>”ぶーけとす”って一度やってみたかったの！！
【超強力な大ダメージ攻撃】</t>
    <rPh sb="9" eb="11">
      <t>1d</t>
    </rPh>
    <rPh sb="24" eb="27">
      <t>チョウキョ</t>
    </rPh>
    <rPh sb="28" eb="29">
      <t>ダイd</t>
    </rPh>
    <rPh sb="33" eb="35">
      <t>コウゲk</t>
    </rPh>
    <phoneticPr fontId="5"/>
  </si>
  <si>
    <t>”ぶーけとす”って一度やってみたかったの！！
【超強力な大ダメージ攻撃】</t>
    <rPh sb="9" eb="11">
      <t>1d</t>
    </rPh>
    <phoneticPr fontId="5"/>
  </si>
  <si>
    <t>[effect:enemy_message, val1:1.2, val2:2.8],[effect:fix_speed, target:myself, turn:2],[effect:enhance_fever, val:333, animation:fevergauge_up03]</t>
    <phoneticPr fontId="5"/>
  </si>
  <si>
    <t>[effect:enemy_message, val1:1.7, val2:3.6],[effect:spread, val:7],[effect:fix_speed, target:myself, turn:1]</t>
    <phoneticPr fontId="5"/>
  </si>
  <si>
    <t>[effect:enemy_message, val1:2.8, val2:2.1, dead_type:escape]</t>
    <phoneticPr fontId="5"/>
  </si>
  <si>
    <t>[effect:enemy_message, val1:1.7, val2:1.9, dead_type:escape]</t>
    <phoneticPr fontId="5"/>
  </si>
  <si>
    <t>[effect:enemy_message, val1:1.9, val2:2.3, dead_type:escape]</t>
    <phoneticPr fontId="5"/>
  </si>
  <si>
    <t>[effect:enemy_message, val1:2.8, val2:3.4, dead_type:escape]</t>
    <phoneticPr fontId="5"/>
  </si>
  <si>
    <t>[effect:enemy_message, val1:1.7, val2:2.2, dead_type:escape]</t>
    <phoneticPr fontId="5"/>
  </si>
  <si>
    <t>次のターンに超強力な大ダメージ攻撃+
フィーバーゲージ33%増加</t>
    <rPh sb="0" eb="1">
      <t>ツg</t>
    </rPh>
    <phoneticPr fontId="5"/>
  </si>
  <si>
    <t>次のターンに超強力な大ダメージ攻撃+
フィーバーゲージ33%増加</t>
    <phoneticPr fontId="5"/>
  </si>
  <si>
    <t>[effect:enemy_message, val1:1.2, val2:3.7],[effect:hungup, target:unit_all, turn:1, rate:1, animation:hungup01],[effect:force_change_block, new_block:damage, target:block_blue, count:4, val:0.04, animation:change_block]</t>
    <phoneticPr fontId="5"/>
  </si>
  <si>
    <t>全体攻撃+
属性パネルを赤のダメージパネルに6個変換</t>
    <rPh sb="0" eb="4">
      <t>ゼンタ</t>
    </rPh>
    <rPh sb="12" eb="13">
      <t>アカn</t>
    </rPh>
    <phoneticPr fontId="5"/>
  </si>
  <si>
    <t>全体攻撃+
属性パネルを赤のダメージパネルに3個変換</t>
    <rPh sb="0" eb="4">
      <t>ゼンタ</t>
    </rPh>
    <rPh sb="12" eb="13">
      <t>アk</t>
    </rPh>
    <phoneticPr fontId="5"/>
  </si>
  <si>
    <t>全体攻撃+
属性パネルを赤のダメージパネルに2個変換</t>
    <rPh sb="0" eb="4">
      <t>ゼンタ</t>
    </rPh>
    <rPh sb="12" eb="13">
      <t>アk</t>
    </rPh>
    <phoneticPr fontId="5"/>
  </si>
  <si>
    <t>[effect:enemy_message, val1:1.2, val2:4.5],[effect:fix_speed, target:myself, turn:1],[effect:tolerance, target:myself, turn:-1, count:-1, tolerance_effect:all, animation:enemy_tolerance],[effect:force_change_block, new_block:damage, target:normal, count:5, val:0.04, animation:change_block],[effect:drop_block, block_type:crash, color:block_all, val:6, rate:0.1, turn:5, animation:crash_influence04]</t>
    <phoneticPr fontId="5"/>
  </si>
  <si>
    <t>全てのマイナス効果を解除+
特定エリアをハートパネルに変換+
フィーバーゲージ33%増加
【HP20%以下で超強力な大ダメージ！】</t>
    <rPh sb="0" eb="1">
      <t>スベt</t>
    </rPh>
    <rPh sb="10" eb="12">
      <t>カ</t>
    </rPh>
    <rPh sb="27" eb="29">
      <t>ヘンカn</t>
    </rPh>
    <phoneticPr fontId="5"/>
  </si>
  <si>
    <t>[effect:enemy_message, val1:2.8, val2:6.4],[effect:fix_speed, target:myself, turn:1],[effect:change_range_block, block_change:1, base_type:0, square_count:3, position01:3, position02:5, position03:7, value_h01:1.0, value_h02:1.0, value_h03:1.0, value_w01:1.0, value_w02:1.0, value_w03:1.0, new_block:block_heart, target:block_all, ignore01:block_positive, ignore02:block_heart, count:0, val:0, animation:change_range_block],[effect:remove_enhancement, target:unit_all, target_effect:all, target_type:debuff, animation:frozen_wave],[effect:enhance_fever, val:333, animation:fevergauge_up03]</t>
    <phoneticPr fontId="5"/>
  </si>
  <si>
    <t>全てのマイナス効果を解除+
特定エリアをハートパネルに変換+
フィーバーゲージ33%増加
【HP25%以下で超強力な大ダメージ！】</t>
    <rPh sb="0" eb="1">
      <t>スベt</t>
    </rPh>
    <rPh sb="10" eb="12">
      <t>カ</t>
    </rPh>
    <rPh sb="27" eb="29">
      <t>ヘンカn</t>
    </rPh>
    <phoneticPr fontId="5"/>
  </si>
  <si>
    <t>全てのマイナス効果を解除+
特定エリアをハートパネルに変換+
フィーバーゲージ33%増加
【HP30%以下で超強力な大ダメージ！】</t>
    <rPh sb="0" eb="1">
      <t>スベt</t>
    </rPh>
    <rPh sb="10" eb="12">
      <t>カ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</si>
</sst>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7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0"/>
      <color rgb="FF222222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</font>
    <font>
      <sz val="11"/>
      <color rgb="FF000000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4"/>
      <color rgb="FF000000"/>
      <name val="ＭＳ Ｐゴシック"/>
      <family val="3"/>
      <charset val="128"/>
      <scheme val="minor"/>
    </font>
    <font>
      <sz val="14"/>
      <color theme="1"/>
      <name val="ＭＳ Ｐゴシック"/>
      <family val="3"/>
      <charset val="128"/>
    </font>
    <font>
      <sz val="14"/>
      <color theme="1"/>
      <name val="ＭＳ Ｐゴシック"/>
      <family val="3"/>
      <charset val="128"/>
      <scheme val="minor"/>
    </font>
    <font>
      <sz val="14"/>
      <name val="ＭＳ Ｐゴシック"/>
      <family val="3"/>
      <charset val="128"/>
    </font>
    <font>
      <sz val="14"/>
      <color theme="0"/>
      <name val="ＭＳ Ｐゴシック"/>
      <family val="3"/>
      <charset val="128"/>
      <scheme val="minor"/>
    </font>
    <font>
      <sz val="14"/>
      <color rgb="FF000000"/>
      <name val="Helvetica Neue"/>
    </font>
    <font>
      <sz val="20"/>
      <color theme="1"/>
      <name val="ＭＳ Ｐゴシック"/>
      <family val="3"/>
      <charset val="128"/>
      <scheme val="minor"/>
    </font>
    <font>
      <sz val="16"/>
      <color theme="1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sz val="22"/>
      <color rgb="FF222222"/>
      <name val="ＭＳ Ｐゴシック"/>
      <family val="3"/>
      <charset val="128"/>
      <scheme val="major"/>
    </font>
    <font>
      <sz val="16"/>
      <color theme="1"/>
      <name val="ＭＳ Ｐゴシック"/>
      <family val="3"/>
      <charset val="128"/>
    </font>
    <font>
      <sz val="16"/>
      <name val="ＭＳ Ｐゴシック"/>
      <family val="3"/>
      <charset val="128"/>
    </font>
    <font>
      <sz val="20"/>
      <color theme="1"/>
      <name val="ＭＳ Ｐゴシック"/>
      <family val="3"/>
      <charset val="128"/>
    </font>
    <font>
      <sz val="20"/>
      <name val="ＭＳ Ｐゴシック"/>
      <family val="3"/>
      <charset val="128"/>
    </font>
    <font>
      <sz val="22"/>
      <color rgb="FF000000"/>
      <name val="ＭＳ Ｐゴシック"/>
      <family val="3"/>
      <charset val="128"/>
      <scheme val="minor"/>
    </font>
    <font>
      <sz val="26"/>
      <color theme="1"/>
      <name val="ＭＳ Ｐゴシック"/>
      <family val="3"/>
      <charset val="128"/>
      <scheme val="major"/>
    </font>
    <font>
      <sz val="26"/>
      <color theme="1"/>
      <name val="ＭＳ Ｐゴシック"/>
      <family val="3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/>
        <bgColor indexed="64"/>
      </patternFill>
    </fill>
  </fills>
  <borders count="3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</borders>
  <cellStyleXfs count="762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92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16" fillId="0" borderId="12" xfId="0" applyFont="1" applyFill="1" applyBorder="1" applyAlignment="1">
      <alignment vertical="center"/>
    </xf>
    <xf numFmtId="0" fontId="16" fillId="3" borderId="12" xfId="0" applyFont="1" applyFill="1" applyBorder="1" applyAlignment="1">
      <alignment horizontal="left" vertical="center"/>
    </xf>
    <xf numFmtId="0" fontId="16" fillId="3" borderId="12" xfId="0" applyFont="1" applyFill="1" applyBorder="1" applyAlignment="1">
      <alignment vertical="center"/>
    </xf>
    <xf numFmtId="0" fontId="16" fillId="0" borderId="23" xfId="0" applyFont="1" applyFill="1" applyBorder="1" applyAlignment="1">
      <alignment vertical="center"/>
    </xf>
    <xf numFmtId="0" fontId="16" fillId="3" borderId="23" xfId="0" applyFont="1" applyFill="1" applyBorder="1" applyAlignment="1">
      <alignment horizontal="left" vertical="center"/>
    </xf>
    <xf numFmtId="0" fontId="16" fillId="3" borderId="23" xfId="0" applyFont="1" applyFill="1" applyBorder="1" applyAlignment="1">
      <alignment vertical="center"/>
    </xf>
    <xf numFmtId="0" fontId="16" fillId="0" borderId="24" xfId="0" applyFont="1" applyFill="1" applyBorder="1" applyAlignment="1">
      <alignment vertical="center"/>
    </xf>
    <xf numFmtId="0" fontId="16" fillId="3" borderId="24" xfId="0" applyFont="1" applyFill="1" applyBorder="1" applyAlignment="1">
      <alignment horizontal="left" vertical="center"/>
    </xf>
    <xf numFmtId="0" fontId="16" fillId="3" borderId="24" xfId="0" applyFont="1" applyFill="1" applyBorder="1" applyAlignment="1">
      <alignment vertical="center"/>
    </xf>
    <xf numFmtId="0" fontId="14" fillId="7" borderId="7" xfId="0" applyFont="1" applyFill="1" applyBorder="1" applyAlignment="1">
      <alignment vertical="center"/>
    </xf>
    <xf numFmtId="0" fontId="16" fillId="0" borderId="7" xfId="0" applyFont="1" applyBorder="1" applyAlignment="1">
      <alignment vertical="center"/>
    </xf>
    <xf numFmtId="0" fontId="14" fillId="7" borderId="25" xfId="0" applyFont="1" applyFill="1" applyBorder="1" applyAlignment="1">
      <alignment vertical="center"/>
    </xf>
    <xf numFmtId="0" fontId="14" fillId="7" borderId="26" xfId="0" applyFont="1" applyFill="1" applyBorder="1" applyAlignment="1">
      <alignment vertical="center"/>
    </xf>
    <xf numFmtId="0" fontId="16" fillId="0" borderId="24" xfId="0" applyFont="1" applyBorder="1" applyAlignment="1">
      <alignment vertical="center"/>
    </xf>
    <xf numFmtId="0" fontId="16" fillId="33" borderId="23" xfId="0" applyFont="1" applyFill="1" applyBorder="1" applyAlignment="1">
      <alignment vertical="center"/>
    </xf>
    <xf numFmtId="0" fontId="6" fillId="33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vertical="center"/>
    </xf>
    <xf numFmtId="0" fontId="14" fillId="7" borderId="12" xfId="0" applyFont="1" applyFill="1" applyBorder="1" applyAlignment="1">
      <alignment vertical="center"/>
    </xf>
    <xf numFmtId="0" fontId="16" fillId="0" borderId="12" xfId="0" applyFont="1" applyBorder="1" applyAlignment="1">
      <alignment vertical="center"/>
    </xf>
    <xf numFmtId="0" fontId="14" fillId="7" borderId="27" xfId="0" applyFont="1" applyFill="1" applyBorder="1" applyAlignment="1">
      <alignment vertical="center"/>
    </xf>
    <xf numFmtId="0" fontId="16" fillId="6" borderId="23" xfId="0" applyFont="1" applyFill="1" applyBorder="1" applyAlignment="1">
      <alignment horizontal="center" vertical="center"/>
    </xf>
    <xf numFmtId="0" fontId="16" fillId="3" borderId="23" xfId="0" applyFont="1" applyFill="1" applyBorder="1" applyAlignment="1">
      <alignment horizontal="center" vertical="center"/>
    </xf>
    <xf numFmtId="0" fontId="11" fillId="3" borderId="23" xfId="0" applyFont="1" applyFill="1" applyBorder="1" applyAlignment="1">
      <alignment horizontal="center" vertical="center"/>
    </xf>
    <xf numFmtId="0" fontId="16" fillId="0" borderId="23" xfId="0" applyFont="1" applyBorder="1" applyAlignment="1">
      <alignment vertical="center"/>
    </xf>
    <xf numFmtId="0" fontId="6" fillId="33" borderId="23" xfId="0" applyFont="1" applyFill="1" applyBorder="1" applyAlignment="1">
      <alignment vertical="center"/>
    </xf>
    <xf numFmtId="0" fontId="6" fillId="33" borderId="24" xfId="0" applyFont="1" applyFill="1" applyBorder="1" applyAlignment="1">
      <alignment vertical="center"/>
    </xf>
    <xf numFmtId="0" fontId="14" fillId="7" borderId="28" xfId="0" applyFont="1" applyFill="1" applyBorder="1" applyAlignment="1">
      <alignment vertical="center"/>
    </xf>
    <xf numFmtId="0" fontId="16" fillId="0" borderId="29" xfId="0" applyFont="1" applyFill="1" applyBorder="1" applyAlignment="1">
      <alignment vertical="center"/>
    </xf>
    <xf numFmtId="0" fontId="16" fillId="3" borderId="29" xfId="0" applyFont="1" applyFill="1" applyBorder="1" applyAlignment="1">
      <alignment horizontal="left" vertical="center"/>
    </xf>
    <xf numFmtId="0" fontId="16" fillId="3" borderId="29" xfId="0" applyFont="1" applyFill="1" applyBorder="1" applyAlignment="1">
      <alignment vertical="center"/>
    </xf>
    <xf numFmtId="0" fontId="16" fillId="0" borderId="29" xfId="0" applyFont="1" applyBorder="1" applyAlignment="1">
      <alignment vertical="center"/>
    </xf>
    <xf numFmtId="0" fontId="14" fillId="7" borderId="30" xfId="0" applyFont="1" applyFill="1" applyBorder="1" applyAlignment="1">
      <alignment vertical="center"/>
    </xf>
    <xf numFmtId="0" fontId="52" fillId="0" borderId="0" xfId="0" applyFont="1" applyAlignment="1">
      <alignment horizontal="center" vertical="center"/>
    </xf>
    <xf numFmtId="176" fontId="4" fillId="32" borderId="3" xfId="0" applyNumberFormat="1" applyFont="1" applyFill="1" applyBorder="1" applyAlignment="1">
      <alignment horizontal="center" vertical="center"/>
    </xf>
    <xf numFmtId="176" fontId="4" fillId="33" borderId="3" xfId="0" applyNumberFormat="1" applyFont="1" applyFill="1" applyBorder="1" applyAlignment="1">
      <alignment horizontal="center" vertical="center"/>
    </xf>
    <xf numFmtId="0" fontId="14" fillId="7" borderId="2" xfId="0" applyFont="1" applyFill="1" applyBorder="1" applyAlignment="1">
      <alignment vertical="center"/>
    </xf>
    <xf numFmtId="0" fontId="16" fillId="0" borderId="2" xfId="0" applyFont="1" applyFill="1" applyBorder="1" applyAlignment="1">
      <alignment vertical="center"/>
    </xf>
    <xf numFmtId="0" fontId="16" fillId="3" borderId="2" xfId="0" applyFont="1" applyFill="1" applyBorder="1" applyAlignment="1">
      <alignment horizontal="left" vertical="center"/>
    </xf>
    <xf numFmtId="0" fontId="16" fillId="3" borderId="2" xfId="0" applyFont="1" applyFill="1" applyBorder="1" applyAlignment="1">
      <alignment vertical="center"/>
    </xf>
    <xf numFmtId="0" fontId="16" fillId="0" borderId="2" xfId="0" applyFont="1" applyBorder="1" applyAlignment="1">
      <alignment vertical="center"/>
    </xf>
    <xf numFmtId="0" fontId="4" fillId="36" borderId="3" xfId="0" applyFont="1" applyFill="1" applyBorder="1" applyAlignment="1">
      <alignment vertical="center"/>
    </xf>
    <xf numFmtId="176" fontId="4" fillId="6" borderId="3" xfId="0" applyNumberFormat="1" applyFont="1" applyFill="1" applyBorder="1" applyAlignment="1">
      <alignment horizontal="center" vertical="center"/>
    </xf>
    <xf numFmtId="0" fontId="16" fillId="33" borderId="24" xfId="0" applyFont="1" applyFill="1" applyBorder="1" applyAlignment="1">
      <alignment vertical="center"/>
    </xf>
    <xf numFmtId="0" fontId="16" fillId="33" borderId="12" xfId="0" applyFont="1" applyFill="1" applyBorder="1" applyAlignment="1">
      <alignment vertical="center"/>
    </xf>
    <xf numFmtId="0" fontId="0" fillId="0" borderId="23" xfId="0" applyFont="1" applyFill="1" applyBorder="1" applyAlignment="1">
      <alignment horizontal="left" vertical="center" wrapText="1"/>
    </xf>
    <xf numFmtId="0" fontId="0" fillId="0" borderId="7" xfId="0" applyFont="1" applyBorder="1"/>
    <xf numFmtId="0" fontId="0" fillId="0" borderId="7" xfId="0" applyFont="1" applyFill="1" applyBorder="1" applyAlignment="1">
      <alignment horizontal="left" vertical="center" wrapText="1"/>
    </xf>
    <xf numFmtId="0" fontId="0" fillId="0" borderId="24" xfId="0" applyFont="1" applyFill="1" applyBorder="1" applyAlignment="1">
      <alignment horizontal="left" vertical="center" wrapText="1"/>
    </xf>
    <xf numFmtId="0" fontId="0" fillId="34" borderId="27" xfId="0" applyFont="1" applyFill="1" applyBorder="1" applyAlignment="1">
      <alignment vertical="center"/>
    </xf>
    <xf numFmtId="0" fontId="0" fillId="34" borderId="25" xfId="0" applyFont="1" applyFill="1" applyBorder="1" applyAlignment="1">
      <alignment vertical="center"/>
    </xf>
    <xf numFmtId="0" fontId="0" fillId="0" borderId="24" xfId="0" applyFont="1" applyBorder="1" applyAlignment="1">
      <alignment wrapText="1"/>
    </xf>
    <xf numFmtId="0" fontId="0" fillId="0" borderId="27" xfId="0" applyFont="1" applyFill="1" applyBorder="1" applyAlignment="1">
      <alignment vertical="center"/>
    </xf>
    <xf numFmtId="0" fontId="0" fillId="0" borderId="25" xfId="0" applyFont="1" applyFill="1" applyBorder="1" applyAlignment="1">
      <alignment vertical="center"/>
    </xf>
    <xf numFmtId="0" fontId="53" fillId="34" borderId="23" xfId="0" applyFont="1" applyFill="1" applyBorder="1" applyAlignment="1">
      <alignment vertical="center"/>
    </xf>
    <xf numFmtId="0" fontId="23" fillId="34" borderId="7" xfId="0" applyFont="1" applyFill="1" applyBorder="1" applyAlignment="1">
      <alignment vertical="center"/>
    </xf>
    <xf numFmtId="0" fontId="23" fillId="34" borderId="23" xfId="0" applyFont="1" applyFill="1" applyBorder="1" applyAlignment="1">
      <alignment vertical="center"/>
    </xf>
    <xf numFmtId="0" fontId="53" fillId="34" borderId="31" xfId="0" applyFont="1" applyFill="1" applyBorder="1" applyAlignment="1">
      <alignment vertical="center"/>
    </xf>
    <xf numFmtId="0" fontId="23" fillId="34" borderId="32" xfId="0" applyFont="1" applyFill="1" applyBorder="1" applyAlignment="1">
      <alignment vertical="center"/>
    </xf>
    <xf numFmtId="0" fontId="23" fillId="34" borderId="31" xfId="0" applyFont="1" applyFill="1" applyBorder="1" applyAlignment="1">
      <alignment vertical="center"/>
    </xf>
    <xf numFmtId="0" fontId="53" fillId="6" borderId="23" xfId="0" applyFont="1" applyFill="1" applyBorder="1" applyAlignment="1">
      <alignment vertical="center"/>
    </xf>
    <xf numFmtId="0" fontId="23" fillId="6" borderId="23" xfId="0" applyFont="1" applyFill="1" applyBorder="1" applyAlignment="1">
      <alignment vertical="center"/>
    </xf>
    <xf numFmtId="0" fontId="23" fillId="6" borderId="12" xfId="0" applyFont="1" applyFill="1" applyBorder="1" applyAlignment="1">
      <alignment vertical="center"/>
    </xf>
    <xf numFmtId="0" fontId="23" fillId="6" borderId="23" xfId="0" applyFont="1" applyFill="1" applyBorder="1" applyAlignment="1">
      <alignment horizontal="center" vertical="center"/>
    </xf>
    <xf numFmtId="0" fontId="53" fillId="33" borderId="7" xfId="0" applyFont="1" applyFill="1" applyBorder="1" applyAlignment="1">
      <alignment vertical="center"/>
    </xf>
    <xf numFmtId="0" fontId="23" fillId="33" borderId="7" xfId="0" applyFont="1" applyFill="1" applyBorder="1" applyAlignment="1">
      <alignment vertical="center"/>
    </xf>
    <xf numFmtId="0" fontId="53" fillId="33" borderId="24" xfId="0" applyFont="1" applyFill="1" applyBorder="1" applyAlignment="1">
      <alignment vertical="center"/>
    </xf>
    <xf numFmtId="0" fontId="23" fillId="33" borderId="23" xfId="0" applyFont="1" applyFill="1" applyBorder="1" applyAlignment="1">
      <alignment vertical="center"/>
    </xf>
    <xf numFmtId="0" fontId="23" fillId="33" borderId="24" xfId="0" applyFont="1" applyFill="1" applyBorder="1" applyAlignment="1">
      <alignment vertical="center"/>
    </xf>
    <xf numFmtId="0" fontId="53" fillId="33" borderId="23" xfId="0" applyFont="1" applyFill="1" applyBorder="1" applyAlignment="1">
      <alignment vertical="center"/>
    </xf>
    <xf numFmtId="0" fontId="23" fillId="0" borderId="7" xfId="0" applyFont="1" applyFill="1" applyBorder="1" applyAlignment="1">
      <alignment vertical="center"/>
    </xf>
    <xf numFmtId="0" fontId="54" fillId="6" borderId="23" xfId="0" applyFont="1" applyFill="1" applyBorder="1" applyAlignment="1">
      <alignment horizontal="center" vertical="center"/>
    </xf>
    <xf numFmtId="0" fontId="23" fillId="34" borderId="24" xfId="0" applyFont="1" applyFill="1" applyBorder="1" applyAlignment="1">
      <alignment vertical="center"/>
    </xf>
    <xf numFmtId="0" fontId="55" fillId="33" borderId="23" xfId="0" applyFont="1" applyFill="1" applyBorder="1" applyAlignment="1">
      <alignment vertical="center"/>
    </xf>
    <xf numFmtId="0" fontId="55" fillId="33" borderId="7" xfId="0" applyFont="1" applyFill="1" applyBorder="1" applyAlignment="1">
      <alignment vertical="center"/>
    </xf>
    <xf numFmtId="0" fontId="55" fillId="33" borderId="24" xfId="0" applyFont="1" applyFill="1" applyBorder="1" applyAlignment="1">
      <alignment vertical="center"/>
    </xf>
    <xf numFmtId="0" fontId="56" fillId="6" borderId="7" xfId="0" applyFont="1" applyFill="1" applyBorder="1" applyAlignment="1">
      <alignment horizontal="center" vertical="center"/>
    </xf>
    <xf numFmtId="0" fontId="57" fillId="33" borderId="7" xfId="0" applyFont="1" applyFill="1" applyBorder="1" applyAlignment="1">
      <alignment vertical="center"/>
    </xf>
    <xf numFmtId="0" fontId="58" fillId="33" borderId="7" xfId="0" applyFont="1" applyFill="1" applyBorder="1" applyAlignment="1">
      <alignment vertical="center"/>
    </xf>
    <xf numFmtId="0" fontId="57" fillId="33" borderId="24" xfId="0" applyFont="1" applyFill="1" applyBorder="1" applyAlignment="1">
      <alignment vertical="center"/>
    </xf>
    <xf numFmtId="0" fontId="58" fillId="34" borderId="23" xfId="0" applyFont="1" applyFill="1" applyBorder="1" applyAlignment="1">
      <alignment vertical="center"/>
    </xf>
    <xf numFmtId="0" fontId="58" fillId="34" borderId="7" xfId="0" applyFont="1" applyFill="1" applyBorder="1" applyAlignment="1">
      <alignment vertical="center"/>
    </xf>
    <xf numFmtId="0" fontId="58" fillId="34" borderId="24" xfId="0" applyFont="1" applyFill="1" applyBorder="1" applyAlignment="1">
      <alignment vertical="center"/>
    </xf>
    <xf numFmtId="0" fontId="59" fillId="33" borderId="23" xfId="0" applyFont="1" applyFill="1" applyBorder="1" applyAlignment="1">
      <alignment vertical="center"/>
    </xf>
    <xf numFmtId="0" fontId="59" fillId="33" borderId="7" xfId="0" applyFont="1" applyFill="1" applyBorder="1" applyAlignment="1">
      <alignment vertical="center"/>
    </xf>
    <xf numFmtId="0" fontId="59" fillId="33" borderId="24" xfId="0" applyFont="1" applyFill="1" applyBorder="1" applyAlignment="1">
      <alignment vertical="center"/>
    </xf>
    <xf numFmtId="0" fontId="58" fillId="33" borderId="23" xfId="0" applyFont="1" applyFill="1" applyBorder="1" applyAlignment="1">
      <alignment vertical="center"/>
    </xf>
    <xf numFmtId="0" fontId="58" fillId="0" borderId="12" xfId="0" applyFont="1" applyFill="1" applyBorder="1" applyAlignment="1">
      <alignment vertical="center"/>
    </xf>
    <xf numFmtId="0" fontId="58" fillId="0" borderId="7" xfId="0" applyFont="1" applyFill="1" applyBorder="1" applyAlignment="1">
      <alignment vertical="center"/>
    </xf>
    <xf numFmtId="0" fontId="58" fillId="0" borderId="2" xfId="0" applyFont="1" applyFill="1" applyBorder="1" applyAlignment="1">
      <alignment vertical="center"/>
    </xf>
    <xf numFmtId="0" fontId="58" fillId="0" borderId="0" xfId="0" applyFont="1" applyFill="1" applyAlignment="1">
      <alignment vertical="center"/>
    </xf>
    <xf numFmtId="0" fontId="0" fillId="37" borderId="23" xfId="0" applyFont="1" applyFill="1" applyBorder="1" applyAlignment="1">
      <alignment horizontal="left" vertical="center" wrapText="1"/>
    </xf>
    <xf numFmtId="0" fontId="56" fillId="6" borderId="2" xfId="0" applyFont="1" applyFill="1" applyBorder="1" applyAlignment="1">
      <alignment horizontal="center" vertical="center"/>
    </xf>
    <xf numFmtId="0" fontId="60" fillId="7" borderId="0" xfId="0" applyFont="1" applyFill="1" applyAlignment="1">
      <alignment horizontal="center" vertical="center"/>
    </xf>
    <xf numFmtId="0" fontId="58" fillId="0" borderId="0" xfId="0" applyFont="1" applyAlignment="1">
      <alignment vertical="center"/>
    </xf>
    <xf numFmtId="0" fontId="58" fillId="6" borderId="2" xfId="0" applyFont="1" applyFill="1" applyBorder="1" applyAlignment="1">
      <alignment horizontal="center" vertical="center"/>
    </xf>
    <xf numFmtId="0" fontId="58" fillId="35" borderId="7" xfId="0" applyFont="1" applyFill="1" applyBorder="1" applyAlignment="1">
      <alignment vertical="center"/>
    </xf>
    <xf numFmtId="0" fontId="61" fillId="0" borderId="0" xfId="0" applyFont="1"/>
    <xf numFmtId="0" fontId="58" fillId="3" borderId="7" xfId="0" applyFont="1" applyFill="1" applyBorder="1" applyAlignment="1">
      <alignment vertical="center"/>
    </xf>
    <xf numFmtId="0" fontId="60" fillId="7" borderId="0" xfId="0" applyFont="1" applyFill="1" applyAlignment="1">
      <alignment vertical="center"/>
    </xf>
    <xf numFmtId="0" fontId="58" fillId="37" borderId="7" xfId="0" applyFont="1" applyFill="1" applyBorder="1" applyAlignment="1">
      <alignment vertical="center"/>
    </xf>
    <xf numFmtId="0" fontId="61" fillId="0" borderId="7" xfId="0" applyFont="1" applyBorder="1"/>
    <xf numFmtId="0" fontId="58" fillId="37" borderId="0" xfId="0" applyFont="1" applyFill="1" applyAlignment="1">
      <alignment vertical="center"/>
    </xf>
    <xf numFmtId="0" fontId="58" fillId="3" borderId="2" xfId="0" applyFont="1" applyFill="1" applyBorder="1" applyAlignment="1">
      <alignment vertical="center"/>
    </xf>
    <xf numFmtId="0" fontId="16" fillId="38" borderId="23" xfId="0" applyFont="1" applyFill="1" applyBorder="1" applyAlignment="1">
      <alignment vertical="center"/>
    </xf>
    <xf numFmtId="0" fontId="23" fillId="38" borderId="23" xfId="0" applyFont="1" applyFill="1" applyBorder="1" applyAlignment="1">
      <alignment vertical="center"/>
    </xf>
    <xf numFmtId="0" fontId="23" fillId="38" borderId="7" xfId="0" applyFont="1" applyFill="1" applyBorder="1" applyAlignment="1">
      <alignment vertical="center"/>
    </xf>
    <xf numFmtId="0" fontId="62" fillId="0" borderId="7" xfId="0" applyFont="1" applyFill="1" applyBorder="1" applyAlignment="1">
      <alignment vertical="center"/>
    </xf>
    <xf numFmtId="0" fontId="16" fillId="38" borderId="12" xfId="0" applyFont="1" applyFill="1" applyBorder="1" applyAlignment="1">
      <alignment vertical="center"/>
    </xf>
    <xf numFmtId="0" fontId="0" fillId="38" borderId="27" xfId="0" applyFont="1" applyFill="1" applyBorder="1" applyAlignment="1">
      <alignment vertical="center"/>
    </xf>
    <xf numFmtId="0" fontId="0" fillId="38" borderId="25" xfId="0" applyFont="1" applyFill="1" applyBorder="1" applyAlignment="1">
      <alignment vertical="center"/>
    </xf>
    <xf numFmtId="0" fontId="0" fillId="39" borderId="24" xfId="0" applyFont="1" applyFill="1" applyBorder="1" applyAlignment="1">
      <alignment vertical="center" wrapText="1"/>
    </xf>
    <xf numFmtId="0" fontId="0" fillId="39" borderId="24" xfId="0" applyFont="1" applyFill="1" applyBorder="1" applyAlignment="1">
      <alignment vertical="center"/>
    </xf>
    <xf numFmtId="0" fontId="0" fillId="36" borderId="24" xfId="0" applyFont="1" applyFill="1" applyBorder="1" applyAlignment="1">
      <alignment vertical="center"/>
    </xf>
    <xf numFmtId="0" fontId="58" fillId="37" borderId="2" xfId="0" applyFont="1" applyFill="1" applyBorder="1" applyAlignment="1">
      <alignment vertical="center"/>
    </xf>
    <xf numFmtId="0" fontId="61" fillId="0" borderId="2" xfId="0" applyFont="1" applyBorder="1"/>
    <xf numFmtId="0" fontId="0" fillId="39" borderId="2" xfId="0" applyFont="1" applyFill="1" applyBorder="1" applyAlignment="1">
      <alignment vertical="center"/>
    </xf>
    <xf numFmtId="0" fontId="57" fillId="33" borderId="33" xfId="0" applyFont="1" applyFill="1" applyBorder="1" applyAlignment="1">
      <alignment vertical="center"/>
    </xf>
    <xf numFmtId="0" fontId="57" fillId="33" borderId="34" xfId="0" applyFont="1" applyFill="1" applyBorder="1" applyAlignment="1">
      <alignment vertical="center"/>
    </xf>
    <xf numFmtId="0" fontId="60" fillId="7" borderId="7" xfId="0" applyFont="1" applyFill="1" applyBorder="1" applyAlignment="1">
      <alignment vertical="center"/>
    </xf>
    <xf numFmtId="0" fontId="58" fillId="0" borderId="7" xfId="0" applyFont="1" applyBorder="1" applyAlignment="1">
      <alignment vertical="center"/>
    </xf>
    <xf numFmtId="0" fontId="58" fillId="33" borderId="34" xfId="0" applyFont="1" applyFill="1" applyBorder="1" applyAlignment="1">
      <alignment vertical="center"/>
    </xf>
    <xf numFmtId="0" fontId="58" fillId="34" borderId="34" xfId="0" applyFont="1" applyFill="1" applyBorder="1" applyAlignment="1">
      <alignment vertical="center"/>
    </xf>
    <xf numFmtId="0" fontId="59" fillId="33" borderId="34" xfId="0" applyFont="1" applyFill="1" applyBorder="1" applyAlignment="1">
      <alignment vertical="center"/>
    </xf>
    <xf numFmtId="0" fontId="0" fillId="37" borderId="7" xfId="0" applyFont="1" applyFill="1" applyBorder="1" applyAlignment="1">
      <alignment horizontal="left" vertical="center" wrapText="1"/>
    </xf>
    <xf numFmtId="0" fontId="58" fillId="0" borderId="34" xfId="0" applyFont="1" applyFill="1" applyBorder="1" applyAlignment="1">
      <alignment vertical="center"/>
    </xf>
    <xf numFmtId="0" fontId="0" fillId="36" borderId="7" xfId="0" applyFont="1" applyFill="1" applyBorder="1" applyAlignment="1">
      <alignment vertical="center"/>
    </xf>
    <xf numFmtId="0" fontId="0" fillId="39" borderId="7" xfId="0" applyFont="1" applyFill="1" applyBorder="1" applyAlignment="1">
      <alignment vertical="center"/>
    </xf>
    <xf numFmtId="0" fontId="0" fillId="39" borderId="7" xfId="0" applyFont="1" applyFill="1" applyBorder="1" applyAlignment="1">
      <alignment vertical="center" wrapText="1"/>
    </xf>
    <xf numFmtId="0" fontId="58" fillId="37" borderId="35" xfId="0" applyFont="1" applyFill="1" applyBorder="1" applyAlignment="1">
      <alignment vertical="center"/>
    </xf>
    <xf numFmtId="0" fontId="61" fillId="0" borderId="35" xfId="0" applyFont="1" applyBorder="1"/>
    <xf numFmtId="0" fontId="0" fillId="39" borderId="35" xfId="0" applyFont="1" applyFill="1" applyBorder="1" applyAlignment="1">
      <alignment vertical="center"/>
    </xf>
    <xf numFmtId="56" fontId="16" fillId="14" borderId="7" xfId="0" applyNumberFormat="1" applyFont="1" applyFill="1" applyBorder="1" applyAlignment="1">
      <alignment horizontal="center" vertical="top"/>
    </xf>
    <xf numFmtId="0" fontId="0" fillId="0" borderId="0" xfId="0" applyAlignment="1">
      <alignment vertical="top"/>
    </xf>
    <xf numFmtId="38" fontId="16" fillId="0" borderId="7" xfId="628" applyFont="1" applyFill="1" applyBorder="1" applyAlignment="1">
      <alignment vertical="top" wrapText="1"/>
    </xf>
    <xf numFmtId="38" fontId="16" fillId="36" borderId="0" xfId="628" applyFont="1" applyFill="1" applyBorder="1" applyAlignment="1">
      <alignment vertical="top" wrapText="1"/>
    </xf>
    <xf numFmtId="0" fontId="0" fillId="0" borderId="10" xfId="0" applyBorder="1"/>
    <xf numFmtId="0" fontId="63" fillId="0" borderId="7" xfId="0" applyFont="1" applyFill="1" applyBorder="1" applyAlignment="1">
      <alignment vertical="center"/>
    </xf>
    <xf numFmtId="0" fontId="63" fillId="34" borderId="27" xfId="0" applyFont="1" applyFill="1" applyBorder="1" applyAlignment="1">
      <alignment vertical="center"/>
    </xf>
    <xf numFmtId="0" fontId="63" fillId="34" borderId="25" xfId="0" applyFont="1" applyFill="1" applyBorder="1" applyAlignment="1">
      <alignment vertical="center"/>
    </xf>
    <xf numFmtId="0" fontId="63" fillId="0" borderId="27" xfId="0" applyFont="1" applyFill="1" applyBorder="1" applyAlignment="1">
      <alignment vertical="center"/>
    </xf>
    <xf numFmtId="0" fontId="63" fillId="0" borderId="25" xfId="0" applyFont="1" applyFill="1" applyBorder="1" applyAlignment="1">
      <alignment vertical="center"/>
    </xf>
    <xf numFmtId="0" fontId="64" fillId="0" borderId="7" xfId="0" applyFont="1" applyFill="1" applyBorder="1" applyAlignment="1">
      <alignment horizontal="left" vertical="center"/>
    </xf>
    <xf numFmtId="0" fontId="64" fillId="0" borderId="7" xfId="0" applyFont="1" applyFill="1" applyBorder="1" applyAlignment="1">
      <alignment horizontal="left" vertical="center" wrapText="1"/>
    </xf>
    <xf numFmtId="0" fontId="64" fillId="3" borderId="7" xfId="0" applyFont="1" applyFill="1" applyBorder="1" applyAlignment="1">
      <alignment horizontal="left" vertical="center" wrapText="1"/>
    </xf>
    <xf numFmtId="0" fontId="64" fillId="3" borderId="7" xfId="0" applyFont="1" applyFill="1" applyBorder="1" applyAlignment="1">
      <alignment vertical="center"/>
    </xf>
    <xf numFmtId="14" fontId="64" fillId="0" borderId="7" xfId="0" applyNumberFormat="1" applyFont="1" applyFill="1" applyBorder="1" applyAlignment="1">
      <alignment horizontal="left" vertical="center"/>
    </xf>
    <xf numFmtId="0" fontId="64" fillId="0" borderId="7" xfId="0" applyFont="1" applyFill="1" applyBorder="1" applyAlignment="1">
      <alignment vertical="center"/>
    </xf>
    <xf numFmtId="0" fontId="66" fillId="33" borderId="7" xfId="0" applyFont="1" applyFill="1" applyBorder="1" applyAlignment="1">
      <alignment vertical="center"/>
    </xf>
    <xf numFmtId="0" fontId="63" fillId="33" borderId="7" xfId="0" applyFont="1" applyFill="1" applyBorder="1" applyAlignment="1">
      <alignment vertical="center"/>
    </xf>
    <xf numFmtId="0" fontId="66" fillId="33" borderId="24" xfId="0" applyFont="1" applyFill="1" applyBorder="1" applyAlignment="1">
      <alignment vertical="center"/>
    </xf>
    <xf numFmtId="0" fontId="63" fillId="33" borderId="23" xfId="0" applyFont="1" applyFill="1" applyBorder="1" applyAlignment="1">
      <alignment vertical="center"/>
    </xf>
    <xf numFmtId="0" fontId="63" fillId="33" borderId="24" xfId="0" applyFont="1" applyFill="1" applyBorder="1" applyAlignment="1">
      <alignment vertical="center"/>
    </xf>
    <xf numFmtId="0" fontId="66" fillId="33" borderId="23" xfId="0" applyFont="1" applyFill="1" applyBorder="1" applyAlignment="1">
      <alignment vertical="center"/>
    </xf>
    <xf numFmtId="0" fontId="63" fillId="38" borderId="23" xfId="0" applyFont="1" applyFill="1" applyBorder="1" applyAlignment="1">
      <alignment vertical="center"/>
    </xf>
    <xf numFmtId="0" fontId="63" fillId="38" borderId="7" xfId="0" applyFont="1" applyFill="1" applyBorder="1" applyAlignment="1">
      <alignment vertical="center"/>
    </xf>
    <xf numFmtId="0" fontId="63" fillId="38" borderId="25" xfId="0" applyFont="1" applyFill="1" applyBorder="1" applyAlignment="1">
      <alignment vertical="center"/>
    </xf>
    <xf numFmtId="0" fontId="63" fillId="38" borderId="27" xfId="0" applyFont="1" applyFill="1" applyBorder="1" applyAlignment="1">
      <alignment vertical="center"/>
    </xf>
    <xf numFmtId="0" fontId="63" fillId="34" borderId="23" xfId="0" applyFont="1" applyFill="1" applyBorder="1" applyAlignment="1">
      <alignment vertical="center"/>
    </xf>
    <xf numFmtId="0" fontId="63" fillId="34" borderId="7" xfId="0" applyFont="1" applyFill="1" applyBorder="1" applyAlignment="1">
      <alignment vertical="center"/>
    </xf>
    <xf numFmtId="0" fontId="67" fillId="33" borderId="23" xfId="0" applyFont="1" applyFill="1" applyBorder="1" applyAlignment="1">
      <alignment vertical="center"/>
    </xf>
    <xf numFmtId="0" fontId="67" fillId="33" borderId="7" xfId="0" applyFont="1" applyFill="1" applyBorder="1" applyAlignment="1">
      <alignment vertical="center"/>
    </xf>
    <xf numFmtId="0" fontId="67" fillId="33" borderId="24" xfId="0" applyFont="1" applyFill="1" applyBorder="1" applyAlignment="1">
      <alignment vertical="center"/>
    </xf>
    <xf numFmtId="0" fontId="63" fillId="0" borderId="12" xfId="0" applyFont="1" applyFill="1" applyBorder="1" applyAlignment="1">
      <alignment vertical="center"/>
    </xf>
    <xf numFmtId="0" fontId="63" fillId="33" borderId="34" xfId="0" applyFont="1" applyFill="1" applyBorder="1" applyAlignment="1">
      <alignment vertical="center"/>
    </xf>
    <xf numFmtId="0" fontId="63" fillId="34" borderId="34" xfId="0" applyFont="1" applyFill="1" applyBorder="1" applyAlignment="1">
      <alignment vertical="center"/>
    </xf>
    <xf numFmtId="0" fontId="67" fillId="33" borderId="34" xfId="0" applyFont="1" applyFill="1" applyBorder="1" applyAlignment="1">
      <alignment vertical="center"/>
    </xf>
    <xf numFmtId="0" fontId="63" fillId="0" borderId="34" xfId="0" applyFont="1" applyFill="1" applyBorder="1" applyAlignment="1">
      <alignment vertical="center"/>
    </xf>
    <xf numFmtId="0" fontId="68" fillId="33" borderId="7" xfId="0" applyFont="1" applyFill="1" applyBorder="1" applyAlignment="1">
      <alignment vertical="center"/>
    </xf>
    <xf numFmtId="0" fontId="62" fillId="33" borderId="7" xfId="0" applyFont="1" applyFill="1" applyBorder="1" applyAlignment="1">
      <alignment vertical="center"/>
    </xf>
    <xf numFmtId="0" fontId="62" fillId="38" borderId="7" xfId="0" applyFont="1" applyFill="1" applyBorder="1" applyAlignment="1">
      <alignment vertical="center"/>
    </xf>
    <xf numFmtId="0" fontId="62" fillId="34" borderId="7" xfId="0" applyFont="1" applyFill="1" applyBorder="1" applyAlignment="1">
      <alignment vertical="center"/>
    </xf>
    <xf numFmtId="0" fontId="69" fillId="33" borderId="7" xfId="0" applyFont="1" applyFill="1" applyBorder="1" applyAlignment="1">
      <alignment vertical="center"/>
    </xf>
    <xf numFmtId="0" fontId="60" fillId="7" borderId="35" xfId="0" applyFont="1" applyFill="1" applyBorder="1" applyAlignment="1">
      <alignment vertical="center"/>
    </xf>
    <xf numFmtId="0" fontId="0" fillId="0" borderId="0" xfId="0" applyFill="1" applyBorder="1"/>
    <xf numFmtId="0" fontId="64" fillId="0" borderId="7" xfId="0" applyFont="1" applyBorder="1" applyAlignment="1">
      <alignment vertical="center"/>
    </xf>
    <xf numFmtId="0" fontId="70" fillId="0" borderId="0" xfId="0" applyFont="1" applyAlignment="1">
      <alignment vertical="center"/>
    </xf>
    <xf numFmtId="0" fontId="62" fillId="6" borderId="7" xfId="0" applyFont="1" applyFill="1" applyBorder="1" applyAlignment="1">
      <alignment horizontal="center" vertical="center"/>
    </xf>
    <xf numFmtId="0" fontId="64" fillId="6" borderId="7" xfId="0" applyFont="1" applyFill="1" applyBorder="1" applyAlignment="1">
      <alignment horizontal="center" vertical="center"/>
    </xf>
    <xf numFmtId="0" fontId="64" fillId="3" borderId="7" xfId="0" applyFont="1" applyFill="1" applyBorder="1" applyAlignment="1">
      <alignment horizontal="center" vertical="center"/>
    </xf>
    <xf numFmtId="0" fontId="70" fillId="0" borderId="7" xfId="0" applyFont="1" applyBorder="1" applyAlignment="1">
      <alignment vertical="center"/>
    </xf>
    <xf numFmtId="0" fontId="64" fillId="0" borderId="7" xfId="0" applyFont="1" applyBorder="1" applyAlignment="1">
      <alignment vertical="center" wrapText="1"/>
    </xf>
    <xf numFmtId="0" fontId="65" fillId="0" borderId="7" xfId="0" applyFont="1" applyBorder="1"/>
    <xf numFmtId="0" fontId="64" fillId="37" borderId="7" xfId="0" applyFont="1" applyFill="1" applyBorder="1" applyAlignment="1">
      <alignment horizontal="left" vertical="center"/>
    </xf>
    <xf numFmtId="0" fontId="64" fillId="37" borderId="7" xfId="0" applyFont="1" applyFill="1" applyBorder="1" applyAlignment="1">
      <alignment horizontal="left" vertical="center" wrapText="1"/>
    </xf>
    <xf numFmtId="0" fontId="64" fillId="37" borderId="7" xfId="0" applyFont="1" applyFill="1" applyBorder="1" applyAlignment="1">
      <alignment vertical="center"/>
    </xf>
    <xf numFmtId="14" fontId="64" fillId="37" borderId="7" xfId="0" applyNumberFormat="1" applyFont="1" applyFill="1" applyBorder="1" applyAlignment="1">
      <alignment horizontal="left" vertical="center"/>
    </xf>
    <xf numFmtId="0" fontId="64" fillId="36" borderId="7" xfId="0" applyFont="1" applyFill="1" applyBorder="1" applyAlignment="1">
      <alignment horizontal="left" vertical="center"/>
    </xf>
    <xf numFmtId="0" fontId="64" fillId="36" borderId="7" xfId="0" applyFont="1" applyFill="1" applyBorder="1" applyAlignment="1">
      <alignment vertical="center" wrapText="1"/>
    </xf>
    <xf numFmtId="0" fontId="64" fillId="36" borderId="7" xfId="0" applyFont="1" applyFill="1" applyBorder="1" applyAlignment="1">
      <alignment vertical="center"/>
    </xf>
    <xf numFmtId="0" fontId="64" fillId="36" borderId="7" xfId="0" applyFont="1" applyFill="1" applyBorder="1" applyAlignment="1">
      <alignment horizontal="left" vertical="center" wrapText="1"/>
    </xf>
    <xf numFmtId="14" fontId="64" fillId="36" borderId="7" xfId="0" applyNumberFormat="1" applyFont="1" applyFill="1" applyBorder="1" applyAlignment="1">
      <alignment horizontal="left" vertical="center"/>
    </xf>
    <xf numFmtId="0" fontId="64" fillId="39" borderId="7" xfId="0" applyFont="1" applyFill="1" applyBorder="1" applyAlignment="1">
      <alignment horizontal="left" vertical="center"/>
    </xf>
    <xf numFmtId="0" fontId="64" fillId="39" borderId="7" xfId="0" applyFont="1" applyFill="1" applyBorder="1" applyAlignment="1">
      <alignment vertical="center" wrapText="1"/>
    </xf>
    <xf numFmtId="0" fontId="64" fillId="39" borderId="7" xfId="0" applyFont="1" applyFill="1" applyBorder="1" applyAlignment="1">
      <alignment vertical="center"/>
    </xf>
    <xf numFmtId="0" fontId="64" fillId="39" borderId="7" xfId="0" applyFont="1" applyFill="1" applyBorder="1" applyAlignment="1">
      <alignment horizontal="left" vertical="center" wrapText="1"/>
    </xf>
    <xf numFmtId="14" fontId="64" fillId="39" borderId="7" xfId="0" applyNumberFormat="1" applyFont="1" applyFill="1" applyBorder="1" applyAlignment="1">
      <alignment horizontal="left" vertical="center"/>
    </xf>
    <xf numFmtId="0" fontId="71" fillId="13" borderId="8" xfId="0" applyFont="1" applyFill="1" applyBorder="1"/>
    <xf numFmtId="0" fontId="72" fillId="36" borderId="8" xfId="0" applyFont="1" applyFill="1" applyBorder="1"/>
    <xf numFmtId="0" fontId="72" fillId="13" borderId="8" xfId="0" applyFont="1" applyFill="1" applyBorder="1"/>
    <xf numFmtId="0" fontId="71" fillId="0" borderId="8" xfId="0" applyFont="1" applyFill="1" applyBorder="1"/>
  </cellXfs>
  <cellStyles count="762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赤字強調" xfId="431"/>
    <cellStyle name="青字強調" xfId="430"/>
  </cellStyles>
  <dxfs count="9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38101</v>
          </cell>
        </row>
        <row r="184">
          <cell r="A184">
            <v>39001</v>
          </cell>
        </row>
        <row r="185">
          <cell r="A185">
            <v>39002</v>
          </cell>
        </row>
        <row r="186">
          <cell r="A186">
            <v>39003</v>
          </cell>
        </row>
        <row r="187">
          <cell r="A187">
            <v>39004</v>
          </cell>
        </row>
        <row r="188">
          <cell r="A188">
            <v>39005</v>
          </cell>
        </row>
        <row r="189">
          <cell r="A189">
            <v>39006</v>
          </cell>
        </row>
        <row r="190">
          <cell r="A190">
            <v>39007</v>
          </cell>
        </row>
        <row r="191">
          <cell r="A191">
            <v>39008</v>
          </cell>
        </row>
        <row r="192">
          <cell r="A192">
            <v>39009</v>
          </cell>
        </row>
        <row r="193">
          <cell r="A193">
            <v>39010</v>
          </cell>
        </row>
        <row r="194">
          <cell r="A194">
            <v>39011</v>
          </cell>
        </row>
        <row r="195">
          <cell r="A195">
            <v>39012</v>
          </cell>
        </row>
        <row r="196">
          <cell r="A196">
            <v>39013</v>
          </cell>
        </row>
        <row r="197">
          <cell r="A197">
            <v>39014</v>
          </cell>
        </row>
        <row r="198">
          <cell r="A198">
            <v>40001</v>
          </cell>
        </row>
        <row r="199">
          <cell r="A199">
            <v>40002</v>
          </cell>
        </row>
        <row r="200">
          <cell r="A200">
            <v>40003</v>
          </cell>
        </row>
        <row r="201">
          <cell r="A201">
            <v>40004</v>
          </cell>
        </row>
        <row r="202">
          <cell r="A202">
            <v>40005</v>
          </cell>
        </row>
        <row r="203">
          <cell r="A203">
            <v>40006</v>
          </cell>
        </row>
        <row r="204">
          <cell r="A204">
            <v>40007</v>
          </cell>
        </row>
        <row r="205">
          <cell r="A205">
            <v>40008</v>
          </cell>
        </row>
        <row r="206">
          <cell r="A206">
            <v>40009</v>
          </cell>
        </row>
        <row r="207">
          <cell r="A207">
            <v>40010</v>
          </cell>
        </row>
        <row r="208">
          <cell r="A208">
            <v>40011</v>
          </cell>
        </row>
        <row r="209">
          <cell r="A209">
            <v>40012</v>
          </cell>
        </row>
        <row r="210">
          <cell r="A210">
            <v>40013</v>
          </cell>
        </row>
        <row r="211">
          <cell r="A211">
            <v>40014</v>
          </cell>
        </row>
        <row r="212">
          <cell r="A212">
            <v>40015</v>
          </cell>
        </row>
        <row r="213">
          <cell r="A213">
            <v>40016</v>
          </cell>
        </row>
        <row r="214">
          <cell r="A214">
            <v>40017</v>
          </cell>
        </row>
        <row r="215">
          <cell r="A215">
            <v>40018</v>
          </cell>
        </row>
        <row r="216">
          <cell r="A216">
            <v>40019</v>
          </cell>
        </row>
        <row r="217">
          <cell r="A217">
            <v>40021</v>
          </cell>
        </row>
        <row r="218">
          <cell r="A218">
            <v>40022</v>
          </cell>
        </row>
        <row r="219">
          <cell r="A219">
            <v>40023</v>
          </cell>
        </row>
        <row r="220">
          <cell r="A220">
            <v>40024</v>
          </cell>
        </row>
        <row r="221">
          <cell r="A221">
            <v>40025</v>
          </cell>
        </row>
        <row r="222">
          <cell r="A222">
            <v>40026</v>
          </cell>
        </row>
        <row r="223">
          <cell r="A223">
            <v>40027</v>
          </cell>
        </row>
        <row r="224">
          <cell r="A224">
            <v>40028</v>
          </cell>
        </row>
        <row r="225">
          <cell r="A225">
            <v>40029</v>
          </cell>
        </row>
        <row r="226">
          <cell r="A226">
            <v>40030</v>
          </cell>
        </row>
        <row r="227">
          <cell r="A227">
            <v>40031</v>
          </cell>
        </row>
        <row r="228">
          <cell r="A228">
            <v>40032</v>
          </cell>
        </row>
        <row r="229">
          <cell r="A229">
            <v>40033</v>
          </cell>
        </row>
        <row r="230">
          <cell r="A230">
            <v>40034</v>
          </cell>
        </row>
        <row r="231">
          <cell r="A231">
            <v>40035</v>
          </cell>
        </row>
        <row r="232">
          <cell r="A232">
            <v>40036</v>
          </cell>
        </row>
        <row r="233">
          <cell r="A233">
            <v>40037</v>
          </cell>
        </row>
        <row r="234">
          <cell r="A234">
            <v>40038</v>
          </cell>
        </row>
        <row r="235">
          <cell r="A235">
            <v>40039</v>
          </cell>
        </row>
        <row r="236">
          <cell r="A236">
            <v>40040</v>
          </cell>
        </row>
        <row r="237">
          <cell r="A237">
            <v>40041</v>
          </cell>
        </row>
        <row r="238">
          <cell r="A238">
            <v>40042</v>
          </cell>
        </row>
        <row r="239">
          <cell r="A239">
            <v>40043</v>
          </cell>
        </row>
        <row r="240">
          <cell r="A240">
            <v>40044</v>
          </cell>
        </row>
        <row r="241">
          <cell r="A241">
            <v>40045</v>
          </cell>
        </row>
        <row r="242">
          <cell r="A242">
            <v>40046</v>
          </cell>
        </row>
        <row r="243">
          <cell r="A243">
            <v>48001</v>
          </cell>
        </row>
        <row r="244">
          <cell r="A244">
            <v>48002</v>
          </cell>
        </row>
        <row r="245">
          <cell r="A245">
            <v>48003</v>
          </cell>
        </row>
        <row r="246">
          <cell r="A246">
            <v>48004</v>
          </cell>
        </row>
        <row r="247">
          <cell r="A247">
            <v>48005</v>
          </cell>
        </row>
        <row r="248">
          <cell r="A248">
            <v>48006</v>
          </cell>
        </row>
        <row r="249">
          <cell r="A249">
            <v>48007</v>
          </cell>
        </row>
        <row r="250">
          <cell r="A250">
            <v>48008</v>
          </cell>
        </row>
        <row r="251">
          <cell r="A251">
            <v>48009</v>
          </cell>
        </row>
        <row r="252">
          <cell r="A252">
            <v>48010</v>
          </cell>
        </row>
        <row r="253">
          <cell r="A253">
            <v>48011</v>
          </cell>
        </row>
        <row r="254">
          <cell r="A254">
            <v>48012</v>
          </cell>
        </row>
        <row r="255">
          <cell r="A255">
            <v>48013</v>
          </cell>
        </row>
        <row r="256">
          <cell r="A256">
            <v>48014</v>
          </cell>
        </row>
        <row r="257">
          <cell r="A257">
            <v>48015</v>
          </cell>
        </row>
        <row r="258">
          <cell r="A258">
            <v>48016</v>
          </cell>
        </row>
        <row r="259">
          <cell r="A259">
            <v>48101</v>
          </cell>
        </row>
        <row r="260">
          <cell r="A260">
            <v>48501</v>
          </cell>
        </row>
        <row r="261">
          <cell r="A261">
            <v>48502</v>
          </cell>
        </row>
        <row r="262">
          <cell r="A262">
            <v>48503</v>
          </cell>
        </row>
        <row r="263">
          <cell r="A263">
            <v>48504</v>
          </cell>
        </row>
        <row r="264">
          <cell r="A264">
            <v>48701</v>
          </cell>
        </row>
        <row r="265">
          <cell r="A265">
            <v>48702</v>
          </cell>
        </row>
        <row r="266">
          <cell r="A266">
            <v>48703</v>
          </cell>
        </row>
        <row r="267">
          <cell r="A267">
            <v>41001</v>
          </cell>
        </row>
        <row r="268">
          <cell r="A268">
            <v>41002</v>
          </cell>
        </row>
        <row r="269">
          <cell r="A269">
            <v>41003</v>
          </cell>
        </row>
        <row r="270">
          <cell r="A270">
            <v>41004</v>
          </cell>
        </row>
        <row r="271">
          <cell r="A271">
            <v>41005</v>
          </cell>
        </row>
        <row r="272">
          <cell r="A272">
            <v>41006</v>
          </cell>
        </row>
        <row r="273">
          <cell r="A273">
            <v>41007</v>
          </cell>
        </row>
        <row r="274">
          <cell r="A274">
            <v>41008</v>
          </cell>
        </row>
        <row r="275">
          <cell r="A275">
            <v>41009</v>
          </cell>
        </row>
        <row r="276">
          <cell r="A276">
            <v>41010</v>
          </cell>
        </row>
        <row r="277">
          <cell r="A277">
            <v>41011</v>
          </cell>
        </row>
        <row r="278">
          <cell r="A278">
            <v>41012</v>
          </cell>
        </row>
        <row r="279">
          <cell r="A279">
            <v>41013</v>
          </cell>
        </row>
        <row r="280">
          <cell r="A280">
            <v>41014</v>
          </cell>
        </row>
        <row r="281">
          <cell r="A281">
            <v>41015</v>
          </cell>
        </row>
        <row r="282">
          <cell r="A282">
            <v>47001</v>
          </cell>
        </row>
        <row r="283">
          <cell r="A283">
            <v>47002</v>
          </cell>
        </row>
        <row r="284">
          <cell r="A284">
            <v>47003</v>
          </cell>
        </row>
        <row r="285">
          <cell r="A285">
            <v>47004</v>
          </cell>
        </row>
        <row r="286">
          <cell r="A286">
            <v>47005</v>
          </cell>
        </row>
        <row r="287">
          <cell r="A287">
            <v>47006</v>
          </cell>
        </row>
        <row r="288">
          <cell r="A288">
            <v>47007</v>
          </cell>
        </row>
        <row r="289">
          <cell r="A289">
            <v>47008</v>
          </cell>
        </row>
        <row r="290">
          <cell r="A290">
            <v>47009</v>
          </cell>
        </row>
        <row r="291">
          <cell r="A291">
            <v>47010</v>
          </cell>
        </row>
        <row r="292">
          <cell r="A292">
            <v>47011</v>
          </cell>
        </row>
        <row r="293">
          <cell r="A293">
            <v>47012</v>
          </cell>
        </row>
        <row r="294">
          <cell r="A294">
            <v>47013</v>
          </cell>
        </row>
        <row r="295">
          <cell r="A295">
            <v>47014</v>
          </cell>
        </row>
        <row r="296">
          <cell r="A296">
            <v>47015</v>
          </cell>
        </row>
        <row r="297">
          <cell r="A297">
            <v>47016</v>
          </cell>
        </row>
        <row r="298">
          <cell r="A298">
            <v>49001</v>
          </cell>
        </row>
        <row r="299">
          <cell r="A299">
            <v>49002</v>
          </cell>
        </row>
        <row r="300">
          <cell r="A300">
            <v>49003</v>
          </cell>
        </row>
        <row r="301">
          <cell r="A301">
            <v>49004</v>
          </cell>
        </row>
        <row r="302">
          <cell r="A302">
            <v>49005</v>
          </cell>
        </row>
        <row r="303">
          <cell r="A303">
            <v>49006</v>
          </cell>
        </row>
        <row r="304">
          <cell r="A304">
            <v>49007</v>
          </cell>
        </row>
        <row r="305">
          <cell r="A305">
            <v>49008</v>
          </cell>
        </row>
        <row r="306">
          <cell r="A306">
            <v>49009</v>
          </cell>
        </row>
        <row r="307">
          <cell r="A307">
            <v>49010</v>
          </cell>
        </row>
        <row r="308">
          <cell r="A308">
            <v>49011</v>
          </cell>
        </row>
        <row r="309">
          <cell r="A309">
            <v>49012</v>
          </cell>
        </row>
        <row r="310">
          <cell r="A310">
            <v>49013</v>
          </cell>
        </row>
        <row r="311">
          <cell r="A311">
            <v>49014</v>
          </cell>
        </row>
        <row r="312">
          <cell r="A312">
            <v>49015</v>
          </cell>
        </row>
        <row r="313">
          <cell r="A313">
            <v>49016</v>
          </cell>
        </row>
        <row r="314">
          <cell r="A314">
            <v>50001</v>
          </cell>
        </row>
        <row r="315">
          <cell r="A315">
            <v>50002</v>
          </cell>
        </row>
        <row r="316">
          <cell r="A316">
            <v>50003</v>
          </cell>
        </row>
        <row r="317">
          <cell r="A317">
            <v>50004</v>
          </cell>
        </row>
        <row r="318">
          <cell r="A318">
            <v>50005</v>
          </cell>
        </row>
        <row r="319">
          <cell r="A319">
            <v>50006</v>
          </cell>
        </row>
        <row r="320">
          <cell r="A320">
            <v>50007</v>
          </cell>
        </row>
        <row r="321">
          <cell r="A321">
            <v>50008</v>
          </cell>
        </row>
        <row r="322">
          <cell r="A322">
            <v>50009</v>
          </cell>
        </row>
        <row r="323">
          <cell r="A323">
            <v>50010</v>
          </cell>
        </row>
        <row r="324">
          <cell r="A324">
            <v>50011</v>
          </cell>
        </row>
        <row r="325">
          <cell r="A325">
            <v>50012</v>
          </cell>
        </row>
        <row r="326">
          <cell r="A326">
            <v>50013</v>
          </cell>
        </row>
        <row r="327">
          <cell r="A327">
            <v>50014</v>
          </cell>
        </row>
        <row r="328">
          <cell r="A328">
            <v>50015</v>
          </cell>
        </row>
        <row r="329">
          <cell r="A329">
            <v>50016</v>
          </cell>
        </row>
        <row r="330">
          <cell r="A330">
            <v>51001</v>
          </cell>
        </row>
        <row r="331">
          <cell r="A331">
            <v>51002</v>
          </cell>
        </row>
        <row r="332">
          <cell r="A332">
            <v>58001</v>
          </cell>
        </row>
        <row r="333">
          <cell r="A333">
            <v>58002</v>
          </cell>
        </row>
        <row r="334">
          <cell r="A334">
            <v>58003</v>
          </cell>
        </row>
        <row r="335">
          <cell r="A335">
            <v>58101</v>
          </cell>
        </row>
        <row r="336">
          <cell r="A336">
            <v>59001</v>
          </cell>
        </row>
        <row r="337">
          <cell r="A337">
            <v>59002</v>
          </cell>
        </row>
        <row r="338">
          <cell r="A338">
            <v>59003</v>
          </cell>
        </row>
        <row r="339">
          <cell r="A339">
            <v>60001</v>
          </cell>
        </row>
        <row r="340">
          <cell r="A340">
            <v>60002</v>
          </cell>
        </row>
        <row r="341">
          <cell r="A341">
            <v>60003</v>
          </cell>
        </row>
        <row r="342">
          <cell r="A342">
            <v>60004</v>
          </cell>
        </row>
        <row r="343">
          <cell r="A343">
            <v>60005</v>
          </cell>
        </row>
        <row r="344">
          <cell r="A344">
            <v>60006</v>
          </cell>
        </row>
        <row r="345">
          <cell r="A345">
            <v>60007</v>
          </cell>
        </row>
        <row r="346">
          <cell r="A346">
            <v>60010</v>
          </cell>
        </row>
        <row r="347">
          <cell r="A347">
            <v>60011</v>
          </cell>
        </row>
        <row r="348">
          <cell r="A348">
            <v>61011</v>
          </cell>
        </row>
        <row r="349">
          <cell r="A349">
            <v>60012</v>
          </cell>
        </row>
        <row r="350">
          <cell r="A350">
            <v>60013</v>
          </cell>
        </row>
        <row r="351">
          <cell r="A351">
            <v>60014</v>
          </cell>
        </row>
        <row r="352">
          <cell r="A352">
            <v>60015</v>
          </cell>
        </row>
        <row r="353">
          <cell r="A353">
            <v>60016</v>
          </cell>
        </row>
        <row r="354">
          <cell r="A354">
            <v>60017</v>
          </cell>
        </row>
        <row r="355">
          <cell r="A355">
            <v>60018</v>
          </cell>
        </row>
        <row r="356">
          <cell r="A356">
            <v>60019</v>
          </cell>
        </row>
        <row r="357">
          <cell r="A357">
            <v>60020</v>
          </cell>
        </row>
        <row r="358">
          <cell r="A358">
            <v>60025</v>
          </cell>
        </row>
        <row r="359">
          <cell r="A359">
            <v>60026</v>
          </cell>
        </row>
        <row r="360">
          <cell r="A360">
            <v>60027</v>
          </cell>
        </row>
        <row r="361">
          <cell r="A361">
            <v>60028</v>
          </cell>
        </row>
        <row r="362">
          <cell r="A362">
            <v>60029</v>
          </cell>
        </row>
        <row r="363">
          <cell r="A363">
            <v>60030</v>
          </cell>
        </row>
        <row r="364">
          <cell r="A364">
            <v>60031</v>
          </cell>
        </row>
        <row r="365">
          <cell r="A365">
            <v>60032</v>
          </cell>
        </row>
        <row r="366">
          <cell r="A366">
            <v>61001</v>
          </cell>
        </row>
        <row r="367">
          <cell r="A367">
            <v>65523</v>
          </cell>
        </row>
        <row r="368">
          <cell r="A368">
            <v>65524</v>
          </cell>
        </row>
        <row r="369">
          <cell r="A369">
            <v>65525</v>
          </cell>
        </row>
        <row r="370">
          <cell r="A370">
            <v>65526</v>
          </cell>
        </row>
        <row r="371">
          <cell r="A371">
            <v>65527</v>
          </cell>
        </row>
        <row r="372">
          <cell r="A372">
            <v>65528</v>
          </cell>
        </row>
        <row r="373">
          <cell r="A373">
            <v>65529</v>
          </cell>
        </row>
        <row r="374">
          <cell r="A374">
            <v>65530</v>
          </cell>
        </row>
        <row r="375">
          <cell r="A375">
            <v>65531</v>
          </cell>
        </row>
        <row r="376">
          <cell r="A376">
            <v>65532</v>
          </cell>
        </row>
        <row r="377">
          <cell r="A377">
            <v>65533</v>
          </cell>
        </row>
        <row r="378">
          <cell r="A378">
            <v>65534</v>
          </cell>
        </row>
        <row r="379">
          <cell r="A379">
            <v>65535</v>
          </cell>
        </row>
        <row r="380">
          <cell r="A380">
            <v>60021</v>
          </cell>
        </row>
        <row r="381">
          <cell r="A381">
            <v>60022</v>
          </cell>
        </row>
        <row r="382">
          <cell r="A382">
            <v>60023</v>
          </cell>
        </row>
        <row r="383">
          <cell r="A383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38101_1</v>
          </cell>
        </row>
        <row r="668">
          <cell r="A668" t="str">
            <v>38101_2</v>
          </cell>
        </row>
        <row r="669">
          <cell r="A669" t="str">
            <v>38101_3</v>
          </cell>
        </row>
        <row r="670">
          <cell r="A670" t="str">
            <v>39001_1</v>
          </cell>
        </row>
        <row r="671">
          <cell r="A671" t="str">
            <v>39001_2</v>
          </cell>
        </row>
        <row r="672">
          <cell r="A672" t="str">
            <v>39001_3</v>
          </cell>
        </row>
        <row r="673">
          <cell r="A673" t="str">
            <v>39001_4</v>
          </cell>
        </row>
        <row r="674">
          <cell r="A674" t="str">
            <v>39001_5</v>
          </cell>
        </row>
        <row r="675">
          <cell r="A675" t="str">
            <v>39002_1</v>
          </cell>
        </row>
        <row r="676">
          <cell r="A676" t="str">
            <v>39002_2</v>
          </cell>
        </row>
        <row r="677">
          <cell r="A677" t="str">
            <v>39002_3</v>
          </cell>
        </row>
        <row r="678">
          <cell r="A678" t="str">
            <v>39002_4</v>
          </cell>
        </row>
        <row r="679">
          <cell r="A679" t="str">
            <v>39003_1</v>
          </cell>
        </row>
        <row r="680">
          <cell r="A680" t="str">
            <v>39003_2</v>
          </cell>
        </row>
        <row r="681">
          <cell r="A681" t="str">
            <v>39003_3</v>
          </cell>
        </row>
        <row r="682">
          <cell r="A682" t="str">
            <v>39003_4</v>
          </cell>
        </row>
        <row r="683">
          <cell r="A683" t="str">
            <v>39004_1</v>
          </cell>
        </row>
        <row r="684">
          <cell r="A684" t="str">
            <v>39004_2</v>
          </cell>
        </row>
        <row r="685">
          <cell r="A685" t="str">
            <v>39004_3</v>
          </cell>
        </row>
        <row r="686">
          <cell r="A686" t="str">
            <v>39004_4</v>
          </cell>
        </row>
        <row r="687">
          <cell r="A687" t="str">
            <v>39005_1</v>
          </cell>
        </row>
        <row r="688">
          <cell r="A688" t="str">
            <v>39005_2</v>
          </cell>
        </row>
        <row r="689">
          <cell r="A689" t="str">
            <v>39005_3</v>
          </cell>
        </row>
        <row r="690">
          <cell r="A690" t="str">
            <v>39005_4</v>
          </cell>
        </row>
        <row r="691">
          <cell r="A691" t="str">
            <v>39005_5</v>
          </cell>
        </row>
        <row r="692">
          <cell r="A692" t="str">
            <v>39006_1</v>
          </cell>
        </row>
        <row r="693">
          <cell r="A693" t="str">
            <v>39006_2</v>
          </cell>
        </row>
        <row r="694">
          <cell r="A694" t="str">
            <v>39006_3</v>
          </cell>
        </row>
        <row r="695">
          <cell r="A695" t="str">
            <v>39006_4</v>
          </cell>
        </row>
        <row r="696">
          <cell r="A696" t="str">
            <v>39007_1</v>
          </cell>
        </row>
        <row r="697">
          <cell r="A697" t="str">
            <v>39007_2</v>
          </cell>
        </row>
        <row r="698">
          <cell r="A698" t="str">
            <v>39007_3</v>
          </cell>
        </row>
        <row r="699">
          <cell r="A699" t="str">
            <v>39007_4</v>
          </cell>
        </row>
        <row r="700">
          <cell r="A700" t="str">
            <v>39008_1</v>
          </cell>
        </row>
        <row r="701">
          <cell r="A701" t="str">
            <v>39008_2</v>
          </cell>
        </row>
        <row r="702">
          <cell r="A702" t="str">
            <v>39008_3</v>
          </cell>
        </row>
        <row r="703">
          <cell r="A703" t="str">
            <v>39008_4</v>
          </cell>
        </row>
        <row r="704">
          <cell r="A704" t="str">
            <v>39008_5</v>
          </cell>
        </row>
        <row r="705">
          <cell r="A705" t="str">
            <v>39009_1</v>
          </cell>
        </row>
        <row r="706">
          <cell r="A706" t="str">
            <v>39009_2</v>
          </cell>
        </row>
        <row r="707">
          <cell r="A707" t="str">
            <v>39009_3</v>
          </cell>
        </row>
        <row r="708">
          <cell r="A708" t="str">
            <v>39009_4</v>
          </cell>
        </row>
        <row r="709">
          <cell r="A709" t="str">
            <v>39009_5</v>
          </cell>
        </row>
        <row r="710">
          <cell r="A710" t="str">
            <v>39010_1</v>
          </cell>
        </row>
        <row r="711">
          <cell r="A711" t="str">
            <v>39010_2</v>
          </cell>
        </row>
        <row r="712">
          <cell r="A712" t="str">
            <v>39010_3</v>
          </cell>
        </row>
        <row r="713">
          <cell r="A713" t="str">
            <v>39010_4</v>
          </cell>
        </row>
        <row r="714">
          <cell r="A714" t="str">
            <v>39011_1</v>
          </cell>
        </row>
        <row r="715">
          <cell r="A715" t="str">
            <v>39011_2</v>
          </cell>
        </row>
        <row r="716">
          <cell r="A716" t="str">
            <v>39011_3</v>
          </cell>
        </row>
        <row r="717">
          <cell r="A717" t="str">
            <v>39011_4</v>
          </cell>
        </row>
        <row r="718">
          <cell r="A718" t="str">
            <v>39012_1</v>
          </cell>
        </row>
        <row r="719">
          <cell r="A719" t="str">
            <v>39012_2</v>
          </cell>
        </row>
        <row r="720">
          <cell r="A720" t="str">
            <v>39012_3</v>
          </cell>
        </row>
        <row r="721">
          <cell r="A721" t="str">
            <v>39012_4</v>
          </cell>
        </row>
        <row r="722">
          <cell r="A722" t="str">
            <v>39012_5</v>
          </cell>
        </row>
        <row r="723">
          <cell r="A723" t="str">
            <v>39013_1</v>
          </cell>
        </row>
        <row r="724">
          <cell r="A724" t="str">
            <v>39013_2</v>
          </cell>
        </row>
        <row r="725">
          <cell r="A725" t="str">
            <v>39013_3</v>
          </cell>
        </row>
        <row r="726">
          <cell r="A726" t="str">
            <v>39013_4</v>
          </cell>
        </row>
        <row r="727">
          <cell r="A727" t="str">
            <v>39014_1</v>
          </cell>
        </row>
        <row r="728">
          <cell r="A728" t="str">
            <v>39014_2</v>
          </cell>
        </row>
        <row r="729">
          <cell r="A729" t="str">
            <v>40001_1</v>
          </cell>
        </row>
        <row r="730">
          <cell r="A730" t="str">
            <v>40002_1</v>
          </cell>
        </row>
        <row r="731">
          <cell r="A731" t="str">
            <v>40002_2</v>
          </cell>
        </row>
        <row r="732">
          <cell r="A732" t="str">
            <v>40002_3</v>
          </cell>
        </row>
        <row r="733">
          <cell r="A733" t="str">
            <v>40003_1</v>
          </cell>
        </row>
        <row r="734">
          <cell r="A734" t="str">
            <v>40004_1</v>
          </cell>
        </row>
        <row r="735">
          <cell r="A735" t="str">
            <v>40005_1</v>
          </cell>
        </row>
        <row r="736">
          <cell r="A736" t="str">
            <v>40006_1</v>
          </cell>
        </row>
        <row r="737">
          <cell r="A737" t="str">
            <v>40007_1</v>
          </cell>
        </row>
        <row r="738">
          <cell r="A738" t="str">
            <v>40008_1</v>
          </cell>
        </row>
        <row r="739">
          <cell r="A739" t="str">
            <v>40009_1</v>
          </cell>
        </row>
        <row r="740">
          <cell r="A740" t="str">
            <v>40010_1</v>
          </cell>
        </row>
        <row r="741">
          <cell r="A741" t="str">
            <v>40011_1</v>
          </cell>
        </row>
        <row r="742">
          <cell r="A742" t="str">
            <v>40012_1</v>
          </cell>
        </row>
        <row r="743">
          <cell r="A743" t="str">
            <v>40013_1</v>
          </cell>
        </row>
        <row r="744">
          <cell r="A744" t="str">
            <v>40014_1</v>
          </cell>
        </row>
        <row r="745">
          <cell r="A745" t="str">
            <v>40015_1</v>
          </cell>
        </row>
        <row r="746">
          <cell r="A746" t="str">
            <v>40016_1</v>
          </cell>
        </row>
        <row r="747">
          <cell r="A747" t="str">
            <v>40016_2</v>
          </cell>
        </row>
        <row r="748">
          <cell r="A748" t="str">
            <v>40017_1</v>
          </cell>
        </row>
        <row r="749">
          <cell r="A749" t="str">
            <v>40017_2</v>
          </cell>
        </row>
        <row r="750">
          <cell r="A750" t="str">
            <v>40017_3</v>
          </cell>
        </row>
        <row r="751">
          <cell r="A751" t="str">
            <v>40018_1</v>
          </cell>
        </row>
        <row r="752">
          <cell r="A752" t="str">
            <v>40018_2</v>
          </cell>
        </row>
        <row r="753">
          <cell r="A753" t="str">
            <v>40018_3</v>
          </cell>
        </row>
        <row r="754">
          <cell r="A754" t="str">
            <v>40019_1</v>
          </cell>
        </row>
        <row r="755">
          <cell r="A755" t="str">
            <v>40019_2</v>
          </cell>
        </row>
        <row r="756">
          <cell r="A756" t="str">
            <v>40019_3</v>
          </cell>
        </row>
        <row r="757">
          <cell r="A757" t="str">
            <v>40021_1</v>
          </cell>
        </row>
        <row r="758">
          <cell r="A758" t="str">
            <v>40021_2</v>
          </cell>
        </row>
        <row r="759">
          <cell r="A759" t="str">
            <v>40022_1</v>
          </cell>
        </row>
        <row r="760">
          <cell r="A760" t="str">
            <v>40022_2</v>
          </cell>
        </row>
        <row r="761">
          <cell r="A761" t="str">
            <v>40023_1</v>
          </cell>
        </row>
        <row r="762">
          <cell r="A762" t="str">
            <v>40023_2</v>
          </cell>
        </row>
        <row r="763">
          <cell r="A763" t="str">
            <v>40024_1</v>
          </cell>
        </row>
        <row r="764">
          <cell r="A764" t="str">
            <v>40024_2</v>
          </cell>
        </row>
        <row r="765">
          <cell r="A765" t="str">
            <v>40025_1</v>
          </cell>
        </row>
        <row r="766">
          <cell r="A766" t="str">
            <v>40025_2</v>
          </cell>
        </row>
        <row r="767">
          <cell r="A767" t="str">
            <v>40026_1</v>
          </cell>
        </row>
        <row r="768">
          <cell r="A768" t="str">
            <v>40026_2</v>
          </cell>
        </row>
        <row r="769">
          <cell r="A769" t="str">
            <v>40027_1</v>
          </cell>
        </row>
        <row r="770">
          <cell r="A770" t="str">
            <v>40027_2</v>
          </cell>
        </row>
        <row r="771">
          <cell r="A771" t="str">
            <v>40028_1</v>
          </cell>
        </row>
        <row r="772">
          <cell r="A772" t="str">
            <v>40028_2</v>
          </cell>
        </row>
        <row r="773">
          <cell r="A773" t="str">
            <v>40029_1</v>
          </cell>
        </row>
        <row r="774">
          <cell r="A774" t="str">
            <v>40029_2</v>
          </cell>
        </row>
        <row r="775">
          <cell r="A775" t="str">
            <v>40030_1</v>
          </cell>
        </row>
        <row r="776">
          <cell r="A776" t="str">
            <v>40030_2</v>
          </cell>
        </row>
        <row r="777">
          <cell r="A777" t="str">
            <v>40031_1</v>
          </cell>
        </row>
        <row r="778">
          <cell r="A778" t="str">
            <v>40031_2</v>
          </cell>
        </row>
        <row r="779">
          <cell r="A779" t="str">
            <v>40032_1</v>
          </cell>
        </row>
        <row r="780">
          <cell r="A780" t="str">
            <v>40032_2</v>
          </cell>
        </row>
        <row r="781">
          <cell r="A781" t="str">
            <v>40033_1</v>
          </cell>
        </row>
        <row r="782">
          <cell r="A782" t="str">
            <v>40033_2</v>
          </cell>
        </row>
        <row r="783">
          <cell r="A783" t="str">
            <v>40034_1</v>
          </cell>
        </row>
        <row r="784">
          <cell r="A784" t="str">
            <v>40034_2</v>
          </cell>
        </row>
        <row r="785">
          <cell r="A785" t="str">
            <v>40035_1</v>
          </cell>
        </row>
        <row r="786">
          <cell r="A786" t="str">
            <v>40035_2</v>
          </cell>
        </row>
        <row r="787">
          <cell r="A787" t="str">
            <v>40036_1</v>
          </cell>
        </row>
        <row r="788">
          <cell r="A788" t="str">
            <v>40036_2</v>
          </cell>
        </row>
        <row r="789">
          <cell r="A789" t="str">
            <v>40037_1</v>
          </cell>
        </row>
        <row r="790">
          <cell r="A790" t="str">
            <v>40037_2</v>
          </cell>
        </row>
        <row r="791">
          <cell r="A791" t="str">
            <v>40038_1</v>
          </cell>
        </row>
        <row r="792">
          <cell r="A792" t="str">
            <v>40038_2</v>
          </cell>
        </row>
        <row r="793">
          <cell r="A793" t="str">
            <v>40039_1</v>
          </cell>
        </row>
        <row r="794">
          <cell r="A794" t="str">
            <v>40039_2</v>
          </cell>
        </row>
        <row r="795">
          <cell r="A795" t="str">
            <v>40040_1</v>
          </cell>
        </row>
        <row r="796">
          <cell r="A796" t="str">
            <v>40040_2</v>
          </cell>
        </row>
        <row r="797">
          <cell r="A797" t="str">
            <v>40041_1</v>
          </cell>
        </row>
        <row r="798">
          <cell r="A798" t="str">
            <v>40041_2</v>
          </cell>
        </row>
        <row r="799">
          <cell r="A799" t="str">
            <v>40042_1</v>
          </cell>
        </row>
        <row r="800">
          <cell r="A800" t="str">
            <v>40042_2</v>
          </cell>
        </row>
        <row r="801">
          <cell r="A801" t="str">
            <v>40043_1</v>
          </cell>
        </row>
        <row r="802">
          <cell r="A802" t="str">
            <v>40043_2</v>
          </cell>
        </row>
        <row r="803">
          <cell r="A803" t="str">
            <v>40044_1</v>
          </cell>
        </row>
        <row r="804">
          <cell r="A804" t="str">
            <v>40044_2</v>
          </cell>
        </row>
        <row r="805">
          <cell r="A805" t="str">
            <v>40045_1</v>
          </cell>
        </row>
        <row r="806">
          <cell r="A806" t="str">
            <v>40045_2</v>
          </cell>
        </row>
        <row r="807">
          <cell r="A807" t="str">
            <v>40046_1</v>
          </cell>
        </row>
        <row r="808">
          <cell r="A808" t="str">
            <v>40046_2</v>
          </cell>
        </row>
        <row r="809">
          <cell r="A809" t="str">
            <v>41001_1</v>
          </cell>
        </row>
        <row r="810">
          <cell r="A810" t="str">
            <v>41001_2</v>
          </cell>
        </row>
        <row r="811">
          <cell r="A811" t="str">
            <v>41001_3</v>
          </cell>
        </row>
        <row r="812">
          <cell r="A812" t="str">
            <v>41001_4</v>
          </cell>
        </row>
        <row r="813">
          <cell r="A813" t="str">
            <v>41002_1</v>
          </cell>
        </row>
        <row r="814">
          <cell r="A814" t="str">
            <v>41002_2</v>
          </cell>
        </row>
        <row r="815">
          <cell r="A815" t="str">
            <v>41002_3</v>
          </cell>
        </row>
        <row r="816">
          <cell r="A816" t="str">
            <v>41002_4</v>
          </cell>
        </row>
        <row r="817">
          <cell r="A817" t="str">
            <v>41003_1</v>
          </cell>
        </row>
        <row r="818">
          <cell r="A818" t="str">
            <v>41003_2</v>
          </cell>
        </row>
        <row r="819">
          <cell r="A819" t="str">
            <v>41003_3</v>
          </cell>
        </row>
        <row r="820">
          <cell r="A820" t="str">
            <v>41003_4</v>
          </cell>
        </row>
        <row r="821">
          <cell r="A821" t="str">
            <v>41004_1</v>
          </cell>
        </row>
        <row r="822">
          <cell r="A822" t="str">
            <v>41004_2</v>
          </cell>
        </row>
        <row r="823">
          <cell r="A823" t="str">
            <v>41004_3</v>
          </cell>
        </row>
        <row r="824">
          <cell r="A824" t="str">
            <v>41005_1</v>
          </cell>
        </row>
        <row r="825">
          <cell r="A825" t="str">
            <v>41005_2</v>
          </cell>
        </row>
        <row r="826">
          <cell r="A826" t="str">
            <v>41005_3</v>
          </cell>
        </row>
        <row r="827">
          <cell r="A827" t="str">
            <v>41006_1</v>
          </cell>
        </row>
        <row r="828">
          <cell r="A828" t="str">
            <v>41006_2</v>
          </cell>
        </row>
        <row r="829">
          <cell r="A829" t="str">
            <v>41006_3</v>
          </cell>
        </row>
        <row r="830">
          <cell r="A830" t="str">
            <v>41007_1</v>
          </cell>
        </row>
        <row r="831">
          <cell r="A831" t="str">
            <v>41007_2</v>
          </cell>
        </row>
        <row r="832">
          <cell r="A832" t="str">
            <v>41007_3</v>
          </cell>
        </row>
        <row r="833">
          <cell r="A833" t="str">
            <v>41008_1</v>
          </cell>
        </row>
        <row r="834">
          <cell r="A834" t="str">
            <v>41008_2</v>
          </cell>
        </row>
        <row r="835">
          <cell r="A835" t="str">
            <v>41008_3</v>
          </cell>
        </row>
        <row r="836">
          <cell r="A836" t="str">
            <v>41009_1</v>
          </cell>
        </row>
        <row r="837">
          <cell r="A837" t="str">
            <v>41009_2</v>
          </cell>
        </row>
        <row r="838">
          <cell r="A838" t="str">
            <v>41009_3</v>
          </cell>
        </row>
        <row r="839">
          <cell r="A839" t="str">
            <v>41010_1</v>
          </cell>
        </row>
        <row r="840">
          <cell r="A840" t="str">
            <v>41010_2</v>
          </cell>
        </row>
        <row r="841">
          <cell r="A841" t="str">
            <v>41010_3</v>
          </cell>
        </row>
        <row r="842">
          <cell r="A842" t="str">
            <v>41011_1</v>
          </cell>
        </row>
        <row r="843">
          <cell r="A843" t="str">
            <v>41011_2</v>
          </cell>
        </row>
        <row r="844">
          <cell r="A844" t="str">
            <v>41012_1</v>
          </cell>
        </row>
        <row r="845">
          <cell r="A845" t="str">
            <v>41012_2</v>
          </cell>
        </row>
        <row r="846">
          <cell r="A846" t="str">
            <v>41013_1</v>
          </cell>
        </row>
        <row r="847">
          <cell r="A847" t="str">
            <v>41013_2</v>
          </cell>
        </row>
        <row r="848">
          <cell r="A848" t="str">
            <v>41014_1</v>
          </cell>
        </row>
        <row r="849">
          <cell r="A849" t="str">
            <v>41014_2</v>
          </cell>
        </row>
        <row r="850">
          <cell r="A850" t="str">
            <v>41015_1</v>
          </cell>
        </row>
        <row r="851">
          <cell r="A851" t="str">
            <v>41015_2</v>
          </cell>
        </row>
        <row r="852">
          <cell r="A852" t="str">
            <v>47001_1</v>
          </cell>
        </row>
        <row r="853">
          <cell r="A853" t="str">
            <v>47001_2</v>
          </cell>
        </row>
        <row r="854">
          <cell r="A854" t="str">
            <v>47002_1</v>
          </cell>
        </row>
        <row r="855">
          <cell r="A855" t="str">
            <v>47002_2</v>
          </cell>
        </row>
        <row r="856">
          <cell r="A856" t="str">
            <v>47003_1</v>
          </cell>
        </row>
        <row r="857">
          <cell r="A857" t="str">
            <v>47003_2</v>
          </cell>
        </row>
        <row r="858">
          <cell r="A858" t="str">
            <v>47003_3</v>
          </cell>
        </row>
        <row r="859">
          <cell r="A859" t="str">
            <v>47003_4</v>
          </cell>
        </row>
        <row r="860">
          <cell r="A860" t="str">
            <v>47004_1</v>
          </cell>
        </row>
        <row r="861">
          <cell r="A861" t="str">
            <v>47004_2</v>
          </cell>
        </row>
        <row r="862">
          <cell r="A862" t="str">
            <v>47004_3</v>
          </cell>
        </row>
        <row r="863">
          <cell r="A863" t="str">
            <v>47004_4</v>
          </cell>
        </row>
        <row r="864">
          <cell r="A864" t="str">
            <v>47005_1</v>
          </cell>
        </row>
        <row r="865">
          <cell r="A865" t="str">
            <v>47006_1</v>
          </cell>
        </row>
        <row r="866">
          <cell r="A866" t="str">
            <v>47006_2</v>
          </cell>
        </row>
        <row r="867">
          <cell r="A867" t="str">
            <v>47007_1</v>
          </cell>
        </row>
        <row r="868">
          <cell r="A868" t="str">
            <v>47007_2</v>
          </cell>
        </row>
        <row r="869">
          <cell r="A869" t="str">
            <v>47008_1</v>
          </cell>
        </row>
        <row r="870">
          <cell r="A870" t="str">
            <v>47008_2</v>
          </cell>
        </row>
        <row r="871">
          <cell r="A871" t="str">
            <v>47009_1</v>
          </cell>
        </row>
        <row r="872">
          <cell r="A872" t="str">
            <v>47009_2</v>
          </cell>
        </row>
        <row r="873">
          <cell r="A873" t="str">
            <v>47010_1</v>
          </cell>
        </row>
        <row r="874">
          <cell r="A874" t="str">
            <v>47010_2</v>
          </cell>
        </row>
        <row r="875">
          <cell r="A875" t="str">
            <v>47011_1</v>
          </cell>
        </row>
        <row r="876">
          <cell r="A876" t="str">
            <v>47012_1</v>
          </cell>
        </row>
        <row r="877">
          <cell r="A877" t="str">
            <v>47012_2</v>
          </cell>
        </row>
        <row r="878">
          <cell r="A878" t="str">
            <v>47013_1</v>
          </cell>
        </row>
        <row r="879">
          <cell r="A879" t="str">
            <v>47013_2</v>
          </cell>
        </row>
        <row r="880">
          <cell r="A880" t="str">
            <v>47013_3</v>
          </cell>
        </row>
        <row r="881">
          <cell r="A881" t="str">
            <v>47013_4</v>
          </cell>
        </row>
        <row r="882">
          <cell r="A882" t="str">
            <v>47014_1</v>
          </cell>
        </row>
        <row r="883">
          <cell r="A883" t="str">
            <v>47014_2</v>
          </cell>
        </row>
        <row r="884">
          <cell r="A884" t="str">
            <v>47014_3</v>
          </cell>
        </row>
        <row r="885">
          <cell r="A885" t="str">
            <v>47015_1</v>
          </cell>
        </row>
        <row r="886">
          <cell r="A886" t="str">
            <v>47015_2</v>
          </cell>
        </row>
        <row r="887">
          <cell r="A887" t="str">
            <v>47015_3</v>
          </cell>
        </row>
        <row r="888">
          <cell r="A888" t="str">
            <v>47016_1</v>
          </cell>
        </row>
        <row r="889">
          <cell r="A889" t="str">
            <v>47016_2</v>
          </cell>
        </row>
        <row r="890">
          <cell r="A890" t="str">
            <v>47016_3</v>
          </cell>
        </row>
        <row r="891">
          <cell r="A891" t="str">
            <v>48001_1</v>
          </cell>
        </row>
        <row r="892">
          <cell r="A892" t="str">
            <v>48002_1</v>
          </cell>
        </row>
        <row r="893">
          <cell r="A893" t="str">
            <v>48002_2</v>
          </cell>
        </row>
        <row r="894">
          <cell r="A894" t="str">
            <v>48002_3</v>
          </cell>
        </row>
        <row r="895">
          <cell r="A895" t="str">
            <v>48003_1</v>
          </cell>
        </row>
        <row r="896">
          <cell r="A896" t="str">
            <v>48003_2</v>
          </cell>
        </row>
        <row r="897">
          <cell r="A897" t="str">
            <v>48004_1</v>
          </cell>
        </row>
        <row r="898">
          <cell r="A898" t="str">
            <v>48004_2</v>
          </cell>
        </row>
        <row r="899">
          <cell r="A899" t="str">
            <v>48005_1</v>
          </cell>
        </row>
        <row r="900">
          <cell r="A900" t="str">
            <v>48005_2</v>
          </cell>
        </row>
        <row r="901">
          <cell r="A901" t="str">
            <v>48006_1</v>
          </cell>
        </row>
        <row r="902">
          <cell r="A902" t="str">
            <v>48006_2</v>
          </cell>
        </row>
        <row r="903">
          <cell r="A903" t="str">
            <v>48007_1</v>
          </cell>
        </row>
        <row r="904">
          <cell r="A904" t="str">
            <v>48007_2</v>
          </cell>
        </row>
        <row r="905">
          <cell r="A905" t="str">
            <v>48008_1</v>
          </cell>
        </row>
        <row r="906">
          <cell r="A906" t="str">
            <v>48008_2</v>
          </cell>
        </row>
        <row r="907">
          <cell r="A907" t="str">
            <v>48009_1</v>
          </cell>
        </row>
        <row r="908">
          <cell r="A908" t="str">
            <v>48009_2</v>
          </cell>
        </row>
        <row r="909">
          <cell r="A909" t="str">
            <v>48010_1</v>
          </cell>
        </row>
        <row r="910">
          <cell r="A910" t="str">
            <v>48011_1</v>
          </cell>
        </row>
        <row r="911">
          <cell r="A911" t="str">
            <v>48011_2</v>
          </cell>
        </row>
        <row r="912">
          <cell r="A912" t="str">
            <v>48012_1</v>
          </cell>
        </row>
        <row r="913">
          <cell r="A913" t="str">
            <v>48012_2</v>
          </cell>
        </row>
        <row r="914">
          <cell r="A914" t="str">
            <v>48013_1</v>
          </cell>
        </row>
        <row r="915">
          <cell r="A915" t="str">
            <v>48013_2</v>
          </cell>
        </row>
        <row r="916">
          <cell r="A916" t="str">
            <v>48014_1</v>
          </cell>
        </row>
        <row r="917">
          <cell r="A917" t="str">
            <v>48014_2</v>
          </cell>
        </row>
        <row r="918">
          <cell r="A918" t="str">
            <v>48015_1</v>
          </cell>
        </row>
        <row r="919">
          <cell r="A919" t="str">
            <v>48015_2</v>
          </cell>
        </row>
        <row r="920">
          <cell r="A920" t="str">
            <v>48016_1</v>
          </cell>
        </row>
        <row r="921">
          <cell r="A921" t="str">
            <v>48016_2</v>
          </cell>
        </row>
        <row r="922">
          <cell r="A922" t="str">
            <v>48101_1</v>
          </cell>
        </row>
        <row r="923">
          <cell r="A923" t="str">
            <v>48101_2</v>
          </cell>
        </row>
        <row r="924">
          <cell r="A924" t="str">
            <v>48501_1</v>
          </cell>
        </row>
        <row r="925">
          <cell r="A925" t="str">
            <v>48501_2</v>
          </cell>
        </row>
        <row r="926">
          <cell r="A926" t="str">
            <v>48502_1</v>
          </cell>
        </row>
        <row r="927">
          <cell r="A927" t="str">
            <v>48502_2</v>
          </cell>
        </row>
        <row r="928">
          <cell r="A928" t="str">
            <v>48503_1</v>
          </cell>
        </row>
        <row r="929">
          <cell r="A929" t="str">
            <v>48503_2</v>
          </cell>
        </row>
        <row r="930">
          <cell r="A930" t="str">
            <v>48504_1</v>
          </cell>
        </row>
        <row r="931">
          <cell r="A931" t="str">
            <v>48504_2</v>
          </cell>
        </row>
        <row r="932">
          <cell r="A932" t="str">
            <v>48701_1</v>
          </cell>
        </row>
        <row r="933">
          <cell r="A933" t="str">
            <v>48701_2</v>
          </cell>
        </row>
        <row r="934">
          <cell r="A934" t="str">
            <v>48702_1</v>
          </cell>
        </row>
        <row r="935">
          <cell r="A935" t="str">
            <v>48702_2</v>
          </cell>
        </row>
        <row r="936">
          <cell r="A936" t="str">
            <v>48703_1</v>
          </cell>
        </row>
        <row r="937">
          <cell r="A937" t="str">
            <v>49001_1</v>
          </cell>
        </row>
        <row r="938">
          <cell r="A938" t="str">
            <v>49002_1</v>
          </cell>
        </row>
        <row r="939">
          <cell r="A939" t="str">
            <v>49002_2</v>
          </cell>
        </row>
        <row r="940">
          <cell r="A940" t="str">
            <v>49003_1</v>
          </cell>
        </row>
        <row r="941">
          <cell r="A941" t="str">
            <v>49003_2</v>
          </cell>
        </row>
        <row r="942">
          <cell r="A942" t="str">
            <v>49004_1</v>
          </cell>
        </row>
        <row r="943">
          <cell r="A943" t="str">
            <v>49004_2</v>
          </cell>
        </row>
        <row r="944">
          <cell r="A944" t="str">
            <v>49004_3</v>
          </cell>
        </row>
        <row r="945">
          <cell r="A945" t="str">
            <v>49005_1</v>
          </cell>
        </row>
        <row r="946">
          <cell r="A946" t="str">
            <v>49006_1</v>
          </cell>
        </row>
        <row r="947">
          <cell r="A947" t="str">
            <v>49006_2</v>
          </cell>
        </row>
        <row r="948">
          <cell r="A948" t="str">
            <v>49007_1</v>
          </cell>
        </row>
        <row r="949">
          <cell r="A949" t="str">
            <v>49007_2</v>
          </cell>
        </row>
        <row r="950">
          <cell r="A950" t="str">
            <v>49007_3</v>
          </cell>
        </row>
        <row r="951">
          <cell r="A951" t="str">
            <v>49008_1</v>
          </cell>
        </row>
        <row r="952">
          <cell r="A952" t="str">
            <v>49009_1</v>
          </cell>
        </row>
        <row r="953">
          <cell r="A953" t="str">
            <v>49010_1</v>
          </cell>
        </row>
        <row r="954">
          <cell r="A954" t="str">
            <v>49011_1</v>
          </cell>
        </row>
        <row r="955">
          <cell r="A955" t="str">
            <v>49012_1</v>
          </cell>
        </row>
        <row r="956">
          <cell r="A956" t="str">
            <v>49013_1</v>
          </cell>
        </row>
        <row r="957">
          <cell r="A957" t="str">
            <v>49014_1</v>
          </cell>
        </row>
        <row r="958">
          <cell r="A958" t="str">
            <v>49014_2</v>
          </cell>
        </row>
        <row r="959">
          <cell r="A959" t="str">
            <v>49015_1</v>
          </cell>
        </row>
        <row r="960">
          <cell r="A960" t="str">
            <v>49015_2</v>
          </cell>
        </row>
        <row r="961">
          <cell r="A961" t="str">
            <v>49015_3</v>
          </cell>
        </row>
        <row r="962">
          <cell r="A962" t="str">
            <v>49016_1</v>
          </cell>
        </row>
        <row r="963">
          <cell r="A963" t="str">
            <v>49016_2</v>
          </cell>
        </row>
        <row r="964">
          <cell r="A964" t="str">
            <v>50001_1</v>
          </cell>
        </row>
        <row r="965">
          <cell r="A965" t="str">
            <v>50002_1</v>
          </cell>
        </row>
        <row r="966">
          <cell r="A966" t="str">
            <v>50003_1</v>
          </cell>
        </row>
        <row r="967">
          <cell r="A967" t="str">
            <v>50004_1</v>
          </cell>
        </row>
        <row r="968">
          <cell r="A968" t="str">
            <v>50005_1</v>
          </cell>
        </row>
        <row r="969">
          <cell r="A969" t="str">
            <v>50006_1</v>
          </cell>
        </row>
        <row r="970">
          <cell r="A970" t="str">
            <v>50007_1</v>
          </cell>
        </row>
        <row r="971">
          <cell r="A971" t="str">
            <v>50008_1</v>
          </cell>
        </row>
        <row r="972">
          <cell r="A972" t="str">
            <v>50009_1</v>
          </cell>
        </row>
        <row r="973">
          <cell r="A973" t="str">
            <v>50010_1</v>
          </cell>
        </row>
        <row r="974">
          <cell r="A974" t="str">
            <v>50011_1</v>
          </cell>
        </row>
        <row r="975">
          <cell r="A975" t="str">
            <v>50012_1</v>
          </cell>
        </row>
        <row r="976">
          <cell r="A976" t="str">
            <v>50013_1</v>
          </cell>
        </row>
        <row r="977">
          <cell r="A977" t="str">
            <v>50014_1</v>
          </cell>
        </row>
        <row r="978">
          <cell r="A978" t="str">
            <v>50015_1</v>
          </cell>
        </row>
        <row r="979">
          <cell r="A979" t="str">
            <v>50016_1</v>
          </cell>
        </row>
        <row r="980">
          <cell r="A980" t="str">
            <v>51001_1</v>
          </cell>
        </row>
        <row r="981">
          <cell r="A981" t="str">
            <v>51002_1</v>
          </cell>
        </row>
        <row r="982">
          <cell r="A982" t="str">
            <v>58001_1</v>
          </cell>
        </row>
        <row r="983">
          <cell r="A983" t="str">
            <v>58002_1</v>
          </cell>
        </row>
        <row r="984">
          <cell r="A984" t="str">
            <v>58003_1</v>
          </cell>
        </row>
        <row r="985">
          <cell r="A985" t="str">
            <v>58101_1</v>
          </cell>
        </row>
        <row r="986">
          <cell r="A986" t="str">
            <v>59001_1</v>
          </cell>
        </row>
        <row r="987">
          <cell r="A987" t="str">
            <v>59002_1</v>
          </cell>
        </row>
        <row r="988">
          <cell r="A988" t="str">
            <v>59003_1</v>
          </cell>
        </row>
        <row r="989">
          <cell r="A989" t="str">
            <v>59003_2</v>
          </cell>
        </row>
        <row r="990">
          <cell r="A990" t="str">
            <v>60001_1</v>
          </cell>
        </row>
        <row r="991">
          <cell r="A991" t="str">
            <v>60002_1</v>
          </cell>
        </row>
        <row r="992">
          <cell r="A992" t="str">
            <v>60002_2</v>
          </cell>
        </row>
        <row r="993">
          <cell r="A993" t="str">
            <v>60003_1</v>
          </cell>
        </row>
        <row r="994">
          <cell r="A994" t="str">
            <v>60003_2</v>
          </cell>
        </row>
        <row r="995">
          <cell r="A995" t="str">
            <v>60003_3</v>
          </cell>
        </row>
        <row r="996">
          <cell r="A996" t="str">
            <v>60004_1</v>
          </cell>
        </row>
        <row r="997">
          <cell r="A997" t="str">
            <v>60005_1</v>
          </cell>
        </row>
        <row r="998">
          <cell r="A998" t="str">
            <v>60006_1</v>
          </cell>
        </row>
        <row r="999">
          <cell r="A999" t="str">
            <v>60006_2</v>
          </cell>
        </row>
        <row r="1000">
          <cell r="A1000" t="str">
            <v>60006_3</v>
          </cell>
        </row>
        <row r="1001">
          <cell r="A1001" t="str">
            <v>60007_1</v>
          </cell>
        </row>
        <row r="1002">
          <cell r="A1002" t="str">
            <v>60007_2</v>
          </cell>
        </row>
        <row r="1003">
          <cell r="A1003" t="str">
            <v>60007_3</v>
          </cell>
        </row>
        <row r="1004">
          <cell r="A1004" t="str">
            <v>60010_1</v>
          </cell>
        </row>
        <row r="1005">
          <cell r="A1005" t="str">
            <v>60011_1</v>
          </cell>
        </row>
        <row r="1006">
          <cell r="A1006" t="str">
            <v>60011_2</v>
          </cell>
        </row>
        <row r="1007">
          <cell r="A1007" t="str">
            <v>60012_1</v>
          </cell>
        </row>
        <row r="1008">
          <cell r="A1008" t="str">
            <v>60013_1</v>
          </cell>
        </row>
        <row r="1009">
          <cell r="A1009" t="str">
            <v>60013_2</v>
          </cell>
        </row>
        <row r="1010">
          <cell r="A1010" t="str">
            <v>60013_3</v>
          </cell>
        </row>
        <row r="1011">
          <cell r="A1011" t="str">
            <v>60014_1</v>
          </cell>
        </row>
        <row r="1012">
          <cell r="A1012" t="str">
            <v>60015_1</v>
          </cell>
        </row>
        <row r="1013">
          <cell r="A1013" t="str">
            <v>60016_1</v>
          </cell>
        </row>
        <row r="1014">
          <cell r="A1014" t="str">
            <v>60017_1</v>
          </cell>
        </row>
        <row r="1015">
          <cell r="A1015" t="str">
            <v>60018_1</v>
          </cell>
        </row>
        <row r="1016">
          <cell r="A1016" t="str">
            <v>60019_1</v>
          </cell>
        </row>
        <row r="1017">
          <cell r="A1017" t="str">
            <v>60020_1</v>
          </cell>
        </row>
        <row r="1018">
          <cell r="A1018" t="str">
            <v>60021_3</v>
          </cell>
        </row>
        <row r="1019">
          <cell r="A1019" t="str">
            <v>60022_3</v>
          </cell>
        </row>
        <row r="1020">
          <cell r="A1020" t="str">
            <v>60023_3</v>
          </cell>
        </row>
        <row r="1021">
          <cell r="A1021" t="str">
            <v>60024_3</v>
          </cell>
        </row>
        <row r="1022">
          <cell r="A1022" t="str">
            <v>60025_1</v>
          </cell>
        </row>
        <row r="1023">
          <cell r="A1023" t="str">
            <v>60026_1</v>
          </cell>
        </row>
        <row r="1024">
          <cell r="A1024" t="str">
            <v>61011_1</v>
          </cell>
        </row>
        <row r="1025">
          <cell r="A1025" t="str">
            <v>60027_1</v>
          </cell>
        </row>
        <row r="1026">
          <cell r="A1026" t="str">
            <v>60028_1</v>
          </cell>
        </row>
        <row r="1027">
          <cell r="A1027" t="str">
            <v>60029_1</v>
          </cell>
        </row>
        <row r="1028">
          <cell r="A1028" t="str">
            <v>60030_1</v>
          </cell>
        </row>
        <row r="1029">
          <cell r="A1029" t="str">
            <v>60031_1</v>
          </cell>
        </row>
        <row r="1030">
          <cell r="A1030" t="str">
            <v>60032_1</v>
          </cell>
        </row>
        <row r="1031">
          <cell r="A1031" t="str">
            <v>61001_1</v>
          </cell>
        </row>
        <row r="1032">
          <cell r="A1032" t="str">
            <v>61001_2</v>
          </cell>
        </row>
        <row r="1033">
          <cell r="A1033" t="str">
            <v>61001_3</v>
          </cell>
        </row>
        <row r="1034">
          <cell r="A1034" t="str">
            <v>61001_4</v>
          </cell>
        </row>
        <row r="1035">
          <cell r="A1035" t="str">
            <v>61001_5</v>
          </cell>
        </row>
        <row r="1036">
          <cell r="A1036" t="str">
            <v>61001_6</v>
          </cell>
        </row>
        <row r="1037">
          <cell r="A1037" t="str">
            <v>61001_7</v>
          </cell>
        </row>
        <row r="1038">
          <cell r="A1038" t="str">
            <v>65523_1</v>
          </cell>
        </row>
        <row r="1039">
          <cell r="A1039" t="str">
            <v>65523_2</v>
          </cell>
        </row>
        <row r="1040">
          <cell r="A1040" t="str">
            <v>65523_3</v>
          </cell>
        </row>
        <row r="1041">
          <cell r="A1041" t="str">
            <v>65524_1</v>
          </cell>
        </row>
        <row r="1042">
          <cell r="A1042" t="str">
            <v>65524_2</v>
          </cell>
        </row>
        <row r="1043">
          <cell r="A1043" t="str">
            <v>65525_1</v>
          </cell>
        </row>
        <row r="1044">
          <cell r="A1044" t="str">
            <v>65526_1</v>
          </cell>
        </row>
        <row r="1045">
          <cell r="A1045" t="str">
            <v>65526_2</v>
          </cell>
        </row>
        <row r="1046">
          <cell r="A1046" t="str">
            <v>65527_1</v>
          </cell>
        </row>
        <row r="1047">
          <cell r="A1047" t="str">
            <v>65528_1</v>
          </cell>
        </row>
        <row r="1048">
          <cell r="A1048" t="str">
            <v>65529_1</v>
          </cell>
        </row>
        <row r="1049">
          <cell r="A1049" t="str">
            <v>65530_1</v>
          </cell>
        </row>
        <row r="1050">
          <cell r="A1050" t="str">
            <v>65531_1</v>
          </cell>
        </row>
        <row r="1051">
          <cell r="A1051" t="str">
            <v>65531_2</v>
          </cell>
        </row>
        <row r="1052">
          <cell r="A1052" t="str">
            <v>65532_1</v>
          </cell>
        </row>
        <row r="1053">
          <cell r="A1053" t="str">
            <v>65532_2</v>
          </cell>
        </row>
        <row r="1054">
          <cell r="A1054" t="str">
            <v>65533_1</v>
          </cell>
        </row>
        <row r="1055">
          <cell r="A1055" t="str">
            <v>65533_2</v>
          </cell>
        </row>
        <row r="1056">
          <cell r="A1056" t="str">
            <v>65534_1</v>
          </cell>
        </row>
        <row r="1057">
          <cell r="A1057" t="str">
            <v>65535_1</v>
          </cell>
        </row>
        <row r="1058">
          <cell r="A1058" t="str">
            <v>65535_2</v>
          </cell>
        </row>
        <row r="1059">
          <cell r="A1059" t="str">
            <v>65535_3</v>
          </cell>
        </row>
        <row r="1060">
          <cell r="A1060" t="str">
            <v>65535_4</v>
          </cell>
        </row>
        <row r="1061">
          <cell r="A1061" t="str">
            <v>65535_5</v>
          </cell>
        </row>
        <row r="1062">
          <cell r="A1062" t="str">
            <v>65535_6</v>
          </cell>
        </row>
        <row r="1063">
          <cell r="A1063" t="str">
            <v>65535_7</v>
          </cell>
        </row>
        <row r="1064">
          <cell r="A1064" t="str">
            <v>65535_8</v>
          </cell>
        </row>
        <row r="1065">
          <cell r="A1065" t="str">
            <v>65535_9</v>
          </cell>
        </row>
        <row r="1066">
          <cell r="A1066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1342</v>
          </cell>
        </row>
        <row r="1324">
          <cell r="A1324">
            <v>1343</v>
          </cell>
        </row>
        <row r="1325">
          <cell r="A1325">
            <v>1351</v>
          </cell>
        </row>
        <row r="1326">
          <cell r="A1326">
            <v>1352</v>
          </cell>
        </row>
        <row r="1327">
          <cell r="A1327">
            <v>1353</v>
          </cell>
        </row>
        <row r="1328">
          <cell r="A1328">
            <v>1354</v>
          </cell>
        </row>
        <row r="1329">
          <cell r="A1329">
            <v>1355</v>
          </cell>
        </row>
        <row r="1330">
          <cell r="A1330">
            <v>1356</v>
          </cell>
        </row>
        <row r="1331">
          <cell r="A1331">
            <v>1357</v>
          </cell>
        </row>
        <row r="1332">
          <cell r="A1332">
            <v>1358</v>
          </cell>
        </row>
        <row r="1333">
          <cell r="A1333">
            <v>1359</v>
          </cell>
        </row>
        <row r="1334">
          <cell r="A1334">
            <v>1360</v>
          </cell>
        </row>
        <row r="1335">
          <cell r="A1335">
            <v>1362</v>
          </cell>
        </row>
        <row r="1336">
          <cell r="A1336">
            <v>1363</v>
          </cell>
        </row>
        <row r="1337">
          <cell r="A1337">
            <v>1364</v>
          </cell>
        </row>
        <row r="1338">
          <cell r="A1338">
            <v>1373</v>
          </cell>
        </row>
        <row r="1339">
          <cell r="A1339">
            <v>1374</v>
          </cell>
        </row>
        <row r="1340">
          <cell r="A1340">
            <v>1375</v>
          </cell>
        </row>
        <row r="1341">
          <cell r="A1341">
            <v>1376</v>
          </cell>
        </row>
        <row r="1342">
          <cell r="A1342">
            <v>1379</v>
          </cell>
        </row>
        <row r="1343">
          <cell r="A1343">
            <v>1380</v>
          </cell>
        </row>
        <row r="1344">
          <cell r="A1344">
            <v>1405</v>
          </cell>
        </row>
        <row r="1345">
          <cell r="A1345">
            <v>1407</v>
          </cell>
        </row>
        <row r="1346">
          <cell r="A1346">
            <v>1408</v>
          </cell>
        </row>
        <row r="1347">
          <cell r="A1347">
            <v>1409</v>
          </cell>
        </row>
        <row r="1348">
          <cell r="A1348">
            <v>1410</v>
          </cell>
        </row>
        <row r="1349">
          <cell r="A1349">
            <v>1431</v>
          </cell>
        </row>
        <row r="1350">
          <cell r="A1350">
            <v>1432</v>
          </cell>
        </row>
        <row r="1351">
          <cell r="A1351">
            <v>1436</v>
          </cell>
        </row>
        <row r="1352">
          <cell r="A1352">
            <v>1437</v>
          </cell>
        </row>
        <row r="1353">
          <cell r="A1353">
            <v>1438</v>
          </cell>
        </row>
        <row r="1354">
          <cell r="A1354">
            <v>1439</v>
          </cell>
        </row>
        <row r="1355">
          <cell r="A1355">
            <v>1440</v>
          </cell>
        </row>
        <row r="1356">
          <cell r="A1356">
            <v>1441</v>
          </cell>
        </row>
        <row r="1357">
          <cell r="A1357">
            <v>1442</v>
          </cell>
        </row>
        <row r="1358">
          <cell r="A1358">
            <v>1443</v>
          </cell>
        </row>
        <row r="1359">
          <cell r="A1359">
            <v>1444</v>
          </cell>
        </row>
        <row r="1360">
          <cell r="A1360">
            <v>1445</v>
          </cell>
        </row>
        <row r="1361">
          <cell r="A1361">
            <v>1446</v>
          </cell>
        </row>
        <row r="1362">
          <cell r="A1362">
            <v>1447</v>
          </cell>
        </row>
        <row r="1363">
          <cell r="A1363">
            <v>1448</v>
          </cell>
        </row>
        <row r="1364">
          <cell r="A1364">
            <v>1449</v>
          </cell>
        </row>
        <row r="1365">
          <cell r="A1365">
            <v>1450</v>
          </cell>
        </row>
        <row r="1366">
          <cell r="A1366">
            <v>1451</v>
          </cell>
        </row>
        <row r="1367">
          <cell r="A1367">
            <v>1466</v>
          </cell>
        </row>
        <row r="1368">
          <cell r="A1368">
            <v>1467</v>
          </cell>
        </row>
        <row r="1369">
          <cell r="A1369">
            <v>1468</v>
          </cell>
        </row>
        <row r="1370">
          <cell r="A1370">
            <v>1469</v>
          </cell>
        </row>
        <row r="1371">
          <cell r="A1371">
            <v>1470</v>
          </cell>
        </row>
        <row r="1372">
          <cell r="A1372">
            <v>1471</v>
          </cell>
        </row>
        <row r="1373">
          <cell r="A1373">
            <v>1495</v>
          </cell>
        </row>
        <row r="1374">
          <cell r="A1374">
            <v>1496</v>
          </cell>
        </row>
        <row r="1375">
          <cell r="A1375">
            <v>1497</v>
          </cell>
        </row>
        <row r="1376">
          <cell r="A1376">
            <v>1498</v>
          </cell>
        </row>
        <row r="1377">
          <cell r="A1377">
            <v>1499</v>
          </cell>
        </row>
        <row r="1378">
          <cell r="A1378">
            <v>1500</v>
          </cell>
        </row>
        <row r="1379">
          <cell r="A1379">
            <v>1501</v>
          </cell>
        </row>
        <row r="1380">
          <cell r="A1380">
            <v>1502</v>
          </cell>
        </row>
        <row r="1381">
          <cell r="A1381">
            <v>1503</v>
          </cell>
        </row>
        <row r="1382">
          <cell r="A1382">
            <v>1504</v>
          </cell>
        </row>
        <row r="1383">
          <cell r="A1383">
            <v>1505</v>
          </cell>
        </row>
        <row r="1384">
          <cell r="A1384">
            <v>1506</v>
          </cell>
        </row>
        <row r="1385">
          <cell r="A1385">
            <v>1507</v>
          </cell>
        </row>
        <row r="1386">
          <cell r="A1386">
            <v>1508</v>
          </cell>
        </row>
        <row r="1387">
          <cell r="A1387">
            <v>1509</v>
          </cell>
        </row>
        <row r="1388">
          <cell r="A1388">
            <v>1510</v>
          </cell>
        </row>
        <row r="1389">
          <cell r="A1389">
            <v>1511</v>
          </cell>
        </row>
        <row r="1390">
          <cell r="A1390">
            <v>1512</v>
          </cell>
        </row>
        <row r="1391">
          <cell r="A1391">
            <v>1523</v>
          </cell>
        </row>
        <row r="1392">
          <cell r="A1392">
            <v>1524</v>
          </cell>
        </row>
        <row r="1393">
          <cell r="A1393">
            <v>1525</v>
          </cell>
        </row>
        <row r="1394">
          <cell r="A1394">
            <v>1526</v>
          </cell>
        </row>
        <row r="1395">
          <cell r="A1395">
            <v>1551</v>
          </cell>
        </row>
        <row r="1396">
          <cell r="A1396">
            <v>1552</v>
          </cell>
        </row>
        <row r="1397">
          <cell r="A1397">
            <v>1553</v>
          </cell>
        </row>
        <row r="1398">
          <cell r="A1398">
            <v>1554</v>
          </cell>
        </row>
        <row r="1399">
          <cell r="A1399">
            <v>1555</v>
          </cell>
        </row>
        <row r="1400">
          <cell r="A1400">
            <v>1556</v>
          </cell>
        </row>
        <row r="1401">
          <cell r="A1401">
            <v>1557</v>
          </cell>
        </row>
        <row r="1402">
          <cell r="A1402">
            <v>1558</v>
          </cell>
        </row>
        <row r="1403">
          <cell r="A1403">
            <v>1559</v>
          </cell>
        </row>
        <row r="1404">
          <cell r="A1404">
            <v>1560</v>
          </cell>
        </row>
        <row r="1405">
          <cell r="A1405">
            <v>1561</v>
          </cell>
        </row>
        <row r="1406">
          <cell r="A1406">
            <v>1562</v>
          </cell>
        </row>
        <row r="1407">
          <cell r="A1407">
            <v>1563</v>
          </cell>
        </row>
        <row r="1408">
          <cell r="A1408">
            <v>1564</v>
          </cell>
        </row>
        <row r="1409">
          <cell r="A1409">
            <v>1565</v>
          </cell>
        </row>
        <row r="1410">
          <cell r="A1410">
            <v>1566</v>
          </cell>
        </row>
        <row r="1411">
          <cell r="A1411">
            <v>1567</v>
          </cell>
        </row>
        <row r="1412">
          <cell r="A1412">
            <v>1568</v>
          </cell>
        </row>
        <row r="1413">
          <cell r="A1413">
            <v>1569</v>
          </cell>
        </row>
        <row r="1414">
          <cell r="A1414">
            <v>1570</v>
          </cell>
        </row>
        <row r="1415">
          <cell r="A1415">
            <v>1571</v>
          </cell>
        </row>
        <row r="1416">
          <cell r="A1416">
            <v>1572</v>
          </cell>
        </row>
        <row r="1417">
          <cell r="A1417">
            <v>1573</v>
          </cell>
        </row>
        <row r="1418">
          <cell r="A1418">
            <v>1574</v>
          </cell>
        </row>
        <row r="1419">
          <cell r="A1419">
            <v>1575</v>
          </cell>
        </row>
        <row r="1420">
          <cell r="A1420">
            <v>1576</v>
          </cell>
        </row>
        <row r="1421">
          <cell r="A1421">
            <v>1577</v>
          </cell>
        </row>
        <row r="1422">
          <cell r="A1422">
            <v>1578</v>
          </cell>
        </row>
        <row r="1423">
          <cell r="A1423">
            <v>1579</v>
          </cell>
        </row>
        <row r="1424">
          <cell r="A1424">
            <v>1580</v>
          </cell>
        </row>
        <row r="1425">
          <cell r="A1425">
            <v>1581</v>
          </cell>
        </row>
        <row r="1426">
          <cell r="A1426">
            <v>1582</v>
          </cell>
        </row>
        <row r="1427">
          <cell r="A1427">
            <v>1583</v>
          </cell>
        </row>
        <row r="1428">
          <cell r="A1428">
            <v>1584</v>
          </cell>
        </row>
        <row r="1429">
          <cell r="A1429">
            <v>1585</v>
          </cell>
        </row>
        <row r="1430">
          <cell r="A1430">
            <v>1586</v>
          </cell>
        </row>
        <row r="1431">
          <cell r="A1431">
            <v>1587</v>
          </cell>
        </row>
        <row r="1432">
          <cell r="A1432">
            <v>1588</v>
          </cell>
        </row>
        <row r="1433">
          <cell r="A1433">
            <v>1697</v>
          </cell>
        </row>
        <row r="1434">
          <cell r="A1434">
            <v>1698</v>
          </cell>
        </row>
        <row r="1435">
          <cell r="A1435">
            <v>1699</v>
          </cell>
        </row>
        <row r="1436">
          <cell r="A1436">
            <v>1700</v>
          </cell>
        </row>
        <row r="1437">
          <cell r="A1437">
            <v>1701</v>
          </cell>
        </row>
        <row r="1438">
          <cell r="A1438">
            <v>1702</v>
          </cell>
        </row>
        <row r="1439">
          <cell r="A1439">
            <v>1703</v>
          </cell>
        </row>
        <row r="1440">
          <cell r="A1440">
            <v>1704</v>
          </cell>
        </row>
        <row r="1441">
          <cell r="A1441">
            <v>1705</v>
          </cell>
        </row>
        <row r="1442">
          <cell r="A1442">
            <v>1706</v>
          </cell>
        </row>
        <row r="1443">
          <cell r="A1443">
            <v>1707</v>
          </cell>
        </row>
        <row r="1444">
          <cell r="A1444">
            <v>1708</v>
          </cell>
        </row>
        <row r="1445">
          <cell r="A1445">
            <v>1709</v>
          </cell>
        </row>
        <row r="1446">
          <cell r="A1446">
            <v>1710</v>
          </cell>
        </row>
        <row r="1447">
          <cell r="A1447">
            <v>1711</v>
          </cell>
        </row>
        <row r="1448">
          <cell r="A1448">
            <v>1712</v>
          </cell>
        </row>
        <row r="1449">
          <cell r="A1449">
            <v>1713</v>
          </cell>
        </row>
        <row r="1450">
          <cell r="A1450">
            <v>1714</v>
          </cell>
        </row>
        <row r="1451">
          <cell r="A1451">
            <v>1715</v>
          </cell>
        </row>
        <row r="1452">
          <cell r="A1452">
            <v>1716</v>
          </cell>
        </row>
        <row r="1453">
          <cell r="A1453">
            <v>1717</v>
          </cell>
        </row>
        <row r="1454">
          <cell r="A1454">
            <v>1718</v>
          </cell>
        </row>
        <row r="1455">
          <cell r="A1455">
            <v>1719</v>
          </cell>
        </row>
        <row r="1456">
          <cell r="A1456">
            <v>5001</v>
          </cell>
        </row>
        <row r="1457">
          <cell r="A1457">
            <v>5002</v>
          </cell>
        </row>
        <row r="1458">
          <cell r="A1458">
            <v>5003</v>
          </cell>
        </row>
        <row r="1459">
          <cell r="A1459">
            <v>5004</v>
          </cell>
        </row>
        <row r="1460">
          <cell r="A1460">
            <v>5005</v>
          </cell>
        </row>
        <row r="1461">
          <cell r="A1461">
            <v>5006</v>
          </cell>
        </row>
        <row r="1462">
          <cell r="A1462">
            <v>5007</v>
          </cell>
        </row>
        <row r="1463">
          <cell r="A1463">
            <v>5008</v>
          </cell>
        </row>
        <row r="1464">
          <cell r="A1464">
            <v>5011</v>
          </cell>
        </row>
        <row r="1465">
          <cell r="A1465">
            <v>5012</v>
          </cell>
        </row>
        <row r="1466">
          <cell r="A1466">
            <v>6001</v>
          </cell>
        </row>
        <row r="1467">
          <cell r="A1467">
            <v>6002</v>
          </cell>
        </row>
        <row r="1468">
          <cell r="A1468">
            <v>6003</v>
          </cell>
        </row>
        <row r="1469">
          <cell r="A1469">
            <v>6004</v>
          </cell>
        </row>
        <row r="1470">
          <cell r="A1470">
            <v>6005</v>
          </cell>
        </row>
        <row r="1471">
          <cell r="A1471">
            <v>6006</v>
          </cell>
        </row>
        <row r="1472">
          <cell r="A1472">
            <v>6007</v>
          </cell>
        </row>
        <row r="1473">
          <cell r="A1473">
            <v>6008</v>
          </cell>
        </row>
        <row r="1474">
          <cell r="A1474">
            <v>6009</v>
          </cell>
        </row>
        <row r="1475">
          <cell r="A1475">
            <v>6010</v>
          </cell>
        </row>
        <row r="1476">
          <cell r="A1476">
            <v>6011</v>
          </cell>
        </row>
        <row r="1477">
          <cell r="A1477">
            <v>6012</v>
          </cell>
        </row>
        <row r="1478">
          <cell r="A1478">
            <v>6013</v>
          </cell>
        </row>
        <row r="1479">
          <cell r="A1479">
            <v>6014</v>
          </cell>
        </row>
        <row r="1480">
          <cell r="A1480">
            <v>6015</v>
          </cell>
        </row>
        <row r="1481">
          <cell r="A1481">
            <v>6016</v>
          </cell>
        </row>
        <row r="1482">
          <cell r="A1482">
            <v>6017</v>
          </cell>
        </row>
        <row r="1483">
          <cell r="A1483">
            <v>6018</v>
          </cell>
        </row>
        <row r="1484">
          <cell r="A1484">
            <v>6019</v>
          </cell>
        </row>
        <row r="1485">
          <cell r="A1485">
            <v>6020</v>
          </cell>
        </row>
        <row r="1486">
          <cell r="A1486">
            <v>8001</v>
          </cell>
        </row>
        <row r="1487">
          <cell r="A1487">
            <v>8002</v>
          </cell>
        </row>
        <row r="1488">
          <cell r="A1488">
            <v>8003</v>
          </cell>
        </row>
        <row r="1489">
          <cell r="A1489">
            <v>8004</v>
          </cell>
        </row>
        <row r="1490">
          <cell r="A1490">
            <v>8005</v>
          </cell>
        </row>
        <row r="1491">
          <cell r="A1491">
            <v>8006</v>
          </cell>
        </row>
        <row r="1492">
          <cell r="A1492">
            <v>8007</v>
          </cell>
        </row>
        <row r="1493">
          <cell r="A1493">
            <v>8008</v>
          </cell>
        </row>
        <row r="1494">
          <cell r="A1494">
            <v>8009</v>
          </cell>
        </row>
        <row r="1495">
          <cell r="A1495">
            <v>8010</v>
          </cell>
        </row>
        <row r="1496">
          <cell r="A1496">
            <v>8011</v>
          </cell>
        </row>
        <row r="1497">
          <cell r="A1497">
            <v>8012</v>
          </cell>
        </row>
        <row r="1498">
          <cell r="A1498">
            <v>8013</v>
          </cell>
        </row>
        <row r="1499">
          <cell r="A1499">
            <v>8014</v>
          </cell>
        </row>
        <row r="1500">
          <cell r="A1500">
            <v>8015</v>
          </cell>
        </row>
        <row r="1501">
          <cell r="A1501">
            <v>8016</v>
          </cell>
        </row>
        <row r="1502">
          <cell r="A1502">
            <v>8017</v>
          </cell>
        </row>
        <row r="1503">
          <cell r="A1503">
            <v>8018</v>
          </cell>
        </row>
        <row r="1504">
          <cell r="A1504">
            <v>8019</v>
          </cell>
        </row>
        <row r="1505">
          <cell r="A1505">
            <v>8020</v>
          </cell>
        </row>
        <row r="1506">
          <cell r="A1506">
            <v>8021</v>
          </cell>
        </row>
        <row r="1507">
          <cell r="A1507">
            <v>8022</v>
          </cell>
        </row>
        <row r="1508">
          <cell r="A1508">
            <v>8023</v>
          </cell>
        </row>
        <row r="1509">
          <cell r="A1509">
            <v>8024</v>
          </cell>
        </row>
        <row r="1510">
          <cell r="A1510">
            <v>8025</v>
          </cell>
        </row>
        <row r="1511">
          <cell r="A1511">
            <v>8026</v>
          </cell>
        </row>
        <row r="1512">
          <cell r="A1512">
            <v>8027</v>
          </cell>
        </row>
        <row r="1513">
          <cell r="A1513">
            <v>8028</v>
          </cell>
        </row>
        <row r="1514">
          <cell r="A1514">
            <v>8029</v>
          </cell>
        </row>
        <row r="1515">
          <cell r="A1515">
            <v>8030</v>
          </cell>
        </row>
        <row r="1516">
          <cell r="A1516">
            <v>8031</v>
          </cell>
        </row>
        <row r="1517">
          <cell r="A1517">
            <v>8032</v>
          </cell>
        </row>
        <row r="1518">
          <cell r="A1518">
            <v>8033</v>
          </cell>
        </row>
        <row r="1519">
          <cell r="A1519">
            <v>8034</v>
          </cell>
        </row>
        <row r="1520">
          <cell r="A1520">
            <v>8035</v>
          </cell>
        </row>
        <row r="1521">
          <cell r="A1521">
            <v>8036</v>
          </cell>
        </row>
        <row r="1522">
          <cell r="A1522">
            <v>8037</v>
          </cell>
        </row>
        <row r="1523">
          <cell r="A1523">
            <v>8038</v>
          </cell>
        </row>
        <row r="1524">
          <cell r="A1524">
            <v>8039</v>
          </cell>
        </row>
        <row r="1525">
          <cell r="A1525">
            <v>8040</v>
          </cell>
        </row>
        <row r="1526">
          <cell r="A1526">
            <v>8041</v>
          </cell>
        </row>
        <row r="1527">
          <cell r="A1527">
            <v>8042</v>
          </cell>
        </row>
        <row r="1528">
          <cell r="A1528">
            <v>8043</v>
          </cell>
        </row>
        <row r="1529">
          <cell r="A1529">
            <v>8044</v>
          </cell>
        </row>
        <row r="1530">
          <cell r="A1530">
            <v>8045</v>
          </cell>
        </row>
        <row r="1531">
          <cell r="A1531">
            <v>8046</v>
          </cell>
        </row>
        <row r="1532">
          <cell r="A1532">
            <v>8047</v>
          </cell>
        </row>
        <row r="1533">
          <cell r="A1533">
            <v>8048</v>
          </cell>
        </row>
        <row r="1534">
          <cell r="A1534">
            <v>8049</v>
          </cell>
        </row>
        <row r="1535">
          <cell r="A1535">
            <v>8050</v>
          </cell>
        </row>
        <row r="1536">
          <cell r="A1536">
            <v>8051</v>
          </cell>
        </row>
        <row r="1537">
          <cell r="A1537">
            <v>8052</v>
          </cell>
        </row>
        <row r="1538">
          <cell r="A1538">
            <v>8053</v>
          </cell>
        </row>
        <row r="1539">
          <cell r="A1539">
            <v>8054</v>
          </cell>
        </row>
        <row r="1540">
          <cell r="A1540">
            <v>8055</v>
          </cell>
        </row>
        <row r="1541">
          <cell r="A1541">
            <v>8056</v>
          </cell>
        </row>
        <row r="1542">
          <cell r="A1542">
            <v>8057</v>
          </cell>
        </row>
        <row r="1543">
          <cell r="A1543">
            <v>8058</v>
          </cell>
        </row>
        <row r="1544">
          <cell r="A1544">
            <v>8059</v>
          </cell>
        </row>
        <row r="1545">
          <cell r="A1545">
            <v>8060</v>
          </cell>
        </row>
        <row r="1546">
          <cell r="A1546">
            <v>8061</v>
          </cell>
        </row>
        <row r="1547">
          <cell r="A1547">
            <v>8062</v>
          </cell>
        </row>
        <row r="1548">
          <cell r="A1548">
            <v>8063</v>
          </cell>
        </row>
        <row r="1549">
          <cell r="A1549">
            <v>8064</v>
          </cell>
        </row>
        <row r="1550">
          <cell r="A1550">
            <v>8065</v>
          </cell>
        </row>
        <row r="1551">
          <cell r="A1551">
            <v>8066</v>
          </cell>
        </row>
        <row r="1552">
          <cell r="A1552">
            <v>8067</v>
          </cell>
        </row>
        <row r="1553">
          <cell r="A1553">
            <v>8068</v>
          </cell>
        </row>
        <row r="1554">
          <cell r="A1554">
            <v>8069</v>
          </cell>
        </row>
        <row r="1555">
          <cell r="A1555">
            <v>8070</v>
          </cell>
        </row>
        <row r="1556">
          <cell r="A1556">
            <v>8071</v>
          </cell>
        </row>
        <row r="1557">
          <cell r="A1557">
            <v>8072</v>
          </cell>
        </row>
        <row r="1558">
          <cell r="A1558">
            <v>8073</v>
          </cell>
        </row>
        <row r="1559">
          <cell r="A1559">
            <v>8074</v>
          </cell>
        </row>
        <row r="1560">
          <cell r="A1560">
            <v>8077</v>
          </cell>
        </row>
        <row r="1561">
          <cell r="A1561">
            <v>8078</v>
          </cell>
        </row>
        <row r="1562">
          <cell r="A1562">
            <v>8079</v>
          </cell>
        </row>
        <row r="1563">
          <cell r="A1563">
            <v>8080</v>
          </cell>
        </row>
        <row r="1564">
          <cell r="A1564">
            <v>8081</v>
          </cell>
        </row>
        <row r="1565">
          <cell r="A1565">
            <v>8082</v>
          </cell>
        </row>
        <row r="1566">
          <cell r="A1566">
            <v>8083</v>
          </cell>
        </row>
        <row r="1567">
          <cell r="A1567">
            <v>8084</v>
          </cell>
        </row>
        <row r="1568">
          <cell r="A1568">
            <v>8085</v>
          </cell>
        </row>
        <row r="1569">
          <cell r="A1569">
            <v>8086</v>
          </cell>
        </row>
        <row r="1570">
          <cell r="A1570">
            <v>8087</v>
          </cell>
        </row>
        <row r="1571">
          <cell r="A1571">
            <v>8088</v>
          </cell>
        </row>
        <row r="1572">
          <cell r="A1572">
            <v>8089</v>
          </cell>
        </row>
        <row r="1573">
          <cell r="A1573">
            <v>8090</v>
          </cell>
        </row>
        <row r="1574">
          <cell r="A1574">
            <v>8095</v>
          </cell>
        </row>
        <row r="1575">
          <cell r="A1575">
            <v>8096</v>
          </cell>
        </row>
        <row r="1576">
          <cell r="A1576">
            <v>8097</v>
          </cell>
        </row>
        <row r="1577">
          <cell r="A1577">
            <v>8098</v>
          </cell>
        </row>
        <row r="1578">
          <cell r="A1578">
            <v>8099</v>
          </cell>
        </row>
        <row r="1579">
          <cell r="A1579">
            <v>8100</v>
          </cell>
        </row>
        <row r="1580">
          <cell r="A1580">
            <v>8101</v>
          </cell>
        </row>
        <row r="1581">
          <cell r="A1581">
            <v>8102</v>
          </cell>
        </row>
        <row r="1582">
          <cell r="A1582">
            <v>8103</v>
          </cell>
        </row>
        <row r="1583">
          <cell r="A1583">
            <v>8104</v>
          </cell>
        </row>
        <row r="1584">
          <cell r="A1584">
            <v>8105</v>
          </cell>
        </row>
        <row r="1585">
          <cell r="A1585">
            <v>8106</v>
          </cell>
        </row>
        <row r="1586">
          <cell r="A1586">
            <v>8111</v>
          </cell>
        </row>
        <row r="1587">
          <cell r="A1587">
            <v>8112</v>
          </cell>
        </row>
        <row r="1588">
          <cell r="A1588">
            <v>8113</v>
          </cell>
        </row>
        <row r="1589">
          <cell r="A1589">
            <v>8114</v>
          </cell>
        </row>
        <row r="1590">
          <cell r="A1590">
            <v>8115</v>
          </cell>
        </row>
        <row r="1591">
          <cell r="A1591">
            <v>8116</v>
          </cell>
        </row>
        <row r="1592">
          <cell r="A1592">
            <v>8117</v>
          </cell>
        </row>
        <row r="1593">
          <cell r="A1593">
            <v>8118</v>
          </cell>
        </row>
        <row r="1594">
          <cell r="A1594">
            <v>8119</v>
          </cell>
        </row>
        <row r="1595">
          <cell r="A1595">
            <v>8120</v>
          </cell>
        </row>
        <row r="1596">
          <cell r="A1596">
            <v>8121</v>
          </cell>
        </row>
        <row r="1597">
          <cell r="A1597">
            <v>8122</v>
          </cell>
        </row>
        <row r="1598">
          <cell r="A1598">
            <v>8127</v>
          </cell>
        </row>
        <row r="1599">
          <cell r="A1599">
            <v>8128</v>
          </cell>
        </row>
        <row r="1600">
          <cell r="A1600">
            <v>8129</v>
          </cell>
        </row>
        <row r="1601">
          <cell r="A1601">
            <v>8130</v>
          </cell>
        </row>
        <row r="1602">
          <cell r="A1602">
            <v>8131</v>
          </cell>
        </row>
        <row r="1603">
          <cell r="A1603">
            <v>8132</v>
          </cell>
        </row>
        <row r="1604">
          <cell r="A1604">
            <v>8133</v>
          </cell>
        </row>
        <row r="1605">
          <cell r="A1605">
            <v>8134</v>
          </cell>
        </row>
        <row r="1606">
          <cell r="A1606">
            <v>8135</v>
          </cell>
        </row>
        <row r="1607">
          <cell r="A1607">
            <v>8136</v>
          </cell>
        </row>
        <row r="1608">
          <cell r="A1608">
            <v>8137</v>
          </cell>
        </row>
        <row r="1609">
          <cell r="A1609">
            <v>8138</v>
          </cell>
        </row>
        <row r="1610">
          <cell r="A1610">
            <v>9001</v>
          </cell>
        </row>
        <row r="1611">
          <cell r="A1611">
            <v>9002</v>
          </cell>
        </row>
        <row r="1612">
          <cell r="A1612">
            <v>9003</v>
          </cell>
        </row>
        <row r="1613">
          <cell r="A1613">
            <v>9004</v>
          </cell>
        </row>
        <row r="1614">
          <cell r="A1614">
            <v>9005</v>
          </cell>
        </row>
        <row r="1615">
          <cell r="A1615">
            <v>9006</v>
          </cell>
        </row>
        <row r="1616">
          <cell r="A1616">
            <v>9007</v>
          </cell>
        </row>
        <row r="1617">
          <cell r="A1617">
            <v>9008</v>
          </cell>
        </row>
        <row r="1618">
          <cell r="A1618">
            <v>10101</v>
          </cell>
        </row>
        <row r="1619">
          <cell r="A1619">
            <v>10102</v>
          </cell>
        </row>
        <row r="1620">
          <cell r="A1620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1603</v>
          </cell>
        </row>
        <row r="1563">
          <cell r="A1563">
            <v>1604</v>
          </cell>
        </row>
        <row r="1564">
          <cell r="A1564">
            <v>1613</v>
          </cell>
        </row>
        <row r="1565">
          <cell r="A1565">
            <v>1614</v>
          </cell>
        </row>
        <row r="1566">
          <cell r="A1566">
            <v>1615</v>
          </cell>
        </row>
        <row r="1567">
          <cell r="A1567">
            <v>1616</v>
          </cell>
        </row>
        <row r="1568">
          <cell r="A1568">
            <v>1617</v>
          </cell>
        </row>
        <row r="1569">
          <cell r="A1569">
            <v>1618</v>
          </cell>
        </row>
        <row r="1570">
          <cell r="A1570">
            <v>1619</v>
          </cell>
        </row>
        <row r="1571">
          <cell r="A1571">
            <v>1620</v>
          </cell>
        </row>
        <row r="1572">
          <cell r="A1572">
            <v>1621</v>
          </cell>
        </row>
        <row r="1573">
          <cell r="A1573">
            <v>1622</v>
          </cell>
        </row>
        <row r="1574">
          <cell r="A1574">
            <v>1623</v>
          </cell>
        </row>
        <row r="1575">
          <cell r="A1575">
            <v>1624</v>
          </cell>
        </row>
        <row r="1576">
          <cell r="A1576">
            <v>1687</v>
          </cell>
        </row>
        <row r="1577">
          <cell r="A1577">
            <v>1688</v>
          </cell>
        </row>
        <row r="1578">
          <cell r="A1578">
            <v>1689</v>
          </cell>
        </row>
        <row r="1579">
          <cell r="A1579">
            <v>1690</v>
          </cell>
        </row>
        <row r="1580">
          <cell r="A1580">
            <v>1691</v>
          </cell>
        </row>
        <row r="1581">
          <cell r="A1581">
            <v>1692</v>
          </cell>
        </row>
        <row r="1582">
          <cell r="A1582">
            <v>1693</v>
          </cell>
        </row>
        <row r="1583">
          <cell r="A1583">
            <v>1694</v>
          </cell>
        </row>
        <row r="1584">
          <cell r="A1584">
            <v>1695</v>
          </cell>
        </row>
        <row r="1585">
          <cell r="A1585">
            <v>1696</v>
          </cell>
        </row>
        <row r="1586">
          <cell r="A1586">
            <v>1697</v>
          </cell>
        </row>
        <row r="1587">
          <cell r="A1587">
            <v>1698</v>
          </cell>
        </row>
        <row r="1588">
          <cell r="A1588">
            <v>1699</v>
          </cell>
        </row>
        <row r="1589">
          <cell r="A1589">
            <v>1700</v>
          </cell>
        </row>
        <row r="1590">
          <cell r="A1590">
            <v>1701</v>
          </cell>
        </row>
        <row r="1591">
          <cell r="A1591">
            <v>1702</v>
          </cell>
        </row>
        <row r="1592">
          <cell r="A1592">
            <v>1703</v>
          </cell>
        </row>
        <row r="1593">
          <cell r="A1593">
            <v>1704</v>
          </cell>
        </row>
        <row r="1594">
          <cell r="A1594">
            <v>1705</v>
          </cell>
        </row>
        <row r="1595">
          <cell r="A1595">
            <v>1706</v>
          </cell>
        </row>
        <row r="1596">
          <cell r="A1596">
            <v>1707</v>
          </cell>
        </row>
        <row r="1597">
          <cell r="A1597">
            <v>1708</v>
          </cell>
        </row>
        <row r="1598">
          <cell r="A1598">
            <v>1709</v>
          </cell>
        </row>
        <row r="1599">
          <cell r="A1599">
            <v>1710</v>
          </cell>
        </row>
        <row r="1600">
          <cell r="A1600">
            <v>1711</v>
          </cell>
        </row>
        <row r="1601">
          <cell r="A1601">
            <v>1712</v>
          </cell>
        </row>
        <row r="1602">
          <cell r="A1602">
            <v>1713</v>
          </cell>
        </row>
        <row r="1603">
          <cell r="A1603">
            <v>1714</v>
          </cell>
        </row>
        <row r="1604">
          <cell r="A1604">
            <v>1715</v>
          </cell>
        </row>
        <row r="1605">
          <cell r="A1605">
            <v>1716</v>
          </cell>
        </row>
        <row r="1606">
          <cell r="A1606">
            <v>1717</v>
          </cell>
        </row>
        <row r="1607">
          <cell r="A1607">
            <v>1718</v>
          </cell>
        </row>
        <row r="1608">
          <cell r="A1608">
            <v>1719</v>
          </cell>
        </row>
        <row r="1609">
          <cell r="A1609">
            <v>5001</v>
          </cell>
        </row>
        <row r="1610">
          <cell r="A1610">
            <v>5002</v>
          </cell>
        </row>
        <row r="1611">
          <cell r="A1611">
            <v>5003</v>
          </cell>
        </row>
        <row r="1612">
          <cell r="A1612">
            <v>5004</v>
          </cell>
        </row>
        <row r="1613">
          <cell r="A1613">
            <v>5005</v>
          </cell>
        </row>
        <row r="1614">
          <cell r="A1614">
            <v>5006</v>
          </cell>
        </row>
        <row r="1615">
          <cell r="A1615">
            <v>5007</v>
          </cell>
        </row>
        <row r="1616">
          <cell r="A1616">
            <v>5008</v>
          </cell>
        </row>
        <row r="1617">
          <cell r="A1617">
            <v>5009</v>
          </cell>
        </row>
        <row r="1618">
          <cell r="A1618">
            <v>5010</v>
          </cell>
        </row>
        <row r="1619">
          <cell r="A1619">
            <v>5011</v>
          </cell>
        </row>
        <row r="1620">
          <cell r="A1620">
            <v>5012</v>
          </cell>
        </row>
        <row r="1621">
          <cell r="A1621">
            <v>6001</v>
          </cell>
        </row>
        <row r="1622">
          <cell r="A1622">
            <v>6002</v>
          </cell>
        </row>
        <row r="1623">
          <cell r="A1623">
            <v>6003</v>
          </cell>
        </row>
        <row r="1624">
          <cell r="A1624">
            <v>6004</v>
          </cell>
        </row>
        <row r="1625">
          <cell r="A1625">
            <v>6005</v>
          </cell>
        </row>
        <row r="1626">
          <cell r="A1626">
            <v>6006</v>
          </cell>
        </row>
        <row r="1627">
          <cell r="A1627">
            <v>6007</v>
          </cell>
        </row>
        <row r="1628">
          <cell r="A1628">
            <v>6008</v>
          </cell>
        </row>
        <row r="1629">
          <cell r="A1629">
            <v>6009</v>
          </cell>
        </row>
        <row r="1630">
          <cell r="A1630">
            <v>6010</v>
          </cell>
        </row>
        <row r="1631">
          <cell r="A1631">
            <v>6011</v>
          </cell>
        </row>
        <row r="1632">
          <cell r="A1632">
            <v>6012</v>
          </cell>
        </row>
        <row r="1633">
          <cell r="A1633">
            <v>6013</v>
          </cell>
        </row>
        <row r="1634">
          <cell r="A1634">
            <v>6014</v>
          </cell>
        </row>
        <row r="1635">
          <cell r="A1635">
            <v>6015</v>
          </cell>
        </row>
        <row r="1636">
          <cell r="A1636">
            <v>6016</v>
          </cell>
        </row>
        <row r="1637">
          <cell r="A1637">
            <v>6017</v>
          </cell>
        </row>
        <row r="1638">
          <cell r="A1638">
            <v>6018</v>
          </cell>
        </row>
        <row r="1639">
          <cell r="A1639">
            <v>6019</v>
          </cell>
        </row>
        <row r="1640">
          <cell r="A1640">
            <v>6020</v>
          </cell>
        </row>
        <row r="1641">
          <cell r="A1641">
            <v>8001</v>
          </cell>
        </row>
        <row r="1642">
          <cell r="A1642">
            <v>8002</v>
          </cell>
        </row>
        <row r="1643">
          <cell r="A1643">
            <v>8003</v>
          </cell>
        </row>
        <row r="1644">
          <cell r="A1644">
            <v>8004</v>
          </cell>
        </row>
        <row r="1645">
          <cell r="A1645">
            <v>8005</v>
          </cell>
        </row>
        <row r="1646">
          <cell r="A1646">
            <v>8006</v>
          </cell>
        </row>
        <row r="1647">
          <cell r="A1647">
            <v>8007</v>
          </cell>
        </row>
        <row r="1648">
          <cell r="A1648">
            <v>8008</v>
          </cell>
        </row>
        <row r="1649">
          <cell r="A1649">
            <v>8009</v>
          </cell>
        </row>
        <row r="1650">
          <cell r="A1650">
            <v>8010</v>
          </cell>
        </row>
        <row r="1651">
          <cell r="A1651">
            <v>8011</v>
          </cell>
        </row>
        <row r="1652">
          <cell r="A1652">
            <v>8012</v>
          </cell>
        </row>
        <row r="1653">
          <cell r="A1653">
            <v>8013</v>
          </cell>
        </row>
        <row r="1654">
          <cell r="A1654">
            <v>8014</v>
          </cell>
        </row>
        <row r="1655">
          <cell r="A1655">
            <v>8015</v>
          </cell>
        </row>
        <row r="1656">
          <cell r="A1656">
            <v>8016</v>
          </cell>
        </row>
        <row r="1657">
          <cell r="A1657">
            <v>8017</v>
          </cell>
        </row>
        <row r="1658">
          <cell r="A1658">
            <v>8018</v>
          </cell>
        </row>
        <row r="1659">
          <cell r="A1659">
            <v>8019</v>
          </cell>
        </row>
        <row r="1660">
          <cell r="A1660">
            <v>8020</v>
          </cell>
        </row>
        <row r="1661">
          <cell r="A1661">
            <v>8021</v>
          </cell>
        </row>
        <row r="1662">
          <cell r="A1662">
            <v>8022</v>
          </cell>
        </row>
        <row r="1663">
          <cell r="A1663">
            <v>8023</v>
          </cell>
        </row>
        <row r="1664">
          <cell r="A1664">
            <v>8024</v>
          </cell>
        </row>
        <row r="1665">
          <cell r="A1665">
            <v>8025</v>
          </cell>
        </row>
        <row r="1666">
          <cell r="A1666">
            <v>8026</v>
          </cell>
        </row>
        <row r="1667">
          <cell r="A1667">
            <v>8027</v>
          </cell>
        </row>
        <row r="1668">
          <cell r="A1668">
            <v>8028</v>
          </cell>
        </row>
        <row r="1669">
          <cell r="A1669">
            <v>8029</v>
          </cell>
        </row>
        <row r="1670">
          <cell r="A1670">
            <v>8030</v>
          </cell>
        </row>
        <row r="1671">
          <cell r="A1671">
            <v>8031</v>
          </cell>
        </row>
        <row r="1672">
          <cell r="A1672">
            <v>8032</v>
          </cell>
        </row>
        <row r="1673">
          <cell r="A1673">
            <v>8033</v>
          </cell>
        </row>
        <row r="1674">
          <cell r="A1674">
            <v>8034</v>
          </cell>
        </row>
        <row r="1675">
          <cell r="A1675">
            <v>8035</v>
          </cell>
        </row>
        <row r="1676">
          <cell r="A1676">
            <v>8036</v>
          </cell>
        </row>
        <row r="1677">
          <cell r="A1677">
            <v>8037</v>
          </cell>
        </row>
        <row r="1678">
          <cell r="A1678">
            <v>8038</v>
          </cell>
        </row>
        <row r="1679">
          <cell r="A1679">
            <v>8039</v>
          </cell>
        </row>
        <row r="1680">
          <cell r="A1680">
            <v>8040</v>
          </cell>
        </row>
        <row r="1681">
          <cell r="A1681">
            <v>8041</v>
          </cell>
        </row>
        <row r="1682">
          <cell r="A1682">
            <v>8042</v>
          </cell>
        </row>
        <row r="1683">
          <cell r="A1683">
            <v>8043</v>
          </cell>
        </row>
        <row r="1684">
          <cell r="A1684">
            <v>8044</v>
          </cell>
        </row>
        <row r="1685">
          <cell r="A1685">
            <v>8045</v>
          </cell>
        </row>
        <row r="1686">
          <cell r="A1686">
            <v>8046</v>
          </cell>
        </row>
        <row r="1687">
          <cell r="A1687">
            <v>8047</v>
          </cell>
        </row>
        <row r="1688">
          <cell r="A1688">
            <v>8048</v>
          </cell>
        </row>
        <row r="1689">
          <cell r="A1689">
            <v>8049</v>
          </cell>
        </row>
        <row r="1690">
          <cell r="A1690">
            <v>8050</v>
          </cell>
        </row>
        <row r="1691">
          <cell r="A1691">
            <v>8051</v>
          </cell>
        </row>
        <row r="1692">
          <cell r="A1692">
            <v>8052</v>
          </cell>
        </row>
        <row r="1693">
          <cell r="A1693">
            <v>8053</v>
          </cell>
        </row>
        <row r="1694">
          <cell r="A1694">
            <v>8054</v>
          </cell>
        </row>
        <row r="1695">
          <cell r="A1695">
            <v>8055</v>
          </cell>
        </row>
        <row r="1696">
          <cell r="A1696">
            <v>8056</v>
          </cell>
        </row>
        <row r="1697">
          <cell r="A1697">
            <v>8057</v>
          </cell>
        </row>
        <row r="1698">
          <cell r="A1698">
            <v>8058</v>
          </cell>
        </row>
        <row r="1699">
          <cell r="A1699">
            <v>8059</v>
          </cell>
        </row>
        <row r="1700">
          <cell r="A1700">
            <v>8060</v>
          </cell>
        </row>
        <row r="1701">
          <cell r="A1701">
            <v>8061</v>
          </cell>
        </row>
        <row r="1702">
          <cell r="A1702">
            <v>8062</v>
          </cell>
        </row>
        <row r="1703">
          <cell r="A1703">
            <v>8063</v>
          </cell>
        </row>
        <row r="1704">
          <cell r="A1704">
            <v>8064</v>
          </cell>
        </row>
        <row r="1705">
          <cell r="A1705">
            <v>8065</v>
          </cell>
        </row>
        <row r="1706">
          <cell r="A1706">
            <v>8066</v>
          </cell>
        </row>
        <row r="1707">
          <cell r="A1707">
            <v>8067</v>
          </cell>
        </row>
        <row r="1708">
          <cell r="A1708">
            <v>8068</v>
          </cell>
        </row>
        <row r="1709">
          <cell r="A1709">
            <v>8069</v>
          </cell>
        </row>
        <row r="1710">
          <cell r="A1710">
            <v>8070</v>
          </cell>
        </row>
        <row r="1711">
          <cell r="A1711">
            <v>8071</v>
          </cell>
        </row>
        <row r="1712">
          <cell r="A1712">
            <v>8072</v>
          </cell>
        </row>
        <row r="1713">
          <cell r="A1713">
            <v>8073</v>
          </cell>
        </row>
        <row r="1714">
          <cell r="A1714">
            <v>8074</v>
          </cell>
        </row>
        <row r="1715">
          <cell r="A1715">
            <v>8075</v>
          </cell>
        </row>
        <row r="1716">
          <cell r="A1716">
            <v>8076</v>
          </cell>
        </row>
        <row r="1717">
          <cell r="A1717">
            <v>8077</v>
          </cell>
        </row>
        <row r="1718">
          <cell r="A1718">
            <v>8078</v>
          </cell>
        </row>
        <row r="1719">
          <cell r="A1719">
            <v>8079</v>
          </cell>
        </row>
        <row r="1720">
          <cell r="A1720">
            <v>8080</v>
          </cell>
        </row>
        <row r="1721">
          <cell r="A1721">
            <v>8081</v>
          </cell>
        </row>
        <row r="1722">
          <cell r="A1722">
            <v>8082</v>
          </cell>
        </row>
        <row r="1723">
          <cell r="A1723">
            <v>8083</v>
          </cell>
        </row>
        <row r="1724">
          <cell r="A1724">
            <v>8084</v>
          </cell>
        </row>
        <row r="1725">
          <cell r="A1725">
            <v>8085</v>
          </cell>
        </row>
        <row r="1726">
          <cell r="A1726">
            <v>8086</v>
          </cell>
        </row>
        <row r="1727">
          <cell r="A1727">
            <v>8087</v>
          </cell>
        </row>
        <row r="1728">
          <cell r="A1728">
            <v>8088</v>
          </cell>
        </row>
        <row r="1729">
          <cell r="A1729">
            <v>8089</v>
          </cell>
        </row>
        <row r="1730">
          <cell r="A1730">
            <v>8090</v>
          </cell>
        </row>
        <row r="1731">
          <cell r="A1731">
            <v>8095</v>
          </cell>
        </row>
        <row r="1732">
          <cell r="A1732">
            <v>8096</v>
          </cell>
        </row>
        <row r="1733">
          <cell r="A1733">
            <v>8097</v>
          </cell>
        </row>
        <row r="1734">
          <cell r="A1734">
            <v>8098</v>
          </cell>
        </row>
        <row r="1735">
          <cell r="A1735">
            <v>8099</v>
          </cell>
        </row>
        <row r="1736">
          <cell r="A1736">
            <v>8100</v>
          </cell>
        </row>
        <row r="1737">
          <cell r="A1737">
            <v>8101</v>
          </cell>
        </row>
        <row r="1738">
          <cell r="A1738">
            <v>8102</v>
          </cell>
        </row>
        <row r="1739">
          <cell r="A1739">
            <v>8103</v>
          </cell>
        </row>
        <row r="1740">
          <cell r="A1740">
            <v>8104</v>
          </cell>
        </row>
        <row r="1741">
          <cell r="A1741">
            <v>8105</v>
          </cell>
        </row>
        <row r="1742">
          <cell r="A1742">
            <v>8106</v>
          </cell>
        </row>
        <row r="1743">
          <cell r="A1743">
            <v>8111</v>
          </cell>
        </row>
        <row r="1744">
          <cell r="A1744">
            <v>8112</v>
          </cell>
        </row>
        <row r="1745">
          <cell r="A1745">
            <v>8113</v>
          </cell>
        </row>
        <row r="1746">
          <cell r="A1746">
            <v>8114</v>
          </cell>
        </row>
        <row r="1747">
          <cell r="A1747">
            <v>8115</v>
          </cell>
        </row>
        <row r="1748">
          <cell r="A1748">
            <v>8116</v>
          </cell>
        </row>
        <row r="1749">
          <cell r="A1749">
            <v>8117</v>
          </cell>
        </row>
        <row r="1750">
          <cell r="A1750">
            <v>8118</v>
          </cell>
        </row>
        <row r="1751">
          <cell r="A1751">
            <v>8119</v>
          </cell>
        </row>
        <row r="1752">
          <cell r="A1752">
            <v>8120</v>
          </cell>
        </row>
        <row r="1753">
          <cell r="A1753">
            <v>8121</v>
          </cell>
        </row>
        <row r="1754">
          <cell r="A1754">
            <v>8122</v>
          </cell>
        </row>
        <row r="1755">
          <cell r="A1755">
            <v>8123</v>
          </cell>
        </row>
        <row r="1756">
          <cell r="A1756">
            <v>8124</v>
          </cell>
        </row>
        <row r="1757">
          <cell r="A1757">
            <v>8125</v>
          </cell>
        </row>
        <row r="1758">
          <cell r="A1758">
            <v>8126</v>
          </cell>
        </row>
        <row r="1759">
          <cell r="A1759">
            <v>8127</v>
          </cell>
        </row>
        <row r="1760">
          <cell r="A1760">
            <v>8128</v>
          </cell>
        </row>
        <row r="1761">
          <cell r="A1761">
            <v>8129</v>
          </cell>
        </row>
        <row r="1762">
          <cell r="A1762">
            <v>8130</v>
          </cell>
        </row>
        <row r="1763">
          <cell r="A1763">
            <v>8131</v>
          </cell>
        </row>
        <row r="1764">
          <cell r="A1764">
            <v>8132</v>
          </cell>
        </row>
        <row r="1765">
          <cell r="A1765">
            <v>8133</v>
          </cell>
        </row>
        <row r="1766">
          <cell r="A1766">
            <v>8134</v>
          </cell>
        </row>
        <row r="1767">
          <cell r="A1767">
            <v>8135</v>
          </cell>
        </row>
        <row r="1768">
          <cell r="A1768">
            <v>8136</v>
          </cell>
        </row>
        <row r="1769">
          <cell r="A1769">
            <v>8137</v>
          </cell>
        </row>
        <row r="1770">
          <cell r="A1770">
            <v>8138</v>
          </cell>
        </row>
        <row r="1771">
          <cell r="A1771">
            <v>9001</v>
          </cell>
        </row>
        <row r="1772">
          <cell r="A1772">
            <v>9002</v>
          </cell>
        </row>
        <row r="1773">
          <cell r="A1773">
            <v>9003</v>
          </cell>
        </row>
        <row r="1774">
          <cell r="A1774">
            <v>9004</v>
          </cell>
        </row>
        <row r="1775">
          <cell r="A1775">
            <v>9005</v>
          </cell>
        </row>
        <row r="1776">
          <cell r="A1776">
            <v>9006</v>
          </cell>
        </row>
        <row r="1777">
          <cell r="A1777">
            <v>9007</v>
          </cell>
        </row>
        <row r="1778">
          <cell r="A1778">
            <v>9008</v>
          </cell>
        </row>
        <row r="1779">
          <cell r="A1779">
            <v>9009</v>
          </cell>
        </row>
        <row r="1780">
          <cell r="A1780">
            <v>9010</v>
          </cell>
        </row>
        <row r="1781">
          <cell r="A1781">
            <v>9011</v>
          </cell>
        </row>
        <row r="1782">
          <cell r="A1782">
            <v>9012</v>
          </cell>
        </row>
        <row r="1783">
          <cell r="A1783">
            <v>10001</v>
          </cell>
        </row>
        <row r="1784">
          <cell r="A1784">
            <v>10002</v>
          </cell>
        </row>
        <row r="1785">
          <cell r="A1785">
            <v>10003</v>
          </cell>
        </row>
        <row r="1786">
          <cell r="A1786">
            <v>10004</v>
          </cell>
        </row>
        <row r="1787">
          <cell r="A1787">
            <v>10005</v>
          </cell>
        </row>
        <row r="1788">
          <cell r="A1788">
            <v>10006</v>
          </cell>
        </row>
        <row r="1789">
          <cell r="A1789">
            <v>10007</v>
          </cell>
        </row>
        <row r="1790">
          <cell r="A1790">
            <v>10008</v>
          </cell>
        </row>
        <row r="1791">
          <cell r="A1791">
            <v>10009</v>
          </cell>
        </row>
        <row r="1792">
          <cell r="A1792">
            <v>10010</v>
          </cell>
        </row>
        <row r="1793">
          <cell r="A1793">
            <v>10011</v>
          </cell>
        </row>
        <row r="1794">
          <cell r="A1794">
            <v>10012</v>
          </cell>
        </row>
        <row r="1795">
          <cell r="A1795">
            <v>10013</v>
          </cell>
        </row>
        <row r="1796">
          <cell r="A1796">
            <v>10014</v>
          </cell>
        </row>
        <row r="1797">
          <cell r="A1797">
            <v>10015</v>
          </cell>
        </row>
        <row r="1798">
          <cell r="A1798">
            <v>10016</v>
          </cell>
        </row>
        <row r="1799">
          <cell r="A1799">
            <v>10017</v>
          </cell>
        </row>
        <row r="1800">
          <cell r="A1800">
            <v>10018</v>
          </cell>
        </row>
        <row r="1801">
          <cell r="A1801">
            <v>10019</v>
          </cell>
        </row>
        <row r="1802">
          <cell r="A1802">
            <v>10020</v>
          </cell>
        </row>
        <row r="1803">
          <cell r="A1803">
            <v>10021</v>
          </cell>
        </row>
        <row r="1804">
          <cell r="A1804">
            <v>10022</v>
          </cell>
        </row>
        <row r="1805">
          <cell r="A1805">
            <v>10023</v>
          </cell>
        </row>
        <row r="1806">
          <cell r="A1806">
            <v>10024</v>
          </cell>
        </row>
        <row r="1807">
          <cell r="A1807">
            <v>10025</v>
          </cell>
        </row>
        <row r="1808">
          <cell r="A1808">
            <v>10026</v>
          </cell>
        </row>
        <row r="1809">
          <cell r="A1809">
            <v>10027</v>
          </cell>
        </row>
        <row r="1810">
          <cell r="A1810">
            <v>10028</v>
          </cell>
        </row>
        <row r="1811">
          <cell r="A1811">
            <v>10029</v>
          </cell>
        </row>
        <row r="1812">
          <cell r="A1812">
            <v>10030</v>
          </cell>
        </row>
        <row r="1813">
          <cell r="A1813">
            <v>10031</v>
          </cell>
        </row>
        <row r="1814">
          <cell r="A1814">
            <v>10032</v>
          </cell>
        </row>
        <row r="1815">
          <cell r="A1815">
            <v>10033</v>
          </cell>
        </row>
        <row r="1816">
          <cell r="A1816">
            <v>10034</v>
          </cell>
        </row>
        <row r="1817">
          <cell r="A1817">
            <v>10035</v>
          </cell>
        </row>
        <row r="1818">
          <cell r="A1818">
            <v>10036</v>
          </cell>
        </row>
        <row r="1819">
          <cell r="A1819">
            <v>10037</v>
          </cell>
        </row>
        <row r="1820">
          <cell r="A1820">
            <v>10038</v>
          </cell>
        </row>
        <row r="1821">
          <cell r="A1821">
            <v>10039</v>
          </cell>
        </row>
        <row r="1822">
          <cell r="A1822">
            <v>10040</v>
          </cell>
        </row>
        <row r="1823">
          <cell r="A1823">
            <v>10041</v>
          </cell>
        </row>
        <row r="1824">
          <cell r="A1824">
            <v>10042</v>
          </cell>
        </row>
        <row r="1825">
          <cell r="A1825">
            <v>10043</v>
          </cell>
        </row>
        <row r="1826">
          <cell r="A1826">
            <v>10044</v>
          </cell>
        </row>
        <row r="1827">
          <cell r="A1827">
            <v>10045</v>
          </cell>
        </row>
        <row r="1828">
          <cell r="A1828">
            <v>10046</v>
          </cell>
        </row>
        <row r="1829">
          <cell r="A1829">
            <v>10047</v>
          </cell>
        </row>
        <row r="1830">
          <cell r="A1830">
            <v>10048</v>
          </cell>
        </row>
        <row r="1831">
          <cell r="A1831">
            <v>10049</v>
          </cell>
        </row>
        <row r="1832">
          <cell r="A1832">
            <v>10050</v>
          </cell>
        </row>
        <row r="1833">
          <cell r="A1833">
            <v>10051</v>
          </cell>
        </row>
        <row r="1834">
          <cell r="A1834">
            <v>10052</v>
          </cell>
        </row>
        <row r="1835">
          <cell r="A1835">
            <v>10053</v>
          </cell>
        </row>
        <row r="1836">
          <cell r="A1836">
            <v>10054</v>
          </cell>
        </row>
        <row r="1837">
          <cell r="A1837">
            <v>10055</v>
          </cell>
        </row>
        <row r="1838">
          <cell r="A1838">
            <v>10056</v>
          </cell>
        </row>
        <row r="1839">
          <cell r="A1839">
            <v>10057</v>
          </cell>
        </row>
        <row r="1840">
          <cell r="A1840">
            <v>10058</v>
          </cell>
        </row>
        <row r="1841">
          <cell r="A1841">
            <v>10059</v>
          </cell>
        </row>
        <row r="1842">
          <cell r="A1842">
            <v>10060</v>
          </cell>
        </row>
        <row r="1843">
          <cell r="A1843">
            <v>10061</v>
          </cell>
        </row>
        <row r="1844">
          <cell r="A1844">
            <v>10062</v>
          </cell>
        </row>
        <row r="1845">
          <cell r="A1845">
            <v>10063</v>
          </cell>
        </row>
        <row r="1846">
          <cell r="A1846">
            <v>10064</v>
          </cell>
        </row>
        <row r="1847">
          <cell r="A1847">
            <v>10065</v>
          </cell>
        </row>
        <row r="1848">
          <cell r="A1848">
            <v>10066</v>
          </cell>
        </row>
        <row r="1849">
          <cell r="A1849">
            <v>10067</v>
          </cell>
        </row>
        <row r="1850">
          <cell r="A1850">
            <v>10068</v>
          </cell>
        </row>
        <row r="1851">
          <cell r="A1851">
            <v>10069</v>
          </cell>
        </row>
        <row r="1852">
          <cell r="A1852">
            <v>10070</v>
          </cell>
        </row>
        <row r="1853">
          <cell r="A1853">
            <v>10071</v>
          </cell>
        </row>
        <row r="1854">
          <cell r="A1854">
            <v>10072</v>
          </cell>
        </row>
        <row r="1855">
          <cell r="A1855">
            <v>10073</v>
          </cell>
        </row>
        <row r="1856">
          <cell r="A1856">
            <v>10074</v>
          </cell>
        </row>
        <row r="1857">
          <cell r="A1857">
            <v>10075</v>
          </cell>
        </row>
        <row r="1858">
          <cell r="A1858">
            <v>10076</v>
          </cell>
        </row>
        <row r="1859">
          <cell r="A1859">
            <v>10077</v>
          </cell>
        </row>
        <row r="1860">
          <cell r="A1860">
            <v>10078</v>
          </cell>
        </row>
        <row r="1861">
          <cell r="A1861">
            <v>10079</v>
          </cell>
        </row>
        <row r="1862">
          <cell r="A1862">
            <v>10080</v>
          </cell>
        </row>
        <row r="1863">
          <cell r="A1863">
            <v>10081</v>
          </cell>
        </row>
        <row r="1864">
          <cell r="A1864">
            <v>10082</v>
          </cell>
        </row>
        <row r="1865">
          <cell r="A1865">
            <v>10083</v>
          </cell>
        </row>
        <row r="1866">
          <cell r="A1866">
            <v>10084</v>
          </cell>
        </row>
        <row r="1867">
          <cell r="A1867">
            <v>10085</v>
          </cell>
        </row>
        <row r="1868">
          <cell r="A1868">
            <v>10086</v>
          </cell>
        </row>
        <row r="1869">
          <cell r="A1869">
            <v>10087</v>
          </cell>
        </row>
        <row r="1870">
          <cell r="A1870">
            <v>10088</v>
          </cell>
        </row>
        <row r="1871">
          <cell r="A1871">
            <v>10089</v>
          </cell>
        </row>
        <row r="1872">
          <cell r="A1872">
            <v>10090</v>
          </cell>
        </row>
        <row r="1873">
          <cell r="A1873">
            <v>10101</v>
          </cell>
        </row>
        <row r="1874">
          <cell r="A1874">
            <v>10102</v>
          </cell>
        </row>
        <row r="1875">
          <cell r="A1875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A12" sqref="A12"/>
    </sheetView>
  </sheetViews>
  <sheetFormatPr baseColWidth="12" defaultRowHeight="15" x14ac:dyDescent="0.15"/>
  <cols>
    <col min="2" max="2" width="27" customWidth="1"/>
    <col min="5" max="5" width="26.83203125" bestFit="1" customWidth="1"/>
    <col min="6" max="6" width="22.1640625" bestFit="1" customWidth="1"/>
  </cols>
  <sheetData>
    <row r="1" spans="1:30" x14ac:dyDescent="0.15">
      <c r="A1" s="47" t="s">
        <v>130</v>
      </c>
      <c r="B1" s="42" t="s">
        <v>100</v>
      </c>
      <c r="C1" s="42" t="s">
        <v>101</v>
      </c>
      <c r="D1" s="42" t="s">
        <v>102</v>
      </c>
      <c r="E1" s="42" t="s">
        <v>103</v>
      </c>
      <c r="F1" s="42" t="s">
        <v>104</v>
      </c>
      <c r="G1" s="42" t="s">
        <v>105</v>
      </c>
      <c r="H1" s="42"/>
      <c r="I1" s="42"/>
      <c r="J1" s="42"/>
      <c r="K1" s="42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</row>
    <row r="2" spans="1:30" x14ac:dyDescent="0.15">
      <c r="A2" s="48" t="s">
        <v>272</v>
      </c>
      <c r="B2" s="44" t="s">
        <v>106</v>
      </c>
      <c r="C2" s="50">
        <v>47015</v>
      </c>
      <c r="D2" s="44" t="s">
        <v>107</v>
      </c>
      <c r="E2" s="43" t="str">
        <f>B2&amp;C2&amp;D2</f>
        <v>floors_47015.tmp</v>
      </c>
      <c r="F2" s="44" t="s">
        <v>108</v>
      </c>
      <c r="G2" s="45" t="s">
        <v>0</v>
      </c>
      <c r="H2" s="45" t="s">
        <v>1</v>
      </c>
      <c r="I2" s="45" t="s">
        <v>13</v>
      </c>
      <c r="J2" s="45" t="s">
        <v>14</v>
      </c>
      <c r="K2" s="45" t="s">
        <v>15</v>
      </c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</row>
    <row r="3" spans="1:30" x14ac:dyDescent="0.15">
      <c r="A3" s="48" t="s">
        <v>272</v>
      </c>
      <c r="B3" s="44" t="s">
        <v>109</v>
      </c>
      <c r="C3" s="50">
        <v>47015</v>
      </c>
      <c r="D3" s="44" t="s">
        <v>107</v>
      </c>
      <c r="E3" s="43" t="str">
        <f>B3&amp;C3&amp;D3</f>
        <v>enemy_habitats_47015.tmp</v>
      </c>
      <c r="F3" s="44" t="s">
        <v>110</v>
      </c>
      <c r="G3" s="45" t="s">
        <v>0</v>
      </c>
      <c r="H3" s="45" t="s">
        <v>1</v>
      </c>
      <c r="I3" s="45" t="s">
        <v>13</v>
      </c>
      <c r="J3" s="45" t="s">
        <v>2</v>
      </c>
      <c r="K3" s="45" t="s">
        <v>3</v>
      </c>
      <c r="L3" s="45" t="s">
        <v>47</v>
      </c>
      <c r="M3" s="45" t="s">
        <v>49</v>
      </c>
      <c r="N3" s="45" t="s">
        <v>51</v>
      </c>
      <c r="O3" s="45" t="s">
        <v>22</v>
      </c>
      <c r="P3" s="45" t="s">
        <v>5</v>
      </c>
      <c r="Q3" s="45" t="s">
        <v>6</v>
      </c>
      <c r="R3" s="45" t="s">
        <v>7</v>
      </c>
      <c r="S3" s="45" t="s">
        <v>8</v>
      </c>
      <c r="T3" s="45" t="s">
        <v>9</v>
      </c>
      <c r="U3" s="45" t="s">
        <v>10</v>
      </c>
      <c r="V3" s="45" t="s">
        <v>11</v>
      </c>
      <c r="W3" s="45" t="s">
        <v>12</v>
      </c>
      <c r="X3" s="45" t="s">
        <v>37</v>
      </c>
      <c r="Y3" s="45" t="s">
        <v>39</v>
      </c>
      <c r="Z3" s="45" t="s">
        <v>41</v>
      </c>
      <c r="AA3" s="45" t="s">
        <v>43</v>
      </c>
      <c r="AB3" s="45" t="s">
        <v>45</v>
      </c>
      <c r="AC3" s="45" t="s">
        <v>53</v>
      </c>
      <c r="AD3" s="45" t="s">
        <v>177</v>
      </c>
    </row>
    <row r="4" spans="1:30" x14ac:dyDescent="0.15">
      <c r="A4" s="48" t="s">
        <v>272</v>
      </c>
      <c r="B4" s="44" t="s">
        <v>111</v>
      </c>
      <c r="C4" s="50">
        <v>47015</v>
      </c>
      <c r="D4" s="44" t="s">
        <v>107</v>
      </c>
      <c r="E4" s="43" t="str">
        <f>B4&amp;C4&amp;D4</f>
        <v>enemy_habitat_S_47015.tmp</v>
      </c>
      <c r="F4" s="44" t="s">
        <v>112</v>
      </c>
      <c r="G4" s="45" t="s">
        <v>0</v>
      </c>
      <c r="H4" s="45" t="s">
        <v>1</v>
      </c>
      <c r="I4" s="45" t="s">
        <v>13</v>
      </c>
      <c r="J4" s="45" t="s">
        <v>53</v>
      </c>
      <c r="K4" s="45" t="s">
        <v>54</v>
      </c>
      <c r="L4" s="45" t="s">
        <v>55</v>
      </c>
      <c r="M4" s="45" t="s">
        <v>56</v>
      </c>
      <c r="N4" s="45" t="s">
        <v>57</v>
      </c>
      <c r="O4" s="45" t="s">
        <v>58</v>
      </c>
      <c r="P4" s="45" t="s">
        <v>48</v>
      </c>
      <c r="Q4" s="45" t="s">
        <v>50</v>
      </c>
      <c r="R4" s="45" t="s">
        <v>52</v>
      </c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</row>
    <row r="5" spans="1:30" x14ac:dyDescent="0.15">
      <c r="A5" s="48" t="s">
        <v>272</v>
      </c>
      <c r="B5" s="44" t="s">
        <v>113</v>
      </c>
      <c r="C5" s="50">
        <v>47015</v>
      </c>
      <c r="D5" s="44" t="s">
        <v>107</v>
      </c>
      <c r="E5" s="43" t="str">
        <f>B5&amp;C5&amp;D5</f>
        <v>enemy_skill_sets_47015.tmp</v>
      </c>
      <c r="F5" s="44" t="s">
        <v>114</v>
      </c>
      <c r="G5" s="46" t="s">
        <v>22</v>
      </c>
      <c r="H5" s="46" t="s">
        <v>99</v>
      </c>
      <c r="I5" s="46" t="s">
        <v>94</v>
      </c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</row>
    <row r="6" spans="1:30" x14ac:dyDescent="0.15">
      <c r="A6" s="48" t="s">
        <v>272</v>
      </c>
      <c r="B6" s="44" t="s">
        <v>115</v>
      </c>
      <c r="C6" s="50">
        <v>47015</v>
      </c>
      <c r="D6" s="44" t="s">
        <v>116</v>
      </c>
      <c r="E6" s="43" t="str">
        <f t="shared" ref="E6:E10" si="0">B6&amp;C6&amp;D6</f>
        <v>enemy_skills_tmp_47015.tmp</v>
      </c>
      <c r="F6" s="44" t="s">
        <v>90</v>
      </c>
      <c r="G6" s="45" t="s">
        <v>78</v>
      </c>
      <c r="H6" s="45" t="s">
        <v>79</v>
      </c>
      <c r="I6" s="45" t="s">
        <v>80</v>
      </c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</row>
    <row r="7" spans="1:30" x14ac:dyDescent="0.15">
      <c r="A7" s="48" t="s">
        <v>272</v>
      </c>
      <c r="B7" s="44" t="s">
        <v>117</v>
      </c>
      <c r="C7" s="50">
        <v>47015</v>
      </c>
      <c r="D7" s="44" t="s">
        <v>107</v>
      </c>
      <c r="E7" s="43" t="str">
        <f>B7&amp;C7&amp;D7</f>
        <v>enemy_skills_i18n_47015.tmp</v>
      </c>
      <c r="F7" s="44" t="s">
        <v>118</v>
      </c>
      <c r="G7" s="45" t="s">
        <v>78</v>
      </c>
      <c r="H7" s="45" t="s">
        <v>91</v>
      </c>
      <c r="I7" s="45" t="s">
        <v>92</v>
      </c>
      <c r="J7" s="45" t="s">
        <v>93</v>
      </c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</row>
    <row r="8" spans="1:30" x14ac:dyDescent="0.15">
      <c r="A8" s="48" t="s">
        <v>272</v>
      </c>
      <c r="B8" s="44" t="s">
        <v>119</v>
      </c>
      <c r="C8" s="50">
        <v>47015</v>
      </c>
      <c r="D8" s="44" t="s">
        <v>120</v>
      </c>
      <c r="E8" s="43" t="str">
        <f t="shared" si="0"/>
        <v>enemy_skill_triggers_47015.tmp</v>
      </c>
      <c r="F8" s="44" t="s">
        <v>121</v>
      </c>
      <c r="G8" s="45" t="s">
        <v>94</v>
      </c>
      <c r="H8" s="45" t="s">
        <v>95</v>
      </c>
      <c r="I8" s="45" t="s">
        <v>96</v>
      </c>
      <c r="J8" s="45" t="s">
        <v>97</v>
      </c>
      <c r="K8" s="45" t="s">
        <v>122</v>
      </c>
      <c r="L8" s="45" t="s">
        <v>98</v>
      </c>
      <c r="M8" s="45" t="s">
        <v>123</v>
      </c>
      <c r="N8" s="45" t="s">
        <v>124</v>
      </c>
      <c r="O8" s="45" t="s">
        <v>125</v>
      </c>
      <c r="P8" s="45" t="s">
        <v>66</v>
      </c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</row>
    <row r="9" spans="1:30" x14ac:dyDescent="0.15">
      <c r="A9" s="48" t="s">
        <v>272</v>
      </c>
      <c r="B9" s="54" t="s">
        <v>176</v>
      </c>
      <c r="C9" s="50">
        <v>47015</v>
      </c>
      <c r="D9" s="54" t="s">
        <v>170</v>
      </c>
      <c r="E9" s="55" t="str">
        <f t="shared" si="0"/>
        <v>stage_bug_bonuses_47015.tmp</v>
      </c>
      <c r="F9" s="54" t="s">
        <v>171</v>
      </c>
      <c r="G9" s="51" t="s">
        <v>150</v>
      </c>
      <c r="H9" s="51" t="s">
        <v>172</v>
      </c>
      <c r="I9" s="51" t="s">
        <v>173</v>
      </c>
      <c r="J9" s="53" t="s">
        <v>174</v>
      </c>
      <c r="K9" s="51" t="s">
        <v>175</v>
      </c>
      <c r="L9" s="51" t="s">
        <v>156</v>
      </c>
      <c r="M9" s="51" t="s">
        <v>157</v>
      </c>
      <c r="N9" s="51" t="s">
        <v>158</v>
      </c>
      <c r="O9" s="51" t="s">
        <v>159</v>
      </c>
      <c r="P9" s="51" t="s">
        <v>160</v>
      </c>
      <c r="Q9" s="51" t="s">
        <v>161</v>
      </c>
      <c r="R9" s="51" t="s">
        <v>162</v>
      </c>
      <c r="S9" s="51" t="s">
        <v>163</v>
      </c>
      <c r="T9" s="51" t="s">
        <v>164</v>
      </c>
      <c r="U9" s="51" t="s">
        <v>165</v>
      </c>
      <c r="V9" s="51" t="s">
        <v>166</v>
      </c>
      <c r="W9" s="51" t="s">
        <v>167</v>
      </c>
      <c r="X9" s="44"/>
      <c r="Y9" s="44"/>
      <c r="Z9" s="44"/>
      <c r="AA9" s="44"/>
      <c r="AB9" s="44"/>
      <c r="AC9" s="44"/>
      <c r="AD9" s="44"/>
    </row>
    <row r="10" spans="1:30" s="62" customFormat="1" x14ac:dyDescent="0.15">
      <c r="A10" s="48" t="s">
        <v>272</v>
      </c>
      <c r="B10" s="54" t="s">
        <v>199</v>
      </c>
      <c r="C10" s="50">
        <v>47015</v>
      </c>
      <c r="D10" s="54" t="s">
        <v>179</v>
      </c>
      <c r="E10" s="55" t="str">
        <f t="shared" si="0"/>
        <v>stage_hints_data_c_47015.tmp</v>
      </c>
      <c r="F10" s="54" t="s">
        <v>207</v>
      </c>
      <c r="G10" s="60" t="s">
        <v>180</v>
      </c>
      <c r="H10" s="60" t="s">
        <v>172</v>
      </c>
      <c r="I10" s="61" t="s">
        <v>181</v>
      </c>
      <c r="J10" s="53" t="s">
        <v>182</v>
      </c>
      <c r="K10" s="53" t="s">
        <v>183</v>
      </c>
      <c r="L10" s="87"/>
      <c r="M10" s="87"/>
      <c r="N10" s="87"/>
      <c r="O10" s="87"/>
      <c r="P10" s="87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</row>
    <row r="11" spans="1:30" s="62" customFormat="1" x14ac:dyDescent="0.15">
      <c r="A11" s="48" t="s">
        <v>272</v>
      </c>
      <c r="B11" s="54" t="s">
        <v>200</v>
      </c>
      <c r="C11" s="50">
        <v>47015</v>
      </c>
      <c r="D11" s="54" t="s">
        <v>170</v>
      </c>
      <c r="E11" s="55" t="str">
        <f t="shared" ref="E11:E13" si="1">B11&amp;C11&amp;D11</f>
        <v>stage_hints_data_f_47015.tmp</v>
      </c>
      <c r="F11" s="54" t="s">
        <v>208</v>
      </c>
      <c r="G11" s="60" t="s">
        <v>180</v>
      </c>
      <c r="H11" s="60" t="s">
        <v>172</v>
      </c>
      <c r="I11" s="61" t="s">
        <v>181</v>
      </c>
      <c r="J11" s="53" t="s">
        <v>182</v>
      </c>
      <c r="K11" s="53" t="s">
        <v>183</v>
      </c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</row>
    <row r="12" spans="1:30" s="62" customFormat="1" x14ac:dyDescent="0.15">
      <c r="A12" s="48" t="s">
        <v>272</v>
      </c>
      <c r="B12" s="54" t="s">
        <v>201</v>
      </c>
      <c r="C12" s="50">
        <v>47015</v>
      </c>
      <c r="D12" s="54" t="s">
        <v>170</v>
      </c>
      <c r="E12" s="55" t="str">
        <f t="shared" si="1"/>
        <v>stage_hints_i18n_47015.tmp</v>
      </c>
      <c r="F12" s="54" t="s">
        <v>209</v>
      </c>
      <c r="G12" s="61" t="s">
        <v>202</v>
      </c>
      <c r="H12" s="80" t="s">
        <v>203</v>
      </c>
      <c r="I12" s="60" t="s">
        <v>204</v>
      </c>
      <c r="J12" s="88" t="s">
        <v>205</v>
      </c>
      <c r="K12" s="53" t="s">
        <v>206</v>
      </c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</row>
    <row r="13" spans="1:30" s="62" customFormat="1" x14ac:dyDescent="0.15">
      <c r="A13" s="48" t="s">
        <v>272</v>
      </c>
      <c r="B13" s="54" t="s">
        <v>249</v>
      </c>
      <c r="C13" s="50">
        <v>47015</v>
      </c>
      <c r="D13" s="54" t="s">
        <v>230</v>
      </c>
      <c r="E13" s="55" t="str">
        <f t="shared" si="1"/>
        <v>stage_bonuses_47015.tmp</v>
      </c>
      <c r="F13" s="54" t="s">
        <v>229</v>
      </c>
      <c r="G13" s="60" t="s">
        <v>231</v>
      </c>
      <c r="H13" s="60" t="s">
        <v>232</v>
      </c>
      <c r="I13" s="60" t="s">
        <v>233</v>
      </c>
      <c r="J13" s="60" t="s">
        <v>234</v>
      </c>
      <c r="K13" s="60" t="s">
        <v>235</v>
      </c>
      <c r="L13" s="60" t="s">
        <v>236</v>
      </c>
      <c r="M13" s="60" t="s">
        <v>237</v>
      </c>
      <c r="N13" s="60" t="s">
        <v>238</v>
      </c>
      <c r="O13" s="60" t="s">
        <v>239</v>
      </c>
      <c r="P13" s="60" t="s">
        <v>240</v>
      </c>
      <c r="Q13" s="60" t="s">
        <v>241</v>
      </c>
      <c r="R13" s="60" t="s">
        <v>242</v>
      </c>
      <c r="S13" s="60" t="s">
        <v>243</v>
      </c>
      <c r="T13" s="60" t="s">
        <v>244</v>
      </c>
      <c r="U13" s="60" t="s">
        <v>245</v>
      </c>
      <c r="V13" s="60" t="s">
        <v>246</v>
      </c>
      <c r="W13" s="60" t="s">
        <v>247</v>
      </c>
      <c r="X13" s="60" t="s">
        <v>248</v>
      </c>
      <c r="Y13" s="87"/>
      <c r="Z13" s="87"/>
      <c r="AA13" s="87"/>
      <c r="AB13" s="87"/>
      <c r="AC13" s="87"/>
      <c r="AD13" s="87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0"/>
  <sheetViews>
    <sheetView showGridLines="0" workbookViewId="0">
      <pane ySplit="1" topLeftCell="A2" activePane="bottomLeft" state="frozen"/>
      <selection activeCell="V2" sqref="V2:X34"/>
      <selection pane="bottomLeft" activeCell="K9" sqref="K9"/>
    </sheetView>
  </sheetViews>
  <sheetFormatPr baseColWidth="12" defaultColWidth="13" defaultRowHeight="21" customHeight="1" outlineLevelCol="1" x14ac:dyDescent="0.15"/>
  <cols>
    <col min="1" max="1" width="8.6640625" style="19" bestFit="1" customWidth="1"/>
    <col min="2" max="2" width="5.83203125" style="19" bestFit="1" customWidth="1"/>
    <col min="3" max="3" width="7" style="3" bestFit="1" customWidth="1"/>
    <col min="4" max="4" width="16.33203125" style="3" bestFit="1" customWidth="1" outlineLevel="1"/>
    <col min="5" max="5" width="10.1640625" style="3" bestFit="1" customWidth="1" outlineLevel="1"/>
    <col min="6" max="6" width="6.83203125" style="3" bestFit="1" customWidth="1"/>
    <col min="7" max="7" width="9.1640625" style="19" bestFit="1" customWidth="1" outlineLevel="1"/>
    <col min="8" max="8" width="21.33203125" style="3" bestFit="1" customWidth="1" outlineLevel="1"/>
    <col min="9" max="9" width="6.1640625" style="3" bestFit="1" customWidth="1"/>
    <col min="10" max="10" width="10.6640625" style="3" bestFit="1" customWidth="1"/>
    <col min="11" max="11" width="11.16406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47015_3-1</v>
      </c>
      <c r="B2" s="16" t="str">
        <f>IF(COUNTIF(enemy_habitats!$H:$H,A2),"OK","NG")</f>
        <v>OK</v>
      </c>
      <c r="C2" s="7">
        <v>47015</v>
      </c>
      <c r="D2" s="11" t="str">
        <f ca="1">VLOOKUP($C2,OFFSET([2]quests!$A$1,0,0,COUNTA([2]quests!$A:$A),MATCH(D$1,[2]quests!$1:$1,0)-MATCH($C$1,[2]quests!$1:$1,0)+1),MATCH(D$1,[2]quests!$1:$1,0)-MATCH($C$1,[2]quests!$1:$1,0)+1,FALSE)</f>
        <v>後光射す白無垢装束</v>
      </c>
      <c r="E2" s="18" t="str">
        <f ca="1">VLOOKUP($C2,OFFSET([2]quests!$A$1,0,0,COUNTA([2]quests!$A:$A),MATCH(E$1,[2]quests!$1:$1,0)-MATCH($C$1,[2]quests!$1:$1,0)+1),MATCH(E$1,[2]quests!$1:$1,0)-MATCH($C$1,[2]quests!$1:$1,0)+1,FALSE)</f>
        <v>季節イベント</v>
      </c>
      <c r="F2" s="21">
        <v>3</v>
      </c>
      <c r="G2" s="23" t="str">
        <f>C2&amp;"_"&amp;F2</f>
        <v>47015_3</v>
      </c>
      <c r="H2" s="15" t="str">
        <f ca="1">VLOOKUP($G2,OFFSET([2]stages!$A$1,0,0,COUNTA([2]stages!$A:$A),MATCH(H$1,[2]stages!$2:$2,0)-MATCH($G$1,[2]stages!$2:$2,0)+1),MATCH(H$1,[2]stages!$2:$2,0)-MATCH($G$1,[2]stages!$2:$2,0)+1,FALSE)</f>
        <v>【ｳｨｻﾞ】後光射す白無垢装束</v>
      </c>
      <c r="I2" s="21">
        <v>1</v>
      </c>
      <c r="J2" s="12">
        <v>40</v>
      </c>
      <c r="K2" s="12">
        <v>40</v>
      </c>
    </row>
    <row r="3" spans="1:11" ht="21" customHeight="1" x14ac:dyDescent="0.15">
      <c r="A3" s="16" t="str">
        <f>G3&amp;"-"&amp;I3</f>
        <v>47015_3-2</v>
      </c>
      <c r="B3" s="16" t="str">
        <f>IF(COUNTIF(enemy_habitats!$H:$H,A3),"OK","NG")</f>
        <v>OK</v>
      </c>
      <c r="C3" s="7">
        <v>47015</v>
      </c>
      <c r="D3" s="11" t="str">
        <f ca="1">VLOOKUP($C3,OFFSET([2]quests!$A$1,0,0,COUNTA([2]quests!$A:$A),MATCH(D$1,[2]quests!$1:$1,0)-MATCH($C$1,[2]quests!$1:$1,0)+1),MATCH(D$1,[2]quests!$1:$1,0)-MATCH($C$1,[2]quests!$1:$1,0)+1,FALSE)</f>
        <v>後光射す白無垢装束</v>
      </c>
      <c r="E3" s="18" t="str">
        <f ca="1">VLOOKUP($C3,OFFSET([2]quests!$A$1,0,0,COUNTA([2]quests!$A:$A),MATCH(E$1,[2]quests!$1:$1,0)-MATCH($C$1,[2]quests!$1:$1,0)+1),MATCH(E$1,[2]quests!$1:$1,0)-MATCH($C$1,[2]quests!$1:$1,0)+1,FALSE)</f>
        <v>季節イベント</v>
      </c>
      <c r="F3" s="21">
        <v>3</v>
      </c>
      <c r="G3" s="23" t="str">
        <f>C3&amp;"_"&amp;F3</f>
        <v>47015_3</v>
      </c>
      <c r="H3" s="15" t="str">
        <f ca="1">VLOOKUP($G3,OFFSET([2]stages!$A$1,0,0,COUNTA([2]stages!$A:$A),MATCH(H$1,[2]stages!$2:$2,0)-MATCH($G$1,[2]stages!$2:$2,0)+1),MATCH(H$1,[2]stages!$2:$2,0)-MATCH($G$1,[2]stages!$2:$2,0)+1,FALSE)</f>
        <v>【ｳｨｻﾞ】後光射す白無垢装束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>G4&amp;"-"&amp;I4</f>
        <v>47015_3-3</v>
      </c>
      <c r="B4" s="16" t="str">
        <f>IF(COUNTIF(enemy_habitats!$H:$H,A4),"OK","NG")</f>
        <v>OK</v>
      </c>
      <c r="C4" s="7">
        <v>47015</v>
      </c>
      <c r="D4" s="11" t="str">
        <f ca="1">VLOOKUP($C4,OFFSET([2]quests!$A$1,0,0,COUNTA([2]quests!$A:$A),MATCH(D$1,[2]quests!$1:$1,0)-MATCH($C$1,[2]quests!$1:$1,0)+1),MATCH(D$1,[2]quests!$1:$1,0)-MATCH($C$1,[2]quests!$1:$1,0)+1,FALSE)</f>
        <v>後光射す白無垢装束</v>
      </c>
      <c r="E4" s="18" t="str">
        <f ca="1">VLOOKUP($C4,OFFSET([2]quests!$A$1,0,0,COUNTA([2]quests!$A:$A),MATCH(E$1,[2]quests!$1:$1,0)-MATCH($C$1,[2]quests!$1:$1,0)+1),MATCH(E$1,[2]quests!$1:$1,0)-MATCH($C$1,[2]quests!$1:$1,0)+1,FALSE)</f>
        <v>季節イベント</v>
      </c>
      <c r="F4" s="21">
        <v>3</v>
      </c>
      <c r="G4" s="23" t="str">
        <f>C4&amp;"_"&amp;F4</f>
        <v>47015_3</v>
      </c>
      <c r="H4" s="15" t="str">
        <f ca="1">VLOOKUP($G4,OFFSET([2]stages!$A$1,0,0,COUNTA([2]stages!$A:$A),MATCH(H$1,[2]stages!$2:$2,0)-MATCH($G$1,[2]stages!$2:$2,0)+1),MATCH(H$1,[2]stages!$2:$2,0)-MATCH($G$1,[2]stages!$2:$2,0)+1,FALSE)</f>
        <v>【ｳｨｻﾞ】後光射す白無垢装束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>G5&amp;"-"&amp;I5</f>
        <v>47015_2-1</v>
      </c>
      <c r="B5" s="16" t="str">
        <f>IF(COUNTIF(enemy_habitats!$H:$H,A5),"OK","NG")</f>
        <v>OK</v>
      </c>
      <c r="C5" s="7">
        <v>47015</v>
      </c>
      <c r="D5" s="11" t="str">
        <f ca="1">VLOOKUP($C5,OFFSET([2]quests!$A$1,0,0,COUNTA([2]quests!$A:$A),MATCH(D$1,[2]quests!$1:$1,0)-MATCH($C$1,[2]quests!$1:$1,0)+1),MATCH(D$1,[2]quests!$1:$1,0)-MATCH($C$1,[2]quests!$1:$1,0)+1,FALSE)</f>
        <v>後光射す白無垢装束</v>
      </c>
      <c r="E5" s="18" t="str">
        <f ca="1">VLOOKUP($C5,OFFSET([2]quests!$A$1,0,0,COUNTA([2]quests!$A:$A),MATCH(E$1,[2]quests!$1:$1,0)-MATCH($C$1,[2]quests!$1:$1,0)+1),MATCH(E$1,[2]quests!$1:$1,0)-MATCH($C$1,[2]quests!$1:$1,0)+1,FALSE)</f>
        <v>季節イベント</v>
      </c>
      <c r="F5" s="21">
        <v>2</v>
      </c>
      <c r="G5" s="23" t="str">
        <f>C5&amp;"_"&amp;F5</f>
        <v>47015_2</v>
      </c>
      <c r="H5" s="15" t="str">
        <f ca="1">VLOOKUP($G5,OFFSET([2]stages!$A$1,0,0,COUNTA([2]stages!$A:$A),MATCH(H$1,[2]stages!$2:$2,0)-MATCH($G$1,[2]stages!$2:$2,0)+1),MATCH(H$1,[2]stages!$2:$2,0)-MATCH($G$1,[2]stages!$2:$2,0)+1,FALSE)</f>
        <v>【超級】後光射す白無垢装束</v>
      </c>
      <c r="I5" s="21">
        <v>1</v>
      </c>
      <c r="J5" s="12">
        <v>40</v>
      </c>
      <c r="K5" s="12">
        <v>40</v>
      </c>
    </row>
    <row r="6" spans="1:11" ht="21" customHeight="1" x14ac:dyDescent="0.15">
      <c r="A6" s="16" t="str">
        <f t="shared" ref="A6:A7" si="0">G6&amp;"-"&amp;I6</f>
        <v>47015_2-2</v>
      </c>
      <c r="B6" s="16" t="str">
        <f>IF(COUNTIF(enemy_habitats!$H:$H,A6),"OK","NG")</f>
        <v>OK</v>
      </c>
      <c r="C6" s="7">
        <v>47015</v>
      </c>
      <c r="D6" s="11" t="str">
        <f ca="1">VLOOKUP($C6,OFFSET([2]quests!$A$1,0,0,COUNTA([2]quests!$A:$A),MATCH(D$1,[2]quests!$1:$1,0)-MATCH($C$1,[2]quests!$1:$1,0)+1),MATCH(D$1,[2]quests!$1:$1,0)-MATCH($C$1,[2]quests!$1:$1,0)+1,FALSE)</f>
        <v>後光射す白無垢装束</v>
      </c>
      <c r="E6" s="18" t="str">
        <f ca="1">VLOOKUP($C6,OFFSET([2]quests!$A$1,0,0,COUNTA([2]quests!$A:$A),MATCH(E$1,[2]quests!$1:$1,0)-MATCH($C$1,[2]quests!$1:$1,0)+1),MATCH(E$1,[2]quests!$1:$1,0)-MATCH($C$1,[2]quests!$1:$1,0)+1,FALSE)</f>
        <v>季節イベント</v>
      </c>
      <c r="F6" s="21">
        <v>2</v>
      </c>
      <c r="G6" s="23" t="str">
        <f t="shared" ref="G6:G7" si="1">C6&amp;"_"&amp;F6</f>
        <v>47015_2</v>
      </c>
      <c r="H6" s="15" t="str">
        <f ca="1">VLOOKUP($G6,OFFSET([2]stages!$A$1,0,0,COUNTA([2]stages!$A:$A),MATCH(H$1,[2]stages!$2:$2,0)-MATCH($G$1,[2]stages!$2:$2,0)+1),MATCH(H$1,[2]stages!$2:$2,0)-MATCH($G$1,[2]stages!$2:$2,0)+1,FALSE)</f>
        <v>【超級】後光射す白無垢装束</v>
      </c>
      <c r="I6" s="21">
        <v>2</v>
      </c>
      <c r="J6" s="12">
        <v>60</v>
      </c>
      <c r="K6" s="12">
        <v>60</v>
      </c>
    </row>
    <row r="7" spans="1:11" ht="21" customHeight="1" x14ac:dyDescent="0.15">
      <c r="A7" s="16" t="str">
        <f t="shared" si="0"/>
        <v>47015_2-3</v>
      </c>
      <c r="B7" s="16" t="str">
        <f>IF(COUNTIF(enemy_habitats!$H:$H,A7),"OK","NG")</f>
        <v>OK</v>
      </c>
      <c r="C7" s="7">
        <v>47015</v>
      </c>
      <c r="D7" s="11" t="str">
        <f ca="1">VLOOKUP($C7,OFFSET([2]quests!$A$1,0,0,COUNTA([2]quests!$A:$A),MATCH(D$1,[2]quests!$1:$1,0)-MATCH($C$1,[2]quests!$1:$1,0)+1),MATCH(D$1,[2]quests!$1:$1,0)-MATCH($C$1,[2]quests!$1:$1,0)+1,FALSE)</f>
        <v>後光射す白無垢装束</v>
      </c>
      <c r="E7" s="18" t="str">
        <f ca="1">VLOOKUP($C7,OFFSET([2]quests!$A$1,0,0,COUNTA([2]quests!$A:$A),MATCH(E$1,[2]quests!$1:$1,0)-MATCH($C$1,[2]quests!$1:$1,0)+1),MATCH(E$1,[2]quests!$1:$1,0)-MATCH($C$1,[2]quests!$1:$1,0)+1,FALSE)</f>
        <v>季節イベント</v>
      </c>
      <c r="F7" s="21">
        <v>2</v>
      </c>
      <c r="G7" s="23" t="str">
        <f t="shared" si="1"/>
        <v>47015_2</v>
      </c>
      <c r="H7" s="15" t="str">
        <f ca="1">VLOOKUP($G7,OFFSET([2]stages!$A$1,0,0,COUNTA([2]stages!$A:$A),MATCH(H$1,[2]stages!$2:$2,0)-MATCH($G$1,[2]stages!$2:$2,0)+1),MATCH(H$1,[2]stages!$2:$2,0)-MATCH($G$1,[2]stages!$2:$2,0)+1,FALSE)</f>
        <v>【超級】後光射す白無垢装束</v>
      </c>
      <c r="I7" s="21">
        <v>3</v>
      </c>
      <c r="J7" s="12">
        <v>60</v>
      </c>
      <c r="K7" s="12">
        <v>60</v>
      </c>
    </row>
    <row r="8" spans="1:11" ht="21" customHeight="1" x14ac:dyDescent="0.15">
      <c r="A8" s="16" t="str">
        <f>G8&amp;"-"&amp;I8</f>
        <v>47015_1-1</v>
      </c>
      <c r="B8" s="16" t="str">
        <f>IF(COUNTIF(enemy_habitats!$H:$H,A8),"OK","NG")</f>
        <v>OK</v>
      </c>
      <c r="C8" s="7">
        <v>47015</v>
      </c>
      <c r="D8" s="11" t="str">
        <f ca="1">VLOOKUP($C8,OFFSET([2]quests!$A$1,0,0,COUNTA([2]quests!$A:$A),MATCH(D$1,[2]quests!$1:$1,0)-MATCH($C$1,[2]quests!$1:$1,0)+1),MATCH(D$1,[2]quests!$1:$1,0)-MATCH($C$1,[2]quests!$1:$1,0)+1,FALSE)</f>
        <v>後光射す白無垢装束</v>
      </c>
      <c r="E8" s="18" t="str">
        <f ca="1">VLOOKUP($C8,OFFSET([2]quests!$A$1,0,0,COUNTA([2]quests!$A:$A),MATCH(E$1,[2]quests!$1:$1,0)-MATCH($C$1,[2]quests!$1:$1,0)+1),MATCH(E$1,[2]quests!$1:$1,0)-MATCH($C$1,[2]quests!$1:$1,0)+1,FALSE)</f>
        <v>季節イベント</v>
      </c>
      <c r="F8" s="21">
        <v>1</v>
      </c>
      <c r="G8" s="23" t="str">
        <f>C8&amp;"_"&amp;F8</f>
        <v>47015_1</v>
      </c>
      <c r="H8" s="15" t="str">
        <f ca="1">VLOOKUP($G8,OFFSET([2]stages!$A$1,0,0,COUNTA([2]stages!$A:$A),MATCH(H$1,[2]stages!$2:$2,0)-MATCH($G$1,[2]stages!$2:$2,0)+1),MATCH(H$1,[2]stages!$2:$2,0)-MATCH($G$1,[2]stages!$2:$2,0)+1,FALSE)</f>
        <v>【上級】後光射す白無垢装束</v>
      </c>
      <c r="I8" s="21">
        <v>1</v>
      </c>
      <c r="J8" s="12">
        <v>40</v>
      </c>
      <c r="K8" s="12">
        <v>40</v>
      </c>
    </row>
    <row r="9" spans="1:11" ht="21" customHeight="1" x14ac:dyDescent="0.15">
      <c r="A9" s="16" t="str">
        <f t="shared" ref="A9:A10" si="2">G9&amp;"-"&amp;I9</f>
        <v>47015_1-2</v>
      </c>
      <c r="B9" s="16" t="str">
        <f>IF(COUNTIF(enemy_habitats!$H:$H,A9),"OK","NG")</f>
        <v>OK</v>
      </c>
      <c r="C9" s="7">
        <v>47015</v>
      </c>
      <c r="D9" s="11" t="str">
        <f ca="1">VLOOKUP($C9,OFFSET([2]quests!$A$1,0,0,COUNTA([2]quests!$A:$A),MATCH(D$1,[2]quests!$1:$1,0)-MATCH($C$1,[2]quests!$1:$1,0)+1),MATCH(D$1,[2]quests!$1:$1,0)-MATCH($C$1,[2]quests!$1:$1,0)+1,FALSE)</f>
        <v>後光射す白無垢装束</v>
      </c>
      <c r="E9" s="18" t="str">
        <f ca="1">VLOOKUP($C9,OFFSET([2]quests!$A$1,0,0,COUNTA([2]quests!$A:$A),MATCH(E$1,[2]quests!$1:$1,0)-MATCH($C$1,[2]quests!$1:$1,0)+1),MATCH(E$1,[2]quests!$1:$1,0)-MATCH($C$1,[2]quests!$1:$1,0)+1,FALSE)</f>
        <v>季節イベント</v>
      </c>
      <c r="F9" s="21">
        <v>1</v>
      </c>
      <c r="G9" s="23" t="str">
        <f t="shared" ref="G9:G10" si="3">C9&amp;"_"&amp;F9</f>
        <v>47015_1</v>
      </c>
      <c r="H9" s="15" t="str">
        <f ca="1">VLOOKUP($G9,OFFSET([2]stages!$A$1,0,0,COUNTA([2]stages!$A:$A),MATCH(H$1,[2]stages!$2:$2,0)-MATCH($G$1,[2]stages!$2:$2,0)+1),MATCH(H$1,[2]stages!$2:$2,0)-MATCH($G$1,[2]stages!$2:$2,0)+1,FALSE)</f>
        <v>【上級】後光射す白無垢装束</v>
      </c>
      <c r="I9" s="21">
        <v>2</v>
      </c>
      <c r="J9" s="12">
        <v>60</v>
      </c>
      <c r="K9" s="12">
        <v>60</v>
      </c>
    </row>
    <row r="10" spans="1:11" ht="21" customHeight="1" x14ac:dyDescent="0.15">
      <c r="A10" s="16" t="str">
        <f t="shared" si="2"/>
        <v>47015_1-3</v>
      </c>
      <c r="B10" s="16" t="str">
        <f>IF(COUNTIF(enemy_habitats!$H:$H,A10),"OK","NG")</f>
        <v>OK</v>
      </c>
      <c r="C10" s="7">
        <v>47015</v>
      </c>
      <c r="D10" s="11" t="str">
        <f ca="1">VLOOKUP($C10,OFFSET([2]quests!$A$1,0,0,COUNTA([2]quests!$A:$A),MATCH(D$1,[2]quests!$1:$1,0)-MATCH($C$1,[2]quests!$1:$1,0)+1),MATCH(D$1,[2]quests!$1:$1,0)-MATCH($C$1,[2]quests!$1:$1,0)+1,FALSE)</f>
        <v>後光射す白無垢装束</v>
      </c>
      <c r="E10" s="18" t="str">
        <f ca="1">VLOOKUP($C10,OFFSET([2]quests!$A$1,0,0,COUNTA([2]quests!$A:$A),MATCH(E$1,[2]quests!$1:$1,0)-MATCH($C$1,[2]quests!$1:$1,0)+1),MATCH(E$1,[2]quests!$1:$1,0)-MATCH($C$1,[2]quests!$1:$1,0)+1,FALSE)</f>
        <v>季節イベント</v>
      </c>
      <c r="F10" s="21">
        <v>1</v>
      </c>
      <c r="G10" s="23" t="str">
        <f t="shared" si="3"/>
        <v>47015_1</v>
      </c>
      <c r="H10" s="15" t="str">
        <f ca="1">VLOOKUP($G10,OFFSET([2]stages!$A$1,0,0,COUNTA([2]stages!$A:$A),MATCH(H$1,[2]stages!$2:$2,0)-MATCH($G$1,[2]stages!$2:$2,0)+1),MATCH(H$1,[2]stages!$2:$2,0)-MATCH($G$1,[2]stages!$2:$2,0)+1,FALSE)</f>
        <v>【上級】後光射す白無垢装束</v>
      </c>
      <c r="I10" s="21">
        <v>3</v>
      </c>
      <c r="J10" s="12">
        <v>60</v>
      </c>
      <c r="K10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3"/>
  <sheetViews>
    <sheetView showGridLines="0" workbookViewId="0">
      <pane xSplit="17" ySplit="1" topLeftCell="AJ2" activePane="bottomRight" state="frozen"/>
      <selection pane="topRight" activeCell="N1" sqref="N1"/>
      <selection pane="bottomLeft" activeCell="A2" sqref="A2"/>
      <selection pane="bottomRight" activeCell="AH17" sqref="AH17"/>
    </sheetView>
  </sheetViews>
  <sheetFormatPr baseColWidth="12" defaultColWidth="13" defaultRowHeight="25" customHeight="1" outlineLevelCol="1" x14ac:dyDescent="0.15"/>
  <cols>
    <col min="1" max="1" width="16.5" style="19" customWidth="1"/>
    <col min="2" max="2" width="10.83203125" style="3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18.1640625" style="3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10.6640625" style="3" customWidth="1" outlineLevel="1"/>
    <col min="18" max="18" width="8.33203125" style="3" bestFit="1" customWidth="1"/>
    <col min="19" max="19" width="14.83203125" style="3" bestFit="1" customWidth="1"/>
    <col min="20" max="20" width="14.83203125" style="91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21.1640625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3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53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89" t="s">
        <v>250</v>
      </c>
      <c r="U1" s="26" t="s">
        <v>50</v>
      </c>
      <c r="V1" s="89" t="s">
        <v>251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178</v>
      </c>
    </row>
    <row r="2" spans="1:42" ht="25" customHeight="1" x14ac:dyDescent="0.15">
      <c r="A2" s="16" t="str">
        <f t="shared" ref="A2:A13" si="0">B2&amp;"_"&amp;C2&amp;"-"&amp;G2&amp;"/"&amp;L2&amp;"&lt;lv"&amp;R2&amp;"&gt;s"&amp;AC2</f>
        <v>47015_3-1/190&lt;lv80&gt;s1</v>
      </c>
      <c r="B2" s="22">
        <v>47015</v>
      </c>
      <c r="C2" s="21">
        <v>3</v>
      </c>
      <c r="D2" s="2" t="str">
        <f t="shared" ref="D2:D13" si="1">B2&amp;"_"&amp;C2</f>
        <v>47015_3</v>
      </c>
      <c r="E2" s="4" t="str">
        <f ca="1">VLOOKUP($B2,OFFSET([2]quests!$A$1,0,0,COUNTA([2]quests!$A:$A),MATCH(E$1,[2]quests!$1:$1,0)-MATCH($B$1,[2]quests!$1:$1,0)+1),MATCH(E$1,[2]quests!$1:$1,0)-MATCH($B$1,[2]quests!$1:$1,0)+1,FALSE)</f>
        <v>後光射す白無垢装束</v>
      </c>
      <c r="F2" s="4" t="str">
        <f ca="1">VLOOKUP($D2,OFFSET([2]stages!$A$1,0,0,COUNTA([2]stages!$A:$A),MATCH(F$1,[2]stages!$2:$2,0)-MATCH($D$1,[2]stages!$2:$2,0)+1),MATCH(F$1,[2]stages!$2:$2,0)-MATCH($D$1,[2]stages!$2:$2,0)+1,FALSE)</f>
        <v>【ｳｨｻﾞ】後光射す白無垢装束</v>
      </c>
      <c r="G2" s="21">
        <v>1</v>
      </c>
      <c r="H2" s="15" t="str">
        <f t="shared" ref="H2:H13" si="2">B2&amp;"_"&amp;C2&amp;"-"&amp;G2</f>
        <v>47015_3-1</v>
      </c>
      <c r="I2" s="4">
        <f ca="1">VLOOKUP($H2,OFFSET(floors!$A$1,0,0,COUNTA(floors!$A:$A),MATCH(I$1,floors!$1:$1,0)-MATCH($H$1,floors!$1:$1,0)+1),MATCH(I$1,floors!$1:$1,0)-MATCH($H$1,floors!$1:$1,0)+1,FALSE)</f>
        <v>40</v>
      </c>
      <c r="J2" s="4">
        <f ca="1">VLOOKUP($H2,OFFSET(floors!$A$1,0,0,COUNTA(floors!$A:$A),MATCH(J$1,floors!$1:$1,0)-MATCH($H$1,floors!$1:$1,0)+1),MATCH(J$1,floors!$1:$1,0)-MATCH($H$1,floors!$1:$1,0)+1,FALSE)</f>
        <v>40</v>
      </c>
      <c r="K2" s="38" t="s">
        <v>253</v>
      </c>
      <c r="L2" s="20">
        <v>190</v>
      </c>
      <c r="M2" s="17" t="str">
        <f ca="1">VLOOKUP($L2,OFFSET([3]enemies!$A$1,0,0,COUNTA([3]enemies!$A:$A),MATCH(M$1,[3]enemies!$1:$1,0)-MATCH($L$1,[3]enemies!$1:$1,0)+1),MATCH(M$1,[3]enemies!$1:$1,0)-MATCH($L$1,[3]enemies!$1:$1,0)+1,FALSE)</f>
        <v>卑弥呼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PremiumN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7">
        <f ca="1">VLOOKUP($L2,OFFSET([3]enemies!$A$1,0,0,COUNTA([3]enemies!$A:$A),MATCH(Q$1,[3]enemies!$1:$1,0)-MATCH($L$1,[3]enemies!$1:$1,0)+1),MATCH(Q$1,[3]enemies!$1:$1,0)-MATCH($L$1,[3]enemies!$1:$1,0)+1,FALSE)</f>
        <v>20</v>
      </c>
      <c r="R2" s="5">
        <v>80</v>
      </c>
      <c r="S2" s="25">
        <v>1</v>
      </c>
      <c r="T2" s="90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84271</v>
      </c>
      <c r="U2" s="25">
        <v>0.2</v>
      </c>
      <c r="V2" s="90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1540.6000000000001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全ユニットのスキルターンを2ターン短縮</v>
      </c>
      <c r="Y2" s="49">
        <v>47015100</v>
      </c>
      <c r="Z2" s="6">
        <v>1</v>
      </c>
      <c r="AA2" s="6">
        <v>100</v>
      </c>
      <c r="AB2" s="6">
        <v>0</v>
      </c>
      <c r="AC2" s="17">
        <v>1</v>
      </c>
      <c r="AD2" s="24">
        <v>1717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ラブリーエンジェル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4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2" s="7">
        <v>1</v>
      </c>
      <c r="AI2" s="24">
        <f t="shared" ref="AI2:AI13" ca="1" si="3">AF2</f>
        <v>4</v>
      </c>
      <c r="AJ2" s="8">
        <v>85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56">
        <v>1</v>
      </c>
    </row>
    <row r="3" spans="1:42" ht="25" customHeight="1" x14ac:dyDescent="0.15">
      <c r="A3" s="16" t="str">
        <f t="shared" ca="1" si="0"/>
        <v>47015_3-1/134&lt;lv80&gt;s3</v>
      </c>
      <c r="B3" s="22">
        <v>47015</v>
      </c>
      <c r="C3" s="21">
        <v>3</v>
      </c>
      <c r="D3" s="2" t="str">
        <f t="shared" si="1"/>
        <v>47015_3</v>
      </c>
      <c r="E3" s="4" t="str">
        <f ca="1">VLOOKUP($B3,OFFSET([2]quests!$A$1,0,0,COUNTA([2]quests!$A:$A),MATCH(E$1,[2]quests!$1:$1,0)-MATCH($B$1,[2]quests!$1:$1,0)+1),MATCH(E$1,[2]quests!$1:$1,0)-MATCH($B$1,[2]quests!$1:$1,0)+1,FALSE)</f>
        <v>後光射す白無垢装束</v>
      </c>
      <c r="F3" s="4" t="str">
        <f ca="1">VLOOKUP($D3,OFFSET([2]stages!$A$1,0,0,COUNTA([2]stages!$A:$A),MATCH(F$1,[2]stages!$2:$2,0)-MATCH($D$1,[2]stages!$2:$2,0)+1),MATCH(F$1,[2]stages!$2:$2,0)-MATCH($D$1,[2]stages!$2:$2,0)+1,FALSE)</f>
        <v>【ｳｨｻﾞ】後光射す白無垢装束</v>
      </c>
      <c r="G3" s="21">
        <v>1</v>
      </c>
      <c r="H3" s="15" t="str">
        <f t="shared" si="2"/>
        <v>47015_3-1</v>
      </c>
      <c r="I3" s="4">
        <f ca="1">VLOOKUP($H3,OFFSET(floors!$A$1,0,0,COUNTA(floors!$A:$A),MATCH(I$1,floors!$1:$1,0)-MATCH($H$1,floors!$1:$1,0)+1),MATCH(I$1,floors!$1:$1,0)-MATCH($H$1,floors!$1:$1,0)+1,FALSE)</f>
        <v>40</v>
      </c>
      <c r="J3" s="4">
        <f ca="1">VLOOKUP($H3,OFFSET(floors!$A$1,0,0,COUNTA(floors!$A:$A),MATCH(J$1,floors!$1:$1,0)-MATCH($H$1,floors!$1:$1,0)+1),MATCH(J$1,floors!$1:$1,0)-MATCH($H$1,floors!$1:$1,0)+1,FALSE)</f>
        <v>40</v>
      </c>
      <c r="K3" s="38" t="s">
        <v>253</v>
      </c>
      <c r="L3" s="20">
        <v>134</v>
      </c>
      <c r="M3" s="17" t="str">
        <f ca="1">VLOOKUP($L3,OFFSET([3]enemies!$A$1,0,0,COUNTA([3]enemies!$A:$A),MATCH(M$1,[3]enemies!$1:$1,0)-MATCH($L$1,[3]enemies!$1:$1,0)+1),MATCH(M$1,[3]enemies!$1:$1,0)-MATCH($L$1,[3]enemies!$1:$1,0)+1,FALSE)</f>
        <v>妖炎の夕霧</v>
      </c>
      <c r="N3" s="17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PremiumW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20</v>
      </c>
      <c r="R3" s="5">
        <v>80</v>
      </c>
      <c r="S3" s="25">
        <v>1.2</v>
      </c>
      <c r="T3" s="90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101125.2</v>
      </c>
      <c r="U3" s="25">
        <v>0.6</v>
      </c>
      <c r="V3" s="90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4621.8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10ターン全ユニットにウィルス+_x000D_緑パネルを赤パネルに変換</v>
      </c>
      <c r="Y3" s="49">
        <v>47015110</v>
      </c>
      <c r="Z3" s="6">
        <v>1</v>
      </c>
      <c r="AA3" s="6">
        <v>100</v>
      </c>
      <c r="AB3" s="6">
        <v>0</v>
      </c>
      <c r="AC3" s="17">
        <f ca="1">VLOOKUP($L3,OFFSET([3]enemies!$A$1,0,0,COUNTA([3]enemies!$A:$A),MATCH(AC$1,[3]enemies!$1:$1,0)-MATCH($L$1,[3]enemies!$1:$1,0)+1),MATCH(AC$1,[3]enemies!$1:$1,0)-MATCH($L$1,[3]enemies!$1:$1,0)+1,FALSE)</f>
        <v>3</v>
      </c>
      <c r="AD3" s="24">
        <f t="shared" ref="AD3:AD13" si="4">L3</f>
        <v>134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妖炎の夕霧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3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3" s="7">
        <v>1</v>
      </c>
      <c r="AI3" s="24">
        <f t="shared" ca="1" si="3"/>
        <v>3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56">
        <v>1</v>
      </c>
    </row>
    <row r="4" spans="1:42" ht="25" customHeight="1" x14ac:dyDescent="0.15">
      <c r="A4" s="16" t="str">
        <f t="shared" si="0"/>
        <v>47015_3-2/1326&lt;lv80&gt;s2</v>
      </c>
      <c r="B4" s="22">
        <v>47015</v>
      </c>
      <c r="C4" s="21">
        <v>3</v>
      </c>
      <c r="D4" s="2" t="str">
        <f t="shared" si="1"/>
        <v>47015_3</v>
      </c>
      <c r="E4" s="4" t="str">
        <f ca="1">VLOOKUP($B4,OFFSET([2]quests!$A$1,0,0,COUNTA([2]quests!$A:$A),MATCH(E$1,[2]quests!$1:$1,0)-MATCH($B$1,[2]quests!$1:$1,0)+1),MATCH(E$1,[2]quests!$1:$1,0)-MATCH($B$1,[2]quests!$1:$1,0)+1,FALSE)</f>
        <v>後光射す白無垢装束</v>
      </c>
      <c r="F4" s="4" t="str">
        <f ca="1">VLOOKUP($D4,OFFSET([2]stages!$A$1,0,0,COUNTA([2]stages!$A:$A),MATCH(F$1,[2]stages!$2:$2,0)-MATCH($D$1,[2]stages!$2:$2,0)+1),MATCH(F$1,[2]stages!$2:$2,0)-MATCH($D$1,[2]stages!$2:$2,0)+1,FALSE)</f>
        <v>【ｳｨｻﾞ】後光射す白無垢装束</v>
      </c>
      <c r="G4" s="21">
        <v>2</v>
      </c>
      <c r="H4" s="15" t="str">
        <f t="shared" si="2"/>
        <v>47015_3-2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1</v>
      </c>
      <c r="L4" s="20">
        <v>1326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ワカヒルメ</v>
      </c>
      <c r="N4" s="17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DropWizS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god</v>
      </c>
      <c r="Q4" s="17">
        <f ca="1">VLOOKUP($L4,OFFSET([3]enemies!$A$1,0,0,COUNTA([3]enemies!$A:$A),MATCH(Q$1,[3]enemies!$1:$1,0)-MATCH($L$1,[3]enemies!$1:$1,0)+1),MATCH(Q$1,[3]enemies!$1:$1,0)-MATCH($L$1,[3]enemies!$1:$1,0)+1,FALSE)</f>
        <v>60</v>
      </c>
      <c r="R4" s="5">
        <v>80</v>
      </c>
      <c r="S4" s="25">
        <v>2.2999999999999998</v>
      </c>
      <c r="T4" s="90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269589.89999999997</v>
      </c>
      <c r="U4" s="25">
        <v>0.5</v>
      </c>
      <c r="V4" s="90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3885.5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状態異常耐性+2ターン攻撃力UP+_x000D_2ターン全属性の攻撃をカウンター</v>
      </c>
      <c r="Y4" s="49">
        <v>47015120</v>
      </c>
      <c r="Z4" s="6">
        <v>1</v>
      </c>
      <c r="AA4" s="6">
        <v>100</v>
      </c>
      <c r="AB4" s="6">
        <v>1</v>
      </c>
      <c r="AC4" s="17">
        <v>2</v>
      </c>
      <c r="AD4" s="24">
        <v>1717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ラブリーエンジェル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4" s="7">
        <v>1</v>
      </c>
      <c r="AI4" s="24">
        <f t="shared" ca="1" si="3"/>
        <v>4</v>
      </c>
      <c r="AJ4" s="8">
        <v>85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56">
        <v>1</v>
      </c>
    </row>
    <row r="5" spans="1:42" ht="25" customHeight="1" thickBot="1" x14ac:dyDescent="0.2">
      <c r="A5" s="16" t="str">
        <f t="shared" si="0"/>
        <v>47015_3-3/1699&lt;lv80&gt;s2</v>
      </c>
      <c r="B5" s="22">
        <v>47015</v>
      </c>
      <c r="C5" s="21">
        <v>3</v>
      </c>
      <c r="D5" s="2" t="str">
        <f t="shared" si="1"/>
        <v>47015_3</v>
      </c>
      <c r="E5" s="4" t="str">
        <f ca="1">VLOOKUP($B5,OFFSET([2]quests!$A$1,0,0,COUNTA([2]quests!$A:$A),MATCH(E$1,[2]quests!$1:$1,0)-MATCH($B$1,[2]quests!$1:$1,0)+1),MATCH(E$1,[2]quests!$1:$1,0)-MATCH($B$1,[2]quests!$1:$1,0)+1,FALSE)</f>
        <v>後光射す白無垢装束</v>
      </c>
      <c r="F5" s="4" t="str">
        <f ca="1">VLOOKUP($D5,OFFSET([2]stages!$A$1,0,0,COUNTA([2]stages!$A:$A),MATCH(F$1,[2]stages!$2:$2,0)-MATCH($D$1,[2]stages!$2:$2,0)+1),MATCH(F$1,[2]stages!$2:$2,0)-MATCH($D$1,[2]stages!$2:$2,0)+1,FALSE)</f>
        <v>【ｳｨｻﾞ】後光射す白無垢装束</v>
      </c>
      <c r="G5" s="21">
        <v>3</v>
      </c>
      <c r="H5" s="15" t="str">
        <f t="shared" si="2"/>
        <v>47015_3-3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1</v>
      </c>
      <c r="L5" s="124">
        <v>1699</v>
      </c>
      <c r="M5" s="17" t="str">
        <f ca="1">VLOOKUP($L5,OFFSET([3]enemies!$A$1,0,0,COUNTA([3]enemies!$A:$A),MATCH(M$1,[3]enemies!$1:$1,0)-MATCH($L$1,[3]enemies!$1:$1,0)+1),MATCH(M$1,[3]enemies!$1:$1,0)-MATCH($L$1,[3]enemies!$1:$1,0)+1,FALSE)</f>
        <v>崇高祝言 アマテラス</v>
      </c>
      <c r="N5" s="17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DropWizS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god</v>
      </c>
      <c r="Q5" s="17">
        <f ca="1">VLOOKUP($L5,OFFSET([3]enemies!$A$1,0,0,COUNTA([3]enemies!$A:$A),MATCH(Q$1,[3]enemies!$1:$1,0)-MATCH($L$1,[3]enemies!$1:$1,0)+1),MATCH(Q$1,[3]enemies!$1:$1,0)-MATCH($L$1,[3]enemies!$1:$1,0)+1,FALSE)</f>
        <v>60</v>
      </c>
      <c r="R5" s="5">
        <v>80</v>
      </c>
      <c r="S5" s="25">
        <v>2.2999999999999998</v>
      </c>
      <c r="T5" s="90">
        <f>S5*132842</f>
        <v>305536.59999999998</v>
      </c>
      <c r="U5" s="25">
        <v>0.5</v>
      </c>
      <c r="V5" s="90">
        <f>U5* 11484</f>
        <v>5742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《とても怒っている…》_x000D_【状態異常耐性+6ターン攻撃力大UP+_x000D_全ユニットの攻撃力50%DOWN】</v>
      </c>
      <c r="Y5" s="132">
        <v>47015140</v>
      </c>
      <c r="Z5" s="6">
        <v>1</v>
      </c>
      <c r="AA5" s="6">
        <v>100</v>
      </c>
      <c r="AB5" s="6">
        <v>1</v>
      </c>
      <c r="AC5" s="17">
        <v>2</v>
      </c>
      <c r="AD5" s="24">
        <f t="shared" si="4"/>
        <v>1699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崇高祝言 アマテラス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6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5" s="7">
        <v>1</v>
      </c>
      <c r="AI5" s="24">
        <f t="shared" ca="1" si="3"/>
        <v>6</v>
      </c>
      <c r="AJ5" s="8">
        <v>80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56">
        <v>1</v>
      </c>
    </row>
    <row r="6" spans="1:42" ht="25" customHeight="1" thickBot="1" x14ac:dyDescent="0.2">
      <c r="A6" s="16" t="str">
        <f t="shared" si="0"/>
        <v>47015_2-1/190&lt;lv60&gt;s1</v>
      </c>
      <c r="B6" s="125">
        <v>47015</v>
      </c>
      <c r="C6" s="21">
        <v>2</v>
      </c>
      <c r="D6" s="2" t="str">
        <f t="shared" si="1"/>
        <v>47015_2</v>
      </c>
      <c r="E6" s="4" t="str">
        <f ca="1">VLOOKUP($B6,OFFSET([2]quests!$A$1,0,0,COUNTA([2]quests!$A:$A),MATCH(E$1,[2]quests!$1:$1,0)-MATCH($B$1,[2]quests!$1:$1,0)+1),MATCH(E$1,[2]quests!$1:$1,0)-MATCH($B$1,[2]quests!$1:$1,0)+1,FALSE)</f>
        <v>後光射す白無垢装束</v>
      </c>
      <c r="F6" s="4" t="str">
        <f ca="1">VLOOKUP($D6,OFFSET([2]stages!$A$1,0,0,COUNTA([2]stages!$A:$A),MATCH(F$1,[2]stages!$2:$2,0)-MATCH($D$1,[2]stages!$2:$2,0)+1),MATCH(F$1,[2]stages!$2:$2,0)-MATCH($D$1,[2]stages!$2:$2,0)+1,FALSE)</f>
        <v>【超級】後光射す白無垢装束</v>
      </c>
      <c r="G6" s="21">
        <v>1</v>
      </c>
      <c r="H6" s="15" t="str">
        <f t="shared" si="2"/>
        <v>47015_2-1</v>
      </c>
      <c r="I6" s="4">
        <f ca="1">VLOOKUP($H6,OFFSET(floors!$A$1,0,0,COUNTA(floors!$A:$A),MATCH(I$1,floors!$1:$1,0)-MATCH($H$1,floors!$1:$1,0)+1),MATCH(I$1,floors!$1:$1,0)-MATCH($H$1,floors!$1:$1,0)+1,FALSE)</f>
        <v>40</v>
      </c>
      <c r="J6" s="4">
        <f ca="1">VLOOKUP($H6,OFFSET(floors!$A$1,0,0,COUNTA(floors!$A:$A),MATCH(J$1,floors!$1:$1,0)-MATCH($H$1,floors!$1:$1,0)+1),MATCH(J$1,floors!$1:$1,0)-MATCH($H$1,floors!$1:$1,0)+1,FALSE)</f>
        <v>40</v>
      </c>
      <c r="K6" s="38" t="s">
        <v>88</v>
      </c>
      <c r="L6" s="20">
        <v>190</v>
      </c>
      <c r="M6" s="17" t="str">
        <f ca="1">VLOOKUP($L6,OFFSET([3]enemies!$A$1,0,0,COUNTA([3]enemies!$A:$A),MATCH(M$1,[3]enemies!$1:$1,0)-MATCH($L$1,[3]enemies!$1:$1,0)+1),MATCH(M$1,[3]enemies!$1:$1,0)-MATCH($L$1,[3]enemies!$1:$1,0)+1,FALSE)</f>
        <v>卑弥呼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PremiumN</v>
      </c>
      <c r="P6" s="17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7">
        <f ca="1">VLOOKUP($L6,OFFSET([3]enemies!$A$1,0,0,COUNTA([3]enemies!$A:$A),MATCH(Q$1,[3]enemies!$1:$1,0)-MATCH($L$1,[3]enemies!$1:$1,0)+1),MATCH(Q$1,[3]enemies!$1:$1,0)-MATCH($L$1,[3]enemies!$1:$1,0)+1,FALSE)</f>
        <v>20</v>
      </c>
      <c r="R6" s="5">
        <v>60</v>
      </c>
      <c r="S6" s="25">
        <v>0.3</v>
      </c>
      <c r="T6" s="90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19077.3</v>
      </c>
      <c r="U6" s="25">
        <v>0.2</v>
      </c>
      <c r="V6" s="90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1162.6000000000001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全ユニットのスキルターンを2ターン短縮</v>
      </c>
      <c r="Y6" s="145">
        <v>47015200</v>
      </c>
      <c r="Z6" s="6">
        <v>1</v>
      </c>
      <c r="AA6" s="6">
        <v>100</v>
      </c>
      <c r="AB6" s="6">
        <v>0</v>
      </c>
      <c r="AC6" s="17">
        <v>1</v>
      </c>
      <c r="AD6" s="24">
        <v>1717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ラブリーエンジェル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4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6" s="7">
        <v>1</v>
      </c>
      <c r="AI6" s="24">
        <f t="shared" ca="1" si="3"/>
        <v>4</v>
      </c>
      <c r="AJ6" s="8">
        <v>75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56">
        <v>1</v>
      </c>
    </row>
    <row r="7" spans="1:42" ht="25" customHeight="1" thickBot="1" x14ac:dyDescent="0.2">
      <c r="A7" s="16" t="str">
        <f t="shared" ca="1" si="0"/>
        <v>47015_2-1/134&lt;lv45&gt;s3</v>
      </c>
      <c r="B7" s="125">
        <v>47015</v>
      </c>
      <c r="C7" s="21">
        <v>2</v>
      </c>
      <c r="D7" s="2" t="str">
        <f t="shared" si="1"/>
        <v>47015_2</v>
      </c>
      <c r="E7" s="4" t="str">
        <f ca="1">VLOOKUP($B7,OFFSET([2]quests!$A$1,0,0,COUNTA([2]quests!$A:$A),MATCH(E$1,[2]quests!$1:$1,0)-MATCH($B$1,[2]quests!$1:$1,0)+1),MATCH(E$1,[2]quests!$1:$1,0)-MATCH($B$1,[2]quests!$1:$1,0)+1,FALSE)</f>
        <v>後光射す白無垢装束</v>
      </c>
      <c r="F7" s="4" t="str">
        <f ca="1">VLOOKUP($D7,OFFSET([2]stages!$A$1,0,0,COUNTA([2]stages!$A:$A),MATCH(F$1,[2]stages!$2:$2,0)-MATCH($D$1,[2]stages!$2:$2,0)+1),MATCH(F$1,[2]stages!$2:$2,0)-MATCH($D$1,[2]stages!$2:$2,0)+1,FALSE)</f>
        <v>【超級】後光射す白無垢装束</v>
      </c>
      <c r="G7" s="21">
        <v>1</v>
      </c>
      <c r="H7" s="15" t="str">
        <f t="shared" si="2"/>
        <v>47015_2-1</v>
      </c>
      <c r="I7" s="4">
        <f ca="1">VLOOKUP($H7,OFFSET(floors!$A$1,0,0,COUNTA(floors!$A:$A),MATCH(I$1,floors!$1:$1,0)-MATCH($H$1,floors!$1:$1,0)+1),MATCH(I$1,floors!$1:$1,0)-MATCH($H$1,floors!$1:$1,0)+1,FALSE)</f>
        <v>40</v>
      </c>
      <c r="J7" s="4">
        <f ca="1">VLOOKUP($H7,OFFSET(floors!$A$1,0,0,COUNTA(floors!$A:$A),MATCH(J$1,floors!$1:$1,0)-MATCH($H$1,floors!$1:$1,0)+1),MATCH(J$1,floors!$1:$1,0)-MATCH($H$1,floors!$1:$1,0)+1,FALSE)</f>
        <v>40</v>
      </c>
      <c r="K7" s="38" t="s">
        <v>88</v>
      </c>
      <c r="L7" s="20">
        <v>134</v>
      </c>
      <c r="M7" s="17" t="str">
        <f ca="1">VLOOKUP($L7,OFFSET([3]enemies!$A$1,0,0,COUNTA([3]enemies!$A:$A),MATCH(M$1,[3]enemies!$1:$1,0)-MATCH($L$1,[3]enemies!$1:$1,0)+1),MATCH(M$1,[3]enemies!$1:$1,0)-MATCH($L$1,[3]enemies!$1:$1,0)+1,FALSE)</f>
        <v>妖炎の夕霧</v>
      </c>
      <c r="N7" s="17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PremiumW</v>
      </c>
      <c r="P7" s="17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7">
        <f ca="1">VLOOKUP($L7,OFFSET([3]enemies!$A$1,0,0,COUNTA([3]enemies!$A:$A),MATCH(Q$1,[3]enemies!$1:$1,0)-MATCH($L$1,[3]enemies!$1:$1,0)+1),MATCH(Q$1,[3]enemies!$1:$1,0)-MATCH($L$1,[3]enemies!$1:$1,0)+1,FALSE)</f>
        <v>20</v>
      </c>
      <c r="R7" s="5">
        <v>45</v>
      </c>
      <c r="S7" s="25">
        <v>0.5</v>
      </c>
      <c r="T7" s="90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24040.5</v>
      </c>
      <c r="U7" s="25">
        <v>0.5</v>
      </c>
      <c r="V7" s="90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2197.5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10ターン全ユニットにウィルス+_x000D_緑パネルを赤パネルに変換</v>
      </c>
      <c r="Y7" s="147">
        <v>47015210</v>
      </c>
      <c r="Z7" s="6">
        <v>1</v>
      </c>
      <c r="AA7" s="6">
        <v>100</v>
      </c>
      <c r="AB7" s="6">
        <v>0</v>
      </c>
      <c r="AC7" s="17">
        <f ca="1">VLOOKUP($L7,OFFSET([3]enemies!$A$1,0,0,COUNTA([3]enemies!$A:$A),MATCH(AC$1,[3]enemies!$1:$1,0)-MATCH($L$1,[3]enemies!$1:$1,0)+1),MATCH(AC$1,[3]enemies!$1:$1,0)-MATCH($L$1,[3]enemies!$1:$1,0)+1,FALSE)</f>
        <v>3</v>
      </c>
      <c r="AD7" s="24">
        <f t="shared" si="4"/>
        <v>134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妖炎の夕霧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3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7" s="7">
        <v>1</v>
      </c>
      <c r="AI7" s="24">
        <f t="shared" ca="1" si="3"/>
        <v>3</v>
      </c>
      <c r="AJ7" s="8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56">
        <v>1</v>
      </c>
    </row>
    <row r="8" spans="1:42" ht="25" customHeight="1" thickBot="1" x14ac:dyDescent="0.2">
      <c r="A8" s="16" t="str">
        <f t="shared" si="0"/>
        <v>47015_2-2/1326&lt;lv50&gt;s2</v>
      </c>
      <c r="B8" s="125">
        <v>47015</v>
      </c>
      <c r="C8" s="21">
        <v>2</v>
      </c>
      <c r="D8" s="2" t="str">
        <f t="shared" si="1"/>
        <v>47015_2</v>
      </c>
      <c r="E8" s="4" t="str">
        <f ca="1">VLOOKUP($B8,OFFSET([2]quests!$A$1,0,0,COUNTA([2]quests!$A:$A),MATCH(E$1,[2]quests!$1:$1,0)-MATCH($B$1,[2]quests!$1:$1,0)+1),MATCH(E$1,[2]quests!$1:$1,0)-MATCH($B$1,[2]quests!$1:$1,0)+1,FALSE)</f>
        <v>後光射す白無垢装束</v>
      </c>
      <c r="F8" s="4" t="str">
        <f ca="1">VLOOKUP($D8,OFFSET([2]stages!$A$1,0,0,COUNTA([2]stages!$A:$A),MATCH(F$1,[2]stages!$2:$2,0)-MATCH($D$1,[2]stages!$2:$2,0)+1),MATCH(F$1,[2]stages!$2:$2,0)-MATCH($D$1,[2]stages!$2:$2,0)+1,FALSE)</f>
        <v>【超級】後光射す白無垢装束</v>
      </c>
      <c r="G8" s="21">
        <v>2</v>
      </c>
      <c r="H8" s="15" t="str">
        <f t="shared" si="2"/>
        <v>47015_2-2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>
        <v>1</v>
      </c>
      <c r="L8" s="20">
        <v>1326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ワカヒルメ</v>
      </c>
      <c r="N8" s="17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DropWizS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god</v>
      </c>
      <c r="Q8" s="17">
        <f ca="1">VLOOKUP($L8,OFFSET([3]enemies!$A$1,0,0,COUNTA([3]enemies!$A:$A),MATCH(Q$1,[3]enemies!$1:$1,0)-MATCH($L$1,[3]enemies!$1:$1,0)+1),MATCH(Q$1,[3]enemies!$1:$1,0)-MATCH($L$1,[3]enemies!$1:$1,0)+1,FALSE)</f>
        <v>60</v>
      </c>
      <c r="R8" s="5">
        <v>50</v>
      </c>
      <c r="S8" s="25">
        <v>1.3</v>
      </c>
      <c r="T8" s="90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96287.1</v>
      </c>
      <c r="U8" s="25">
        <v>0.5</v>
      </c>
      <c r="V8" s="90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2455.5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状態異常耐性+2ターン攻撃力UP+_x000D_2ターン全属性の攻撃をカウンター</v>
      </c>
      <c r="Y8" s="148">
        <v>47015220</v>
      </c>
      <c r="Z8" s="6">
        <v>1</v>
      </c>
      <c r="AA8" s="6">
        <v>100</v>
      </c>
      <c r="AB8" s="6">
        <v>1</v>
      </c>
      <c r="AC8" s="17">
        <v>2</v>
      </c>
      <c r="AD8" s="24">
        <v>1717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ラブリーエンジェル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4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8" s="7">
        <v>1</v>
      </c>
      <c r="AI8" s="24">
        <f t="shared" ca="1" si="3"/>
        <v>4</v>
      </c>
      <c r="AJ8" s="8">
        <v>75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56">
        <v>1</v>
      </c>
    </row>
    <row r="9" spans="1:42" ht="25" customHeight="1" thickBot="1" x14ac:dyDescent="0.2">
      <c r="A9" s="16" t="str">
        <f t="shared" si="0"/>
        <v>47015_2-3/1699&lt;lv50&gt;s2</v>
      </c>
      <c r="B9" s="125">
        <v>47015</v>
      </c>
      <c r="C9" s="21">
        <v>2</v>
      </c>
      <c r="D9" s="2" t="str">
        <f t="shared" si="1"/>
        <v>47015_2</v>
      </c>
      <c r="E9" s="4" t="str">
        <f ca="1">VLOOKUP($B9,OFFSET([2]quests!$A$1,0,0,COUNTA([2]quests!$A:$A),MATCH(E$1,[2]quests!$1:$1,0)-MATCH($B$1,[2]quests!$1:$1,0)+1),MATCH(E$1,[2]quests!$1:$1,0)-MATCH($B$1,[2]quests!$1:$1,0)+1,FALSE)</f>
        <v>後光射す白無垢装束</v>
      </c>
      <c r="F9" s="4" t="str">
        <f ca="1">VLOOKUP($D9,OFFSET([2]stages!$A$1,0,0,COUNTA([2]stages!$A:$A),MATCH(F$1,[2]stages!$2:$2,0)-MATCH($D$1,[2]stages!$2:$2,0)+1),MATCH(F$1,[2]stages!$2:$2,0)-MATCH($D$1,[2]stages!$2:$2,0)+1,FALSE)</f>
        <v>【超級】後光射す白無垢装束</v>
      </c>
      <c r="G9" s="21">
        <v>3</v>
      </c>
      <c r="H9" s="15" t="str">
        <f t="shared" si="2"/>
        <v>47015_2-3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>
        <v>1</v>
      </c>
      <c r="L9" s="124">
        <v>1699</v>
      </c>
      <c r="M9" s="17" t="str">
        <f ca="1">VLOOKUP($L9,OFFSET([3]enemies!$A$1,0,0,COUNTA([3]enemies!$A:$A),MATCH(M$1,[3]enemies!$1:$1,0)-MATCH($L$1,[3]enemies!$1:$1,0)+1),MATCH(M$1,[3]enemies!$1:$1,0)-MATCH($L$1,[3]enemies!$1:$1,0)+1,FALSE)</f>
        <v>崇高祝言 アマテラス</v>
      </c>
      <c r="N9" s="17" t="str">
        <f ca="1">VLOOKUP($L9,OFFSET([3]enemies!$A$1,0,0,COUNTA([3]enemies!$A:$A),MATCH(N$1,[3]enemies!$1:$1,0)-MATCH($L$1,[3]enemies!$1:$1,0)+1),MATCH(N$1,[3]enemies!$1:$1,0)-MATCH($L$1,[3]enemies!$1:$1,0)+1,FALSE)</f>
        <v>green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DropWizS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god</v>
      </c>
      <c r="Q9" s="17">
        <f ca="1">VLOOKUP($L9,OFFSET([3]enemies!$A$1,0,0,COUNTA([3]enemies!$A:$A),MATCH(Q$1,[3]enemies!$1:$1,0)-MATCH($L$1,[3]enemies!$1:$1,0)+1),MATCH(Q$1,[3]enemies!$1:$1,0)-MATCH($L$1,[3]enemies!$1:$1,0)+1,FALSE)</f>
        <v>60</v>
      </c>
      <c r="R9" s="5">
        <v>50</v>
      </c>
      <c r="S9" s="25">
        <v>1.6</v>
      </c>
      <c r="T9" s="90">
        <f>S9*132842</f>
        <v>212547.20000000001</v>
      </c>
      <c r="U9" s="25">
        <v>0.5</v>
      </c>
      <c r="V9" s="90">
        <f>U9* 11484</f>
        <v>5742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《とても怒っている…》_x000D_【状態異常耐性+6ターン攻撃力大UP+_x000D_全ユニットの攻撃力50%DOWN】</v>
      </c>
      <c r="Y9" s="150">
        <v>47015240</v>
      </c>
      <c r="Z9" s="6">
        <v>1</v>
      </c>
      <c r="AA9" s="6">
        <v>100</v>
      </c>
      <c r="AB9" s="6">
        <v>1</v>
      </c>
      <c r="AC9" s="17">
        <v>2</v>
      </c>
      <c r="AD9" s="24">
        <f t="shared" si="4"/>
        <v>1699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崇高祝言 アマテラス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6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9" s="7">
        <v>1</v>
      </c>
      <c r="AI9" s="24">
        <f t="shared" ca="1" si="3"/>
        <v>6</v>
      </c>
      <c r="AJ9" s="8">
        <v>55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56">
        <v>1</v>
      </c>
    </row>
    <row r="10" spans="1:42" ht="25" customHeight="1" thickBot="1" x14ac:dyDescent="0.2">
      <c r="A10" s="16" t="str">
        <f t="shared" si="0"/>
        <v>47015_1-1/190&lt;lv35&gt;s1</v>
      </c>
      <c r="B10" s="126">
        <v>47015</v>
      </c>
      <c r="C10" s="21">
        <v>1</v>
      </c>
      <c r="D10" s="2" t="str">
        <f t="shared" si="1"/>
        <v>47015_1</v>
      </c>
      <c r="E10" s="4" t="str">
        <f ca="1">VLOOKUP($B10,OFFSET([2]quests!$A$1,0,0,COUNTA([2]quests!$A:$A),MATCH(E$1,[2]quests!$1:$1,0)-MATCH($B$1,[2]quests!$1:$1,0)+1),MATCH(E$1,[2]quests!$1:$1,0)-MATCH($B$1,[2]quests!$1:$1,0)+1,FALSE)</f>
        <v>後光射す白無垢装束</v>
      </c>
      <c r="F10" s="4" t="str">
        <f ca="1">VLOOKUP($D10,OFFSET([2]stages!$A$1,0,0,COUNTA([2]stages!$A:$A),MATCH(F$1,[2]stages!$2:$2,0)-MATCH($D$1,[2]stages!$2:$2,0)+1),MATCH(F$1,[2]stages!$2:$2,0)-MATCH($D$1,[2]stages!$2:$2,0)+1,FALSE)</f>
        <v>【上級】後光射す白無垢装束</v>
      </c>
      <c r="G10" s="21">
        <v>1</v>
      </c>
      <c r="H10" s="15" t="str">
        <f t="shared" si="2"/>
        <v>47015_1-1</v>
      </c>
      <c r="I10" s="4">
        <f ca="1">VLOOKUP($H10,OFFSET(floors!$A$1,0,0,COUNTA(floors!$A:$A),MATCH(I$1,floors!$1:$1,0)-MATCH($H$1,floors!$1:$1,0)+1),MATCH(I$1,floors!$1:$1,0)-MATCH($H$1,floors!$1:$1,0)+1,FALSE)</f>
        <v>40</v>
      </c>
      <c r="J10" s="4">
        <f ca="1">VLOOKUP($H10,OFFSET(floors!$A$1,0,0,COUNTA(floors!$A:$A),MATCH(J$1,floors!$1:$1,0)-MATCH($H$1,floors!$1:$1,0)+1),MATCH(J$1,floors!$1:$1,0)-MATCH($H$1,floors!$1:$1,0)+1,FALSE)</f>
        <v>40</v>
      </c>
      <c r="K10" s="38" t="s">
        <v>88</v>
      </c>
      <c r="L10" s="20">
        <v>190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卑弥呼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red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PremiumN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human</v>
      </c>
      <c r="Q10" s="17">
        <f ca="1">VLOOKUP($L10,OFFSET([3]enemies!$A$1,0,0,COUNTA([3]enemies!$A:$A),MATCH(Q$1,[3]enemies!$1:$1,0)-MATCH($L$1,[3]enemies!$1:$1,0)+1),MATCH(Q$1,[3]enemies!$1:$1,0)-MATCH($L$1,[3]enemies!$1:$1,0)+1,FALSE)</f>
        <v>20</v>
      </c>
      <c r="R10" s="5">
        <v>35</v>
      </c>
      <c r="S10" s="25">
        <v>0.6</v>
      </c>
      <c r="T10" s="90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22644.6</v>
      </c>
      <c r="U10" s="25">
        <v>0.2</v>
      </c>
      <c r="V10" s="90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690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全ユニットのスキルターンを2ターン短縮</v>
      </c>
      <c r="Y10" s="151">
        <v>47015300</v>
      </c>
      <c r="Z10" s="6">
        <v>1</v>
      </c>
      <c r="AA10" s="6">
        <v>100</v>
      </c>
      <c r="AB10" s="6">
        <v>0</v>
      </c>
      <c r="AC10" s="17">
        <v>1</v>
      </c>
      <c r="AD10" s="24">
        <v>1717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ラブリーエンジェル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4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10" s="7">
        <v>1</v>
      </c>
      <c r="AI10" s="24">
        <f t="shared" ca="1" si="3"/>
        <v>4</v>
      </c>
      <c r="AJ10" s="8">
        <v>65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56">
        <v>1</v>
      </c>
    </row>
    <row r="11" spans="1:42" ht="25" customHeight="1" thickBot="1" x14ac:dyDescent="0.2">
      <c r="A11" s="16" t="str">
        <f t="shared" ca="1" si="0"/>
        <v>47015_1-1/134&lt;lv35&gt;s3</v>
      </c>
      <c r="B11" s="126">
        <v>47015</v>
      </c>
      <c r="C11" s="21">
        <v>1</v>
      </c>
      <c r="D11" s="2" t="str">
        <f t="shared" si="1"/>
        <v>47015_1</v>
      </c>
      <c r="E11" s="4" t="str">
        <f ca="1">VLOOKUP($B11,OFFSET([2]quests!$A$1,0,0,COUNTA([2]quests!$A:$A),MATCH(E$1,[2]quests!$1:$1,0)-MATCH($B$1,[2]quests!$1:$1,0)+1),MATCH(E$1,[2]quests!$1:$1,0)-MATCH($B$1,[2]quests!$1:$1,0)+1,FALSE)</f>
        <v>後光射す白無垢装束</v>
      </c>
      <c r="F11" s="4" t="str">
        <f ca="1">VLOOKUP($D11,OFFSET([2]stages!$A$1,0,0,COUNTA([2]stages!$A:$A),MATCH(F$1,[2]stages!$2:$2,0)-MATCH($D$1,[2]stages!$2:$2,0)+1),MATCH(F$1,[2]stages!$2:$2,0)-MATCH($D$1,[2]stages!$2:$2,0)+1,FALSE)</f>
        <v>【上級】後光射す白無垢装束</v>
      </c>
      <c r="G11" s="21">
        <v>1</v>
      </c>
      <c r="H11" s="15" t="str">
        <f t="shared" si="2"/>
        <v>47015_1-1</v>
      </c>
      <c r="I11" s="4">
        <f ca="1">VLOOKUP($H11,OFFSET(floors!$A$1,0,0,COUNTA(floors!$A:$A),MATCH(I$1,floors!$1:$1,0)-MATCH($H$1,floors!$1:$1,0)+1),MATCH(I$1,floors!$1:$1,0)-MATCH($H$1,floors!$1:$1,0)+1,FALSE)</f>
        <v>40</v>
      </c>
      <c r="J11" s="4">
        <f ca="1">VLOOKUP($H11,OFFSET(floors!$A$1,0,0,COUNTA(floors!$A:$A),MATCH(J$1,floors!$1:$1,0)-MATCH($H$1,floors!$1:$1,0)+1),MATCH(J$1,floors!$1:$1,0)-MATCH($H$1,floors!$1:$1,0)+1,FALSE)</f>
        <v>40</v>
      </c>
      <c r="K11" s="38" t="s">
        <v>88</v>
      </c>
      <c r="L11" s="20">
        <v>134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妖炎の夕霧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red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PremiumW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17">
        <f ca="1">VLOOKUP($L11,OFFSET([3]enemies!$A$1,0,0,COUNTA([3]enemies!$A:$A),MATCH(Q$1,[3]enemies!$1:$1,0)-MATCH($L$1,[3]enemies!$1:$1,0)+1),MATCH(Q$1,[3]enemies!$1:$1,0)-MATCH($L$1,[3]enemies!$1:$1,0)+1,FALSE)</f>
        <v>20</v>
      </c>
      <c r="R11" s="5">
        <v>35</v>
      </c>
      <c r="S11" s="25">
        <v>0.9</v>
      </c>
      <c r="T11" s="90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33966.9</v>
      </c>
      <c r="U11" s="25">
        <v>0.4</v>
      </c>
      <c r="V11" s="90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1380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10ターン全ユニットにウィルス+_x000D_緑パネルを赤パネルに変換</v>
      </c>
      <c r="Y11" s="152">
        <v>47015310</v>
      </c>
      <c r="Z11" s="6">
        <v>1</v>
      </c>
      <c r="AA11" s="6">
        <v>100</v>
      </c>
      <c r="AB11" s="6">
        <v>0</v>
      </c>
      <c r="AC11" s="17">
        <f ca="1">VLOOKUP($L11,OFFSET([3]enemies!$A$1,0,0,COUNTA([3]enemies!$A:$A),MATCH(AC$1,[3]enemies!$1:$1,0)-MATCH($L$1,[3]enemies!$1:$1,0)+1),MATCH(AC$1,[3]enemies!$1:$1,0)-MATCH($L$1,[3]enemies!$1:$1,0)+1,FALSE)</f>
        <v>3</v>
      </c>
      <c r="AD11" s="24">
        <f t="shared" si="4"/>
        <v>134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妖炎の夕霧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3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11" s="7">
        <v>1</v>
      </c>
      <c r="AI11" s="24">
        <f t="shared" ca="1" si="3"/>
        <v>3</v>
      </c>
      <c r="AJ11" s="8">
        <v>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56">
        <v>1</v>
      </c>
    </row>
    <row r="12" spans="1:42" ht="25" customHeight="1" thickBot="1" x14ac:dyDescent="0.2">
      <c r="A12" s="16" t="str">
        <f t="shared" si="0"/>
        <v>47015_1-2/1326&lt;lv35&gt;s2</v>
      </c>
      <c r="B12" s="126">
        <v>47015</v>
      </c>
      <c r="C12" s="21">
        <v>1</v>
      </c>
      <c r="D12" s="2" t="str">
        <f t="shared" si="1"/>
        <v>47015_1</v>
      </c>
      <c r="E12" s="4" t="str">
        <f ca="1">VLOOKUP($B12,OFFSET([2]quests!$A$1,0,0,COUNTA([2]quests!$A:$A),MATCH(E$1,[2]quests!$1:$1,0)-MATCH($B$1,[2]quests!$1:$1,0)+1),MATCH(E$1,[2]quests!$1:$1,0)-MATCH($B$1,[2]quests!$1:$1,0)+1,FALSE)</f>
        <v>後光射す白無垢装束</v>
      </c>
      <c r="F12" s="4" t="str">
        <f ca="1">VLOOKUP($D12,OFFSET([2]stages!$A$1,0,0,COUNTA([2]stages!$A:$A),MATCH(F$1,[2]stages!$2:$2,0)-MATCH($D$1,[2]stages!$2:$2,0)+1),MATCH(F$1,[2]stages!$2:$2,0)-MATCH($D$1,[2]stages!$2:$2,0)+1,FALSE)</f>
        <v>【上級】後光射す白無垢装束</v>
      </c>
      <c r="G12" s="21">
        <v>2</v>
      </c>
      <c r="H12" s="15" t="str">
        <f t="shared" si="2"/>
        <v>47015_1-2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>
        <v>1</v>
      </c>
      <c r="L12" s="20">
        <v>1326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ワカヒルメ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green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DropWizS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god</v>
      </c>
      <c r="Q12" s="17">
        <f ca="1">VLOOKUP($L12,OFFSET([3]enemies!$A$1,0,0,COUNTA([3]enemies!$A:$A),MATCH(Q$1,[3]enemies!$1:$1,0)-MATCH($L$1,[3]enemies!$1:$1,0)+1),MATCH(Q$1,[3]enemies!$1:$1,0)-MATCH($L$1,[3]enemies!$1:$1,0)+1,FALSE)</f>
        <v>60</v>
      </c>
      <c r="R12" s="5">
        <v>35</v>
      </c>
      <c r="S12" s="25">
        <v>1.4</v>
      </c>
      <c r="T12" s="90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73491.599999999991</v>
      </c>
      <c r="U12" s="25">
        <v>0.7</v>
      </c>
      <c r="V12" s="90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2436</v>
      </c>
      <c r="W12" s="5">
        <v>0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状態異常耐性+2ターン攻撃力UP+_x000D_2ターン全属性の攻撃をカウンター</v>
      </c>
      <c r="Y12" s="151">
        <v>47015320</v>
      </c>
      <c r="Z12" s="6">
        <v>1</v>
      </c>
      <c r="AA12" s="6">
        <v>100</v>
      </c>
      <c r="AB12" s="6">
        <v>1</v>
      </c>
      <c r="AC12" s="17">
        <v>2</v>
      </c>
      <c r="AD12" s="24">
        <v>1717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ラブリーエンジェル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4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12" s="7">
        <v>1</v>
      </c>
      <c r="AI12" s="24">
        <f t="shared" ca="1" si="3"/>
        <v>4</v>
      </c>
      <c r="AJ12" s="8">
        <v>65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56">
        <v>1</v>
      </c>
    </row>
    <row r="13" spans="1:42" ht="25" customHeight="1" x14ac:dyDescent="0.15">
      <c r="A13" s="16" t="str">
        <f t="shared" si="0"/>
        <v>47015_1-3/1699&lt;lv35&gt;s2</v>
      </c>
      <c r="B13" s="126">
        <v>47015</v>
      </c>
      <c r="C13" s="21">
        <v>1</v>
      </c>
      <c r="D13" s="2" t="str">
        <f t="shared" si="1"/>
        <v>47015_1</v>
      </c>
      <c r="E13" s="4" t="str">
        <f ca="1">VLOOKUP($B13,OFFSET([2]quests!$A$1,0,0,COUNTA([2]quests!$A:$A),MATCH(E$1,[2]quests!$1:$1,0)-MATCH($B$1,[2]quests!$1:$1,0)+1),MATCH(E$1,[2]quests!$1:$1,0)-MATCH($B$1,[2]quests!$1:$1,0)+1,FALSE)</f>
        <v>後光射す白無垢装束</v>
      </c>
      <c r="F13" s="4" t="str">
        <f ca="1">VLOOKUP($D13,OFFSET([2]stages!$A$1,0,0,COUNTA([2]stages!$A:$A),MATCH(F$1,[2]stages!$2:$2,0)-MATCH($D$1,[2]stages!$2:$2,0)+1),MATCH(F$1,[2]stages!$2:$2,0)-MATCH($D$1,[2]stages!$2:$2,0)+1,FALSE)</f>
        <v>【上級】後光射す白無垢装束</v>
      </c>
      <c r="G13" s="21">
        <v>3</v>
      </c>
      <c r="H13" s="15" t="str">
        <f t="shared" si="2"/>
        <v>47015_1-3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>
        <v>1</v>
      </c>
      <c r="L13" s="124">
        <v>1699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崇高祝言 アマテラス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green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DropWizS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god</v>
      </c>
      <c r="Q13" s="17">
        <f ca="1">VLOOKUP($L13,OFFSET([3]enemies!$A$1,0,0,COUNTA([3]enemies!$A:$A),MATCH(Q$1,[3]enemies!$1:$1,0)-MATCH($L$1,[3]enemies!$1:$1,0)+1),MATCH(Q$1,[3]enemies!$1:$1,0)-MATCH($L$1,[3]enemies!$1:$1,0)+1,FALSE)</f>
        <v>60</v>
      </c>
      <c r="R13" s="5">
        <v>35</v>
      </c>
      <c r="S13" s="25">
        <v>1</v>
      </c>
      <c r="T13" s="90">
        <f>S13*132842</f>
        <v>132842</v>
      </c>
      <c r="U13" s="25">
        <v>0.3</v>
      </c>
      <c r="V13" s="90">
        <f>U13* 11484</f>
        <v>3445.2</v>
      </c>
      <c r="W13" s="5">
        <v>0</v>
      </c>
      <c r="X13" s="4" t="str">
        <f ca="1">VLOOKUP($Y13,OFFSET(enemy_skill_sets!$B$1,0,0,COUNTA(enemy_skill_sets!$B:$B),MATCH(M$1,enemy_skill_sets!$1:$1,0)-MATCH($Y$1,enemy_skill_sets!$1:$1,0)+2),MATCH(M$1,enemy_skill_sets!$1:$1,0)-MATCH($Y$1,enemy_skill_sets!$1:$1,0)+2,FALSE)</f>
        <v>《とても怒っている…》_x000D_【状態異常耐性+6ターン攻撃力大UP+_x000D_全ユニットの攻撃力50%DOWN】</v>
      </c>
      <c r="Y13" s="152">
        <v>47015340</v>
      </c>
      <c r="Z13" s="6">
        <v>1</v>
      </c>
      <c r="AA13" s="6">
        <v>100</v>
      </c>
      <c r="AB13" s="6">
        <v>1</v>
      </c>
      <c r="AC13" s="17">
        <v>2</v>
      </c>
      <c r="AD13" s="24">
        <f t="shared" si="4"/>
        <v>1699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崇高祝言 アマテラス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6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3" s="7">
        <v>1</v>
      </c>
      <c r="AI13" s="24">
        <f t="shared" ca="1" si="3"/>
        <v>6</v>
      </c>
      <c r="AJ13" s="8">
        <v>25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56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10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C15" sqref="C15"/>
    </sheetView>
  </sheetViews>
  <sheetFormatPr baseColWidth="12" defaultColWidth="13" defaultRowHeight="21" customHeight="1" outlineLevelCol="1" x14ac:dyDescent="0.15"/>
  <cols>
    <col min="1" max="1" width="17" style="19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 collapsed="1"/>
    <col min="14" max="14" width="16.6640625" style="3" hidden="1" customWidth="1" outlineLevel="1"/>
    <col min="15" max="15" width="8.6640625" style="3" hidden="1" customWidth="1" outlineLevel="1"/>
    <col min="16" max="16" width="9.5" style="3" hidden="1" customWidth="1" outlineLevel="1"/>
    <col min="17" max="18" width="5.1640625" style="3" hidden="1" customWidth="1" outlineLevel="1"/>
    <col min="19" max="19" width="5.1640625" style="3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47.5" style="3" customWidth="1"/>
    <col min="26" max="26" width="10" style="3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53</v>
      </c>
      <c r="L1" s="36" t="s">
        <v>54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89" t="s">
        <v>250</v>
      </c>
      <c r="V1" s="26" t="s">
        <v>50</v>
      </c>
      <c r="W1" s="89" t="s">
        <v>251</v>
      </c>
      <c r="X1" s="26" t="s">
        <v>52</v>
      </c>
      <c r="Y1" s="28" t="s">
        <v>129</v>
      </c>
      <c r="Z1" s="29" t="s">
        <v>128</v>
      </c>
      <c r="AA1" s="28" t="s">
        <v>8</v>
      </c>
    </row>
    <row r="2" spans="1:27" ht="21" customHeight="1" x14ac:dyDescent="0.15">
      <c r="A2" s="16" t="str">
        <f t="shared" ref="A2:A10" si="0">B2&amp;"_"&amp;C2&amp;"-"&amp;G2&amp;"/"&amp;M2&amp;"&lt;lv"&amp;S2&amp;"&gt;sq"&amp;K2&amp;"st"&amp;L2</f>
        <v>47015_3-2/1327&lt;lv80&gt;sq1st2</v>
      </c>
      <c r="B2" s="22">
        <v>47015</v>
      </c>
      <c r="C2" s="21">
        <v>3</v>
      </c>
      <c r="D2" s="2" t="str">
        <f t="shared" ref="D2:D10" si="1">B2&amp;"_"&amp;C2</f>
        <v>47015_3</v>
      </c>
      <c r="E2" s="4" t="str">
        <f ca="1">VLOOKUP($B2,OFFSET([2]quests!$A$1,0,0,COUNTA([2]quests!$A:$A),MATCH(E$1,[2]quests!$1:$1,0)-MATCH($B$1,[2]quests!$1:$1,0)+1),MATCH(E$1,[2]quests!$1:$1,0)-MATCH($B$1,[2]quests!$1:$1,0)+1,FALSE)</f>
        <v>後光射す白無垢装束</v>
      </c>
      <c r="F2" s="4" t="str">
        <f ca="1">VLOOKUP($D2,OFFSET([2]stages!$A$1,0,0,COUNTA([2]stages!$A:$A),MATCH(F$1,[2]stages!$2:$2,0)-MATCH($D$1,[2]stages!$2:$2,0)+1),MATCH(F$1,[2]stages!$2:$2,0)-MATCH($D$1,[2]stages!$2:$2,0)+1,FALSE)</f>
        <v>【ｳｨｻﾞ】後光射す白無垢装束</v>
      </c>
      <c r="G2" s="21">
        <v>2</v>
      </c>
      <c r="H2" s="15" t="str">
        <f t="shared" ref="H2:H10" si="2">B2&amp;"_"&amp;C2&amp;"-"&amp;G2</f>
        <v>47015_3-2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1327</v>
      </c>
      <c r="N2" s="17" t="str">
        <f ca="1">VLOOKUP($M2,OFFSET([3]enemies!$A$1,0,0,COUNTA([3]enemies!$A:$A),MATCH(N$1,[3]enemies!$1:$1,0)-MATCH($M$1,[3]enemies!$1:$1,0)+1),MATCH(N$1,[3]enemies!$1:$1,0)-MATCH($M$1,[3]enemies!$1:$1,0)+1,FALSE)</f>
        <v>織神衣の幼神 ワカヒルメ</v>
      </c>
      <c r="O2" s="17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80</v>
      </c>
      <c r="T2" s="25">
        <v>2.5</v>
      </c>
      <c r="U2" s="90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282642.5</v>
      </c>
      <c r="V2" s="25">
        <v>0.8</v>
      </c>
      <c r="W2" s="90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5986.4000000000005</v>
      </c>
      <c r="X2" s="5">
        <v>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49">
        <v>47015130</v>
      </c>
      <c r="AA2" s="57">
        <v>2</v>
      </c>
    </row>
    <row r="3" spans="1:27" ht="21" customHeight="1" x14ac:dyDescent="0.15">
      <c r="A3" s="16" t="str">
        <f t="shared" si="0"/>
        <v>47015_3-3/1699&lt;lv80&gt;sq1st2</v>
      </c>
      <c r="B3" s="22">
        <v>47015</v>
      </c>
      <c r="C3" s="21">
        <v>3</v>
      </c>
      <c r="D3" s="2" t="str">
        <f t="shared" si="1"/>
        <v>47015_3</v>
      </c>
      <c r="E3" s="4" t="str">
        <f ca="1">VLOOKUP($B3,OFFSET([2]quests!$A$1,0,0,COUNTA([2]quests!$A:$A),MATCH(E$1,[2]quests!$1:$1,0)-MATCH($B$1,[2]quests!$1:$1,0)+1),MATCH(E$1,[2]quests!$1:$1,0)-MATCH($B$1,[2]quests!$1:$1,0)+1,FALSE)</f>
        <v>後光射す白無垢装束</v>
      </c>
      <c r="F3" s="4" t="str">
        <f ca="1">VLOOKUP($D3,OFFSET([2]stages!$A$1,0,0,COUNTA([2]stages!$A:$A),MATCH(F$1,[2]stages!$2:$2,0)-MATCH($D$1,[2]stages!$2:$2,0)+1),MATCH(F$1,[2]stages!$2:$2,0)-MATCH($D$1,[2]stages!$2:$2,0)+1,FALSE)</f>
        <v>【ｳｨｻﾞ】後光射す白無垢装束</v>
      </c>
      <c r="G3" s="21">
        <v>3</v>
      </c>
      <c r="H3" s="15" t="str">
        <f t="shared" si="2"/>
        <v>47015_3-3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1</v>
      </c>
      <c r="L3" s="38">
        <v>2</v>
      </c>
      <c r="M3" s="20">
        <v>1699</v>
      </c>
      <c r="N3" s="17" t="str">
        <f ca="1">VLOOKUP($M3,OFFSET([3]enemies!$A$1,0,0,COUNTA([3]enemies!$A:$A),MATCH(N$1,[3]enemies!$1:$1,0)-MATCH($M$1,[3]enemies!$1:$1,0)+1),MATCH(N$1,[3]enemies!$1:$1,0)-MATCH($M$1,[3]enemies!$1:$1,0)+1,FALSE)</f>
        <v>崇高祝言 アマテラス</v>
      </c>
      <c r="O3" s="17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god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80</v>
      </c>
      <c r="T3" s="25">
        <v>2.7</v>
      </c>
      <c r="U3" s="90">
        <f>T3*132842</f>
        <v>358673.4</v>
      </c>
      <c r="V3" s="25">
        <v>0.6</v>
      </c>
      <c r="W3" s="90">
        <f>V3* 11484</f>
        <v>6890.4</v>
      </c>
      <c r="X3" s="5">
        <v>0</v>
      </c>
      <c r="Y3" s="4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49">
        <v>47015160</v>
      </c>
      <c r="AA3" s="57">
        <v>1</v>
      </c>
    </row>
    <row r="4" spans="1:27" ht="21" customHeight="1" thickBot="1" x14ac:dyDescent="0.2">
      <c r="A4" s="16" t="str">
        <f t="shared" si="0"/>
        <v>47015_3-3/1699&lt;lv80&gt;sq1st3</v>
      </c>
      <c r="B4" s="22">
        <v>47015</v>
      </c>
      <c r="C4" s="21">
        <v>3</v>
      </c>
      <c r="D4" s="2" t="str">
        <f t="shared" si="1"/>
        <v>47015_3</v>
      </c>
      <c r="E4" s="4" t="str">
        <f ca="1">VLOOKUP($B4,OFFSET([2]quests!$A$1,0,0,COUNTA([2]quests!$A:$A),MATCH(E$1,[2]quests!$1:$1,0)-MATCH($B$1,[2]quests!$1:$1,0)+1),MATCH(E$1,[2]quests!$1:$1,0)-MATCH($B$1,[2]quests!$1:$1,0)+1,FALSE)</f>
        <v>後光射す白無垢装束</v>
      </c>
      <c r="F4" s="4" t="str">
        <f ca="1">VLOOKUP($D4,OFFSET([2]stages!$A$1,0,0,COUNTA([2]stages!$A:$A),MATCH(F$1,[2]stages!$2:$2,0)-MATCH($D$1,[2]stages!$2:$2,0)+1),MATCH(F$1,[2]stages!$2:$2,0)-MATCH($D$1,[2]stages!$2:$2,0)+1,FALSE)</f>
        <v>【ｳｨｻﾞ】後光射す白無垢装束</v>
      </c>
      <c r="G4" s="21">
        <v>3</v>
      </c>
      <c r="H4" s="15" t="str">
        <f t="shared" si="2"/>
        <v>47015_3-3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1</v>
      </c>
      <c r="L4" s="38">
        <v>3</v>
      </c>
      <c r="M4" s="20">
        <v>1699</v>
      </c>
      <c r="N4" s="17" t="str">
        <f ca="1">VLOOKUP($M4,OFFSET([3]enemies!$A$1,0,0,COUNTA([3]enemies!$A:$A),MATCH(N$1,[3]enemies!$1:$1,0)-MATCH($M$1,[3]enemies!$1:$1,0)+1),MATCH(N$1,[3]enemies!$1:$1,0)-MATCH($M$1,[3]enemies!$1:$1,0)+1,FALSE)</f>
        <v>崇高祝言 アマテラス</v>
      </c>
      <c r="O4" s="17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god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80</v>
      </c>
      <c r="T4" s="25">
        <v>3.5</v>
      </c>
      <c r="U4" s="90">
        <f>T4*132842</f>
        <v>464947</v>
      </c>
      <c r="V4" s="25">
        <v>0.7</v>
      </c>
      <c r="W4" s="90">
        <f>V4* 11484</f>
        <v>8038.7999999999993</v>
      </c>
      <c r="X4" s="5">
        <v>0</v>
      </c>
      <c r="Y4" s="4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4" s="49">
        <v>47015170</v>
      </c>
      <c r="AA4" s="57">
        <v>1</v>
      </c>
    </row>
    <row r="5" spans="1:27" ht="21" customHeight="1" thickBot="1" x14ac:dyDescent="0.2">
      <c r="A5" s="16" t="str">
        <f t="shared" si="0"/>
        <v>47015_2-2/1327&lt;lv50&gt;sq1st2</v>
      </c>
      <c r="B5" s="133">
        <v>47015</v>
      </c>
      <c r="C5" s="21">
        <v>2</v>
      </c>
      <c r="D5" s="2" t="str">
        <f t="shared" si="1"/>
        <v>47015_2</v>
      </c>
      <c r="E5" s="4" t="str">
        <f ca="1">VLOOKUP($B5,OFFSET([2]quests!$A$1,0,0,COUNTA([2]quests!$A:$A),MATCH(E$1,[2]quests!$1:$1,0)-MATCH($B$1,[2]quests!$1:$1,0)+1),MATCH(E$1,[2]quests!$1:$1,0)-MATCH($B$1,[2]quests!$1:$1,0)+1,FALSE)</f>
        <v>後光射す白無垢装束</v>
      </c>
      <c r="F5" s="4" t="str">
        <f ca="1">VLOOKUP($D5,OFFSET([2]stages!$A$1,0,0,COUNTA([2]stages!$A:$A),MATCH(F$1,[2]stages!$2:$2,0)-MATCH($D$1,[2]stages!$2:$2,0)+1),MATCH(F$1,[2]stages!$2:$2,0)-MATCH($D$1,[2]stages!$2:$2,0)+1,FALSE)</f>
        <v>【超級】後光射す白無垢装束</v>
      </c>
      <c r="G5" s="21">
        <v>2</v>
      </c>
      <c r="H5" s="15" t="str">
        <f t="shared" si="2"/>
        <v>47015_2-2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1</v>
      </c>
      <c r="L5" s="38">
        <v>2</v>
      </c>
      <c r="M5" s="20">
        <v>1327</v>
      </c>
      <c r="N5" s="17" t="str">
        <f ca="1">VLOOKUP($M5,OFFSET([3]enemies!$A$1,0,0,COUNTA([3]enemies!$A:$A),MATCH(N$1,[3]enemies!$1:$1,0)-MATCH($M$1,[3]enemies!$1:$1,0)+1),MATCH(N$1,[3]enemies!$1:$1,0)-MATCH($M$1,[3]enemies!$1:$1,0)+1,FALSE)</f>
        <v>織神衣の幼神 ワカヒルメ</v>
      </c>
      <c r="O5" s="17" t="str">
        <f ca="1">VLOOKUP($M5,OFFSET([3]enemies!$A$1,0,0,COUNTA([3]enemies!$A:$A),MATCH(O$1,[3]enemies!$1:$1,0)-MATCH($M$1,[3]enemies!$1:$1,0)+1),MATCH(O$1,[3]enemies!$1:$1,0)-MATCH($M$1,[3]enemies!$1:$1,0)+1,FALSE)</f>
        <v>green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god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50</v>
      </c>
      <c r="T5" s="25">
        <v>1.4</v>
      </c>
      <c r="U5" s="90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100017.4</v>
      </c>
      <c r="V5" s="25">
        <v>0.7</v>
      </c>
      <c r="W5" s="90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3310.2999999999997</v>
      </c>
      <c r="X5" s="5">
        <v>0</v>
      </c>
      <c r="Y5" s="4" t="e">
        <f ca="1">VLOOKUP($Z5,OFFSET([5]enemy_skill_sets!$B$1,0,0,COUNTA([5]enemy_skill_sets!$B:$B),MATCH(N$1,[5]enemy_skill_sets!$1:$1,0)-MATCH($Z$1,[5]enemy_skill_sets!$1:$1,0)+2),MATCH(N$1,[5]enemy_skill_sets!$1:$1,0)-MATCH($Z$1,[5]enemy_skill_sets!$1:$1,0)+2,FALSE)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5" s="149">
        <v>47015230</v>
      </c>
      <c r="AA5" s="57">
        <v>2</v>
      </c>
    </row>
    <row r="6" spans="1:27" ht="21" customHeight="1" thickBot="1" x14ac:dyDescent="0.2">
      <c r="A6" s="16" t="str">
        <f t="shared" si="0"/>
        <v>47015_2-3/1699&lt;lv50&gt;sq1st2</v>
      </c>
      <c r="B6" s="133">
        <v>47015</v>
      </c>
      <c r="C6" s="21">
        <v>2</v>
      </c>
      <c r="D6" s="2" t="str">
        <f t="shared" si="1"/>
        <v>47015_2</v>
      </c>
      <c r="E6" s="4" t="str">
        <f ca="1">VLOOKUP($B6,OFFSET([2]quests!$A$1,0,0,COUNTA([2]quests!$A:$A),MATCH(E$1,[2]quests!$1:$1,0)-MATCH($B$1,[2]quests!$1:$1,0)+1),MATCH(E$1,[2]quests!$1:$1,0)-MATCH($B$1,[2]quests!$1:$1,0)+1,FALSE)</f>
        <v>後光射す白無垢装束</v>
      </c>
      <c r="F6" s="4" t="str">
        <f ca="1">VLOOKUP($D6,OFFSET([2]stages!$A$1,0,0,COUNTA([2]stages!$A:$A),MATCH(F$1,[2]stages!$2:$2,0)-MATCH($D$1,[2]stages!$2:$2,0)+1),MATCH(F$1,[2]stages!$2:$2,0)-MATCH($D$1,[2]stages!$2:$2,0)+1,FALSE)</f>
        <v>【超級】後光射す白無垢装束</v>
      </c>
      <c r="G6" s="21">
        <v>3</v>
      </c>
      <c r="H6" s="15" t="str">
        <f t="shared" si="2"/>
        <v>47015_2-3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1</v>
      </c>
      <c r="L6" s="38">
        <v>2</v>
      </c>
      <c r="M6" s="20">
        <v>1699</v>
      </c>
      <c r="N6" s="17" t="str">
        <f ca="1">VLOOKUP($M6,OFFSET([3]enemies!$A$1,0,0,COUNTA([3]enemies!$A:$A),MATCH(N$1,[3]enemies!$1:$1,0)-MATCH($M$1,[3]enemies!$1:$1,0)+1),MATCH(N$1,[3]enemies!$1:$1,0)-MATCH($M$1,[3]enemies!$1:$1,0)+1,FALSE)</f>
        <v>崇高祝言 アマテラス</v>
      </c>
      <c r="O6" s="17" t="str">
        <f ca="1">VLOOKUP($M6,OFFSET([3]enemies!$A$1,0,0,COUNTA([3]enemies!$A:$A),MATCH(O$1,[3]enemies!$1:$1,0)-MATCH($M$1,[3]enemies!$1:$1,0)+1),MATCH(O$1,[3]enemies!$1:$1,0)-MATCH($M$1,[3]enemies!$1:$1,0)+1,FALSE)</f>
        <v>green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DropWizS</v>
      </c>
      <c r="Q6" s="17" t="str">
        <f ca="1">VLOOKUP($M6,OFFSET([3]enemies!$A$1,0,0,COUNTA([3]enemies!$A:$A),MATCH(Q$1,[3]enemies!$1:$1,0)-MATCH($M$1,[3]enemies!$1:$1,0)+1),MATCH(Q$1,[3]enemies!$1:$1,0)-MATCH($M$1,[3]enemies!$1:$1,0)+1,FALSE)</f>
        <v>god</v>
      </c>
      <c r="R6" s="17">
        <f ca="1">VLOOKUP($M6,OFFSET([3]enemies!$A$1,0,0,COUNTA([3]enemies!$A:$A),MATCH(R$1,[3]enemies!$1:$1,0)-MATCH($M$1,[3]enemies!$1:$1,0)+1),MATCH(R$1,[3]enemies!$1:$1,0)-MATCH($M$1,[3]enemies!$1:$1,0)+1,FALSE)</f>
        <v>60</v>
      </c>
      <c r="S6" s="5">
        <v>50</v>
      </c>
      <c r="T6" s="25">
        <v>1.9</v>
      </c>
      <c r="U6" s="90">
        <f>T6*132842</f>
        <v>252399.8</v>
      </c>
      <c r="V6" s="25">
        <v>0.5</v>
      </c>
      <c r="W6" s="90">
        <f>V6* 11484</f>
        <v>5742</v>
      </c>
      <c r="X6" s="5">
        <v>0</v>
      </c>
      <c r="Y6" s="4" t="e">
        <f ca="1">VLOOKUP($Z6,OFFSET([5]enemy_skill_sets!$B$1,0,0,COUNTA([5]enemy_skill_sets!$B:$B),MATCH(N$1,[5]enemy_skill_sets!$1:$1,0)-MATCH($Z$1,[5]enemy_skill_sets!$1:$1,0)+2),MATCH(N$1,[5]enemy_skill_sets!$1:$1,0)-MATCH($Z$1,[5]enemy_skill_sets!$1:$1,0)+2,FALSE)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6" s="150">
        <v>47015260</v>
      </c>
      <c r="AA6" s="57">
        <v>1</v>
      </c>
    </row>
    <row r="7" spans="1:27" ht="21" customHeight="1" thickBot="1" x14ac:dyDescent="0.2">
      <c r="A7" s="16" t="str">
        <f t="shared" si="0"/>
        <v>47015_2-3/1699&lt;lv50&gt;sq1st3</v>
      </c>
      <c r="B7" s="133">
        <v>47015</v>
      </c>
      <c r="C7" s="21">
        <v>2</v>
      </c>
      <c r="D7" s="2" t="str">
        <f t="shared" si="1"/>
        <v>47015_2</v>
      </c>
      <c r="E7" s="4" t="str">
        <f ca="1">VLOOKUP($B7,OFFSET([2]quests!$A$1,0,0,COUNTA([2]quests!$A:$A),MATCH(E$1,[2]quests!$1:$1,0)-MATCH($B$1,[2]quests!$1:$1,0)+1),MATCH(E$1,[2]quests!$1:$1,0)-MATCH($B$1,[2]quests!$1:$1,0)+1,FALSE)</f>
        <v>後光射す白無垢装束</v>
      </c>
      <c r="F7" s="4" t="str">
        <f ca="1">VLOOKUP($D7,OFFSET([2]stages!$A$1,0,0,COUNTA([2]stages!$A:$A),MATCH(F$1,[2]stages!$2:$2,0)-MATCH($D$1,[2]stages!$2:$2,0)+1),MATCH(F$1,[2]stages!$2:$2,0)-MATCH($D$1,[2]stages!$2:$2,0)+1,FALSE)</f>
        <v>【超級】後光射す白無垢装束</v>
      </c>
      <c r="G7" s="21">
        <v>3</v>
      </c>
      <c r="H7" s="15" t="str">
        <f t="shared" si="2"/>
        <v>47015_2-3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1</v>
      </c>
      <c r="L7" s="38">
        <v>3</v>
      </c>
      <c r="M7" s="20">
        <v>1699</v>
      </c>
      <c r="N7" s="17" t="str">
        <f ca="1">VLOOKUP($M7,OFFSET([3]enemies!$A$1,0,0,COUNTA([3]enemies!$A:$A),MATCH(N$1,[3]enemies!$1:$1,0)-MATCH($M$1,[3]enemies!$1:$1,0)+1),MATCH(N$1,[3]enemies!$1:$1,0)-MATCH($M$1,[3]enemies!$1:$1,0)+1,FALSE)</f>
        <v>崇高祝言 アマテラス</v>
      </c>
      <c r="O7" s="17" t="str">
        <f ca="1">VLOOKUP($M7,OFFSET([3]enemies!$A$1,0,0,COUNTA([3]enemies!$A:$A),MATCH(O$1,[3]enemies!$1:$1,0)-MATCH($M$1,[3]enemies!$1:$1,0)+1),MATCH(O$1,[3]enemies!$1:$1,0)-MATCH($M$1,[3]enemies!$1:$1,0)+1,FALSE)</f>
        <v>green</v>
      </c>
      <c r="P7" s="17" t="str">
        <f ca="1">VLOOKUP($M7,OFFSET([4]characters!$A$1,0,0,COUNTA([4]characters!$A:$A),MATCH(P$1,[4]characters!$1:$1,0)-MATCH($M$1,[4]characters!$1:$1,0)+1),MATCH(P$1,[4]characters!$1:$1,0)-MATCH($M$1,[4]characters!$1:$1,0)+1,FALSE)</f>
        <v>DropWizS</v>
      </c>
      <c r="Q7" s="17" t="str">
        <f ca="1">VLOOKUP($M7,OFFSET([3]enemies!$A$1,0,0,COUNTA([3]enemies!$A:$A),MATCH(Q$1,[3]enemies!$1:$1,0)-MATCH($M$1,[3]enemies!$1:$1,0)+1),MATCH(Q$1,[3]enemies!$1:$1,0)-MATCH($M$1,[3]enemies!$1:$1,0)+1,FALSE)</f>
        <v>god</v>
      </c>
      <c r="R7" s="17">
        <f ca="1">VLOOKUP($M7,OFFSET([3]enemies!$A$1,0,0,COUNTA([3]enemies!$A:$A),MATCH(R$1,[3]enemies!$1:$1,0)-MATCH($M$1,[3]enemies!$1:$1,0)+1),MATCH(R$1,[3]enemies!$1:$1,0)-MATCH($M$1,[3]enemies!$1:$1,0)+1,FALSE)</f>
        <v>60</v>
      </c>
      <c r="S7" s="5">
        <v>50</v>
      </c>
      <c r="T7" s="25">
        <v>2.5</v>
      </c>
      <c r="U7" s="90">
        <f>T7*132842</f>
        <v>332105</v>
      </c>
      <c r="V7" s="25">
        <v>0.6</v>
      </c>
      <c r="W7" s="90">
        <f>V7* 11484</f>
        <v>6890.4</v>
      </c>
      <c r="X7" s="5">
        <v>0</v>
      </c>
      <c r="Y7" s="4" t="e">
        <f ca="1">VLOOKUP($Z7,OFFSET([5]enemy_skill_sets!$B$1,0,0,COUNTA([5]enemy_skill_sets!$B:$B),MATCH(N$1,[5]enemy_skill_sets!$1:$1,0)-MATCH($Z$1,[5]enemy_skill_sets!$1:$1,0)+2),MATCH(N$1,[5]enemy_skill_sets!$1:$1,0)-MATCH($Z$1,[5]enemy_skill_sets!$1:$1,0)+2,FALSE)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7" s="150">
        <v>47015270</v>
      </c>
      <c r="AA7" s="57">
        <v>1</v>
      </c>
    </row>
    <row r="8" spans="1:27" ht="21" customHeight="1" thickBot="1" x14ac:dyDescent="0.2">
      <c r="A8" s="16" t="str">
        <f t="shared" si="0"/>
        <v>47015_1-2/1327&lt;lv35&gt;sq1st2</v>
      </c>
      <c r="B8" s="125">
        <v>47015</v>
      </c>
      <c r="C8" s="21">
        <v>1</v>
      </c>
      <c r="D8" s="2" t="str">
        <f t="shared" si="1"/>
        <v>47015_1</v>
      </c>
      <c r="E8" s="4" t="str">
        <f ca="1">VLOOKUP($B8,OFFSET([2]quests!$A$1,0,0,COUNTA([2]quests!$A:$A),MATCH(E$1,[2]quests!$1:$1,0)-MATCH($B$1,[2]quests!$1:$1,0)+1),MATCH(E$1,[2]quests!$1:$1,0)-MATCH($B$1,[2]quests!$1:$1,0)+1,FALSE)</f>
        <v>後光射す白無垢装束</v>
      </c>
      <c r="F8" s="4" t="str">
        <f ca="1">VLOOKUP($D8,OFFSET([2]stages!$A$1,0,0,COUNTA([2]stages!$A:$A),MATCH(F$1,[2]stages!$2:$2,0)-MATCH($D$1,[2]stages!$2:$2,0)+1),MATCH(F$1,[2]stages!$2:$2,0)-MATCH($D$1,[2]stages!$2:$2,0)+1,FALSE)</f>
        <v>【上級】後光射す白無垢装束</v>
      </c>
      <c r="G8" s="21">
        <v>2</v>
      </c>
      <c r="H8" s="15" t="str">
        <f t="shared" si="2"/>
        <v>47015_1-2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>
        <v>1</v>
      </c>
      <c r="L8" s="38">
        <v>2</v>
      </c>
      <c r="M8" s="20">
        <v>1327</v>
      </c>
      <c r="N8" s="17" t="str">
        <f ca="1">VLOOKUP($M8,OFFSET([3]enemies!$A$1,0,0,COUNTA([3]enemies!$A:$A),MATCH(N$1,[3]enemies!$1:$1,0)-MATCH($M$1,[3]enemies!$1:$1,0)+1),MATCH(N$1,[3]enemies!$1:$1,0)-MATCH($M$1,[3]enemies!$1:$1,0)+1,FALSE)</f>
        <v>織神衣の幼神 ワカヒルメ</v>
      </c>
      <c r="O8" s="17" t="str">
        <f ca="1">VLOOKUP($M8,OFFSET([3]enemies!$A$1,0,0,COUNTA([3]enemies!$A:$A),MATCH(O$1,[3]enemies!$1:$1,0)-MATCH($M$1,[3]enemies!$1:$1,0)+1),MATCH(O$1,[3]enemies!$1:$1,0)-MATCH($M$1,[3]enemies!$1:$1,0)+1,FALSE)</f>
        <v>green</v>
      </c>
      <c r="P8" s="17" t="str">
        <f ca="1">VLOOKUP($M8,OFFSET([4]characters!$A$1,0,0,COUNTA([4]characters!$A:$A),MATCH(P$1,[4]characters!$1:$1,0)-MATCH($M$1,[4]characters!$1:$1,0)+1),MATCH(P$1,[4]characters!$1:$1,0)-MATCH($M$1,[4]characters!$1:$1,0)+1,FALSE)</f>
        <v>DropWizS</v>
      </c>
      <c r="Q8" s="17" t="str">
        <f ca="1">VLOOKUP($M8,OFFSET([3]enemies!$A$1,0,0,COUNTA([3]enemies!$A:$A),MATCH(Q$1,[3]enemies!$1:$1,0)-MATCH($M$1,[3]enemies!$1:$1,0)+1),MATCH(Q$1,[3]enemies!$1:$1,0)-MATCH($M$1,[3]enemies!$1:$1,0)+1,FALSE)</f>
        <v>god</v>
      </c>
      <c r="R8" s="17">
        <f ca="1">VLOOKUP($M8,OFFSET([3]enemies!$A$1,0,0,COUNTA([3]enemies!$A:$A),MATCH(R$1,[3]enemies!$1:$1,0)-MATCH($M$1,[3]enemies!$1:$1,0)+1),MATCH(R$1,[3]enemies!$1:$1,0)-MATCH($M$1,[3]enemies!$1:$1,0)+1,FALSE)</f>
        <v>60</v>
      </c>
      <c r="S8" s="5">
        <v>35</v>
      </c>
      <c r="T8" s="25">
        <v>1.6</v>
      </c>
      <c r="U8" s="90">
        <f ca="1">ROUND(VLOOKUP(S8,[3]enemy_base_stats!$A:$F,2,FALSE) *INDIRECT("[EnemyMasterData.xlsm]enemies!Y"&amp;(M8+1))*  INDIRECT("[EnemyMasterData.xlsm]enemies!J"&amp;(M8+1))* INDIRECT("[EnemyMasterData.xlsm]enemies!O"&amp;(M8+1))* INDIRECT("[EnemyMasterData.xlsm]enemies!E"&amp;(M8+1))* INDIRECT("[EnemyMasterData.xlsm]enemies!S"&amp;(M8+1))* INDIRECT("[EnemyMasterData.xlsm]enemies!AD"&amp;(M8+1))*[4]ステータス!$B$2,0)*T8</f>
        <v>81012.800000000003</v>
      </c>
      <c r="V8" s="25">
        <v>1.5</v>
      </c>
      <c r="W8" s="90">
        <f ca="1">ROUND(VLOOKUP(S8,[3]enemy_base_stats!$A:$F,3,FALSE) *INDIRECT("[EnemyMasterData.xlsm]enemies!Z"&amp;(M8+1))*  INDIRECT("[EnemyMasterData.xlsm]enemies!K"&amp;(M8+1))* INDIRECT("[EnemyMasterData.xlsm]enemies!P"&amp;(M8+1))* INDIRECT("[EnemyMasterData.xlsm]enemies!F"&amp;(M8+1))* INDIRECT("[EnemyMasterData.xlsm]enemies!T"&amp;(M8+1))* INDIRECT("[EnemyMasterData.xlsm]enemies!AE"&amp;(M8+1))*[4]ステータス!$C$2,0)*V8</f>
        <v>5026.5</v>
      </c>
      <c r="X8" s="5">
        <v>0</v>
      </c>
      <c r="Y8" s="4" t="e">
        <f ca="1">VLOOKUP($Z8,OFFSET([5]enemy_skill_sets!$B$1,0,0,COUNTA([5]enemy_skill_sets!$B:$B),MATCH(N$1,[5]enemy_skill_sets!$1:$1,0)-MATCH($Z$1,[5]enemy_skill_sets!$1:$1,0)+2),MATCH(N$1,[5]enemy_skill_sets!$1:$1,0)-MATCH($Z$1,[5]enemy_skill_sets!$1:$1,0)+2,FALSE)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8" s="152">
        <v>47015330</v>
      </c>
      <c r="AA8" s="57">
        <v>2</v>
      </c>
    </row>
    <row r="9" spans="1:27" ht="21" customHeight="1" x14ac:dyDescent="0.15">
      <c r="A9" s="16" t="str">
        <f t="shared" si="0"/>
        <v>47015_1-3/1699&lt;lv35&gt;sq1st2</v>
      </c>
      <c r="B9" s="125">
        <v>47015</v>
      </c>
      <c r="C9" s="21">
        <v>1</v>
      </c>
      <c r="D9" s="2" t="str">
        <f t="shared" si="1"/>
        <v>47015_1</v>
      </c>
      <c r="E9" s="4" t="str">
        <f ca="1">VLOOKUP($B9,OFFSET([2]quests!$A$1,0,0,COUNTA([2]quests!$A:$A),MATCH(E$1,[2]quests!$1:$1,0)-MATCH($B$1,[2]quests!$1:$1,0)+1),MATCH(E$1,[2]quests!$1:$1,0)-MATCH($B$1,[2]quests!$1:$1,0)+1,FALSE)</f>
        <v>後光射す白無垢装束</v>
      </c>
      <c r="F9" s="4" t="str">
        <f ca="1">VLOOKUP($D9,OFFSET([2]stages!$A$1,0,0,COUNTA([2]stages!$A:$A),MATCH(F$1,[2]stages!$2:$2,0)-MATCH($D$1,[2]stages!$2:$2,0)+1),MATCH(F$1,[2]stages!$2:$2,0)-MATCH($D$1,[2]stages!$2:$2,0)+1,FALSE)</f>
        <v>【上級】後光射す白無垢装束</v>
      </c>
      <c r="G9" s="21">
        <v>3</v>
      </c>
      <c r="H9" s="15" t="str">
        <f t="shared" si="2"/>
        <v>47015_1-3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>
        <v>1</v>
      </c>
      <c r="L9" s="38">
        <v>2</v>
      </c>
      <c r="M9" s="20">
        <v>1699</v>
      </c>
      <c r="N9" s="17" t="str">
        <f ca="1">VLOOKUP($M9,OFFSET([3]enemies!$A$1,0,0,COUNTA([3]enemies!$A:$A),MATCH(N$1,[3]enemies!$1:$1,0)-MATCH($M$1,[3]enemies!$1:$1,0)+1),MATCH(N$1,[3]enemies!$1:$1,0)-MATCH($M$1,[3]enemies!$1:$1,0)+1,FALSE)</f>
        <v>崇高祝言 アマテラス</v>
      </c>
      <c r="O9" s="17" t="str">
        <f ca="1">VLOOKUP($M9,OFFSET([3]enemies!$A$1,0,0,COUNTA([3]enemies!$A:$A),MATCH(O$1,[3]enemies!$1:$1,0)-MATCH($M$1,[3]enemies!$1:$1,0)+1),MATCH(O$1,[3]enemies!$1:$1,0)-MATCH($M$1,[3]enemies!$1:$1,0)+1,FALSE)</f>
        <v>green</v>
      </c>
      <c r="P9" s="17" t="str">
        <f ca="1">VLOOKUP($M9,OFFSET([4]characters!$A$1,0,0,COUNTA([4]characters!$A:$A),MATCH(P$1,[4]characters!$1:$1,0)-MATCH($M$1,[4]characters!$1:$1,0)+1),MATCH(P$1,[4]characters!$1:$1,0)-MATCH($M$1,[4]characters!$1:$1,0)+1,FALSE)</f>
        <v>DropWizS</v>
      </c>
      <c r="Q9" s="17" t="str">
        <f ca="1">VLOOKUP($M9,OFFSET([3]enemies!$A$1,0,0,COUNTA([3]enemies!$A:$A),MATCH(Q$1,[3]enemies!$1:$1,0)-MATCH($M$1,[3]enemies!$1:$1,0)+1),MATCH(Q$1,[3]enemies!$1:$1,0)-MATCH($M$1,[3]enemies!$1:$1,0)+1,FALSE)</f>
        <v>god</v>
      </c>
      <c r="R9" s="17">
        <f ca="1">VLOOKUP($M9,OFFSET([3]enemies!$A$1,0,0,COUNTA([3]enemies!$A:$A),MATCH(R$1,[3]enemies!$1:$1,0)-MATCH($M$1,[3]enemies!$1:$1,0)+1),MATCH(R$1,[3]enemies!$1:$1,0)-MATCH($M$1,[3]enemies!$1:$1,0)+1,FALSE)</f>
        <v>60</v>
      </c>
      <c r="S9" s="5">
        <v>35</v>
      </c>
      <c r="T9" s="25">
        <v>1.2</v>
      </c>
      <c r="U9" s="90">
        <f>T9*132842</f>
        <v>159410.4</v>
      </c>
      <c r="V9" s="25">
        <v>0.4</v>
      </c>
      <c r="W9" s="90">
        <f>V9* 11484</f>
        <v>4593.6000000000004</v>
      </c>
      <c r="X9" s="5">
        <v>0</v>
      </c>
      <c r="Y9" s="4" t="e">
        <f ca="1">VLOOKUP($Z9,OFFSET([5]enemy_skill_sets!$B$1,0,0,COUNTA([5]enemy_skill_sets!$B:$B),MATCH(N$1,[5]enemy_skill_sets!$1:$1,0)-MATCH($Z$1,[5]enemy_skill_sets!$1:$1,0)+2),MATCH(N$1,[5]enemy_skill_sets!$1:$1,0)-MATCH($Z$1,[5]enemy_skill_sets!$1:$1,0)+2,FALSE)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9" s="152">
        <v>47015360</v>
      </c>
      <c r="AA9" s="57">
        <v>1</v>
      </c>
    </row>
    <row r="10" spans="1:27" ht="21" customHeight="1" x14ac:dyDescent="0.15">
      <c r="A10" s="16" t="str">
        <f t="shared" si="0"/>
        <v>47015_1-3/1699&lt;lv35&gt;sq1st3</v>
      </c>
      <c r="B10" s="125">
        <v>47015</v>
      </c>
      <c r="C10" s="21">
        <v>1</v>
      </c>
      <c r="D10" s="2" t="str">
        <f t="shared" si="1"/>
        <v>47015_1</v>
      </c>
      <c r="E10" s="4" t="str">
        <f ca="1">VLOOKUP($B10,OFFSET([2]quests!$A$1,0,0,COUNTA([2]quests!$A:$A),MATCH(E$1,[2]quests!$1:$1,0)-MATCH($B$1,[2]quests!$1:$1,0)+1),MATCH(E$1,[2]quests!$1:$1,0)-MATCH($B$1,[2]quests!$1:$1,0)+1,FALSE)</f>
        <v>後光射す白無垢装束</v>
      </c>
      <c r="F10" s="4" t="str">
        <f ca="1">VLOOKUP($D10,OFFSET([2]stages!$A$1,0,0,COUNTA([2]stages!$A:$A),MATCH(F$1,[2]stages!$2:$2,0)-MATCH($D$1,[2]stages!$2:$2,0)+1),MATCH(F$1,[2]stages!$2:$2,0)-MATCH($D$1,[2]stages!$2:$2,0)+1,FALSE)</f>
        <v>【上級】後光射す白無垢装束</v>
      </c>
      <c r="G10" s="21">
        <v>3</v>
      </c>
      <c r="H10" s="15" t="str">
        <f t="shared" si="2"/>
        <v>47015_1-3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>
        <v>1</v>
      </c>
      <c r="L10" s="38">
        <v>3</v>
      </c>
      <c r="M10" s="20">
        <v>1699</v>
      </c>
      <c r="N10" s="17" t="str">
        <f ca="1">VLOOKUP($M10,OFFSET([3]enemies!$A$1,0,0,COUNTA([3]enemies!$A:$A),MATCH(N$1,[3]enemies!$1:$1,0)-MATCH($M$1,[3]enemies!$1:$1,0)+1),MATCH(N$1,[3]enemies!$1:$1,0)-MATCH($M$1,[3]enemies!$1:$1,0)+1,FALSE)</f>
        <v>崇高祝言 アマテラス</v>
      </c>
      <c r="O10" s="17" t="str">
        <f ca="1">VLOOKUP($M10,OFFSET([3]enemies!$A$1,0,0,COUNTA([3]enemies!$A:$A),MATCH(O$1,[3]enemies!$1:$1,0)-MATCH($M$1,[3]enemies!$1:$1,0)+1),MATCH(O$1,[3]enemies!$1:$1,0)-MATCH($M$1,[3]enemies!$1:$1,0)+1,FALSE)</f>
        <v>green</v>
      </c>
      <c r="P10" s="17" t="str">
        <f ca="1">VLOOKUP($M10,OFFSET([4]characters!$A$1,0,0,COUNTA([4]characters!$A:$A),MATCH(P$1,[4]characters!$1:$1,0)-MATCH($M$1,[4]characters!$1:$1,0)+1),MATCH(P$1,[4]characters!$1:$1,0)-MATCH($M$1,[4]characters!$1:$1,0)+1,FALSE)</f>
        <v>DropWizS</v>
      </c>
      <c r="Q10" s="17" t="str">
        <f ca="1">VLOOKUP($M10,OFFSET([3]enemies!$A$1,0,0,COUNTA([3]enemies!$A:$A),MATCH(Q$1,[3]enemies!$1:$1,0)-MATCH($M$1,[3]enemies!$1:$1,0)+1),MATCH(Q$1,[3]enemies!$1:$1,0)-MATCH($M$1,[3]enemies!$1:$1,0)+1,FALSE)</f>
        <v>god</v>
      </c>
      <c r="R10" s="17">
        <f ca="1">VLOOKUP($M10,OFFSET([3]enemies!$A$1,0,0,COUNTA([3]enemies!$A:$A),MATCH(R$1,[3]enemies!$1:$1,0)-MATCH($M$1,[3]enemies!$1:$1,0)+1),MATCH(R$1,[3]enemies!$1:$1,0)-MATCH($M$1,[3]enemies!$1:$1,0)+1,FALSE)</f>
        <v>60</v>
      </c>
      <c r="S10" s="5">
        <v>35</v>
      </c>
      <c r="T10" s="25">
        <v>1.4</v>
      </c>
      <c r="U10" s="90">
        <f>T10*132842</f>
        <v>185978.8</v>
      </c>
      <c r="V10" s="25">
        <v>0.5</v>
      </c>
      <c r="W10" s="90">
        <f>V10* 11484</f>
        <v>5742</v>
      </c>
      <c r="X10" s="5">
        <v>0</v>
      </c>
      <c r="Y10" s="4" t="e">
        <f ca="1">VLOOKUP($Z10,OFFSET([5]enemy_skill_sets!$B$1,0,0,COUNTA([5]enemy_skill_sets!$B:$B),MATCH(N$1,[5]enemy_skill_sets!$1:$1,0)-MATCH($Z$1,[5]enemy_skill_sets!$1:$1,0)+2),MATCH(N$1,[5]enemy_skill_sets!$1:$1,0)-MATCH($Z$1,[5]enemy_skill_sets!$1:$1,0)+2,FALSE)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10" s="153">
        <v>47015370</v>
      </c>
      <c r="AA10" s="57">
        <v>1</v>
      </c>
    </row>
  </sheetData>
  <sheetProtection selectLockedCells="1" selectUnlockedCells="1"/>
  <autoFilter ref="B1:AA4">
    <sortState ref="B2:AA4">
      <sortCondition ref="Z1:Z4"/>
    </sortState>
  </autoFilter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11"/>
  <sheetViews>
    <sheetView showGridLines="0" zoomScale="90" zoomScaleNormal="90" zoomScalePageLayoutView="90" workbookViewId="0">
      <pane xSplit="5" ySplit="1" topLeftCell="F10" activePane="bottomRight" state="frozen"/>
      <selection pane="topRight"/>
      <selection pane="bottomLeft"/>
      <selection pane="bottomRight" activeCell="A54" sqref="A54:XFD54"/>
    </sheetView>
  </sheetViews>
  <sheetFormatPr baseColWidth="12" defaultColWidth="12.83203125" defaultRowHeight="31" customHeight="1" outlineLevelCol="1" x14ac:dyDescent="0.15"/>
  <cols>
    <col min="1" max="1" width="15.83203125" style="101" customWidth="1"/>
    <col min="2" max="2" width="9.33203125" style="40" customWidth="1"/>
    <col min="3" max="3" width="13.33203125" style="161" customWidth="1"/>
    <col min="4" max="4" width="34.6640625" style="40" customWidth="1" outlineLevel="1"/>
    <col min="5" max="5" width="45.5" style="40" customWidth="1" outlineLevel="1"/>
    <col min="6" max="6" width="22.6640625" style="161" customWidth="1"/>
    <col min="7" max="7" width="8.33203125" style="40" bestFit="1" customWidth="1" outlineLevel="1"/>
    <col min="8" max="9" width="12.83203125" style="40" outlineLevel="1"/>
    <col min="10" max="10" width="17.6640625" style="40" bestFit="1" customWidth="1" outlineLevel="1"/>
    <col min="11" max="15" width="12.83203125" style="40" outlineLevel="1"/>
    <col min="16" max="16" width="8.33203125" style="102" bestFit="1" customWidth="1"/>
    <col min="17" max="17" width="9.6640625" style="102" customWidth="1"/>
    <col min="18" max="18" width="56.5" style="102" bestFit="1" customWidth="1"/>
    <col min="19" max="16384" width="12.83203125" style="102"/>
  </cols>
  <sheetData>
    <row r="1" spans="1:18" s="115" customFormat="1" ht="31" customHeight="1" x14ac:dyDescent="0.15">
      <c r="A1" s="111" t="s">
        <v>59</v>
      </c>
      <c r="B1" s="112" t="s">
        <v>60</v>
      </c>
      <c r="C1" s="154" t="s">
        <v>61</v>
      </c>
      <c r="D1" s="113" t="s">
        <v>62</v>
      </c>
      <c r="E1" s="113" t="s">
        <v>63</v>
      </c>
      <c r="F1" s="162" t="s">
        <v>64</v>
      </c>
      <c r="G1" s="114" t="s">
        <v>65</v>
      </c>
      <c r="H1" s="114" t="s">
        <v>67</v>
      </c>
      <c r="I1" s="114" t="s">
        <v>68</v>
      </c>
      <c r="J1" s="114" t="s">
        <v>69</v>
      </c>
      <c r="K1" s="114" t="s">
        <v>70</v>
      </c>
      <c r="L1" s="114" t="s">
        <v>71</v>
      </c>
      <c r="M1" s="114" t="s">
        <v>72</v>
      </c>
      <c r="N1" s="114" t="s">
        <v>73</v>
      </c>
      <c r="O1" s="114" t="s">
        <v>74</v>
      </c>
      <c r="P1" s="113" t="s">
        <v>75</v>
      </c>
      <c r="Q1" s="113" t="s">
        <v>76</v>
      </c>
      <c r="R1" s="113" t="s">
        <v>77</v>
      </c>
    </row>
    <row r="2" spans="1:18" ht="31" customHeight="1" x14ac:dyDescent="0.15">
      <c r="A2" s="103" t="str">
        <f t="shared" ref="A2" si="0">B2&amp;"_"&amp;C2</f>
        <v>47015100_47015100</v>
      </c>
      <c r="B2" s="108">
        <v>47015100</v>
      </c>
      <c r="C2" s="155">
        <v>47015100</v>
      </c>
      <c r="D2" s="39" t="str">
        <f ca="1">VLOOKUP($C2,OFFSET(enemy_skills!$A$1,0,0,COUNTA(enemy_skills!$A:$A),MATCH(D$1,enemy_skills!$1:$1,0)-MATCH("enemy_skill_id",enemy_skills!$1:$1,0)+1),MATCH(D$1,enemy_skills!$1:$1,0)-MATCH("enemy_skill_id",enemy_skills!$1:$1,0)+1,FALSE)</f>
        <v>彼女とビジュアル勝負？_x000D_ごめんね、今日はダメよ</v>
      </c>
      <c r="E2" s="39" t="str">
        <f ca="1">VLOOKUP($C2,OFFSET(enemy_skills!$A$1,0,0,COUNTA(enemy_skills!$A:$A),MATCH(E$1,enemy_skills!$1:$1,0)-MATCH("enemy_skill_id",enemy_skills!$1:$1,0)+1),MATCH(E$1,enemy_skills!$1:$1,0)-MATCH("enemy_skill_id",enemy_skills!$1:$1,0)+1,FALSE)</f>
        <v>全ユニットのスキルターンを2ターン短縮</v>
      </c>
      <c r="F2" s="155">
        <v>47015100</v>
      </c>
      <c r="G2" s="41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1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2" s="41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2" s="41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1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1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1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1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1703</v>
      </c>
      <c r="O2" s="41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2" s="40"/>
      <c r="Q2" s="40"/>
      <c r="R2" s="40"/>
    </row>
    <row r="3" spans="1:18" ht="31" customHeight="1" x14ac:dyDescent="0.15">
      <c r="A3" s="103" t="str">
        <f t="shared" ref="A3:A5" si="1">B3&amp;"_"&amp;C3</f>
        <v>47015100_47015101</v>
      </c>
      <c r="B3" s="108">
        <v>47015100</v>
      </c>
      <c r="C3" s="156">
        <v>47015101</v>
      </c>
      <c r="D3" s="39" t="str">
        <f ca="1">VLOOKUP($C3,OFFSET(enemy_skills!$A$1,0,0,COUNTA(enemy_skills!$A:$A),MATCH(D$1,enemy_skills!$1:$1,0)-MATCH("enemy_skill_id",enemy_skills!$1:$1,0)+1),MATCH(D$1,enemy_skills!$1:$1,0)-MATCH("enemy_skill_id",enemy_skills!$1:$1,0)+1,FALSE)</f>
        <v>彼女とビジュアル勝負？_x000D_ごめんね、今日はダメよ</v>
      </c>
      <c r="E3" s="39" t="str">
        <f ca="1">VLOOKUP($C3,OFFSET(enemy_skills!$A$1,0,0,COUNTA(enemy_skills!$A:$A),MATCH(E$1,enemy_skills!$1:$1,0)-MATCH("enemy_skill_id",enemy_skills!$1:$1,0)+1),MATCH(E$1,enemy_skills!$1:$1,0)-MATCH("enemy_skill_id",enemy_skills!$1:$1,0)+1,FALSE)</f>
        <v>全ユニットのスキルターンを2ターン短縮</v>
      </c>
      <c r="F3" s="156">
        <v>47015101</v>
      </c>
      <c r="G3" s="41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1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106</v>
      </c>
      <c r="I3" s="41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3" s="41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1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1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1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1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1704</v>
      </c>
      <c r="O3" s="41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3" s="40"/>
      <c r="Q3" s="40"/>
      <c r="R3" s="40"/>
    </row>
    <row r="4" spans="1:18" ht="31" customHeight="1" x14ac:dyDescent="0.15">
      <c r="A4" s="103" t="str">
        <f t="shared" si="1"/>
        <v>47015100_47015102</v>
      </c>
      <c r="B4" s="108">
        <v>47015100</v>
      </c>
      <c r="C4" s="155">
        <v>47015102</v>
      </c>
      <c r="D4" s="39" t="str">
        <f ca="1">VLOOKUP($C4,OFFSET(enemy_skills!$A$1,0,0,COUNTA(enemy_skills!$A:$A),MATCH(D$1,enemy_skills!$1:$1,0)-MATCH("enemy_skill_id",enemy_skills!$1:$1,0)+1),MATCH(D$1,enemy_skills!$1:$1,0)-MATCH("enemy_skill_id",enemy_skills!$1:$1,0)+1,FALSE)</f>
        <v>彼女に会いたいのなら！</v>
      </c>
      <c r="E4" s="39" t="str">
        <f ca="1">VLOOKUP($C4,OFFSET(enemy_skills!$A$1,0,0,COUNTA(enemy_skills!$A:$A),MATCH(E$1,enemy_skills!$1:$1,0)-MATCH("enemy_skill_id",enemy_skills!$1:$1,0)+1),MATCH(E$1,enemy_skills!$1:$1,0)-MATCH("enemy_skill_id",enemy_skills!$1:$1,0)+1,FALSE)</f>
        <v>5ターン全ユニットの回復力20%DOWN</v>
      </c>
      <c r="F4" s="155">
        <v>47015102</v>
      </c>
      <c r="G4" s="41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1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" s="41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1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1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1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1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1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1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0"/>
      <c r="Q4" s="40"/>
      <c r="R4" s="40"/>
    </row>
    <row r="5" spans="1:18" ht="31" customHeight="1" x14ac:dyDescent="0.15">
      <c r="A5" s="103" t="str">
        <f t="shared" si="1"/>
        <v>47015100_47015103</v>
      </c>
      <c r="B5" s="108">
        <v>47015100</v>
      </c>
      <c r="C5" s="156">
        <v>47015103</v>
      </c>
      <c r="D5" s="39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これで…！</v>
      </c>
      <c r="E5" s="39" t="str">
        <f ca="1">VLOOKUP($C5,OFFSET(enemy_skills!$A$1,0,0,COUNTA(enemy_skills!$A:$A),MATCH(E$1,enemy_skills!$1:$1,0)-MATCH("enemy_skill_id",enemy_skills!$1:$1,0)+1),MATCH(E$1,enemy_skills!$1:$1,0)-MATCH("enemy_skill_id",enemy_skills!$1:$1,0)+1,FALSE)</f>
        <v>種族ゴッドのユニットに大ダメージ</v>
      </c>
      <c r="F5" s="156">
        <v>47015103</v>
      </c>
      <c r="G5" s="41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1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1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5" s="41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1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1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1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1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1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5" s="40"/>
      <c r="Q5" s="40"/>
      <c r="R5" s="40"/>
    </row>
    <row r="6" spans="1:18" s="105" customFormat="1" ht="31" customHeight="1" thickBot="1" x14ac:dyDescent="0.2">
      <c r="A6" s="104" t="str">
        <f t="shared" ref="A6:A18" si="2">B6&amp;"_"&amp;C6</f>
        <v>47015100_47015104</v>
      </c>
      <c r="B6" s="134">
        <v>47015100</v>
      </c>
      <c r="C6" s="157">
        <v>47015104</v>
      </c>
      <c r="D6" s="99" t="str">
        <f ca="1">VLOOKUP($C6,OFFSET(enemy_skills!$A$1,0,0,COUNTA(enemy_skills!$A:$A),MATCH(D$1,enemy_skills!$1:$1,0)-MATCH("enemy_skill_id",enemy_skills!$1:$1,0)+1),MATCH(D$1,enemy_skills!$1:$1,0)-MATCH("enemy_skill_id",enemy_skills!$1:$1,0)+1,FALSE)</f>
        <v>お引取りを！</v>
      </c>
      <c r="E6" s="99" t="str">
        <f ca="1">VLOOKUP($C6,OFFSET(enemy_skills!$A$1,0,0,COUNTA(enemy_skills!$A:$A),MATCH(E$1,enemy_skills!$1:$1,0)-MATCH("enemy_skill_id",enemy_skills!$1:$1,0)+1),MATCH(E$1,enemy_skills!$1:$1,0)-MATCH("enemy_skill_id",enemy_skills!$1:$1,0)+1,FALSE)</f>
        <v>2ターン青属性のユニットの攻撃力20%DOWN+単体攻撃</v>
      </c>
      <c r="F6" s="157">
        <v>47015104</v>
      </c>
      <c r="G6" s="100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100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100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6" s="100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100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100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100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100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100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6" s="98"/>
      <c r="Q6" s="98"/>
      <c r="R6" s="98"/>
    </row>
    <row r="7" spans="1:18" s="105" customFormat="1" ht="31" customHeight="1" thickBot="1" x14ac:dyDescent="0.2">
      <c r="A7" s="104" t="str">
        <f t="shared" ref="A7" si="3">B7&amp;"_"&amp;C7</f>
        <v>47015100_47015105</v>
      </c>
      <c r="B7" s="134">
        <v>47015100</v>
      </c>
      <c r="C7" s="156">
        <v>47015105</v>
      </c>
      <c r="D7" s="99" t="str">
        <f ca="1">VLOOKUP($C7,OFFSET(enemy_skills!$A$1,0,0,COUNTA(enemy_skills!$A:$A),MATCH(D$1,enemy_skills!$1:$1,0)-MATCH("enemy_skill_id",enemy_skills!$1:$1,0)+1),MATCH(D$1,enemy_skills!$1:$1,0)-MATCH("enemy_skill_id",enemy_skills!$1:$1,0)+1,FALSE)</f>
        <v>帰っていただけませんのね</v>
      </c>
      <c r="E7" s="99" t="str">
        <f ca="1">VLOOKUP($C7,OFFSET(enemy_skills!$A$1,0,0,COUNTA(enemy_skills!$A:$A),MATCH(E$1,enemy_skills!$1:$1,0)-MATCH("enemy_skill_id",enemy_skills!$1:$1,0)+1),MATCH(E$1,enemy_skills!$1:$1,0)-MATCH("enemy_skill_id",enemy_skills!$1:$1,0)+1,FALSE)</f>
        <v>3ターン敵全体の攻撃力UP</v>
      </c>
      <c r="F7" s="156">
        <v>47015105</v>
      </c>
      <c r="G7" s="100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100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7" s="100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100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" s="100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100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100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100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100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98"/>
      <c r="Q7" s="98"/>
      <c r="R7" s="98"/>
    </row>
    <row r="8" spans="1:18" s="115" customFormat="1" ht="31" customHeight="1" x14ac:dyDescent="0.15">
      <c r="A8" s="111" t="str">
        <f t="shared" si="2"/>
        <v>47015110_47015110</v>
      </c>
      <c r="B8" s="116">
        <v>47015110</v>
      </c>
      <c r="C8" s="158">
        <v>47015110</v>
      </c>
      <c r="D8" s="9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あら、可愛いお嬢さん_x000D_ここから先は行っちゃダメよ</v>
      </c>
      <c r="E8" s="96" t="str">
        <f ca="1">VLOOKUP($C8,OFFSET(enemy_skills!$A$1,0,0,COUNTA(enemy_skills!$A:$A),MATCH(E$1,enemy_skills!$1:$1,0)-MATCH("enemy_skill_id",enemy_skills!$1:$1,0)+1),MATCH(E$1,enemy_skills!$1:$1,0)-MATCH("enemy_skill_id",enemy_skills!$1:$1,0)+1,FALSE)</f>
        <v>10ターン全ユニットにウィルス+_x000D_緑パネルを赤パネルに変換</v>
      </c>
      <c r="F8" s="147">
        <v>47015110</v>
      </c>
      <c r="G8" s="97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97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8" s="97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8" s="97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97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97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97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97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1703</v>
      </c>
      <c r="O8" s="97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8" s="95"/>
      <c r="Q8" s="95"/>
      <c r="R8" s="95"/>
    </row>
    <row r="9" spans="1:18" ht="31" customHeight="1" x14ac:dyDescent="0.15">
      <c r="A9" s="103" t="str">
        <f t="shared" si="2"/>
        <v>47015110_47015111</v>
      </c>
      <c r="B9" s="107">
        <v>47015110</v>
      </c>
      <c r="C9" s="156">
        <v>47015111</v>
      </c>
      <c r="D9" s="39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あら、可愛いお嬢さん_x000D_ここから先は行っちゃダメよ</v>
      </c>
      <c r="E9" s="39" t="str">
        <f ca="1">VLOOKUP($C9,OFFSET(enemy_skills!$A$1,0,0,COUNTA(enemy_skills!$A:$A),MATCH(E$1,enemy_skills!$1:$1,0)-MATCH("enemy_skill_id",enemy_skills!$1:$1,0)+1),MATCH(E$1,enemy_skills!$1:$1,0)-MATCH("enemy_skill_id",enemy_skills!$1:$1,0)+1,FALSE)</f>
        <v>10ターン全ユニットにウィルス+_x000D_緑パネルを赤パネルに変換</v>
      </c>
      <c r="F9" s="146">
        <v>47015111</v>
      </c>
      <c r="G9" s="41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1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106</v>
      </c>
      <c r="I9" s="41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9" s="41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1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1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1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1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1704</v>
      </c>
      <c r="O9" s="41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9" s="40"/>
      <c r="Q9" s="40"/>
      <c r="R9" s="40"/>
    </row>
    <row r="10" spans="1:18" ht="31" customHeight="1" x14ac:dyDescent="0.15">
      <c r="A10" s="103" t="str">
        <f t="shared" si="2"/>
        <v>47015110_47015112</v>
      </c>
      <c r="B10" s="107">
        <v>47015110</v>
      </c>
      <c r="C10" s="156">
        <v>47015112</v>
      </c>
      <c r="D10" s="39" t="str">
        <f ca="1">VLOOKUP($C10,OFFSET(enemy_skills!$A$1,0,0,COUNTA(enemy_skills!$A:$A),MATCH(D$1,enemy_skills!$1:$1,0)-MATCH("enemy_skill_id",enemy_skills!$1:$1,0)+1),MATCH(D$1,enemy_skills!$1:$1,0)-MATCH("enemy_skill_id",enemy_skills!$1:$1,0)+1,FALSE)</f>
        <v>私達を倒してみなさい！！</v>
      </c>
      <c r="E10" s="39" t="str">
        <f ca="1">VLOOKUP($C10,OFFSET(enemy_skills!$A$1,0,0,COUNTA(enemy_skills!$A:$A),MATCH(E$1,enemy_skills!$1:$1,0)-MATCH("enemy_skill_id",enemy_skills!$1:$1,0)+1),MATCH(E$1,enemy_skills!$1:$1,0)-MATCH("enemy_skill_id",enemy_skills!$1:$1,0)+1,FALSE)</f>
        <v>10ターン全ユニットにウィルス</v>
      </c>
      <c r="F10" s="146">
        <v>47015112</v>
      </c>
      <c r="G10" s="41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1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" s="41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1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1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1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1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1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1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0"/>
      <c r="Q10" s="40"/>
      <c r="R10" s="40"/>
    </row>
    <row r="11" spans="1:18" s="105" customFormat="1" ht="31" customHeight="1" thickBot="1" x14ac:dyDescent="0.2">
      <c r="A11" s="104" t="str">
        <f t="shared" si="2"/>
        <v>47015110_47015113</v>
      </c>
      <c r="B11" s="117">
        <v>47015110</v>
      </c>
      <c r="C11" s="159">
        <v>47015113</v>
      </c>
      <c r="D11" s="99" t="str">
        <f ca="1">VLOOKUP($C11,OFFSET(enemy_skills!$A$1,0,0,COUNTA(enemy_skills!$A:$A),MATCH(D$1,enemy_skills!$1:$1,0)-MATCH("enemy_skill_id",enemy_skills!$1:$1,0)+1),MATCH(D$1,enemy_skills!$1:$1,0)-MATCH("enemy_skill_id",enemy_skills!$1:$1,0)+1,FALSE)</f>
        <v>行かせません！</v>
      </c>
      <c r="E11" s="99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ウィルス状態のユニットに大ダメージの全体攻撃</v>
      </c>
      <c r="F11" s="163">
        <v>47015113</v>
      </c>
      <c r="G11" s="100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100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100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11" s="100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100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100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100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100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100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11" s="98"/>
      <c r="Q11" s="98"/>
      <c r="R11" s="98"/>
    </row>
    <row r="12" spans="1:18" s="105" customFormat="1" ht="31" customHeight="1" thickBot="1" x14ac:dyDescent="0.2">
      <c r="A12" s="104" t="str">
        <f t="shared" ref="A12" si="4">B12&amp;"_"&amp;C12</f>
        <v>47015110_47015114</v>
      </c>
      <c r="B12" s="117">
        <v>47015110</v>
      </c>
      <c r="C12" s="156">
        <v>47015114</v>
      </c>
      <c r="D12" s="99" t="str">
        <f ca="1">VLOOKUP($C12,OFFSET(enemy_skills!$A$1,0,0,COUNTA(enemy_skills!$A:$A),MATCH(D$1,enemy_skills!$1:$1,0)-MATCH("enemy_skill_id",enemy_skills!$1:$1,0)+1),MATCH(D$1,enemy_skills!$1:$1,0)-MATCH("enemy_skill_id",enemy_skills!$1:$1,0)+1,FALSE)</f>
        <v>野次馬は通しません！</v>
      </c>
      <c r="E12" s="99" t="str">
        <f ca="1">VLOOKUP($C12,OFFSET(enemy_skills!$A$1,0,0,COUNTA(enemy_skills!$A:$A),MATCH(E$1,enemy_skills!$1:$1,0)-MATCH("enemy_skill_id",enemy_skills!$1:$1,0)+1),MATCH(E$1,enemy_skills!$1:$1,0)-MATCH("enemy_skill_id",enemy_skills!$1:$1,0)+1,FALSE)</f>
        <v>全体攻撃+_x000D_属性パネルを赤のダメージパネルに6個変換</v>
      </c>
      <c r="F12" s="146">
        <v>47015114</v>
      </c>
      <c r="G12" s="100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100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12" s="100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100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2" s="100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100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100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100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100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98"/>
      <c r="Q12" s="98"/>
      <c r="R12" s="98"/>
    </row>
    <row r="13" spans="1:18" s="115" customFormat="1" ht="31" customHeight="1" x14ac:dyDescent="0.15">
      <c r="A13" s="111" t="str">
        <f t="shared" si="2"/>
        <v>47015120_47015120</v>
      </c>
      <c r="B13" s="116">
        <v>47015120</v>
      </c>
      <c r="C13" s="160">
        <v>47015120</v>
      </c>
      <c r="D13" s="9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おねえさまの所へは行かせないよ！</v>
      </c>
      <c r="E13" s="9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状態異常耐性+2ターン攻撃力UP+_x000D_2ターン全属性の攻撃をカウンター</v>
      </c>
      <c r="F13" s="164">
        <v>47015120</v>
      </c>
      <c r="G13" s="97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97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3" s="97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97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97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97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97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97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97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95"/>
      <c r="Q13" s="95"/>
      <c r="R13" s="95"/>
    </row>
    <row r="14" spans="1:18" ht="31" customHeight="1" x14ac:dyDescent="0.15">
      <c r="A14" s="103" t="str">
        <f t="shared" si="2"/>
        <v>47015120_47015121</v>
      </c>
      <c r="B14" s="107">
        <v>47015120</v>
      </c>
      <c r="C14" s="156">
        <v>47015121</v>
      </c>
      <c r="D14" s="39" t="str">
        <f ca="1">VLOOKUP($C14,OFFSET(enemy_skills!$A$1,0,0,COUNTA(enemy_skills!$A:$A),MATCH(D$1,enemy_skills!$1:$1,0)-MATCH("enemy_skill_id",enemy_skills!$1:$1,0)+1),MATCH(D$1,enemy_skills!$1:$1,0)-MATCH("enemy_skill_id",enemy_skills!$1:$1,0)+1,FALSE)</f>
        <v>見ちゃダメ！</v>
      </c>
      <c r="E14" s="39" t="str">
        <f ca="1">VLOOKUP($C14,OFFSET(enemy_skills!$A$1,0,0,COUNTA(enemy_skills!$A:$A),MATCH(E$1,enemy_skills!$1:$1,0)-MATCH("enemy_skill_id",enemy_skills!$1:$1,0)+1),MATCH(E$1,enemy_skills!$1:$1,0)-MATCH("enemy_skill_id",enemy_skills!$1:$1,0)+1,FALSE)</f>
        <v>3ターン暗闇</v>
      </c>
      <c r="F14" s="156">
        <v>47015121</v>
      </c>
      <c r="G14" s="41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1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1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1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1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1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4" s="41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4" s="41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1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0"/>
      <c r="Q14" s="40"/>
      <c r="R14" s="40"/>
    </row>
    <row r="15" spans="1:18" ht="31" customHeight="1" x14ac:dyDescent="0.15">
      <c r="A15" s="103" t="str">
        <f t="shared" si="2"/>
        <v>47015120_47015122</v>
      </c>
      <c r="B15" s="107">
        <v>47015120</v>
      </c>
      <c r="C15" s="155">
        <v>47015122</v>
      </c>
      <c r="D15" s="39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ダメだよ！</v>
      </c>
      <c r="E15" s="39" t="str">
        <f ca="1">VLOOKUP($C15,OFFSET(enemy_skills!$A$1,0,0,COUNTA(enemy_skills!$A:$A),MATCH(E$1,enemy_skills!$1:$1,0)-MATCH("enemy_skill_id",enemy_skills!$1:$1,0)+1),MATCH(E$1,enemy_skills!$1:$1,0)-MATCH("enemy_skill_id",enemy_skills!$1:$1,0)+1,FALSE)</f>
        <v>1ターン全ユニットにスキルバインド+_x000D_青パネルを緑のダメージパネルに4個変換</v>
      </c>
      <c r="F15" s="165">
        <v>47015122</v>
      </c>
      <c r="G15" s="41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1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1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15" s="41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1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1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5" s="41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1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1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15" s="40"/>
      <c r="Q15" s="40"/>
      <c r="R15" s="40"/>
    </row>
    <row r="16" spans="1:18" ht="31" customHeight="1" x14ac:dyDescent="0.15">
      <c r="A16" s="103" t="str">
        <f t="shared" si="2"/>
        <v>47015120_47015123</v>
      </c>
      <c r="B16" s="107">
        <v>47015120</v>
      </c>
      <c r="C16" s="156">
        <v>47015123</v>
      </c>
      <c r="D16" s="39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もー</v>
      </c>
      <c r="E16" s="39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ハートパネルを緑のダメージパネルに5個変換+全体攻撃</v>
      </c>
      <c r="F16" s="156">
        <v>47015123</v>
      </c>
      <c r="G16" s="41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1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1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16" s="41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1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1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1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1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1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16" s="40"/>
      <c r="Q16" s="40"/>
      <c r="R16" s="40"/>
    </row>
    <row r="17" spans="1:18" s="105" customFormat="1" ht="31" customHeight="1" thickBot="1" x14ac:dyDescent="0.2">
      <c r="A17" s="104" t="str">
        <f t="shared" si="2"/>
        <v>47015120_47015124</v>
      </c>
      <c r="B17" s="117">
        <v>47015120</v>
      </c>
      <c r="C17" s="157">
        <v>47015124</v>
      </c>
      <c r="D17" s="99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ダメだって言ってるの！！</v>
      </c>
      <c r="E17" s="99" t="str">
        <f ca="1">VLOOKUP($C17,OFFSET(enemy_skills!$A$1,0,0,COUNTA(enemy_skills!$A:$A),MATCH(E$1,enemy_skills!$1:$1,0)-MATCH("enemy_skill_id",enemy_skills!$1:$1,0)+1),MATCH(E$1,enemy_skills!$1:$1,0)-MATCH("enemy_skill_id",enemy_skills!$1:$1,0)+1,FALSE)</f>
        <v>残りHPの30%ダメージ！+_x000D_属性パネルを緑のダメージパネルに8個変換</v>
      </c>
      <c r="F17" s="166">
        <v>47015124</v>
      </c>
      <c r="G17" s="100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100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7" s="100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100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7" s="100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100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100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100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100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98"/>
      <c r="Q17" s="98"/>
      <c r="R17" s="98"/>
    </row>
    <row r="18" spans="1:18" s="115" customFormat="1" ht="31" customHeight="1" thickBot="1" x14ac:dyDescent="0.2">
      <c r="A18" s="111" t="str">
        <f t="shared" si="2"/>
        <v>47015130_47015130</v>
      </c>
      <c r="B18" s="106">
        <v>47015130</v>
      </c>
      <c r="C18" s="158">
        <v>47015130</v>
      </c>
      <c r="D18" s="9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今のおねえさまの姿を見たら…</v>
      </c>
      <c r="E18" s="9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ぜったい好きになっちゃうよ！_x000D_【状態異常耐性+残りHPの20%ダメージ！】</v>
      </c>
      <c r="F18" s="147">
        <v>47015130</v>
      </c>
      <c r="G18" s="97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97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8" s="97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97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97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97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97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97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97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95"/>
      <c r="Q18" s="95"/>
      <c r="R18" s="95"/>
    </row>
    <row r="19" spans="1:18" ht="31" customHeight="1" thickBot="1" x14ac:dyDescent="0.2">
      <c r="A19" s="103" t="str">
        <f t="shared" ref="A19:A20" si="5">B19&amp;"_"&amp;C19</f>
        <v>47015130_47015131</v>
      </c>
      <c r="B19" s="106">
        <v>47015130</v>
      </c>
      <c r="C19" s="156">
        <v>47015131</v>
      </c>
      <c r="D19" s="39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てい！</v>
      </c>
      <c r="E19" s="39" t="str">
        <f ca="1">VLOOKUP($C19,OFFSET(enemy_skills!$A$1,0,0,COUNTA(enemy_skills!$A:$A),MATCH(E$1,enemy_skills!$1:$1,0)-MATCH("enemy_skill_id",enemy_skills!$1:$1,0)+1),MATCH(E$1,enemy_skills!$1:$1,0)-MATCH("enemy_skill_id",enemy_skills!$1:$1,0)+1,FALSE)</f>
        <v>青パネルを吸収して攻撃</v>
      </c>
      <c r="F19" s="146">
        <v>47015131</v>
      </c>
      <c r="G19" s="41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1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9" s="41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9" s="41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1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1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1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1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1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9" s="40"/>
      <c r="Q19" s="40"/>
      <c r="R19" s="40"/>
    </row>
    <row r="20" spans="1:18" ht="31" customHeight="1" thickBot="1" x14ac:dyDescent="0.2">
      <c r="A20" s="103" t="str">
        <f t="shared" si="5"/>
        <v>47015130_47015132</v>
      </c>
      <c r="B20" s="106">
        <v>47015130</v>
      </c>
      <c r="C20" s="158">
        <v>47015132</v>
      </c>
      <c r="D20" s="39" t="str">
        <f ca="1">VLOOKUP($C20,OFFSET(enemy_skills!$A$1,0,0,COUNTA(enemy_skills!$A:$A),MATCH(D$1,enemy_skills!$1:$1,0)-MATCH("enemy_skill_id",enemy_skills!$1:$1,0)+1),MATCH(D$1,enemy_skills!$1:$1,0)-MATCH("enemy_skill_id",enemy_skills!$1:$1,0)+1,FALSE)</f>
        <v>帰ってよぉ</v>
      </c>
      <c r="E20" s="39" t="str">
        <f ca="1">VLOOKUP($C20,OFFSET(enemy_skills!$A$1,0,0,COUNTA(enemy_skills!$A:$A),MATCH(E$1,enemy_skills!$1:$1,0)-MATCH("enemy_skill_id",enemy_skills!$1:$1,0)+1),MATCH(E$1,enemy_skills!$1:$1,0)-MATCH("enemy_skill_id",enemy_skills!$1:$1,0)+1,FALSE)</f>
        <v>単体攻撃+特定エリアを緑パネルに変換</v>
      </c>
      <c r="F20" s="147">
        <v>47015132</v>
      </c>
      <c r="G20" s="41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1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0" s="41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1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1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1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1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1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1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0"/>
      <c r="Q20" s="40"/>
      <c r="R20" s="40"/>
    </row>
    <row r="21" spans="1:18" ht="31" customHeight="1" thickBot="1" x14ac:dyDescent="0.2">
      <c r="A21" s="103" t="str">
        <f t="shared" ref="A21:A25" si="6">B21&amp;"_"&amp;C21</f>
        <v>47015130_47015133</v>
      </c>
      <c r="B21" s="106">
        <v>47015130</v>
      </c>
      <c r="C21" s="156">
        <v>47015133</v>
      </c>
      <c r="D21" s="39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どーしても帰らないなら！</v>
      </c>
      <c r="E21" s="39" t="str">
        <f ca="1">VLOOKUP($C21,OFFSET(enemy_skills!$A$1,0,0,COUNTA(enemy_skills!$A:$A),MATCH(E$1,enemy_skills!$1:$1,0)-MATCH("enemy_skill_id",enemy_skills!$1:$1,0)+1),MATCH(E$1,enemy_skills!$1:$1,0)-MATCH("enemy_skill_id",enemy_skills!$1:$1,0)+1,FALSE)</f>
        <v>属性パネルを緑のダメージパネルに15個変換</v>
      </c>
      <c r="F21" s="146">
        <v>47015133</v>
      </c>
      <c r="G21" s="41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1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1" s="41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1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1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1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1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1" s="41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1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0"/>
      <c r="Q21" s="40"/>
      <c r="R21" s="40"/>
    </row>
    <row r="22" spans="1:18" s="105" customFormat="1" ht="31" customHeight="1" thickBot="1" x14ac:dyDescent="0.2">
      <c r="A22" s="104" t="str">
        <f t="shared" si="6"/>
        <v>47015130_47015134</v>
      </c>
      <c r="B22" s="106">
        <v>47015130</v>
      </c>
      <c r="C22" s="158">
        <v>47015134</v>
      </c>
      <c r="D22" s="99" t="str">
        <f ca="1">VLOOKUP($C22,OFFSET(enemy_skills!$A$1,0,0,COUNTA(enemy_skills!$A:$A),MATCH(D$1,enemy_skills!$1:$1,0)-MATCH("enemy_skill_id",enemy_skills!$1:$1,0)+1),MATCH(D$1,enemy_skills!$1:$1,0)-MATCH("enemy_skill_id",enemy_skills!$1:$1,0)+1,FALSE)</f>
        <v>怒ったよ！</v>
      </c>
      <c r="E22" s="99" t="str">
        <f ca="1">VLOOKUP($C22,OFFSET(enemy_skills!$A$1,0,0,COUNTA(enemy_skills!$A:$A),MATCH(E$1,enemy_skills!$1:$1,0)-MATCH("enemy_skill_id",enemy_skills!$1:$1,0)+1),MATCH(E$1,enemy_skills!$1:$1,0)-MATCH("enemy_skill_id",enemy_skills!$1:$1,0)+1,FALSE)</f>
        <v>行動頻度UP+_x000D_5ターン確率でCパネルがドロップ</v>
      </c>
      <c r="F22" s="147">
        <v>47015134</v>
      </c>
      <c r="G22" s="100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100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115</v>
      </c>
      <c r="I22" s="100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100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2" s="100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100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100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" s="100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100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98"/>
      <c r="Q22" s="98"/>
      <c r="R22" s="98"/>
    </row>
    <row r="23" spans="1:18" s="115" customFormat="1" ht="31" customHeight="1" thickBot="1" x14ac:dyDescent="0.2">
      <c r="A23" s="111" t="str">
        <f t="shared" si="6"/>
        <v>47015140_47015140</v>
      </c>
      <c r="B23" s="106">
        <v>47015140</v>
      </c>
      <c r="C23" s="158">
        <v>47015140</v>
      </c>
      <c r="D23" s="9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誰ですか？_x000D_興を削がれてしまったのですが。</v>
      </c>
      <c r="E23" s="9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《とても怒っている…》_x000D_【状態異常耐性+6ターン攻撃力大UP+_x000D_全ユニットの攻撃力50%DOWN】</v>
      </c>
      <c r="F23" s="158">
        <v>47015140</v>
      </c>
      <c r="G23" s="97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97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3" s="97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97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97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97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97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97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97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95"/>
      <c r="Q23" s="95"/>
      <c r="R23" s="95"/>
    </row>
    <row r="24" spans="1:18" ht="31" customHeight="1" thickBot="1" x14ac:dyDescent="0.2">
      <c r="A24" s="103" t="str">
        <f t="shared" si="6"/>
        <v>47015140_47015141</v>
      </c>
      <c r="B24" s="106">
        <v>47015140</v>
      </c>
      <c r="C24" s="156">
        <v>47015141</v>
      </c>
      <c r="D24" s="39" t="str">
        <f ca="1">VLOOKUP($C24,OFFSET(enemy_skills!$A$1,0,0,COUNTA(enemy_skills!$A:$A),MATCH(D$1,enemy_skills!$1:$1,0)-MATCH("enemy_skill_id",enemy_skills!$1:$1,0)+1),MATCH(D$1,enemy_skills!$1:$1,0)-MATCH("enemy_skill_id",enemy_skills!$1:$1,0)+1,FALSE)</f>
        <v>深山の芽吹き</v>
      </c>
      <c r="E24" s="39" t="str">
        <f ca="1">VLOOKUP($C24,OFFSET(enemy_skills!$A$1,0,0,COUNTA(enemy_skills!$A:$A),MATCH(E$1,enemy_skills!$1:$1,0)-MATCH("enemy_skill_id",enemy_skills!$1:$1,0)+1),MATCH(E$1,enemy_skills!$1:$1,0)-MATCH("enemy_skill_id",enemy_skills!$1:$1,0)+1,FALSE)</f>
        <v>緑パネルを吸収して攻撃+自己回復</v>
      </c>
      <c r="F24" s="156">
        <v>47015141</v>
      </c>
      <c r="G24" s="41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1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41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4" s="41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1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1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1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1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1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4" s="40"/>
      <c r="Q24" s="40"/>
      <c r="R24" s="40"/>
    </row>
    <row r="25" spans="1:18" ht="31" customHeight="1" thickBot="1" x14ac:dyDescent="0.2">
      <c r="A25" s="103" t="str">
        <f t="shared" si="6"/>
        <v>47015140_47015142</v>
      </c>
      <c r="B25" s="106">
        <v>47015140</v>
      </c>
      <c r="C25" s="158">
        <v>47015142</v>
      </c>
      <c r="D25" s="39" t="str">
        <f ca="1">VLOOKUP($C25,OFFSET(enemy_skills!$A$1,0,0,COUNTA(enemy_skills!$A:$A),MATCH(D$1,enemy_skills!$1:$1,0)-MATCH("enemy_skill_id",enemy_skills!$1:$1,0)+1),MATCH(D$1,enemy_skills!$1:$1,0)-MATCH("enemy_skill_id",enemy_skills!$1:$1,0)+1,FALSE)</f>
        <v>私に本気を出させてみなさい</v>
      </c>
      <c r="E25" s="39" t="str">
        <f ca="1">VLOOKUP($C25,OFFSET(enemy_skills!$A$1,0,0,COUNTA(enemy_skills!$A:$A),MATCH(E$1,enemy_skills!$1:$1,0)-MATCH("enemy_skill_id",enemy_skills!$1:$1,0)+1),MATCH(E$1,enemy_skills!$1:$1,0)-MATCH("enemy_skill_id",enemy_skills!$1:$1,0)+1,FALSE)</f>
        <v>全体攻撃+2ターン全ユニットにウィルス</v>
      </c>
      <c r="F25" s="158">
        <v>47015142</v>
      </c>
      <c r="G25" s="41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1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1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5" s="41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1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1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1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1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1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5" s="40"/>
      <c r="Q25" s="40"/>
      <c r="R25" s="40"/>
    </row>
    <row r="26" spans="1:18" s="122" customFormat="1" ht="31" customHeight="1" thickBot="1" x14ac:dyDescent="0.2">
      <c r="A26" s="118" t="str">
        <f t="shared" ref="A26:A49" si="7">B26&amp;"_"&amp;C26</f>
        <v>47015140_47015143</v>
      </c>
      <c r="B26" s="106">
        <v>47015140</v>
      </c>
      <c r="C26" s="156">
        <v>47015143</v>
      </c>
      <c r="D26" s="120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ふふ、命知らずですね</v>
      </c>
      <c r="E26" s="120" t="str">
        <f ca="1">VLOOKUP($C26,OFFSET(enemy_skills!$A$1,0,0,COUNTA(enemy_skills!$A:$A),MATCH(E$1,enemy_skills!$1:$1,0)-MATCH("enemy_skill_id",enemy_skills!$1:$1,0)+1),MATCH(E$1,enemy_skills!$1:$1,0)-MATCH("enemy_skill_id",enemy_skills!$1:$1,0)+1,FALSE)</f>
        <v>行動頻度UP+_x000D_属性パネルを緑のダメージパネルに5個変換</v>
      </c>
      <c r="F26" s="156">
        <v>47015143</v>
      </c>
      <c r="G26" s="121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121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26" s="121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121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6" s="121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121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121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121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121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119"/>
      <c r="Q26" s="119"/>
      <c r="R26" s="119"/>
    </row>
    <row r="27" spans="1:18" s="115" customFormat="1" ht="31" customHeight="1" thickBot="1" x14ac:dyDescent="0.2">
      <c r="A27" s="111" t="str">
        <f t="shared" ref="A27" si="8">B27&amp;"_"&amp;C27</f>
        <v>47015140_47015144</v>
      </c>
      <c r="B27" s="195">
        <v>47015140</v>
      </c>
      <c r="C27" s="196">
        <v>47015144</v>
      </c>
      <c r="D27" s="9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貴方も中々の美貌ですね</v>
      </c>
      <c r="E27" s="9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では、勝負といきましょう！_x000D_【状態異常耐性+6ターン攻撃力大UP+_x000D_全ユニットの攻撃力50%DOWN】</v>
      </c>
      <c r="F27" s="158">
        <v>47015144</v>
      </c>
      <c r="G27" s="97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97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119</v>
      </c>
      <c r="I27" s="97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97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97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97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97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97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1703</v>
      </c>
      <c r="O27" s="97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95"/>
      <c r="Q27" s="95"/>
      <c r="R27" s="95"/>
    </row>
    <row r="28" spans="1:18" s="115" customFormat="1" ht="31" customHeight="1" thickBot="1" x14ac:dyDescent="0.2">
      <c r="A28" s="111" t="str">
        <f t="shared" si="7"/>
        <v>47015140_47015145</v>
      </c>
      <c r="B28" s="195">
        <v>47015140</v>
      </c>
      <c r="C28" s="197">
        <v>47015145</v>
      </c>
      <c r="D28" s="9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貴方も中々の美貌ですね</v>
      </c>
      <c r="E28" s="9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では、勝負といきましょう！_x000D_【状態異常耐性+6ターン攻撃力大UP+_x000D_全ユニットの攻撃力50%DOWN】</v>
      </c>
      <c r="F28" s="156">
        <v>47015145</v>
      </c>
      <c r="G28" s="97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97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118</v>
      </c>
      <c r="I28" s="97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97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97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97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97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97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1704</v>
      </c>
      <c r="O28" s="97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95"/>
      <c r="Q28" s="95"/>
      <c r="R28" s="95"/>
    </row>
    <row r="29" spans="1:18" s="115" customFormat="1" ht="31" customHeight="1" thickBot="1" x14ac:dyDescent="0.2">
      <c r="A29" s="111" t="str">
        <f t="shared" ref="A29:A30" si="9">B29&amp;"_"&amp;C29</f>
        <v>47015140_47015146</v>
      </c>
      <c r="B29" s="195">
        <v>47015140</v>
      </c>
      <c r="C29" s="196">
        <v>47015146</v>
      </c>
      <c r="D29" s="9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姉の晴れ着姿はどうです？</v>
      </c>
      <c r="E29" s="9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「美しすぎます！おねえさま！」_x000D_【状態異常耐性+6ターン攻撃力大UP+_x000D_全ユニットの攻撃力50%DOWN】</v>
      </c>
      <c r="F29" s="158">
        <v>47015146</v>
      </c>
      <c r="G29" s="97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97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117</v>
      </c>
      <c r="I29" s="97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97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97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97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97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97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1326</v>
      </c>
      <c r="O29" s="97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95"/>
      <c r="Q29" s="95"/>
      <c r="R29" s="95"/>
    </row>
    <row r="30" spans="1:18" s="115" customFormat="1" ht="31" customHeight="1" thickBot="1" x14ac:dyDescent="0.2">
      <c r="A30" s="111" t="str">
        <f t="shared" si="9"/>
        <v>47015140_47015147</v>
      </c>
      <c r="B30" s="195">
        <v>47015140</v>
      </c>
      <c r="C30" s="197">
        <v>47015147</v>
      </c>
      <c r="D30" s="9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姉の晴れ着姿はどうです？</v>
      </c>
      <c r="E30" s="9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「美しすぎます！おねえさま！」_x000D_【状態異常耐性+6ターン攻撃力大UP+_x000D_全ユニットの攻撃力50%DOWN】</v>
      </c>
      <c r="F30" s="156">
        <v>47015147</v>
      </c>
      <c r="G30" s="97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" s="97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116</v>
      </c>
      <c r="I30" s="97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97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97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97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97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97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1327</v>
      </c>
      <c r="O30" s="97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95"/>
      <c r="Q30" s="95"/>
      <c r="R30" s="95"/>
    </row>
    <row r="31" spans="1:18" s="115" customFormat="1" ht="31" customHeight="1" thickBot="1" x14ac:dyDescent="0.2">
      <c r="A31" s="111" t="str">
        <f t="shared" ref="A31:A32" si="10">B31&amp;"_"&amp;C31</f>
        <v>47015140_47015148</v>
      </c>
      <c r="B31" s="195">
        <v>47015140</v>
      </c>
      <c r="C31" s="196">
        <v>47015148</v>
      </c>
      <c r="D31" s="9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”じゅーんぶらいど”という行事らしいですよ！</v>
      </c>
      <c r="E31" s="9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この衣装似合っていますか？_x000D_【状態異常耐性+6ターン攻撃力大UP+ _x000D_全ユニットの攻撃力50%DOWN】</v>
      </c>
      <c r="F31" s="158">
        <v>47015148</v>
      </c>
      <c r="G31" s="97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97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115</v>
      </c>
      <c r="I31" s="97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97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97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97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97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97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235</v>
      </c>
      <c r="O31" s="97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95"/>
      <c r="Q31" s="95"/>
      <c r="R31" s="95"/>
    </row>
    <row r="32" spans="1:18" s="115" customFormat="1" ht="31" customHeight="1" thickBot="1" x14ac:dyDescent="0.2">
      <c r="A32" s="111" t="str">
        <f t="shared" si="10"/>
        <v>47015140_47015149</v>
      </c>
      <c r="B32" s="195">
        <v>47015140</v>
      </c>
      <c r="C32" s="197">
        <v>47015149</v>
      </c>
      <c r="D32" s="9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”じゅーんぶらいど”という行事らしいですよ！</v>
      </c>
      <c r="E32" s="9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この衣装似合っていますか？_x000D_【状態異常耐性+6ターン攻撃力大UP+_x000D_全ユニットの攻撃力50%DOWN】</v>
      </c>
      <c r="F32" s="156">
        <v>47015149</v>
      </c>
      <c r="G32" s="97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97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114</v>
      </c>
      <c r="I32" s="97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97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97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97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97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97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236</v>
      </c>
      <c r="O32" s="97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95"/>
      <c r="Q32" s="95"/>
      <c r="R32" s="95"/>
    </row>
    <row r="33" spans="1:18" s="115" customFormat="1" ht="31" customHeight="1" thickBot="1" x14ac:dyDescent="0.2">
      <c r="A33" s="111" t="str">
        <f t="shared" ref="A33:A34" si="11">B33&amp;"_"&amp;C33</f>
        <v>47015140_47015150</v>
      </c>
      <c r="B33" s="195">
        <v>47015140</v>
      </c>
      <c r="C33" s="196">
        <v>47015150</v>
      </c>
      <c r="D33" s="9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”じゅーんぶらいど”という行事らしいですよ！</v>
      </c>
      <c r="E33" s="9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この衣装似合っていますか？_x000D_【状態異常耐性+6ターン攻撃力大UP+_x000D_全ユニットの攻撃力50%DOWN】</v>
      </c>
      <c r="F33" s="158">
        <v>47015150</v>
      </c>
      <c r="G33" s="97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97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113</v>
      </c>
      <c r="I33" s="97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97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97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97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97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97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237</v>
      </c>
      <c r="O33" s="97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95"/>
      <c r="Q33" s="95"/>
      <c r="R33" s="95"/>
    </row>
    <row r="34" spans="1:18" s="115" customFormat="1" ht="31" customHeight="1" thickBot="1" x14ac:dyDescent="0.2">
      <c r="A34" s="111" t="str">
        <f t="shared" si="11"/>
        <v>47015140_47015151</v>
      </c>
      <c r="B34" s="195">
        <v>47015140</v>
      </c>
      <c r="C34" s="197">
        <v>47015151</v>
      </c>
      <c r="D34" s="9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”じゅーんぶらいど”という行事らしいですよ！</v>
      </c>
      <c r="E34" s="9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この衣装似合っていますか？_x000D_【状態異常耐性+6ターン攻撃力大UP+_x000D_全ユニットの攻撃力50%DOWN】</v>
      </c>
      <c r="F34" s="156">
        <v>47015151</v>
      </c>
      <c r="G34" s="97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" s="97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112</v>
      </c>
      <c r="I34" s="97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97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97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97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97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97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808</v>
      </c>
      <c r="O34" s="97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95"/>
      <c r="Q34" s="95"/>
      <c r="R34" s="95"/>
    </row>
    <row r="35" spans="1:18" s="115" customFormat="1" ht="31" customHeight="1" thickBot="1" x14ac:dyDescent="0.2">
      <c r="A35" s="111" t="str">
        <f t="shared" ref="A35:A36" si="12">B35&amp;"_"&amp;C35</f>
        <v>47015140_47015152</v>
      </c>
      <c r="B35" s="195">
        <v>47015140</v>
      </c>
      <c r="C35" s="196">
        <v>47015152</v>
      </c>
      <c r="D35" s="9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”じゅーんぶらいど”という行事らしいですよ！</v>
      </c>
      <c r="E35" s="9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この衣装似合っていますか？_x000D_【状態異常耐性+6ターン攻撃力大UP+_x000D_全ユニットの攻撃力50%DOWN】</v>
      </c>
      <c r="F35" s="158">
        <v>47015152</v>
      </c>
      <c r="G35" s="97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97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111</v>
      </c>
      <c r="I35" s="97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97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97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97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97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97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1058</v>
      </c>
      <c r="O35" s="97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95"/>
      <c r="Q35" s="95"/>
      <c r="R35" s="95"/>
    </row>
    <row r="36" spans="1:18" s="115" customFormat="1" ht="31" customHeight="1" thickBot="1" x14ac:dyDescent="0.2">
      <c r="A36" s="111" t="str">
        <f t="shared" si="12"/>
        <v>47015140_47015153</v>
      </c>
      <c r="B36" s="195">
        <v>47015140</v>
      </c>
      <c r="C36" s="197">
        <v>47015153</v>
      </c>
      <c r="D36" s="9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”じゅーんぶらいど”という行事らしいですよ！</v>
      </c>
      <c r="E36" s="9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この衣装似合っていますか？_x000D_【状態異常耐性+6ターン攻撃力大UP+_x000D_全ユニットの攻撃力50%DOWN】</v>
      </c>
      <c r="F36" s="156">
        <v>47015153</v>
      </c>
      <c r="G36" s="97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97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36" s="97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97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97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97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97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97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1336</v>
      </c>
      <c r="O36" s="97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95"/>
      <c r="Q36" s="95"/>
      <c r="R36" s="95"/>
    </row>
    <row r="37" spans="1:18" s="115" customFormat="1" ht="31" customHeight="1" thickBot="1" x14ac:dyDescent="0.2">
      <c r="A37" s="111" t="str">
        <f t="shared" ref="A37:A38" si="13">B37&amp;"_"&amp;C37</f>
        <v>47015140_47015154</v>
      </c>
      <c r="B37" s="195">
        <v>47015140</v>
      </c>
      <c r="C37" s="196">
        <v>47015154</v>
      </c>
      <c r="D37" s="9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”じゅーんぶらいど”という行事らしいですよ！</v>
      </c>
      <c r="E37" s="9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この衣装似合っていますか？_x000D_【状態異常耐性+6ターン攻撃力大UP+_x000D_全ユニットの攻撃力50%DOWN】</v>
      </c>
      <c r="F37" s="158">
        <v>47015154</v>
      </c>
      <c r="G37" s="97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" s="97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109</v>
      </c>
      <c r="I37" s="97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97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97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97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97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97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1337</v>
      </c>
      <c r="O37" s="97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95"/>
      <c r="Q37" s="95"/>
      <c r="R37" s="95"/>
    </row>
    <row r="38" spans="1:18" s="115" customFormat="1" ht="31" customHeight="1" thickBot="1" x14ac:dyDescent="0.2">
      <c r="A38" s="111" t="str">
        <f t="shared" si="13"/>
        <v>47015140_47015155</v>
      </c>
      <c r="B38" s="195">
        <v>47015140</v>
      </c>
      <c r="C38" s="197">
        <v>47015155</v>
      </c>
      <c r="D38" s="9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貴方もこの祭りに参加していたのですね</v>
      </c>
      <c r="E38" s="9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私もたまには羽目を外してもいいですよね？_x000D_【状態異常耐性+6ターン攻撃力大UP+_x000D_全ユニットの攻撃力50%DOWN】</v>
      </c>
      <c r="F38" s="156">
        <v>47015155</v>
      </c>
      <c r="G38" s="97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97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108</v>
      </c>
      <c r="I38" s="97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97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97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97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97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97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1330</v>
      </c>
      <c r="O38" s="97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95"/>
      <c r="Q38" s="95"/>
      <c r="R38" s="95"/>
    </row>
    <row r="39" spans="1:18" s="115" customFormat="1" ht="31" customHeight="1" thickBot="1" x14ac:dyDescent="0.2">
      <c r="A39" s="111" t="str">
        <f t="shared" ref="A39:A40" si="14">B39&amp;"_"&amp;C39</f>
        <v>47015140_47015156</v>
      </c>
      <c r="B39" s="195">
        <v>47015140</v>
      </c>
      <c r="C39" s="196">
        <v>47015156</v>
      </c>
      <c r="D39" s="9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貴方もこの祭りに参加していたのですね</v>
      </c>
      <c r="E39" s="9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私もたまには羽目を外してもいいですよね？_x000D_【状態異常耐性+6ターン攻撃力大UP+_x000D_全ユニットの攻撃力50%DOWN】</v>
      </c>
      <c r="F39" s="158">
        <v>47015156</v>
      </c>
      <c r="G39" s="97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97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107</v>
      </c>
      <c r="I39" s="97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97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97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97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97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97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1331</v>
      </c>
      <c r="O39" s="97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95"/>
      <c r="Q39" s="95"/>
      <c r="R39" s="95"/>
    </row>
    <row r="40" spans="1:18" s="115" customFormat="1" ht="31" customHeight="1" thickBot="1" x14ac:dyDescent="0.2">
      <c r="A40" s="111" t="str">
        <f t="shared" si="14"/>
        <v>47015140_47015157</v>
      </c>
      <c r="B40" s="195">
        <v>47015140</v>
      </c>
      <c r="C40" s="197">
        <v>47015157</v>
      </c>
      <c r="D40" s="9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貴方もこの祭りに参加していたのですね</v>
      </c>
      <c r="E40" s="9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私もたまには羽目を外してもいいですよね？_x000D_【状態異常耐性+6ターン攻撃力大UP+_x000D_全ユニットの攻撃力50%DOWN】</v>
      </c>
      <c r="F40" s="156">
        <v>47015157</v>
      </c>
      <c r="G40" s="97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" s="97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106</v>
      </c>
      <c r="I40" s="97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97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97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97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97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97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756</v>
      </c>
      <c r="O40" s="97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95"/>
      <c r="Q40" s="95"/>
      <c r="R40" s="95"/>
    </row>
    <row r="41" spans="1:18" s="115" customFormat="1" ht="31" customHeight="1" thickBot="1" x14ac:dyDescent="0.2">
      <c r="A41" s="111" t="str">
        <f t="shared" ref="A41" si="15">B41&amp;"_"&amp;C41</f>
        <v>47015140_47015158</v>
      </c>
      <c r="B41" s="195">
        <v>47015140</v>
      </c>
      <c r="C41" s="196">
        <v>47015158</v>
      </c>
      <c r="D41" s="9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貴方もこの祭りに参加していたのですね</v>
      </c>
      <c r="E41" s="9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私もたまには羽目を外してもいいですよね？_x000D_【状態異常耐性+6ターン攻撃力大UP+_x000D_全ユニットの攻撃力50%DOWN】</v>
      </c>
      <c r="F41" s="158">
        <v>47015158</v>
      </c>
      <c r="G41" s="97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" s="97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41" s="97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97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97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97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97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97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757</v>
      </c>
      <c r="O41" s="97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95"/>
      <c r="Q41" s="95"/>
      <c r="R41" s="95"/>
    </row>
    <row r="42" spans="1:18" s="115" customFormat="1" ht="31" customHeight="1" thickBot="1" x14ac:dyDescent="0.2">
      <c r="A42" s="111" t="str">
        <f t="shared" si="7"/>
        <v>47015160_47015160</v>
      </c>
      <c r="B42" s="106">
        <v>47015160</v>
      </c>
      <c r="C42" s="140">
        <v>47015160</v>
      </c>
      <c r="D42" s="9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少し本気を出しましょうか</v>
      </c>
      <c r="E42" s="9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状態異常耐性+_x000D_5ターン確率でCパネルがドロップ+_x000D_属性パネルを緑のダメージパネルに15個変換</v>
      </c>
      <c r="F42" s="140">
        <v>47015160</v>
      </c>
      <c r="G42" s="97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2" s="97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2" s="97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97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97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97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97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97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97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95"/>
      <c r="Q42" s="95"/>
      <c r="R42" s="95"/>
    </row>
    <row r="43" spans="1:18" ht="31" customHeight="1" thickBot="1" x14ac:dyDescent="0.2">
      <c r="A43" s="103" t="str">
        <f t="shared" si="7"/>
        <v>47015160_47015161</v>
      </c>
      <c r="B43" s="106">
        <v>47015160</v>
      </c>
      <c r="C43" s="141">
        <v>47015161</v>
      </c>
      <c r="D43" s="39" t="str">
        <f ca="1">VLOOKUP($C43,OFFSET(enemy_skills!$A$1,0,0,COUNTA(enemy_skills!$A:$A),MATCH(D$1,enemy_skills!$1:$1,0)-MATCH("enemy_skill_id",enemy_skills!$1:$1,0)+1),MATCH(D$1,enemy_skills!$1:$1,0)-MATCH("enemy_skill_id",enemy_skills!$1:$1,0)+1,FALSE)</f>
        <v>花嫁の嗜み</v>
      </c>
      <c r="E43" s="39" t="str">
        <f ca="1">VLOOKUP($C43,OFFSET(enemy_skills!$A$1,0,0,COUNTA(enemy_skills!$A:$A),MATCH(E$1,enemy_skills!$1:$1,0)-MATCH("enemy_skill_id",enemy_skills!$1:$1,0)+1),MATCH(E$1,enemy_skills!$1:$1,0)-MATCH("enemy_skill_id",enemy_skills!$1:$1,0)+1,FALSE)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3" s="141">
        <v>47015161</v>
      </c>
      <c r="G43" s="41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1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43" s="41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43" s="41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1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1" t="str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3" s="41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1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1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43" s="40"/>
      <c r="Q43" s="40"/>
      <c r="R43" s="40"/>
    </row>
    <row r="44" spans="1:18" s="110" customFormat="1" ht="31" customHeight="1" thickBot="1" x14ac:dyDescent="0.2">
      <c r="A44" s="123" t="str">
        <f t="shared" si="7"/>
        <v>47015160_47015162</v>
      </c>
      <c r="B44" s="106">
        <v>47015160</v>
      </c>
      <c r="C44" s="140">
        <v>47015162</v>
      </c>
      <c r="D44" s="39" t="str">
        <f ca="1">VLOOKUP($C44,OFFSET(enemy_skills!$A$1,0,0,COUNTA(enemy_skills!$A:$A),MATCH(D$1,enemy_skills!$1:$1,0)-MATCH("enemy_skill_id",enemy_skills!$1:$1,0)+1),MATCH(D$1,enemy_skills!$1:$1,0)-MATCH("enemy_skill_id",enemy_skills!$1:$1,0)+1,FALSE)</f>
        <v>美しい花には棘があるのですよ</v>
      </c>
      <c r="E44" s="39" t="str">
        <f ca="1">VLOOKUP($C44,OFFSET(enemy_skills!$A$1,0,0,COUNTA(enemy_skills!$A:$A),MATCH(E$1,enemy_skills!$1:$1,0)-MATCH("enemy_skill_id",enemy_skills!$1:$1,0)+1),MATCH(E$1,enemy_skills!$1:$1,0)-MATCH("enemy_skill_id",enemy_skills!$1:$1,0)+1,FALSE)</f>
        <v>Cパネルを吸収して攻撃+_x000D_ランダムで緑のダメージパネルに最大3個変換</v>
      </c>
      <c r="F44" s="140">
        <v>47015162</v>
      </c>
      <c r="G44" s="94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94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45</v>
      </c>
      <c r="I44" s="94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94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94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94" t="str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4" s="94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94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94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92"/>
      <c r="Q44" s="92"/>
      <c r="R44" s="92"/>
    </row>
    <row r="45" spans="1:18" ht="31" customHeight="1" thickBot="1" x14ac:dyDescent="0.2">
      <c r="A45" s="103" t="str">
        <f t="shared" si="7"/>
        <v>47015160_47015163</v>
      </c>
      <c r="B45" s="106">
        <v>47015160</v>
      </c>
      <c r="C45" s="141">
        <v>47015163</v>
      </c>
      <c r="D45" s="39" t="str">
        <f ca="1">VLOOKUP($C45,OFFSET(enemy_skills!$A$1,0,0,COUNTA(enemy_skills!$A:$A),MATCH(D$1,enemy_skills!$1:$1,0)-MATCH("enemy_skill_id",enemy_skills!$1:$1,0)+1),MATCH(D$1,enemy_skills!$1:$1,0)-MATCH("enemy_skill_id",enemy_skills!$1:$1,0)+1,FALSE)</f>
        <v>少し楽しくなってきました</v>
      </c>
      <c r="E45" s="39" t="str">
        <f ca="1">VLOOKUP($C45,OFFSET(enemy_skills!$A$1,0,0,COUNTA(enemy_skills!$A:$A),MATCH(E$1,enemy_skills!$1:$1,0)-MATCH("enemy_skill_id",enemy_skills!$1:$1,0)+1),MATCH(E$1,enemy_skills!$1:$1,0)-MATCH("enemy_skill_id",enemy_skills!$1:$1,0)+1,FALSE)</f>
        <v>ハートパネルを吸収して回復+_x000D_4ターン全ユニットの回復力33％DOWN</v>
      </c>
      <c r="F45" s="141">
        <v>47015163</v>
      </c>
      <c r="G45" s="41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1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45" s="41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45" s="41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1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1" t="str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5" s="41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1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1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45" s="40"/>
      <c r="Q45" s="40"/>
      <c r="R45" s="40"/>
    </row>
    <row r="46" spans="1:18" ht="31" customHeight="1" thickBot="1" x14ac:dyDescent="0.2">
      <c r="A46" s="103" t="str">
        <f t="shared" si="7"/>
        <v>47015160_47015164</v>
      </c>
      <c r="B46" s="106">
        <v>47015160</v>
      </c>
      <c r="C46" s="140">
        <v>47015164</v>
      </c>
      <c r="D46" s="39" t="str">
        <f ca="1">VLOOKUP($C46,OFFSET(enemy_skills!$A$1,0,0,COUNTA(enemy_skills!$A:$A),MATCH(D$1,enemy_skills!$1:$1,0)-MATCH("enemy_skill_id",enemy_skills!$1:$1,0)+1),MATCH(D$1,enemy_skills!$1:$1,0)-MATCH("enemy_skill_id",enemy_skills!$1:$1,0)+1,FALSE)</f>
        <v>花嫁修行</v>
      </c>
      <c r="E46" s="39" t="str">
        <f ca="1">VLOOKUP($C46,OFFSET(enemy_skills!$A$1,0,0,COUNTA(enemy_skills!$A:$A),MATCH(E$1,enemy_skills!$1:$1,0)-MATCH("enemy_skill_id",enemy_skills!$1:$1,0)+1),MATCH(E$1,enemy_skills!$1:$1,0)-MATCH("enemy_skill_id",enemy_skills!$1:$1,0)+1,FALSE)</f>
        <v>1ターン防御力大UP+_x000D_1ターン全属性の攻撃をカウンター</v>
      </c>
      <c r="F46" s="140">
        <v>47015164</v>
      </c>
      <c r="G46" s="41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1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46" s="41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1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1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1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1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1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1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0"/>
      <c r="Q46" s="40"/>
      <c r="R46" s="40"/>
    </row>
    <row r="47" spans="1:18" s="122" customFormat="1" ht="31" customHeight="1" thickBot="1" x14ac:dyDescent="0.2">
      <c r="A47" s="118" t="str">
        <f t="shared" si="7"/>
        <v>47015160_47015165</v>
      </c>
      <c r="B47" s="106">
        <v>47015160</v>
      </c>
      <c r="C47" s="141">
        <v>47015165</v>
      </c>
      <c r="D47" s="120" t="str">
        <f ca="1">VLOOKUP($C47,OFFSET(enemy_skills!$A$1,0,0,COUNTA(enemy_skills!$A:$A),MATCH(D$1,enemy_skills!$1:$1,0)-MATCH("enemy_skill_id",enemy_skills!$1:$1,0)+1),MATCH(D$1,enemy_skills!$1:$1,0)-MATCH("enemy_skill_id",enemy_skills!$1:$1,0)+1,FALSE)</f>
        <v>化粧直し</v>
      </c>
      <c r="E47" s="120" t="str">
        <f ca="1">VLOOKUP($C47,OFFSET(enemy_skills!$A$1,0,0,COUNTA(enemy_skills!$A:$A),MATCH(E$1,enemy_skills!$1:$1,0)-MATCH("enemy_skill_id",enemy_skills!$1:$1,0)+1),MATCH(E$1,enemy_skills!$1:$1,0)-MATCH("enemy_skill_id",enemy_skills!$1:$1,0)+1,FALSE)</f>
        <v>2ターン暗闇+10ターンボムの爆風を50%DOWN+_x000D_ランダムで緑のダメージパネルに最大5個変換</v>
      </c>
      <c r="F47" s="141">
        <v>47015165</v>
      </c>
      <c r="G47" s="121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121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47" s="121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121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7" s="121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121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121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121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121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119"/>
      <c r="Q47" s="119"/>
      <c r="R47" s="119"/>
    </row>
    <row r="48" spans="1:18" s="110" customFormat="1" ht="31" customHeight="1" x14ac:dyDescent="0.15">
      <c r="A48" s="109" t="str">
        <f t="shared" si="7"/>
        <v>47015170_47015170</v>
      </c>
      <c r="B48" s="135">
        <v>47015170</v>
      </c>
      <c r="C48" s="143">
        <v>47015170</v>
      </c>
      <c r="D48" s="93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あら？貴方達だったのですか！_x000D_ごめんね、勘違いしちゃったの</v>
      </c>
      <c r="E48" s="93" t="str">
        <f ca="1">VLOOKUP($C48,OFFSET(enemy_skills!$A$1,0,0,COUNTA(enemy_skills!$A:$A),MATCH(E$1,enemy_skills!$1:$1,0)-MATCH("enemy_skill_id",enemy_skills!$1:$1,0)+1),MATCH(E$1,enemy_skills!$1:$1,0)-MATCH("enemy_skill_id",enemy_skills!$1:$1,0)+1,FALSE)</f>
        <v>全てのマイナス効果を解除+_x000D_特定エリアをハートパネルに変換+_x000D_フィーバーゲージ33%増加_x000D_【HP30%以下で超強力な大ダメージ！】</v>
      </c>
      <c r="F48" s="143">
        <v>47015170</v>
      </c>
      <c r="G48" s="94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94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8" s="94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94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94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94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94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94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94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92"/>
      <c r="Q48" s="92"/>
      <c r="R48" s="92"/>
    </row>
    <row r="49" spans="1:18" ht="31" customHeight="1" thickBot="1" x14ac:dyDescent="0.2">
      <c r="A49" s="101" t="str">
        <f t="shared" si="7"/>
        <v>47015170_47015171</v>
      </c>
      <c r="B49" s="135">
        <v>47015170</v>
      </c>
      <c r="C49" s="144">
        <v>47015171</v>
      </c>
      <c r="D49" s="39" t="str">
        <f ca="1">VLOOKUP($C49,OFFSET(enemy_skills!$A$1,0,0,COUNTA(enemy_skills!$A:$A),MATCH(D$1,enemy_skills!$1:$1,0)-MATCH("enemy_skill_id",enemy_skills!$1:$1,0)+1),MATCH(D$1,enemy_skills!$1:$1,0)-MATCH("enemy_skill_id",enemy_skills!$1:$1,0)+1,FALSE)</f>
        <v>私、綺麗ですか？</v>
      </c>
      <c r="E49" s="39" t="str">
        <f ca="1">VLOOKUP($C49,OFFSET(enemy_skills!$A$1,0,0,COUNTA(enemy_skills!$A:$A),MATCH(E$1,enemy_skills!$1:$1,0)-MATCH("enemy_skill_id",enemy_skills!$1:$1,0)+1),MATCH(E$1,enemy_skills!$1:$1,0)-MATCH("enemy_skill_id",enemy_skills!$1:$1,0)+1,FALSE)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49" s="144">
        <v>47015171</v>
      </c>
      <c r="G49" s="41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1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49" s="41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49" s="41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1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1" t="str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9" s="41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1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1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49" s="40"/>
      <c r="Q49" s="40"/>
      <c r="R49" s="40"/>
    </row>
    <row r="50" spans="1:18" s="110" customFormat="1" ht="31" customHeight="1" x14ac:dyDescent="0.15">
      <c r="A50" s="109" t="str">
        <f t="shared" ref="A50:A55" si="16">B50&amp;"_"&amp;C50</f>
        <v>47015170_47015172</v>
      </c>
      <c r="B50" s="135">
        <v>47015170</v>
      </c>
      <c r="C50" s="143">
        <v>47015172</v>
      </c>
      <c r="D50" s="93" t="str">
        <f ca="1">VLOOKUP($C50,OFFSET(enemy_skills!$A$1,0,0,COUNTA(enemy_skills!$A:$A),MATCH(D$1,enemy_skills!$1:$1,0)-MATCH("enemy_skill_id",enemy_skills!$1:$1,0)+1),MATCH(D$1,enemy_skills!$1:$1,0)-MATCH("enemy_skill_id",enemy_skills!$1:$1,0)+1,FALSE)</f>
        <v>存分に見て良いのですよ！</v>
      </c>
      <c r="E50" s="93" t="str">
        <f ca="1">VLOOKUP($C50,OFFSET(enemy_skills!$A$1,0,0,COUNTA(enemy_skills!$A:$A),MATCH(E$1,enemy_skills!$1:$1,0)-MATCH("enemy_skill_id",enemy_skills!$1:$1,0)+1),MATCH(E$1,enemy_skills!$1:$1,0)-MATCH("enemy_skill_id",enemy_skills!$1:$1,0)+1,FALSE)</f>
        <v>ランダムで緑のダメージパネルに最大20個変換+_x000D_ランダムでボムパネルに最大1個変換</v>
      </c>
      <c r="F50" s="143">
        <v>47015172</v>
      </c>
      <c r="G50" s="94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94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55</v>
      </c>
      <c r="I50" s="94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50" s="94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94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94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50" s="94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94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94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50" s="92"/>
      <c r="Q50" s="92"/>
      <c r="R50" s="92"/>
    </row>
    <row r="51" spans="1:18" ht="31" customHeight="1" thickBot="1" x14ac:dyDescent="0.2">
      <c r="A51" s="101" t="str">
        <f t="shared" si="16"/>
        <v>47015170_47015173</v>
      </c>
      <c r="B51" s="135">
        <v>47015170</v>
      </c>
      <c r="C51" s="144">
        <v>47015173</v>
      </c>
      <c r="D51" s="39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お触りは禁止ですよ</v>
      </c>
      <c r="E51" s="39" t="str">
        <f ca="1">VLOOKUP($C51,OFFSET(enemy_skills!$A$1,0,0,COUNTA(enemy_skills!$A:$A),MATCH(E$1,enemy_skills!$1:$1,0)-MATCH("enemy_skill_id",enemy_skills!$1:$1,0)+1),MATCH(E$1,enemy_skills!$1:$1,0)-MATCH("enemy_skill_id",enemy_skills!$1:$1,0)+1,FALSE)</f>
        <v>全体攻撃+1ターン全ユニットにスキルバインド</v>
      </c>
      <c r="F51" s="144">
        <v>47015173</v>
      </c>
      <c r="G51" s="41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1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51" s="41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51" s="41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1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1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51" s="41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1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1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51" s="40"/>
      <c r="Q51" s="40"/>
      <c r="R51" s="40"/>
    </row>
    <row r="52" spans="1:18" s="110" customFormat="1" ht="31" customHeight="1" x14ac:dyDescent="0.15">
      <c r="A52" s="109" t="str">
        <f t="shared" si="16"/>
        <v>47015170_47015174</v>
      </c>
      <c r="B52" s="135">
        <v>47015170</v>
      </c>
      <c r="C52" s="143">
        <v>47015174</v>
      </c>
      <c r="D52" s="93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もっと盛り上がりましょう！</v>
      </c>
      <c r="E52" s="93" t="str">
        <f ca="1">VLOOKUP($C52,OFFSET(enemy_skills!$A$1,0,0,COUNTA(enemy_skills!$A:$A),MATCH(E$1,enemy_skills!$1:$1,0)-MATCH("enemy_skill_id",enemy_skills!$1:$1,0)+1),MATCH(E$1,enemy_skills!$1:$1,0)-MATCH("enemy_skill_id",enemy_skills!$1:$1,0)+1,FALSE)</f>
        <v>種族ゴッドのユニットに大ダメージの全体攻撃</v>
      </c>
      <c r="F52" s="143">
        <v>47015174</v>
      </c>
      <c r="G52" s="94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94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45</v>
      </c>
      <c r="I52" s="94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52" s="94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94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94" t="str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2" s="94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94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94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52" s="92"/>
      <c r="Q52" s="92"/>
      <c r="R52" s="92"/>
    </row>
    <row r="53" spans="1:18" ht="31" customHeight="1" thickBot="1" x14ac:dyDescent="0.2">
      <c r="A53" s="101" t="str">
        <f t="shared" si="16"/>
        <v>47015170_47015175</v>
      </c>
      <c r="B53" s="135">
        <v>47015170</v>
      </c>
      <c r="C53" s="144">
        <v>47015175</v>
      </c>
      <c r="D53" s="39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まだ見足りないのではなくて？</v>
      </c>
      <c r="E53" s="39" t="str">
        <f ca="1">VLOOKUP($C53,OFFSET(enemy_skills!$A$1,0,0,COUNTA(enemy_skills!$A:$A),MATCH(E$1,enemy_skills!$1:$1,0)-MATCH("enemy_skill_id",enemy_skills!$1:$1,0)+1),MATCH(E$1,enemy_skills!$1:$1,0)-MATCH("enemy_skill_id",enemy_skills!$1:$1,0)+1,FALSE)</f>
        <v>4ターン防御力大UP+_x000D_4ターン全ユニットのタップ回数を1DOWN+_x000D_特定エリアをハートパネルに変換</v>
      </c>
      <c r="F53" s="144">
        <v>47015175</v>
      </c>
      <c r="G53" s="41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1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53" s="41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1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53" s="41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1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1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3" s="41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1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0"/>
      <c r="Q53" s="40"/>
      <c r="R53" s="40"/>
    </row>
    <row r="54" spans="1:18" s="110" customFormat="1" ht="31" customHeight="1" x14ac:dyDescent="0.15">
      <c r="A54" s="109" t="str">
        <f t="shared" si="16"/>
        <v>47015170_47015176</v>
      </c>
      <c r="B54" s="135">
        <v>47015170</v>
      </c>
      <c r="C54" s="143">
        <v>47015176</v>
      </c>
      <c r="D54" s="93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ふぃなーれですよ！</v>
      </c>
      <c r="E54" s="93" t="str">
        <f ca="1">VLOOKUP($C54,OFFSET(enemy_skills!$A$1,0,0,COUNTA(enemy_skills!$A:$A),MATCH(E$1,enemy_skills!$1:$1,0)-MATCH("enemy_skill_id",enemy_skills!$1:$1,0)+1),MATCH(E$1,enemy_skills!$1:$1,0)-MATCH("enemy_skill_id",enemy_skills!$1:$1,0)+1,FALSE)</f>
        <v>次のターンに超強力な大ダメージ攻撃+_x000D_フィーバーゲージ33%増加</v>
      </c>
      <c r="F54" s="143">
        <v>47015176</v>
      </c>
      <c r="G54" s="94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94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54" s="94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94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54" s="94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94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94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4" s="94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94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92"/>
      <c r="Q54" s="92"/>
      <c r="R54" s="92"/>
    </row>
    <row r="55" spans="1:18" s="131" customFormat="1" ht="31" customHeight="1" thickBot="1" x14ac:dyDescent="0.2">
      <c r="A55" s="127" t="str">
        <f t="shared" si="16"/>
        <v>47015170_47015177</v>
      </c>
      <c r="B55" s="135">
        <v>47015170</v>
      </c>
      <c r="C55" s="144">
        <v>47015177</v>
      </c>
      <c r="D55" s="129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アマテラスが花束を大きく振りかぶる</v>
      </c>
      <c r="E55" s="129" t="str">
        <f ca="1">VLOOKUP($C55,OFFSET(enemy_skills!$A$1,0,0,COUNTA(enemy_skills!$A:$A),MATCH(E$1,enemy_skills!$1:$1,0)-MATCH("enemy_skill_id",enemy_skills!$1:$1,0)+1),MATCH(E$1,enemy_skills!$1:$1,0)-MATCH("enemy_skill_id",enemy_skills!$1:$1,0)+1,FALSE)</f>
        <v>”ぶーけとす”って一度やってみたかったの！！_x000D_【超強力な大ダメージ攻撃】</v>
      </c>
      <c r="F55" s="144">
        <v>47015177</v>
      </c>
      <c r="G55" s="130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130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55" s="130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130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55" s="130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130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130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5" s="130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130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128"/>
      <c r="Q55" s="128"/>
      <c r="R55" s="128"/>
    </row>
    <row r="56" spans="1:18" s="131" customFormat="1" ht="31" customHeight="1" x14ac:dyDescent="0.15">
      <c r="A56" s="127" t="str">
        <f t="shared" ref="A56" si="17">B56&amp;"_"&amp;C56</f>
        <v>47015170_47015178</v>
      </c>
      <c r="B56" s="135">
        <v>47015170</v>
      </c>
      <c r="C56" s="143">
        <v>47015178</v>
      </c>
      <c r="D56" s="129" t="str">
        <f ca="1">VLOOKUP($C56,OFFSET(enemy_skills!$A$1,0,0,COUNTA(enemy_skills!$A:$A),MATCH(D$1,enemy_skills!$1:$1,0)-MATCH("enemy_skill_id",enemy_skills!$1:$1,0)+1),MATCH(D$1,enemy_skills!$1:$1,0)-MATCH("enemy_skill_id",enemy_skills!$1:$1,0)+1,FALSE)</f>
        <v>”じゅーんぶらいど”_x000D_とても素敵なお祭りでしたね</v>
      </c>
      <c r="E56" s="129" t="str">
        <f ca="1">VLOOKUP($C56,OFFSET(enemy_skills!$A$1,0,0,COUNTA(enemy_skills!$A:$A),MATCH(E$1,enemy_skills!$1:$1,0)-MATCH("enemy_skill_id",enemy_skills!$1:$1,0)+1),MATCH(E$1,enemy_skills!$1:$1,0)-MATCH("enemy_skill_id",enemy_skills!$1:$1,0)+1,FALSE)</f>
        <v>あぁ、祭りが終わってしまいます…</v>
      </c>
      <c r="F56" s="143">
        <v>47015178</v>
      </c>
      <c r="G56" s="130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130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6" s="130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130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130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130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6" s="130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130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56" s="130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128"/>
      <c r="Q56" s="128"/>
      <c r="R56" s="128"/>
    </row>
    <row r="57" spans="1:18" s="131" customFormat="1" ht="31" customHeight="1" thickBot="1" x14ac:dyDescent="0.2">
      <c r="A57" s="127" t="str">
        <f t="shared" ref="A57:A58" si="18">B57&amp;"_"&amp;C57</f>
        <v>47015170_47015179</v>
      </c>
      <c r="B57" s="199">
        <v>47015170</v>
      </c>
      <c r="C57" s="201">
        <v>47015179</v>
      </c>
      <c r="D57" s="129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なんとも楽しい勝負でした</v>
      </c>
      <c r="E57" s="129" t="str">
        <f ca="1">VLOOKUP($C57,OFFSET(enemy_skills!$A$1,0,0,COUNTA(enemy_skills!$A:$A),MATCH(E$1,enemy_skills!$1:$1,0)-MATCH("enemy_skill_id",enemy_skills!$1:$1,0)+1),MATCH(E$1,enemy_skills!$1:$1,0)-MATCH("enemy_skill_id",enemy_skills!$1:$1,0)+1,FALSE)</f>
        <v>ふふふ、楽しいお祭りでしたね</v>
      </c>
      <c r="F57" s="201">
        <v>47015179</v>
      </c>
      <c r="G57" s="130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130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119</v>
      </c>
      <c r="I57" s="130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130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130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130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7" s="130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130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1703</v>
      </c>
      <c r="O57" s="130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128"/>
      <c r="Q57" s="128"/>
      <c r="R57" s="128"/>
    </row>
    <row r="58" spans="1:18" s="131" customFormat="1" ht="31" customHeight="1" x14ac:dyDescent="0.15">
      <c r="A58" s="127" t="str">
        <f t="shared" si="18"/>
        <v>47015170_47015180</v>
      </c>
      <c r="B58" s="199">
        <v>47015170</v>
      </c>
      <c r="C58" s="200">
        <v>47015180</v>
      </c>
      <c r="D58" s="129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なんとも楽しい勝負でした</v>
      </c>
      <c r="E58" s="129" t="str">
        <f ca="1">VLOOKUP($C58,OFFSET(enemy_skills!$A$1,0,0,COUNTA(enemy_skills!$A:$A),MATCH(E$1,enemy_skills!$1:$1,0)-MATCH("enemy_skill_id",enemy_skills!$1:$1,0)+1),MATCH(E$1,enemy_skills!$1:$1,0)-MATCH("enemy_skill_id",enemy_skills!$1:$1,0)+1,FALSE)</f>
        <v>ふふふ、楽しいお祭りでしたね</v>
      </c>
      <c r="F58" s="200">
        <v>47015180</v>
      </c>
      <c r="G58" s="130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130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118</v>
      </c>
      <c r="I58" s="130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130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130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130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8" s="130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130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1704</v>
      </c>
      <c r="O58" s="130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128"/>
      <c r="Q58" s="128"/>
      <c r="R58" s="128"/>
    </row>
    <row r="59" spans="1:18" s="131" customFormat="1" ht="31" customHeight="1" thickBot="1" x14ac:dyDescent="0.2">
      <c r="A59" s="127" t="str">
        <f t="shared" ref="A59:A62" si="19">B59&amp;"_"&amp;C59</f>
        <v>47015170_47015181</v>
      </c>
      <c r="B59" s="199">
        <v>47015170</v>
      </c>
      <c r="C59" s="201">
        <v>47015181</v>
      </c>
      <c r="D59" s="129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ありがとう_x000D_楽しい時間でしたよ</v>
      </c>
      <c r="E59" s="129" t="str">
        <f ca="1">VLOOKUP($C59,OFFSET(enemy_skills!$A$1,0,0,COUNTA(enemy_skills!$A:$A),MATCH(E$1,enemy_skills!$1:$1,0)-MATCH("enemy_skill_id",enemy_skills!$1:$1,0)+1),MATCH(E$1,enemy_skills!$1:$1,0)-MATCH("enemy_skill_id",enemy_skills!$1:$1,0)+1,FALSE)</f>
        <v>...祭りの終わりは少し悲しいですね</v>
      </c>
      <c r="F59" s="201">
        <v>47015181</v>
      </c>
      <c r="G59" s="130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130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117</v>
      </c>
      <c r="I59" s="130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130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130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130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9" s="130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130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1326</v>
      </c>
      <c r="O59" s="130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128"/>
      <c r="Q59" s="128"/>
      <c r="R59" s="128"/>
    </row>
    <row r="60" spans="1:18" s="131" customFormat="1" ht="31" customHeight="1" x14ac:dyDescent="0.15">
      <c r="A60" s="127" t="str">
        <f t="shared" si="19"/>
        <v>47015170_47015182</v>
      </c>
      <c r="B60" s="199">
        <v>47015170</v>
      </c>
      <c r="C60" s="200">
        <v>47015182</v>
      </c>
      <c r="D60" s="129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ありがとう_x000D_楽しい時間でしたよ</v>
      </c>
      <c r="E60" s="129" t="str">
        <f ca="1">VLOOKUP($C60,OFFSET(enemy_skills!$A$1,0,0,COUNTA(enemy_skills!$A:$A),MATCH(E$1,enemy_skills!$1:$1,0)-MATCH("enemy_skill_id",enemy_skills!$1:$1,0)+1),MATCH(E$1,enemy_skills!$1:$1,0)-MATCH("enemy_skill_id",enemy_skills!$1:$1,0)+1,FALSE)</f>
        <v>...祭りの終わりは少し悲しいですね</v>
      </c>
      <c r="F60" s="200">
        <v>47015182</v>
      </c>
      <c r="G60" s="130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130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116</v>
      </c>
      <c r="I60" s="130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130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130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130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0" s="130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130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1327</v>
      </c>
      <c r="O60" s="130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128"/>
      <c r="Q60" s="128"/>
      <c r="R60" s="128"/>
    </row>
    <row r="61" spans="1:18" s="131" customFormat="1" ht="31" customHeight="1" thickBot="1" x14ac:dyDescent="0.2">
      <c r="A61" s="127" t="str">
        <f t="shared" si="19"/>
        <v>47015170_47015183</v>
      </c>
      <c r="B61" s="199">
        <v>47015170</v>
      </c>
      <c r="C61" s="201">
        <v>47015183</v>
      </c>
      <c r="D61" s="129" t="str">
        <f ca="1">VLOOKUP($C61,OFFSET(enemy_skills!$A$1,0,0,COUNTA(enemy_skills!$A:$A),MATCH(D$1,enemy_skills!$1:$1,0)-MATCH("enemy_skill_id",enemy_skills!$1:$1,0)+1),MATCH(D$1,enemy_skills!$1:$1,0)-MATCH("enemy_skill_id",enemy_skills!$1:$1,0)+1,FALSE)</f>
        <v>”じゅーんぶらいど”_x000D_とても素敵なお祭りでしたね</v>
      </c>
      <c r="E61" s="129" t="str">
        <f ca="1">VLOOKUP($C61,OFFSET(enemy_skills!$A$1,0,0,COUNTA(enemy_skills!$A:$A),MATCH(E$1,enemy_skills!$1:$1,0)-MATCH("enemy_skill_id",enemy_skills!$1:$1,0)+1),MATCH(E$1,enemy_skills!$1:$1,0)-MATCH("enemy_skill_id",enemy_skills!$1:$1,0)+1,FALSE)</f>
        <v>しかし、他の参加者に_x000D_あまり会えなかったのはなぜでしょう…？</v>
      </c>
      <c r="F61" s="201">
        <v>47015183</v>
      </c>
      <c r="G61" s="130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130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115</v>
      </c>
      <c r="I61" s="130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130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130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130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1" s="130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130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235</v>
      </c>
      <c r="O61" s="130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128"/>
      <c r="Q61" s="128"/>
      <c r="R61" s="128"/>
    </row>
    <row r="62" spans="1:18" s="131" customFormat="1" ht="31" customHeight="1" x14ac:dyDescent="0.15">
      <c r="A62" s="127" t="str">
        <f t="shared" si="19"/>
        <v>47015170_47015184</v>
      </c>
      <c r="B62" s="199">
        <v>47015170</v>
      </c>
      <c r="C62" s="200">
        <v>47015184</v>
      </c>
      <c r="D62" s="129" t="str">
        <f ca="1">VLOOKUP($C62,OFFSET(enemy_skills!$A$1,0,0,COUNTA(enemy_skills!$A:$A),MATCH(D$1,enemy_skills!$1:$1,0)-MATCH("enemy_skill_id",enemy_skills!$1:$1,0)+1),MATCH(D$1,enemy_skills!$1:$1,0)-MATCH("enemy_skill_id",enemy_skills!$1:$1,0)+1,FALSE)</f>
        <v>”じゅーんぶらいど”_x000D_とても素敵なお祭りでしたね</v>
      </c>
      <c r="E62" s="129" t="str">
        <f ca="1">VLOOKUP($C62,OFFSET(enemy_skills!$A$1,0,0,COUNTA(enemy_skills!$A:$A),MATCH(E$1,enemy_skills!$1:$1,0)-MATCH("enemy_skill_id",enemy_skills!$1:$1,0)+1),MATCH(E$1,enemy_skills!$1:$1,0)-MATCH("enemy_skill_id",enemy_skills!$1:$1,0)+1,FALSE)</f>
        <v>しかし、他の参加者に_x000D_あまり会えなかったのはなぜでしょう…？</v>
      </c>
      <c r="F62" s="200">
        <v>47015184</v>
      </c>
      <c r="G62" s="130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130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114</v>
      </c>
      <c r="I62" s="130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130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130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130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2" s="130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130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236</v>
      </c>
      <c r="O62" s="130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128"/>
      <c r="Q62" s="128"/>
      <c r="R62" s="128"/>
    </row>
    <row r="63" spans="1:18" s="131" customFormat="1" ht="31" customHeight="1" thickBot="1" x14ac:dyDescent="0.2">
      <c r="A63" s="127" t="str">
        <f t="shared" ref="A63:A68" si="20">B63&amp;"_"&amp;C63</f>
        <v>47015170_47015185</v>
      </c>
      <c r="B63" s="199">
        <v>47015170</v>
      </c>
      <c r="C63" s="201">
        <v>47015185</v>
      </c>
      <c r="D63" s="129" t="str">
        <f ca="1">VLOOKUP($C63,OFFSET(enemy_skills!$A$1,0,0,COUNTA(enemy_skills!$A:$A),MATCH(D$1,enemy_skills!$1:$1,0)-MATCH("enemy_skill_id",enemy_skills!$1:$1,0)+1),MATCH(D$1,enemy_skills!$1:$1,0)-MATCH("enemy_skill_id",enemy_skills!$1:$1,0)+1,FALSE)</f>
        <v>”じゅーんぶらいど”_x000D_とても素敵なお祭りでしたね</v>
      </c>
      <c r="E63" s="129" t="str">
        <f ca="1">VLOOKUP($C63,OFFSET(enemy_skills!$A$1,0,0,COUNTA(enemy_skills!$A:$A),MATCH(E$1,enemy_skills!$1:$1,0)-MATCH("enemy_skill_id",enemy_skills!$1:$1,0)+1),MATCH(E$1,enemy_skills!$1:$1,0)-MATCH("enemy_skill_id",enemy_skills!$1:$1,0)+1,FALSE)</f>
        <v>しかし、他の参加者に_x000D_あまり会えなかったのはなぜでしょう…？</v>
      </c>
      <c r="F63" s="201">
        <v>47015185</v>
      </c>
      <c r="G63" s="130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130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113</v>
      </c>
      <c r="I63" s="130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130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130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130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3" s="130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130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237</v>
      </c>
      <c r="O63" s="130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128"/>
      <c r="Q63" s="128"/>
      <c r="R63" s="128"/>
    </row>
    <row r="64" spans="1:18" s="131" customFormat="1" ht="31" customHeight="1" x14ac:dyDescent="0.15">
      <c r="A64" s="127" t="str">
        <f t="shared" si="20"/>
        <v>47015170_47015186</v>
      </c>
      <c r="B64" s="199">
        <v>47015170</v>
      </c>
      <c r="C64" s="200">
        <v>47015186</v>
      </c>
      <c r="D64" s="129" t="str">
        <f ca="1">VLOOKUP($C64,OFFSET(enemy_skills!$A$1,0,0,COUNTA(enemy_skills!$A:$A),MATCH(D$1,enemy_skills!$1:$1,0)-MATCH("enemy_skill_id",enemy_skills!$1:$1,0)+1),MATCH(D$1,enemy_skills!$1:$1,0)-MATCH("enemy_skill_id",enemy_skills!$1:$1,0)+1,FALSE)</f>
        <v>”じゅーんぶらいど”_x000D_とても素敵なお祭りでしたね</v>
      </c>
      <c r="E64" s="129" t="str">
        <f ca="1">VLOOKUP($C64,OFFSET(enemy_skills!$A$1,0,0,COUNTA(enemy_skills!$A:$A),MATCH(E$1,enemy_skills!$1:$1,0)-MATCH("enemy_skill_id",enemy_skills!$1:$1,0)+1),MATCH(E$1,enemy_skills!$1:$1,0)-MATCH("enemy_skill_id",enemy_skills!$1:$1,0)+1,FALSE)</f>
        <v>しかし、他の参加者に_x000D_あまり会えなかったのはなぜでしょう…？</v>
      </c>
      <c r="F64" s="200">
        <v>47015186</v>
      </c>
      <c r="G64" s="130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130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112</v>
      </c>
      <c r="I64" s="130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130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130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130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4" s="130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130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808</v>
      </c>
      <c r="O64" s="130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128"/>
      <c r="Q64" s="128"/>
      <c r="R64" s="128"/>
    </row>
    <row r="65" spans="1:18" s="131" customFormat="1" ht="31" customHeight="1" thickBot="1" x14ac:dyDescent="0.2">
      <c r="A65" s="127" t="str">
        <f t="shared" si="20"/>
        <v>47015170_47015187</v>
      </c>
      <c r="B65" s="199">
        <v>47015170</v>
      </c>
      <c r="C65" s="201">
        <v>47015187</v>
      </c>
      <c r="D65" s="129" t="str">
        <f ca="1">VLOOKUP($C65,OFFSET(enemy_skills!$A$1,0,0,COUNTA(enemy_skills!$A:$A),MATCH(D$1,enemy_skills!$1:$1,0)-MATCH("enemy_skill_id",enemy_skills!$1:$1,0)+1),MATCH(D$1,enemy_skills!$1:$1,0)-MATCH("enemy_skill_id",enemy_skills!$1:$1,0)+1,FALSE)</f>
        <v>”じゅーんぶらいど”_x000D_とても素敵なお祭りでしたね</v>
      </c>
      <c r="E65" s="129" t="str">
        <f ca="1">VLOOKUP($C65,OFFSET(enemy_skills!$A$1,0,0,COUNTA(enemy_skills!$A:$A),MATCH(E$1,enemy_skills!$1:$1,0)-MATCH("enemy_skill_id",enemy_skills!$1:$1,0)+1),MATCH(E$1,enemy_skills!$1:$1,0)-MATCH("enemy_skill_id",enemy_skills!$1:$1,0)+1,FALSE)</f>
        <v>しかし、他の参加者に_x000D_あまり会えなかったのはなぜでしょう…？</v>
      </c>
      <c r="F65" s="201">
        <v>47015187</v>
      </c>
      <c r="G65" s="130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130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111</v>
      </c>
      <c r="I65" s="130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130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130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130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5" s="130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130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1058</v>
      </c>
      <c r="O65" s="130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128"/>
      <c r="Q65" s="128"/>
      <c r="R65" s="128"/>
    </row>
    <row r="66" spans="1:18" s="131" customFormat="1" ht="31" customHeight="1" x14ac:dyDescent="0.15">
      <c r="A66" s="127" t="str">
        <f t="shared" si="20"/>
        <v>47015170_47015188</v>
      </c>
      <c r="B66" s="199">
        <v>47015170</v>
      </c>
      <c r="C66" s="200">
        <v>47015188</v>
      </c>
      <c r="D66" s="129" t="str">
        <f ca="1">VLOOKUP($C66,OFFSET(enemy_skills!$A$1,0,0,COUNTA(enemy_skills!$A:$A),MATCH(D$1,enemy_skills!$1:$1,0)-MATCH("enemy_skill_id",enemy_skills!$1:$1,0)+1),MATCH(D$1,enemy_skills!$1:$1,0)-MATCH("enemy_skill_id",enemy_skills!$1:$1,0)+1,FALSE)</f>
        <v>”じゅーんぶらいど”_x000D_とても素敵なお祭りでしたね</v>
      </c>
      <c r="E66" s="129" t="str">
        <f ca="1">VLOOKUP($C66,OFFSET(enemy_skills!$A$1,0,0,COUNTA(enemy_skills!$A:$A),MATCH(E$1,enemy_skills!$1:$1,0)-MATCH("enemy_skill_id",enemy_skills!$1:$1,0)+1),MATCH(E$1,enemy_skills!$1:$1,0)-MATCH("enemy_skill_id",enemy_skills!$1:$1,0)+1,FALSE)</f>
        <v>しかし、他の参加者に_x000D_あまり会えなかったのはなぜでしょう…？</v>
      </c>
      <c r="F66" s="200">
        <v>47015188</v>
      </c>
      <c r="G66" s="130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130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66" s="130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130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130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130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6" s="130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130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1336</v>
      </c>
      <c r="O66" s="130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128"/>
      <c r="Q66" s="128"/>
      <c r="R66" s="128"/>
    </row>
    <row r="67" spans="1:18" s="131" customFormat="1" ht="31" customHeight="1" thickBot="1" x14ac:dyDescent="0.2">
      <c r="A67" s="127" t="str">
        <f t="shared" si="20"/>
        <v>47015170_47015189</v>
      </c>
      <c r="B67" s="199">
        <v>47015170</v>
      </c>
      <c r="C67" s="201">
        <v>47015189</v>
      </c>
      <c r="D67" s="129" t="str">
        <f ca="1">VLOOKUP($C67,OFFSET(enemy_skills!$A$1,0,0,COUNTA(enemy_skills!$A:$A),MATCH(D$1,enemy_skills!$1:$1,0)-MATCH("enemy_skill_id",enemy_skills!$1:$1,0)+1),MATCH(D$1,enemy_skills!$1:$1,0)-MATCH("enemy_skill_id",enemy_skills!$1:$1,0)+1,FALSE)</f>
        <v>”じゅーんぶらいど”_x000D_とても素敵なお祭りでしたね</v>
      </c>
      <c r="E67" s="129" t="str">
        <f ca="1">VLOOKUP($C67,OFFSET(enemy_skills!$A$1,0,0,COUNTA(enemy_skills!$A:$A),MATCH(E$1,enemy_skills!$1:$1,0)-MATCH("enemy_skill_id",enemy_skills!$1:$1,0)+1),MATCH(E$1,enemy_skills!$1:$1,0)-MATCH("enemy_skill_id",enemy_skills!$1:$1,0)+1,FALSE)</f>
        <v>しかし、他の参加者に_x000D_あまり会えなかったのはなぜでしょう…？</v>
      </c>
      <c r="F67" s="201">
        <v>47015189</v>
      </c>
      <c r="G67" s="130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130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109</v>
      </c>
      <c r="I67" s="130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130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130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130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7" s="130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130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1337</v>
      </c>
      <c r="O67" s="130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128"/>
      <c r="Q67" s="128"/>
      <c r="R67" s="128"/>
    </row>
    <row r="68" spans="1:18" s="131" customFormat="1" ht="31" customHeight="1" x14ac:dyDescent="0.15">
      <c r="A68" s="127" t="str">
        <f t="shared" si="20"/>
        <v>47015170_47015190</v>
      </c>
      <c r="B68" s="199">
        <v>47015170</v>
      </c>
      <c r="C68" s="200">
        <v>47015190</v>
      </c>
      <c r="D68" s="129" t="str">
        <f ca="1">VLOOKUP($C68,OFFSET(enemy_skills!$A$1,0,0,COUNTA(enemy_skills!$A:$A),MATCH(D$1,enemy_skills!$1:$1,0)-MATCH("enemy_skill_id",enemy_skills!$1:$1,0)+1),MATCH(D$1,enemy_skills!$1:$1,0)-MATCH("enemy_skill_id",enemy_skills!$1:$1,0)+1,FALSE)</f>
        <v>貴方達も楽しめましたか？</v>
      </c>
      <c r="E68" s="129" t="str">
        <f ca="1">VLOOKUP($C68,OFFSET(enemy_skills!$A$1,0,0,COUNTA(enemy_skills!$A:$A),MATCH(E$1,enemy_skills!$1:$1,0)-MATCH("enemy_skill_id",enemy_skills!$1:$1,0)+1),MATCH(E$1,enemy_skills!$1:$1,0)-MATCH("enemy_skill_id",enemy_skills!$1:$1,0)+1,FALSE)</f>
        <v>少々羽目を外しすぎてしまいましたね</v>
      </c>
      <c r="F68" s="200">
        <v>47015190</v>
      </c>
      <c r="G68" s="130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130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108</v>
      </c>
      <c r="I68" s="130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130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130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130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8" s="130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130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1330</v>
      </c>
      <c r="O68" s="130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128"/>
      <c r="Q68" s="128"/>
      <c r="R68" s="128"/>
    </row>
    <row r="69" spans="1:18" s="131" customFormat="1" ht="31" customHeight="1" thickBot="1" x14ac:dyDescent="0.2">
      <c r="A69" s="127" t="str">
        <f t="shared" ref="A69:A136" si="21">B69&amp;"_"&amp;C69</f>
        <v>47015170_47015191</v>
      </c>
      <c r="B69" s="199">
        <v>47015170</v>
      </c>
      <c r="C69" s="201">
        <v>47015191</v>
      </c>
      <c r="D69" s="129" t="str">
        <f ca="1">VLOOKUP($C69,OFFSET(enemy_skills!$A$1,0,0,COUNTA(enemy_skills!$A:$A),MATCH(D$1,enemy_skills!$1:$1,0)-MATCH("enemy_skill_id",enemy_skills!$1:$1,0)+1),MATCH(D$1,enemy_skills!$1:$1,0)-MATCH("enemy_skill_id",enemy_skills!$1:$1,0)+1,FALSE)</f>
        <v>貴方達も楽しめましたか？</v>
      </c>
      <c r="E69" s="129" t="str">
        <f ca="1">VLOOKUP($C69,OFFSET(enemy_skills!$A$1,0,0,COUNTA(enemy_skills!$A:$A),MATCH(E$1,enemy_skills!$1:$1,0)-MATCH("enemy_skill_id",enemy_skills!$1:$1,0)+1),MATCH(E$1,enemy_skills!$1:$1,0)-MATCH("enemy_skill_id",enemy_skills!$1:$1,0)+1,FALSE)</f>
        <v>少々羽目を外しすぎてしまいましたね</v>
      </c>
      <c r="F69" s="201">
        <v>47015191</v>
      </c>
      <c r="G69" s="130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130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107</v>
      </c>
      <c r="I69" s="130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130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130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130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9" s="130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130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1331</v>
      </c>
      <c r="O69" s="130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128"/>
      <c r="Q69" s="128"/>
      <c r="R69" s="128"/>
    </row>
    <row r="70" spans="1:18" s="131" customFormat="1" ht="31" customHeight="1" x14ac:dyDescent="0.15">
      <c r="A70" s="127" t="str">
        <f t="shared" si="21"/>
        <v>47015170_47015192</v>
      </c>
      <c r="B70" s="199">
        <v>47015170</v>
      </c>
      <c r="C70" s="200">
        <v>47015192</v>
      </c>
      <c r="D70" s="129" t="str">
        <f ca="1">VLOOKUP($C70,OFFSET(enemy_skills!$A$1,0,0,COUNTA(enemy_skills!$A:$A),MATCH(D$1,enemy_skills!$1:$1,0)-MATCH("enemy_skill_id",enemy_skills!$1:$1,0)+1),MATCH(D$1,enemy_skills!$1:$1,0)-MATCH("enemy_skill_id",enemy_skills!$1:$1,0)+1,FALSE)</f>
        <v>貴方達も楽しめましたか？</v>
      </c>
      <c r="E70" s="129" t="str">
        <f ca="1">VLOOKUP($C70,OFFSET(enemy_skills!$A$1,0,0,COUNTA(enemy_skills!$A:$A),MATCH(E$1,enemy_skills!$1:$1,0)-MATCH("enemy_skill_id",enemy_skills!$1:$1,0)+1),MATCH(E$1,enemy_skills!$1:$1,0)-MATCH("enemy_skill_id",enemy_skills!$1:$1,0)+1,FALSE)</f>
        <v>少々羽目を外しすぎてしまいましたね</v>
      </c>
      <c r="F70" s="200">
        <v>47015192</v>
      </c>
      <c r="G70" s="130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" s="130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106</v>
      </c>
      <c r="I70" s="130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130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130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130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0" s="130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130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756</v>
      </c>
      <c r="O70" s="130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128"/>
      <c r="Q70" s="128"/>
      <c r="R70" s="128"/>
    </row>
    <row r="71" spans="1:18" s="131" customFormat="1" ht="31" customHeight="1" x14ac:dyDescent="0.15">
      <c r="A71" s="127" t="str">
        <f t="shared" ref="A71" si="22">B71&amp;"_"&amp;C71</f>
        <v>47015170_47015193</v>
      </c>
      <c r="B71" s="199">
        <v>47015170</v>
      </c>
      <c r="C71" s="201">
        <v>47015193</v>
      </c>
      <c r="D71" s="129" t="str">
        <f ca="1">VLOOKUP($C71,OFFSET(enemy_skills!$A$1,0,0,COUNTA(enemy_skills!$A:$A),MATCH(D$1,enemy_skills!$1:$1,0)-MATCH("enemy_skill_id",enemy_skills!$1:$1,0)+1),MATCH(D$1,enemy_skills!$1:$1,0)-MATCH("enemy_skill_id",enemy_skills!$1:$1,0)+1,FALSE)</f>
        <v>貴方達も楽しめましたか？</v>
      </c>
      <c r="E71" s="129" t="str">
        <f ca="1">VLOOKUP($C71,OFFSET(enemy_skills!$A$1,0,0,COUNTA(enemy_skills!$A:$A),MATCH(E$1,enemy_skills!$1:$1,0)-MATCH("enemy_skill_id",enemy_skills!$1:$1,0)+1),MATCH(E$1,enemy_skills!$1:$1,0)-MATCH("enemy_skill_id",enemy_skills!$1:$1,0)+1,FALSE)</f>
        <v>少々羽目を外しすぎてしまいましたね</v>
      </c>
      <c r="F71" s="201">
        <v>47015193</v>
      </c>
      <c r="G71" s="130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130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71" s="130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130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130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130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1" s="130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130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757</v>
      </c>
      <c r="O71" s="130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128"/>
      <c r="Q71" s="128"/>
      <c r="R71" s="128"/>
    </row>
    <row r="72" spans="1:18" ht="31" customHeight="1" x14ac:dyDescent="0.15">
      <c r="A72" s="103" t="str">
        <f t="shared" si="21"/>
        <v>47015200_47015200</v>
      </c>
      <c r="B72" s="108">
        <v>47015200</v>
      </c>
      <c r="C72" s="168">
        <v>47015200</v>
      </c>
      <c r="D72" s="39" t="str">
        <f ca="1">VLOOKUP($C72,OFFSET(enemy_skills!$A$1,0,0,COUNTA(enemy_skills!$A:$A),MATCH(D$1,enemy_skills!$1:$1,0)-MATCH("enemy_skill_id",enemy_skills!$1:$1,0)+1),MATCH(D$1,enemy_skills!$1:$1,0)-MATCH("enemy_skill_id",enemy_skills!$1:$1,0)+1,FALSE)</f>
        <v>彼女とビジュアル勝負？_x000D_ごめんね、今日はダメよ</v>
      </c>
      <c r="E72" s="39" t="str">
        <f ca="1">VLOOKUP($C72,OFFSET(enemy_skills!$A$1,0,0,COUNTA(enemy_skills!$A:$A),MATCH(E$1,enemy_skills!$1:$1,0)-MATCH("enemy_skill_id",enemy_skills!$1:$1,0)+1),MATCH(E$1,enemy_skills!$1:$1,0)-MATCH("enemy_skill_id",enemy_skills!$1:$1,0)+1,FALSE)</f>
        <v>全ユニットのスキルターンを2ターン短縮</v>
      </c>
      <c r="F72" s="168">
        <v>47015200</v>
      </c>
      <c r="G72" s="41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2" s="41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72" s="41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72" s="41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1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1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41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41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1703</v>
      </c>
      <c r="O72" s="41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72" s="40"/>
      <c r="Q72" s="40"/>
      <c r="R72" s="40"/>
    </row>
    <row r="73" spans="1:18" ht="31" customHeight="1" x14ac:dyDescent="0.15">
      <c r="A73" s="103" t="str">
        <f t="shared" si="21"/>
        <v>47015200_47015201</v>
      </c>
      <c r="B73" s="108">
        <v>47015200</v>
      </c>
      <c r="C73" s="169">
        <v>47015201</v>
      </c>
      <c r="D73" s="39" t="str">
        <f ca="1">VLOOKUP($C73,OFFSET(enemy_skills!$A$1,0,0,COUNTA(enemy_skills!$A:$A),MATCH(D$1,enemy_skills!$1:$1,0)-MATCH("enemy_skill_id",enemy_skills!$1:$1,0)+1),MATCH(D$1,enemy_skills!$1:$1,0)-MATCH("enemy_skill_id",enemy_skills!$1:$1,0)+1,FALSE)</f>
        <v>彼女とビジュアル勝負？_x000D_ごめんね、今日はダメよ</v>
      </c>
      <c r="E73" s="39" t="str">
        <f ca="1">VLOOKUP($C73,OFFSET(enemy_skills!$A$1,0,0,COUNTA(enemy_skills!$A:$A),MATCH(E$1,enemy_skills!$1:$1,0)-MATCH("enemy_skill_id",enemy_skills!$1:$1,0)+1),MATCH(E$1,enemy_skills!$1:$1,0)-MATCH("enemy_skill_id",enemy_skills!$1:$1,0)+1,FALSE)</f>
        <v>全ユニットのスキルターンを2ターン短縮</v>
      </c>
      <c r="F73" s="169">
        <v>47015201</v>
      </c>
      <c r="G73" s="41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3" s="41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106</v>
      </c>
      <c r="I73" s="41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73" s="41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1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1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3" s="41" t="str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" s="41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1704</v>
      </c>
      <c r="O73" s="41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73" s="40"/>
      <c r="Q73" s="40"/>
      <c r="R73" s="40"/>
    </row>
    <row r="74" spans="1:18" ht="31" customHeight="1" x14ac:dyDescent="0.15">
      <c r="A74" s="103" t="str">
        <f t="shared" si="21"/>
        <v>47015200_47015202</v>
      </c>
      <c r="B74" s="108">
        <v>47015200</v>
      </c>
      <c r="C74" s="168">
        <v>47015202</v>
      </c>
      <c r="D74" s="39" t="str">
        <f ca="1">VLOOKUP($C74,OFFSET(enemy_skills!$A$1,0,0,COUNTA(enemy_skills!$A:$A),MATCH(D$1,enemy_skills!$1:$1,0)-MATCH("enemy_skill_id",enemy_skills!$1:$1,0)+1),MATCH(D$1,enemy_skills!$1:$1,0)-MATCH("enemy_skill_id",enemy_skills!$1:$1,0)+1,FALSE)</f>
        <v>彼女に会いたいのなら！</v>
      </c>
      <c r="E74" s="39" t="str">
        <f ca="1">VLOOKUP($C74,OFFSET(enemy_skills!$A$1,0,0,COUNTA(enemy_skills!$A:$A),MATCH(E$1,enemy_skills!$1:$1,0)-MATCH("enemy_skill_id",enemy_skills!$1:$1,0)+1),MATCH(E$1,enemy_skills!$1:$1,0)-MATCH("enemy_skill_id",enemy_skills!$1:$1,0)+1,FALSE)</f>
        <v>5ターン全ユニットの回復力20%DOWN</v>
      </c>
      <c r="F74" s="168">
        <v>47015202</v>
      </c>
      <c r="G74" s="41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4" s="41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4" s="41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1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1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1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4" s="41" t="str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" s="41" t="str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4" s="41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0"/>
      <c r="Q74" s="40"/>
      <c r="R74" s="40"/>
    </row>
    <row r="75" spans="1:18" s="105" customFormat="1" ht="31" customHeight="1" thickBot="1" x14ac:dyDescent="0.2">
      <c r="A75" s="104" t="str">
        <f t="shared" si="21"/>
        <v>47015200_47015203</v>
      </c>
      <c r="B75" s="108">
        <v>47015200</v>
      </c>
      <c r="C75" s="169">
        <v>47015203</v>
      </c>
      <c r="D75" s="99" t="str">
        <f ca="1">VLOOKUP($C75,OFFSET(enemy_skills!$A$1,0,0,COUNTA(enemy_skills!$A:$A),MATCH(D$1,enemy_skills!$1:$1,0)-MATCH("enemy_skill_id",enemy_skills!$1:$1,0)+1),MATCH(D$1,enemy_skills!$1:$1,0)-MATCH("enemy_skill_id",enemy_skills!$1:$1,0)+1,FALSE)</f>
        <v>これで…！</v>
      </c>
      <c r="E75" s="99" t="str">
        <f ca="1">VLOOKUP($C75,OFFSET(enemy_skills!$A$1,0,0,COUNTA(enemy_skills!$A:$A),MATCH(E$1,enemy_skills!$1:$1,0)-MATCH("enemy_skill_id",enemy_skills!$1:$1,0)+1),MATCH(E$1,enemy_skills!$1:$1,0)-MATCH("enemy_skill_id",enemy_skills!$1:$1,0)+1,FALSE)</f>
        <v>種族ゴッドのユニットに大ダメージ</v>
      </c>
      <c r="F75" s="169">
        <v>47015203</v>
      </c>
      <c r="G75" s="100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100" t="str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5" s="100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75" s="100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100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100" t="str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5" s="100" t="str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" s="100" t="str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5" s="100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75" s="98"/>
      <c r="Q75" s="98"/>
      <c r="R75" s="98"/>
    </row>
    <row r="76" spans="1:18" s="105" customFormat="1" ht="31" customHeight="1" thickBot="1" x14ac:dyDescent="0.2">
      <c r="A76" s="104" t="str">
        <f t="shared" si="21"/>
        <v>47015200_47015204</v>
      </c>
      <c r="B76" s="108">
        <v>47015200</v>
      </c>
      <c r="C76" s="170">
        <v>47015204</v>
      </c>
      <c r="D76" s="99" t="str">
        <f ca="1">VLOOKUP($C76,OFFSET(enemy_skills!$A$1,0,0,COUNTA(enemy_skills!$A:$A),MATCH(D$1,enemy_skills!$1:$1,0)-MATCH("enemy_skill_id",enemy_skills!$1:$1,0)+1),MATCH(D$1,enemy_skills!$1:$1,0)-MATCH("enemy_skill_id",enemy_skills!$1:$1,0)+1,FALSE)</f>
        <v>お引取りを！</v>
      </c>
      <c r="E76" s="99" t="str">
        <f ca="1">VLOOKUP($C76,OFFSET(enemy_skills!$A$1,0,0,COUNTA(enemy_skills!$A:$A),MATCH(E$1,enemy_skills!$1:$1,0)-MATCH("enemy_skill_id",enemy_skills!$1:$1,0)+1),MATCH(E$1,enemy_skills!$1:$1,0)-MATCH("enemy_skill_id",enemy_skills!$1:$1,0)+1,FALSE)</f>
        <v>2ターン青属性のユニットの攻撃力20%DOWN+単体攻撃</v>
      </c>
      <c r="F76" s="170">
        <v>47015204</v>
      </c>
      <c r="G76" s="100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" s="100" t="str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6" s="100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76" s="100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100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100" t="str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6" s="100" t="str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" s="100" t="str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6" s="100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76" s="98"/>
      <c r="Q76" s="98"/>
      <c r="R76" s="98"/>
    </row>
    <row r="77" spans="1:18" ht="31" customHeight="1" thickBot="1" x14ac:dyDescent="0.2">
      <c r="A77" s="103" t="str">
        <f>B77&amp;"_"&amp;C77</f>
        <v>47015200_47015205</v>
      </c>
      <c r="B77" s="108">
        <v>47015200</v>
      </c>
      <c r="C77" s="168">
        <v>47015205</v>
      </c>
      <c r="D77" s="39" t="str">
        <f ca="1">VLOOKUP($C77,OFFSET(enemy_skills!$A$1,0,0,COUNTA(enemy_skills!$A:$A),MATCH(D$1,enemy_skills!$1:$1,0)-MATCH("enemy_skill_id",enemy_skills!$1:$1,0)+1),MATCH(D$1,enemy_skills!$1:$1,0)-MATCH("enemy_skill_id",enemy_skills!$1:$1,0)+1,FALSE)</f>
        <v>帰っていただけませんのね</v>
      </c>
      <c r="E77" s="39" t="str">
        <f ca="1">VLOOKUP($C77,OFFSET(enemy_skills!$A$1,0,0,COUNTA(enemy_skills!$A:$A),MATCH(E$1,enemy_skills!$1:$1,0)-MATCH("enemy_skill_id",enemy_skills!$1:$1,0)+1),MATCH(E$1,enemy_skills!$1:$1,0)-MATCH("enemy_skill_id",enemy_skills!$1:$1,0)+1,FALSE)</f>
        <v>3ターン敵全体の攻撃力UP</v>
      </c>
      <c r="F77" s="168">
        <v>47015205</v>
      </c>
      <c r="G77" s="41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" s="41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77" s="41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1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7" s="41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1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7" s="41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41" t="str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7" s="41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0"/>
      <c r="Q77" s="40"/>
      <c r="R77" s="40"/>
    </row>
    <row r="78" spans="1:18" s="115" customFormat="1" ht="31" customHeight="1" thickBot="1" x14ac:dyDescent="0.2">
      <c r="A78" s="111" t="str">
        <f t="shared" si="21"/>
        <v>47015210_47015210</v>
      </c>
      <c r="B78" s="116">
        <v>47015210</v>
      </c>
      <c r="C78" s="171">
        <v>47015210</v>
      </c>
      <c r="D78" s="96" t="str">
        <f ca="1">VLOOKUP($C78,OFFSET(enemy_skills!$A$1,0,0,COUNTA(enemy_skills!$A:$A),MATCH(D$1,enemy_skills!$1:$1,0)-MATCH("enemy_skill_id",enemy_skills!$1:$1,0)+1),MATCH(D$1,enemy_skills!$1:$1,0)-MATCH("enemy_skill_id",enemy_skills!$1:$1,0)+1,FALSE)</f>
        <v>あら、可愛いお嬢さん_x000D_ここから先は行っちゃダメよ</v>
      </c>
      <c r="E78" s="96" t="str">
        <f ca="1">VLOOKUP($C78,OFFSET(enemy_skills!$A$1,0,0,COUNTA(enemy_skills!$A:$A),MATCH(E$1,enemy_skills!$1:$1,0)-MATCH("enemy_skill_id",enemy_skills!$1:$1,0)+1),MATCH(E$1,enemy_skills!$1:$1,0)-MATCH("enemy_skill_id",enemy_skills!$1:$1,0)+1,FALSE)</f>
        <v>10ターン全ユニットにウィルス+_x000D_緑パネルを赤パネルに変換</v>
      </c>
      <c r="F78" s="171">
        <v>47015210</v>
      </c>
      <c r="G78" s="97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8" s="97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78" s="97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78" s="97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97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97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8" s="97" t="str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" s="97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1703</v>
      </c>
      <c r="O78" s="97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78" s="95"/>
      <c r="Q78" s="95"/>
      <c r="R78" s="95"/>
    </row>
    <row r="79" spans="1:18" ht="31" customHeight="1" thickBot="1" x14ac:dyDescent="0.2">
      <c r="A79" s="103" t="str">
        <f t="shared" si="21"/>
        <v>47015210_47015211</v>
      </c>
      <c r="B79" s="116">
        <v>47015210</v>
      </c>
      <c r="C79" s="172">
        <v>47015211</v>
      </c>
      <c r="D79" s="39" t="str">
        <f ca="1">VLOOKUP($C79,OFFSET(enemy_skills!$A$1,0,0,COUNTA(enemy_skills!$A:$A),MATCH(D$1,enemy_skills!$1:$1,0)-MATCH("enemy_skill_id",enemy_skills!$1:$1,0)+1),MATCH(D$1,enemy_skills!$1:$1,0)-MATCH("enemy_skill_id",enemy_skills!$1:$1,0)+1,FALSE)</f>
        <v>あら、可愛いお嬢さん_x000D_ここから先は行っちゃダメよ</v>
      </c>
      <c r="E79" s="39" t="str">
        <f ca="1">VLOOKUP($C79,OFFSET(enemy_skills!$A$1,0,0,COUNTA(enemy_skills!$A:$A),MATCH(E$1,enemy_skills!$1:$1,0)-MATCH("enemy_skill_id",enemy_skills!$1:$1,0)+1),MATCH(E$1,enemy_skills!$1:$1,0)-MATCH("enemy_skill_id",enemy_skills!$1:$1,0)+1,FALSE)</f>
        <v>10ターン全ユニットにウィルス+_x000D_緑パネルを赤パネルに変換</v>
      </c>
      <c r="F79" s="172">
        <v>47015211</v>
      </c>
      <c r="G79" s="41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9" s="41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106</v>
      </c>
      <c r="I79" s="41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79" s="41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1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1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9" s="41" t="str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9" s="41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1704</v>
      </c>
      <c r="O79" s="41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79" s="40"/>
      <c r="Q79" s="40"/>
      <c r="R79" s="40"/>
    </row>
    <row r="80" spans="1:18" s="105" customFormat="1" ht="31" customHeight="1" thickBot="1" x14ac:dyDescent="0.2">
      <c r="A80" s="104" t="str">
        <f t="shared" si="21"/>
        <v>47015210_47015212</v>
      </c>
      <c r="B80" s="116">
        <v>47015210</v>
      </c>
      <c r="C80" s="172">
        <v>47015212</v>
      </c>
      <c r="D80" s="99" t="str">
        <f ca="1">VLOOKUP($C80,OFFSET(enemy_skills!$A$1,0,0,COUNTA(enemy_skills!$A:$A),MATCH(D$1,enemy_skills!$1:$1,0)-MATCH("enemy_skill_id",enemy_skills!$1:$1,0)+1),MATCH(D$1,enemy_skills!$1:$1,0)-MATCH("enemy_skill_id",enemy_skills!$1:$1,0)+1,FALSE)</f>
        <v>私達を倒してみなさい！！</v>
      </c>
      <c r="E80" s="99" t="str">
        <f ca="1">VLOOKUP($C80,OFFSET(enemy_skills!$A$1,0,0,COUNTA(enemy_skills!$A:$A),MATCH(E$1,enemy_skills!$1:$1,0)-MATCH("enemy_skill_id",enemy_skills!$1:$1,0)+1),MATCH(E$1,enemy_skills!$1:$1,0)-MATCH("enemy_skill_id",enemy_skills!$1:$1,0)+1,FALSE)</f>
        <v>10ターン全ユニットにウィルス</v>
      </c>
      <c r="F80" s="172">
        <v>47015212</v>
      </c>
      <c r="G80" s="100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0" s="100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0" s="100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100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100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100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0" s="100" t="str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0" s="100" t="str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0" s="100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98"/>
      <c r="Q80" s="98"/>
      <c r="R80" s="98"/>
    </row>
    <row r="81" spans="1:18" s="105" customFormat="1" ht="31" customHeight="1" thickBot="1" x14ac:dyDescent="0.2">
      <c r="A81" s="104" t="str">
        <f t="shared" si="21"/>
        <v>47015210_47015213</v>
      </c>
      <c r="B81" s="116">
        <v>47015210</v>
      </c>
      <c r="C81" s="173">
        <v>47015213</v>
      </c>
      <c r="D81" s="99" t="str">
        <f ca="1">VLOOKUP($C81,OFFSET(enemy_skills!$A$1,0,0,COUNTA(enemy_skills!$A:$A),MATCH(D$1,enemy_skills!$1:$1,0)-MATCH("enemy_skill_id",enemy_skills!$1:$1,0)+1),MATCH(D$1,enemy_skills!$1:$1,0)-MATCH("enemy_skill_id",enemy_skills!$1:$1,0)+1,FALSE)</f>
        <v>行かせません！</v>
      </c>
      <c r="E81" s="99" t="str">
        <f ca="1">VLOOKUP($C81,OFFSET(enemy_skills!$A$1,0,0,COUNTA(enemy_skills!$A:$A),MATCH(E$1,enemy_skills!$1:$1,0)-MATCH("enemy_skill_id",enemy_skills!$1:$1,0)+1),MATCH(E$1,enemy_skills!$1:$1,0)-MATCH("enemy_skill_id",enemy_skills!$1:$1,0)+1,FALSE)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ウィルス状態のユニットに大ダメージの全体攻撃</v>
      </c>
      <c r="F81" s="173">
        <v>47015213</v>
      </c>
      <c r="G81" s="100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1" s="100" t="str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1" s="100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81" s="100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100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100" t="str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1" s="100" t="str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1" s="100" t="str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1" s="100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81" s="98"/>
      <c r="Q81" s="98"/>
      <c r="R81" s="98"/>
    </row>
    <row r="82" spans="1:18" ht="31" customHeight="1" thickBot="1" x14ac:dyDescent="0.2">
      <c r="A82" s="103" t="str">
        <f>B82&amp;"_"&amp;C82</f>
        <v>47015210_47015214</v>
      </c>
      <c r="B82" s="116">
        <v>47015210</v>
      </c>
      <c r="C82" s="171">
        <v>47015214</v>
      </c>
      <c r="D82" s="39" t="str">
        <f ca="1">VLOOKUP($C82,OFFSET(enemy_skills!$A$1,0,0,COUNTA(enemy_skills!$A:$A),MATCH(D$1,enemy_skills!$1:$1,0)-MATCH("enemy_skill_id",enemy_skills!$1:$1,0)+1),MATCH(D$1,enemy_skills!$1:$1,0)-MATCH("enemy_skill_id",enemy_skills!$1:$1,0)+1,FALSE)</f>
        <v>野次馬は通しません！</v>
      </c>
      <c r="E82" s="39" t="str">
        <f ca="1">VLOOKUP($C82,OFFSET(enemy_skills!$A$1,0,0,COUNTA(enemy_skills!$A:$A),MATCH(E$1,enemy_skills!$1:$1,0)-MATCH("enemy_skill_id",enemy_skills!$1:$1,0)+1),MATCH(E$1,enemy_skills!$1:$1,0)-MATCH("enemy_skill_id",enemy_skills!$1:$1,0)+1,FALSE)</f>
        <v>全体攻撃+_x000D_属性パネルを赤のダメージパネルに3個変換</v>
      </c>
      <c r="F82" s="171">
        <v>47015214</v>
      </c>
      <c r="G82" s="41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2" s="41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82" s="41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1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2" s="41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1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2" s="41" t="str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2" s="41" t="str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2" s="41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0"/>
      <c r="Q82" s="40"/>
      <c r="R82" s="40"/>
    </row>
    <row r="83" spans="1:18" s="115" customFormat="1" ht="31" customHeight="1" thickBot="1" x14ac:dyDescent="0.2">
      <c r="A83" s="111" t="str">
        <f t="shared" si="21"/>
        <v>47015220_47015220</v>
      </c>
      <c r="B83" s="116">
        <v>47015220</v>
      </c>
      <c r="C83" s="174">
        <v>47015220</v>
      </c>
      <c r="D83" s="96" t="str">
        <f ca="1">VLOOKUP($C83,OFFSET(enemy_skills!$A$1,0,0,COUNTA(enemy_skills!$A:$A),MATCH(D$1,enemy_skills!$1:$1,0)-MATCH("enemy_skill_id",enemy_skills!$1:$1,0)+1),MATCH(D$1,enemy_skills!$1:$1,0)-MATCH("enemy_skill_id",enemy_skills!$1:$1,0)+1,FALSE)</f>
        <v>おねえさまの所へは行かせないよ！</v>
      </c>
      <c r="E83" s="96" t="str">
        <f ca="1">VLOOKUP($C83,OFFSET(enemy_skills!$A$1,0,0,COUNTA(enemy_skills!$A:$A),MATCH(E$1,enemy_skills!$1:$1,0)-MATCH("enemy_skill_id",enemy_skills!$1:$1,0)+1),MATCH(E$1,enemy_skills!$1:$1,0)-MATCH("enemy_skill_id",enemy_skills!$1:$1,0)+1,FALSE)</f>
        <v>状態異常耐性+2ターン攻撃力UP+_x000D_2ターン全属性の攻撃をカウンター</v>
      </c>
      <c r="F83" s="174">
        <v>47015220</v>
      </c>
      <c r="G83" s="97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3" s="97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3" s="97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97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97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97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3" s="97" t="str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3" s="97" t="str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3" s="97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95"/>
      <c r="Q83" s="95"/>
      <c r="R83" s="95"/>
    </row>
    <row r="84" spans="1:18" ht="31" customHeight="1" thickBot="1" x14ac:dyDescent="0.2">
      <c r="A84" s="103" t="str">
        <f t="shared" si="21"/>
        <v>47015220_47015221</v>
      </c>
      <c r="B84" s="116">
        <v>47015220</v>
      </c>
      <c r="C84" s="169">
        <v>47015221</v>
      </c>
      <c r="D84" s="39" t="str">
        <f ca="1">VLOOKUP($C84,OFFSET(enemy_skills!$A$1,0,0,COUNTA(enemy_skills!$A:$A),MATCH(D$1,enemy_skills!$1:$1,0)-MATCH("enemy_skill_id",enemy_skills!$1:$1,0)+1),MATCH(D$1,enemy_skills!$1:$1,0)-MATCH("enemy_skill_id",enemy_skills!$1:$1,0)+1,FALSE)</f>
        <v>見ちゃダメ！</v>
      </c>
      <c r="E84" s="39" t="str">
        <f ca="1">VLOOKUP($C84,OFFSET(enemy_skills!$A$1,0,0,COUNTA(enemy_skills!$A:$A),MATCH(E$1,enemy_skills!$1:$1,0)-MATCH("enemy_skill_id",enemy_skills!$1:$1,0)+1),MATCH(E$1,enemy_skills!$1:$1,0)-MATCH("enemy_skill_id",enemy_skills!$1:$1,0)+1,FALSE)</f>
        <v>2ターン暗闇</v>
      </c>
      <c r="F84" s="169">
        <v>47015221</v>
      </c>
      <c r="G84" s="41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4" s="41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84" s="41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84" s="41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41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1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84" s="41" t="str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4" s="41" t="str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4" s="41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84" s="40"/>
      <c r="Q84" s="40"/>
      <c r="R84" s="40"/>
    </row>
    <row r="85" spans="1:18" ht="31" customHeight="1" thickBot="1" x14ac:dyDescent="0.2">
      <c r="A85" s="103" t="str">
        <f t="shared" si="21"/>
        <v>47015220_47015222</v>
      </c>
      <c r="B85" s="116">
        <v>47015220</v>
      </c>
      <c r="C85" s="175">
        <v>47015222</v>
      </c>
      <c r="D85" s="39" t="str">
        <f ca="1">VLOOKUP($C85,OFFSET(enemy_skills!$A$1,0,0,COUNTA(enemy_skills!$A:$A),MATCH(D$1,enemy_skills!$1:$1,0)-MATCH("enemy_skill_id",enemy_skills!$1:$1,0)+1),MATCH(D$1,enemy_skills!$1:$1,0)-MATCH("enemy_skill_id",enemy_skills!$1:$1,0)+1,FALSE)</f>
        <v>ダメだよ！</v>
      </c>
      <c r="E85" s="39" t="str">
        <f ca="1">VLOOKUP($C85,OFFSET(enemy_skills!$A$1,0,0,COUNTA(enemy_skills!$A:$A),MATCH(E$1,enemy_skills!$1:$1,0)-MATCH("enemy_skill_id",enemy_skills!$1:$1,0)+1),MATCH(E$1,enemy_skills!$1:$1,0)-MATCH("enemy_skill_id",enemy_skills!$1:$1,0)+1,FALSE)</f>
        <v>1ターン全ユニットにスキルバインド+_x000D_青パネルを緑のダメージパネルに4個変換</v>
      </c>
      <c r="F85" s="175">
        <v>47015222</v>
      </c>
      <c r="G85" s="41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5" s="41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85" s="41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85" s="41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1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1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85" s="41" t="str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5" s="41" t="str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5" s="41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85" s="40"/>
      <c r="Q85" s="40"/>
      <c r="R85" s="40"/>
    </row>
    <row r="86" spans="1:18" ht="31" customHeight="1" thickBot="1" x14ac:dyDescent="0.2">
      <c r="A86" s="103" t="str">
        <f t="shared" si="21"/>
        <v>47015220_47015223</v>
      </c>
      <c r="B86" s="116">
        <v>47015220</v>
      </c>
      <c r="C86" s="169">
        <v>47015223</v>
      </c>
      <c r="D86" s="39" t="str">
        <f ca="1">VLOOKUP($C86,OFFSET(enemy_skills!$A$1,0,0,COUNTA(enemy_skills!$A:$A),MATCH(D$1,enemy_skills!$1:$1,0)-MATCH("enemy_skill_id",enemy_skills!$1:$1,0)+1),MATCH(D$1,enemy_skills!$1:$1,0)-MATCH("enemy_skill_id",enemy_skills!$1:$1,0)+1,FALSE)</f>
        <v>もー</v>
      </c>
      <c r="E86" s="39" t="str">
        <f ca="1">VLOOKUP($C86,OFFSET(enemy_skills!$A$1,0,0,COUNTA(enemy_skills!$A:$A),MATCH(E$1,enemy_skills!$1:$1,0)-MATCH("enemy_skill_id",enemy_skills!$1:$1,0)+1),MATCH(E$1,enemy_skills!$1:$1,0)-MATCH("enemy_skill_id",enemy_skills!$1:$1,0)+1,FALSE)</f>
        <v>ハートパネルを緑のダメージパネルに3個変換+全体攻撃</v>
      </c>
      <c r="F86" s="169">
        <v>47015223</v>
      </c>
      <c r="G86" s="41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6" s="41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86" s="41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86" s="41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41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1" t="str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6" s="41" t="str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6" s="41" t="str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6" s="41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86" s="40"/>
      <c r="Q86" s="40"/>
      <c r="R86" s="40"/>
    </row>
    <row r="87" spans="1:18" s="105" customFormat="1" ht="31" customHeight="1" thickBot="1" x14ac:dyDescent="0.2">
      <c r="A87" s="104" t="str">
        <f t="shared" si="21"/>
        <v>47015220_47015224</v>
      </c>
      <c r="B87" s="116">
        <v>47015220</v>
      </c>
      <c r="C87" s="176">
        <v>47015224</v>
      </c>
      <c r="D87" s="99" t="str">
        <f ca="1">VLOOKUP($C87,OFFSET(enemy_skills!$A$1,0,0,COUNTA(enemy_skills!$A:$A),MATCH(D$1,enemy_skills!$1:$1,0)-MATCH("enemy_skill_id",enemy_skills!$1:$1,0)+1),MATCH(D$1,enemy_skills!$1:$1,0)-MATCH("enemy_skill_id",enemy_skills!$1:$1,0)+1,FALSE)</f>
        <v>ダメだって言ってるの！！</v>
      </c>
      <c r="E87" s="99" t="str">
        <f ca="1">VLOOKUP($C87,OFFSET(enemy_skills!$A$1,0,0,COUNTA(enemy_skills!$A:$A),MATCH(E$1,enemy_skills!$1:$1,0)-MATCH("enemy_skill_id",enemy_skills!$1:$1,0)+1),MATCH(E$1,enemy_skills!$1:$1,0)-MATCH("enemy_skill_id",enemy_skills!$1:$1,0)+1,FALSE)</f>
        <v>残りHPの30%ダメージ！+_x000D_属性パネルを緑のダメージパネルに4個変換</v>
      </c>
      <c r="F87" s="176">
        <v>47015224</v>
      </c>
      <c r="G87" s="100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7" s="100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87" s="100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100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7" s="100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100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7" s="100" t="str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7" s="100" t="str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7" s="100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98"/>
      <c r="Q87" s="98"/>
      <c r="R87" s="98"/>
    </row>
    <row r="88" spans="1:18" s="115" customFormat="1" ht="31" customHeight="1" thickBot="1" x14ac:dyDescent="0.2">
      <c r="A88" s="111" t="str">
        <f t="shared" si="21"/>
        <v>47015230_47015230</v>
      </c>
      <c r="B88" s="106">
        <v>47015230</v>
      </c>
      <c r="C88" s="171">
        <v>47015230</v>
      </c>
      <c r="D88" s="96" t="str">
        <f ca="1">VLOOKUP($C88,OFFSET(enemy_skills!$A$1,0,0,COUNTA(enemy_skills!$A:$A),MATCH(D$1,enemy_skills!$1:$1,0)-MATCH("enemy_skill_id",enemy_skills!$1:$1,0)+1),MATCH(D$1,enemy_skills!$1:$1,0)-MATCH("enemy_skill_id",enemy_skills!$1:$1,0)+1,FALSE)</f>
        <v>今のおねえさまの姿を見たら…</v>
      </c>
      <c r="E88" s="96" t="str">
        <f ca="1">VLOOKUP($C88,OFFSET(enemy_skills!$A$1,0,0,COUNTA(enemy_skills!$A:$A),MATCH(E$1,enemy_skills!$1:$1,0)-MATCH("enemy_skill_id",enemy_skills!$1:$1,0)+1),MATCH(E$1,enemy_skills!$1:$1,0)-MATCH("enemy_skill_id",enemy_skills!$1:$1,0)+1,FALSE)</f>
        <v>ぜったい好きになっちゃうよ！_x000D_【状態異常耐性+残りHPの20%ダメージ！】</v>
      </c>
      <c r="F88" s="171">
        <v>47015230</v>
      </c>
      <c r="G88" s="97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8" s="97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8" s="97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97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97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97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8" s="97" t="str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8" s="97" t="str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8" s="97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95"/>
      <c r="Q88" s="95"/>
      <c r="R88" s="95"/>
    </row>
    <row r="89" spans="1:18" ht="31" customHeight="1" thickBot="1" x14ac:dyDescent="0.2">
      <c r="A89" s="103" t="str">
        <f t="shared" si="21"/>
        <v>47015230_47015231</v>
      </c>
      <c r="B89" s="106">
        <v>47015230</v>
      </c>
      <c r="C89" s="172">
        <v>47015231</v>
      </c>
      <c r="D89" s="39" t="str">
        <f ca="1">VLOOKUP($C89,OFFSET(enemy_skills!$A$1,0,0,COUNTA(enemy_skills!$A:$A),MATCH(D$1,enemy_skills!$1:$1,0)-MATCH("enemy_skill_id",enemy_skills!$1:$1,0)+1),MATCH(D$1,enemy_skills!$1:$1,0)-MATCH("enemy_skill_id",enemy_skills!$1:$1,0)+1,FALSE)</f>
        <v>てい！</v>
      </c>
      <c r="E89" s="39" t="str">
        <f ca="1">VLOOKUP($C89,OFFSET(enemy_skills!$A$1,0,0,COUNTA(enemy_skills!$A:$A),MATCH(E$1,enemy_skills!$1:$1,0)-MATCH("enemy_skill_id",enemy_skills!$1:$1,0)+1),MATCH(E$1,enemy_skills!$1:$1,0)-MATCH("enemy_skill_id",enemy_skills!$1:$1,0)+1,FALSE)</f>
        <v>青パネルを吸収して攻撃</v>
      </c>
      <c r="F89" s="172">
        <v>47015231</v>
      </c>
      <c r="G89" s="41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9" s="41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89" s="41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89" s="41" t="str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9" s="41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41" t="str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9" s="41" t="str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9" s="41" t="str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9" s="41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89" s="40"/>
      <c r="Q89" s="40"/>
      <c r="R89" s="40"/>
    </row>
    <row r="90" spans="1:18" ht="31" customHeight="1" thickBot="1" x14ac:dyDescent="0.2">
      <c r="A90" s="103" t="str">
        <f t="shared" si="21"/>
        <v>47015230_47015232</v>
      </c>
      <c r="B90" s="106">
        <v>47015230</v>
      </c>
      <c r="C90" s="171">
        <v>47015232</v>
      </c>
      <c r="D90" s="39" t="str">
        <f ca="1">VLOOKUP($C90,OFFSET(enemy_skills!$A$1,0,0,COUNTA(enemy_skills!$A:$A),MATCH(D$1,enemy_skills!$1:$1,0)-MATCH("enemy_skill_id",enemy_skills!$1:$1,0)+1),MATCH(D$1,enemy_skills!$1:$1,0)-MATCH("enemy_skill_id",enemy_skills!$1:$1,0)+1,FALSE)</f>
        <v>帰ってよぉ</v>
      </c>
      <c r="E90" s="39" t="str">
        <f ca="1">VLOOKUP($C90,OFFSET(enemy_skills!$A$1,0,0,COUNTA(enemy_skills!$A:$A),MATCH(E$1,enemy_skills!$1:$1,0)-MATCH("enemy_skill_id",enemy_skills!$1:$1,0)+1),MATCH(E$1,enemy_skills!$1:$1,0)-MATCH("enemy_skill_id",enemy_skills!$1:$1,0)+1,FALSE)</f>
        <v>単体攻撃+特定エリアを緑パネルに変換</v>
      </c>
      <c r="F90" s="171">
        <v>47015232</v>
      </c>
      <c r="G90" s="41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0" s="41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90" s="41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90" s="41" t="str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0" s="41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41" t="str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0" s="41" t="str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0" s="41" t="str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0" s="41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90" s="40"/>
      <c r="Q90" s="40"/>
      <c r="R90" s="40"/>
    </row>
    <row r="91" spans="1:18" ht="31" customHeight="1" thickBot="1" x14ac:dyDescent="0.2">
      <c r="A91" s="103" t="str">
        <f t="shared" si="21"/>
        <v>47015230_47015233</v>
      </c>
      <c r="B91" s="106">
        <v>47015230</v>
      </c>
      <c r="C91" s="172">
        <v>47015233</v>
      </c>
      <c r="D91" s="39" t="str">
        <f ca="1">VLOOKUP($C91,OFFSET(enemy_skills!$A$1,0,0,COUNTA(enemy_skills!$A:$A),MATCH(D$1,enemy_skills!$1:$1,0)-MATCH("enemy_skill_id",enemy_skills!$1:$1,0)+1),MATCH(D$1,enemy_skills!$1:$1,0)-MATCH("enemy_skill_id",enemy_skills!$1:$1,0)+1,FALSE)</f>
        <v>どーしても帰らないなら！</v>
      </c>
      <c r="E91" s="39" t="str">
        <f ca="1">VLOOKUP($C91,OFFSET(enemy_skills!$A$1,0,0,COUNTA(enemy_skills!$A:$A),MATCH(E$1,enemy_skills!$1:$1,0)-MATCH("enemy_skill_id",enemy_skills!$1:$1,0)+1),MATCH(E$1,enemy_skills!$1:$1,0)-MATCH("enemy_skill_id",enemy_skills!$1:$1,0)+1,FALSE)</f>
        <v>属性パネルを緑のダメージパネルに8個変換</v>
      </c>
      <c r="F91" s="172">
        <v>47015233</v>
      </c>
      <c r="G91" s="41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1" s="41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91" s="41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1" s="41" t="str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1" s="41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41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1" s="41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91" s="41" t="str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1" s="41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1" s="40"/>
      <c r="Q91" s="40"/>
      <c r="R91" s="40"/>
    </row>
    <row r="92" spans="1:18" s="105" customFormat="1" ht="31" customHeight="1" thickBot="1" x14ac:dyDescent="0.2">
      <c r="A92" s="104" t="str">
        <f t="shared" si="21"/>
        <v>47015230_47015234</v>
      </c>
      <c r="B92" s="106">
        <v>47015230</v>
      </c>
      <c r="C92" s="171">
        <v>47015234</v>
      </c>
      <c r="D92" s="99" t="str">
        <f ca="1">VLOOKUP($C92,OFFSET(enemy_skills!$A$1,0,0,COUNTA(enemy_skills!$A:$A),MATCH(D$1,enemy_skills!$1:$1,0)-MATCH("enemy_skill_id",enemy_skills!$1:$1,0)+1),MATCH(D$1,enemy_skills!$1:$1,0)-MATCH("enemy_skill_id",enemy_skills!$1:$1,0)+1,FALSE)</f>
        <v>怒ったよ！</v>
      </c>
      <c r="E92" s="99" t="str">
        <f ca="1">VLOOKUP($C92,OFFSET(enemy_skills!$A$1,0,0,COUNTA(enemy_skills!$A:$A),MATCH(E$1,enemy_skills!$1:$1,0)-MATCH("enemy_skill_id",enemy_skills!$1:$1,0)+1),MATCH(E$1,enemy_skills!$1:$1,0)-MATCH("enemy_skill_id",enemy_skills!$1:$1,0)+1,FALSE)</f>
        <v>行動頻度UP+_x000D_5ターン確率でCパネルがドロップ</v>
      </c>
      <c r="F92" s="171">
        <v>47015234</v>
      </c>
      <c r="G92" s="100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2" s="100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115</v>
      </c>
      <c r="I92" s="100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100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92" s="100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100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2" s="100" t="str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2" s="100" t="str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2" s="100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98"/>
      <c r="Q92" s="98"/>
      <c r="R92" s="98"/>
    </row>
    <row r="93" spans="1:18" s="115" customFormat="1" ht="31" customHeight="1" thickBot="1" x14ac:dyDescent="0.2">
      <c r="A93" s="111" t="str">
        <f t="shared" si="21"/>
        <v>47015240_47015240</v>
      </c>
      <c r="B93" s="106">
        <v>47015240</v>
      </c>
      <c r="C93" s="177">
        <v>47015240</v>
      </c>
      <c r="D93" s="96" t="str">
        <f ca="1">VLOOKUP($C93,OFFSET(enemy_skills!$A$1,0,0,COUNTA(enemy_skills!$A:$A),MATCH(D$1,enemy_skills!$1:$1,0)-MATCH("enemy_skill_id",enemy_skills!$1:$1,0)+1),MATCH(D$1,enemy_skills!$1:$1,0)-MATCH("enemy_skill_id",enemy_skills!$1:$1,0)+1,FALSE)</f>
        <v>誰ですか？_x000D_興を削がれてしまったのですが。</v>
      </c>
      <c r="E93" s="96" t="str">
        <f ca="1">VLOOKUP($C93,OFFSET(enemy_skills!$A$1,0,0,COUNTA(enemy_skills!$A:$A),MATCH(E$1,enemy_skills!$1:$1,0)-MATCH("enemy_skill_id",enemy_skills!$1:$1,0)+1),MATCH(E$1,enemy_skills!$1:$1,0)-MATCH("enemy_skill_id",enemy_skills!$1:$1,0)+1,FALSE)</f>
        <v>《とても怒っている…》_x000D_【状態異常耐性+6ターン攻撃力大UP+_x000D_全ユニットの攻撃力50%DOWN】</v>
      </c>
      <c r="F93" s="177">
        <v>47015240</v>
      </c>
      <c r="G93" s="97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3" s="97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3" s="97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97" t="str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3" s="97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97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3" s="97" t="str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3" s="97" t="str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3" s="97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95"/>
      <c r="Q93" s="95"/>
      <c r="R93" s="95"/>
    </row>
    <row r="94" spans="1:18" ht="31" customHeight="1" thickBot="1" x14ac:dyDescent="0.2">
      <c r="A94" s="103" t="str">
        <f t="shared" si="21"/>
        <v>47015240_47015241</v>
      </c>
      <c r="B94" s="106">
        <v>47015240</v>
      </c>
      <c r="C94" s="169">
        <v>47015241</v>
      </c>
      <c r="D94" s="39" t="str">
        <f ca="1">VLOOKUP($C94,OFFSET(enemy_skills!$A$1,0,0,COUNTA(enemy_skills!$A:$A),MATCH(D$1,enemy_skills!$1:$1,0)-MATCH("enemy_skill_id",enemy_skills!$1:$1,0)+1),MATCH(D$1,enemy_skills!$1:$1,0)-MATCH("enemy_skill_id",enemy_skills!$1:$1,0)+1,FALSE)</f>
        <v>深山の芽吹き</v>
      </c>
      <c r="E94" s="39" t="str">
        <f ca="1">VLOOKUP($C94,OFFSET(enemy_skills!$A$1,0,0,COUNTA(enemy_skills!$A:$A),MATCH(E$1,enemy_skills!$1:$1,0)-MATCH("enemy_skill_id",enemy_skills!$1:$1,0)+1),MATCH(E$1,enemy_skills!$1:$1,0)-MATCH("enemy_skill_id",enemy_skills!$1:$1,0)+1,FALSE)</f>
        <v>緑パネルを吸収して攻撃+自己回復</v>
      </c>
      <c r="F94" s="169">
        <v>47015241</v>
      </c>
      <c r="G94" s="41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4" s="41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94" s="41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94" s="41" t="str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4" s="41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41" t="str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4" s="41" t="str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4" s="41" t="str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4" s="41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94" s="40"/>
      <c r="Q94" s="40"/>
      <c r="R94" s="40"/>
    </row>
    <row r="95" spans="1:18" ht="31" customHeight="1" thickBot="1" x14ac:dyDescent="0.2">
      <c r="A95" s="103" t="str">
        <f t="shared" si="21"/>
        <v>47015240_47015242</v>
      </c>
      <c r="B95" s="195">
        <v>47015240</v>
      </c>
      <c r="C95" s="177">
        <v>47015242</v>
      </c>
      <c r="D95" s="39" t="str">
        <f ca="1">VLOOKUP($C95,OFFSET(enemy_skills!$A$1,0,0,COUNTA(enemy_skills!$A:$A),MATCH(D$1,enemy_skills!$1:$1,0)-MATCH("enemy_skill_id",enemy_skills!$1:$1,0)+1),MATCH(D$1,enemy_skills!$1:$1,0)-MATCH("enemy_skill_id",enemy_skills!$1:$1,0)+1,FALSE)</f>
        <v>私に本気を出させてみなさい</v>
      </c>
      <c r="E95" s="39" t="str">
        <f ca="1">VLOOKUP($C95,OFFSET(enemy_skills!$A$1,0,0,COUNTA(enemy_skills!$A:$A),MATCH(E$1,enemy_skills!$1:$1,0)-MATCH("enemy_skill_id",enemy_skills!$1:$1,0)+1),MATCH(E$1,enemy_skills!$1:$1,0)-MATCH("enemy_skill_id",enemy_skills!$1:$1,0)+1,FALSE)</f>
        <v>全体攻撃+2ターン全ユニットにウィルス</v>
      </c>
      <c r="F95" s="177">
        <v>47015242</v>
      </c>
      <c r="G95" s="41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5" s="41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95" s="41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95" s="41" t="str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5" s="41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41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5" s="41" t="str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5" s="41" t="str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5" s="41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95" s="40"/>
      <c r="Q95" s="40"/>
      <c r="R95" s="40"/>
    </row>
    <row r="96" spans="1:18" s="122" customFormat="1" ht="31" customHeight="1" thickBot="1" x14ac:dyDescent="0.2">
      <c r="A96" s="118" t="str">
        <f t="shared" si="21"/>
        <v>47015240_47015243</v>
      </c>
      <c r="B96" s="195">
        <v>47015240</v>
      </c>
      <c r="C96" s="169">
        <v>47015243</v>
      </c>
      <c r="D96" s="120" t="str">
        <f ca="1">VLOOKUP($C96,OFFSET(enemy_skills!$A$1,0,0,COUNTA(enemy_skills!$A:$A),MATCH(D$1,enemy_skills!$1:$1,0)-MATCH("enemy_skill_id",enemy_skills!$1:$1,0)+1),MATCH(D$1,enemy_skills!$1:$1,0)-MATCH("enemy_skill_id",enemy_skills!$1:$1,0)+1,FALSE)</f>
        <v>ふふ、命知らずですね</v>
      </c>
      <c r="E96" s="120" t="str">
        <f ca="1">VLOOKUP($C96,OFFSET(enemy_skills!$A$1,0,0,COUNTA(enemy_skills!$A:$A),MATCH(E$1,enemy_skills!$1:$1,0)-MATCH("enemy_skill_id",enemy_skills!$1:$1,0)+1),MATCH(E$1,enemy_skills!$1:$1,0)-MATCH("enemy_skill_id",enemy_skills!$1:$1,0)+1,FALSE)</f>
        <v>行動頻度UP+_x000D_属性パネルを緑のダメージパネルに3個変換</v>
      </c>
      <c r="F96" s="169">
        <v>47015243</v>
      </c>
      <c r="G96" s="121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6" s="121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96" s="121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6" s="121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96" s="121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121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6" s="121" t="str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6" s="121" t="str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6" s="121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6" s="119"/>
      <c r="Q96" s="119"/>
      <c r="R96" s="119"/>
    </row>
    <row r="97" spans="1:18" s="115" customFormat="1" ht="31" customHeight="1" thickBot="1" x14ac:dyDescent="0.2">
      <c r="A97" s="111" t="str">
        <f t="shared" si="21"/>
        <v>47015240_47015244</v>
      </c>
      <c r="B97" s="195">
        <v>47015240</v>
      </c>
      <c r="C97" s="177">
        <v>47015244</v>
      </c>
      <c r="D97" s="96" t="str">
        <f ca="1">VLOOKUP($C97,OFFSET(enemy_skills!$A$1,0,0,COUNTA(enemy_skills!$A:$A),MATCH(D$1,enemy_skills!$1:$1,0)-MATCH("enemy_skill_id",enemy_skills!$1:$1,0)+1),MATCH(D$1,enemy_skills!$1:$1,0)-MATCH("enemy_skill_id",enemy_skills!$1:$1,0)+1,FALSE)</f>
        <v>貴方も中々の美貌ですね</v>
      </c>
      <c r="E97" s="96" t="str">
        <f ca="1">VLOOKUP($C97,OFFSET(enemy_skills!$A$1,0,0,COUNTA(enemy_skills!$A:$A),MATCH(E$1,enemy_skills!$1:$1,0)-MATCH("enemy_skill_id",enemy_skills!$1:$1,0)+1),MATCH(E$1,enemy_skills!$1:$1,0)-MATCH("enemy_skill_id",enemy_skills!$1:$1,0)+1,FALSE)</f>
        <v>では、勝負といきましょう！_x000D_【状態異常耐性+6ターン攻撃力大UP+_x000D_全ユニットの攻撃力50%DOWN】</v>
      </c>
      <c r="F97" s="177">
        <v>47015244</v>
      </c>
      <c r="G97" s="97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7" s="97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119</v>
      </c>
      <c r="I97" s="97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7" s="97" t="str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7" s="97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97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7" s="97" t="str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7" s="97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1703</v>
      </c>
      <c r="O97" s="97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7" s="95"/>
      <c r="Q97" s="95"/>
      <c r="R97" s="95"/>
    </row>
    <row r="98" spans="1:18" s="115" customFormat="1" ht="31" customHeight="1" thickBot="1" x14ac:dyDescent="0.2">
      <c r="A98" s="111" t="str">
        <f t="shared" si="21"/>
        <v>47015240_47015245</v>
      </c>
      <c r="B98" s="195">
        <v>47015240</v>
      </c>
      <c r="C98" s="169">
        <v>47015245</v>
      </c>
      <c r="D98" s="96" t="str">
        <f ca="1">VLOOKUP($C98,OFFSET(enemy_skills!$A$1,0,0,COUNTA(enemy_skills!$A:$A),MATCH(D$1,enemy_skills!$1:$1,0)-MATCH("enemy_skill_id",enemy_skills!$1:$1,0)+1),MATCH(D$1,enemy_skills!$1:$1,0)-MATCH("enemy_skill_id",enemy_skills!$1:$1,0)+1,FALSE)</f>
        <v>貴方も中々の美貌ですね</v>
      </c>
      <c r="E98" s="96" t="str">
        <f ca="1">VLOOKUP($C98,OFFSET(enemy_skills!$A$1,0,0,COUNTA(enemy_skills!$A:$A),MATCH(E$1,enemy_skills!$1:$1,0)-MATCH("enemy_skill_id",enemy_skills!$1:$1,0)+1),MATCH(E$1,enemy_skills!$1:$1,0)-MATCH("enemy_skill_id",enemy_skills!$1:$1,0)+1,FALSE)</f>
        <v>では、勝負といきましょう！_x000D_【状態異常耐性+6ターン攻撃力大UP+_x000D_全ユニットの攻撃力50%DOWN】</v>
      </c>
      <c r="F98" s="169">
        <v>47015245</v>
      </c>
      <c r="G98" s="97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8" s="97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118</v>
      </c>
      <c r="I98" s="97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8" s="97" t="str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8" s="97" t="str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8" s="97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8" s="97" t="str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8" s="97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1704</v>
      </c>
      <c r="O98" s="97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8" s="95"/>
      <c r="Q98" s="95"/>
      <c r="R98" s="95"/>
    </row>
    <row r="99" spans="1:18" s="115" customFormat="1" ht="31" customHeight="1" thickBot="1" x14ac:dyDescent="0.2">
      <c r="A99" s="111" t="str">
        <f t="shared" si="21"/>
        <v>47015240_47015246</v>
      </c>
      <c r="B99" s="195">
        <v>47015240</v>
      </c>
      <c r="C99" s="177">
        <v>47015246</v>
      </c>
      <c r="D99" s="96" t="str">
        <f ca="1">VLOOKUP($C99,OFFSET(enemy_skills!$A$1,0,0,COUNTA(enemy_skills!$A:$A),MATCH(D$1,enemy_skills!$1:$1,0)-MATCH("enemy_skill_id",enemy_skills!$1:$1,0)+1),MATCH(D$1,enemy_skills!$1:$1,0)-MATCH("enemy_skill_id",enemy_skills!$1:$1,0)+1,FALSE)</f>
        <v>姉の晴れ着姿はどうです？</v>
      </c>
      <c r="E99" s="96" t="str">
        <f ca="1">VLOOKUP($C99,OFFSET(enemy_skills!$A$1,0,0,COUNTA(enemy_skills!$A:$A),MATCH(E$1,enemy_skills!$1:$1,0)-MATCH("enemy_skill_id",enemy_skills!$1:$1,0)+1),MATCH(E$1,enemy_skills!$1:$1,0)-MATCH("enemy_skill_id",enemy_skills!$1:$1,0)+1,FALSE)</f>
        <v>「美しすぎます！おねえさま！」_x000D_【状態異常耐性+6ターン攻撃力大UP+_x000D_全ユニットの攻撃力50%DOWN】</v>
      </c>
      <c r="F99" s="177">
        <v>47015246</v>
      </c>
      <c r="G99" s="97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9" s="97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117</v>
      </c>
      <c r="I99" s="97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9" s="97" t="str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9" s="97" t="str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9" s="97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9" s="97" t="str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9" s="97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1326</v>
      </c>
      <c r="O99" s="97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9" s="95"/>
      <c r="Q99" s="95"/>
      <c r="R99" s="95"/>
    </row>
    <row r="100" spans="1:18" s="115" customFormat="1" ht="31" customHeight="1" thickBot="1" x14ac:dyDescent="0.2">
      <c r="A100" s="111" t="str">
        <f t="shared" si="21"/>
        <v>47015240_47015247</v>
      </c>
      <c r="B100" s="195">
        <v>47015240</v>
      </c>
      <c r="C100" s="169">
        <v>47015247</v>
      </c>
      <c r="D100" s="96" t="str">
        <f ca="1">VLOOKUP($C100,OFFSET(enemy_skills!$A$1,0,0,COUNTA(enemy_skills!$A:$A),MATCH(D$1,enemy_skills!$1:$1,0)-MATCH("enemy_skill_id",enemy_skills!$1:$1,0)+1),MATCH(D$1,enemy_skills!$1:$1,0)-MATCH("enemy_skill_id",enemy_skills!$1:$1,0)+1,FALSE)</f>
        <v>姉の晴れ着姿はどうです？</v>
      </c>
      <c r="E100" s="96" t="str">
        <f ca="1">VLOOKUP($C100,OFFSET(enemy_skills!$A$1,0,0,COUNTA(enemy_skills!$A:$A),MATCH(E$1,enemy_skills!$1:$1,0)-MATCH("enemy_skill_id",enemy_skills!$1:$1,0)+1),MATCH(E$1,enemy_skills!$1:$1,0)-MATCH("enemy_skill_id",enemy_skills!$1:$1,0)+1,FALSE)</f>
        <v>「美しすぎます！おねえさま！」_x000D_【状態異常耐性+6ターン攻撃力大UP+_x000D_全ユニットの攻撃力50%DOWN】</v>
      </c>
      <c r="F100" s="169">
        <v>47015247</v>
      </c>
      <c r="G100" s="97">
        <f ca="1">VLOOKUP($F100,OFFSET(enemy_skill_triggers!$A$1,0,0,COUNTA(enemy_skill_triggers!$A:$A),MATCH(G$1,enemy_skill_triggers!$1:$1,0)-MATCH($F$1,enemy_skill_triggers!$1:$1,0)+1),MATCH(G$1,enemy_skill_triggers!$1:$1,0)-MATCH($F$1,enemy_skill_triggers!$1:$1,0)+1,FALSE)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0" s="97">
        <f ca="1">VLOOKUP($F100,OFFSET(enemy_skill_triggers!$A$1,0,0,COUNTA(enemy_skill_triggers!$A:$A),MATCH(H$1,enemy_skill_triggers!$1:$1,0)-MATCH($F$1,enemy_skill_triggers!$1:$1,0)+1),MATCH(H$1,enemy_skill_triggers!$1:$1,0)-MATCH($F$1,enemy_skill_triggers!$1:$1,0)+1,FALSE)</f>
        <v>116</v>
      </c>
      <c r="I100" s="97">
        <f ca="1">VLOOKUP($F100,OFFSET(enemy_skill_triggers!$A$1,0,0,COUNTA(enemy_skill_triggers!$A:$A),MATCH(I$1,enemy_skill_triggers!$1:$1,0)-MATCH($F$1,enemy_skill_triggers!$1:$1,0)+1),MATCH(I$1,enemy_skill_triggers!$1:$1,0)-MATCH($F$1,enemy_skill_triggers!$1:$1,0)+1,FALSE)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0" s="97" t="str">
        <f ca="1">VLOOKUP($F100,OFFSET(enemy_skill_triggers!$A$1,0,0,COUNTA(enemy_skill_triggers!$A:$A),MATCH(J$1,enemy_skill_triggers!$1:$1,0)-MATCH($F$1,enemy_skill_triggers!$1:$1,0)+1),MATCH(J$1,enemy_skill_triggers!$1:$1,0)-MATCH($F$1,enemy_skill_triggers!$1:$1,0)+1,FALSE)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0" s="97" t="str">
        <f ca="1">VLOOKUP($F100,OFFSET(enemy_skill_triggers!$A$1,0,0,COUNTA(enemy_skill_triggers!$A:$A),MATCH(K$1,enemy_skill_triggers!$1:$1,0)-MATCH($F$1,enemy_skill_triggers!$1:$1,0)+1),MATCH(K$1,enemy_skill_triggers!$1:$1,0)-MATCH($F$1,enemy_skill_triggers!$1:$1,0)+1,FALSE)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0" s="97">
        <f ca="1">VLOOKUP($F100,OFFSET(enemy_skill_triggers!$A$1,0,0,COUNTA(enemy_skill_triggers!$A:$A),MATCH(L$1,enemy_skill_triggers!$1:$1,0)-MATCH($F$1,enemy_skill_triggers!$1:$1,0)+1),MATCH(L$1,enemy_skill_triggers!$1:$1,0)-MATCH($F$1,enemy_skill_triggers!$1:$1,0)+1,FALSE)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0" s="97" t="str">
        <f ca="1">VLOOKUP($F100,OFFSET(enemy_skill_triggers!$A$1,0,0,COUNTA(enemy_skill_triggers!$A:$A),MATCH(M$1,enemy_skill_triggers!$1:$1,0)-MATCH($F$1,enemy_skill_triggers!$1:$1,0)+1),MATCH(M$1,enemy_skill_triggers!$1:$1,0)-MATCH($F$1,enemy_skill_triggers!$1:$1,0)+1,FALSE)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0" s="97">
        <f ca="1">VLOOKUP($F100,OFFSET(enemy_skill_triggers!$A$1,0,0,COUNTA(enemy_skill_triggers!$A:$A),MATCH(N$1,enemy_skill_triggers!$1:$1,0)-MATCH($F$1,enemy_skill_triggers!$1:$1,0)+1),MATCH(N$1,enemy_skill_triggers!$1:$1,0)-MATCH($F$1,enemy_skill_triggers!$1:$1,0)+1,FALSE)</f>
        <v>1327</v>
      </c>
      <c r="O100" s="97">
        <f ca="1">VLOOKUP($F100,OFFSET(enemy_skill_triggers!$A$1,0,0,COUNTA(enemy_skill_triggers!$A:$A),MATCH(O$1,enemy_skill_triggers!$1:$1,0)-MATCH($F$1,enemy_skill_triggers!$1:$1,0)+1),MATCH(O$1,enemy_skill_triggers!$1:$1,0)-MATCH($F$1,enemy_skill_triggers!$1:$1,0)+1,FALSE)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0" s="95"/>
      <c r="Q100" s="95"/>
      <c r="R100" s="95"/>
    </row>
    <row r="101" spans="1:18" s="115" customFormat="1" ht="31" customHeight="1" thickBot="1" x14ac:dyDescent="0.2">
      <c r="A101" s="111" t="str">
        <f t="shared" si="21"/>
        <v>47015240_47015248</v>
      </c>
      <c r="B101" s="195">
        <v>47015240</v>
      </c>
      <c r="C101" s="177">
        <v>47015248</v>
      </c>
      <c r="D101" s="96" t="str">
        <f ca="1">VLOOKUP($C101,OFFSET(enemy_skills!$A$1,0,0,COUNTA(enemy_skills!$A:$A),MATCH(D$1,enemy_skills!$1:$1,0)-MATCH("enemy_skill_id",enemy_skills!$1:$1,0)+1),MATCH(D$1,enemy_skills!$1:$1,0)-MATCH("enemy_skill_id",enemy_skills!$1:$1,0)+1,FALSE)</f>
        <v>”じゅーんぶらいど”という行事らしいですよ！</v>
      </c>
      <c r="E101" s="96" t="str">
        <f ca="1">VLOOKUP($C101,OFFSET(enemy_skills!$A$1,0,0,COUNTA(enemy_skills!$A:$A),MATCH(E$1,enemy_skills!$1:$1,0)-MATCH("enemy_skill_id",enemy_skills!$1:$1,0)+1),MATCH(E$1,enemy_skills!$1:$1,0)-MATCH("enemy_skill_id",enemy_skills!$1:$1,0)+1,FALSE)</f>
        <v>この衣装似合っていますか？_x000D_【状態異常耐性+6ターン攻撃力大UP+ _x000D_全ユニットの攻撃力50%DOWN】</v>
      </c>
      <c r="F101" s="177">
        <v>47015248</v>
      </c>
      <c r="G101" s="97">
        <f ca="1">VLOOKUP($F101,OFFSET(enemy_skill_triggers!$A$1,0,0,COUNTA(enemy_skill_triggers!$A:$A),MATCH(G$1,enemy_skill_triggers!$1:$1,0)-MATCH($F$1,enemy_skill_triggers!$1:$1,0)+1),MATCH(G$1,enemy_skill_triggers!$1:$1,0)-MATCH($F$1,enemy_skill_triggers!$1:$1,0)+1,FALSE)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1" s="97">
        <f ca="1">VLOOKUP($F101,OFFSET(enemy_skill_triggers!$A$1,0,0,COUNTA(enemy_skill_triggers!$A:$A),MATCH(H$1,enemy_skill_triggers!$1:$1,0)-MATCH($F$1,enemy_skill_triggers!$1:$1,0)+1),MATCH(H$1,enemy_skill_triggers!$1:$1,0)-MATCH($F$1,enemy_skill_triggers!$1:$1,0)+1,FALSE)</f>
        <v>115</v>
      </c>
      <c r="I101" s="97">
        <f ca="1">VLOOKUP($F101,OFFSET(enemy_skill_triggers!$A$1,0,0,COUNTA(enemy_skill_triggers!$A:$A),MATCH(I$1,enemy_skill_triggers!$1:$1,0)-MATCH($F$1,enemy_skill_triggers!$1:$1,0)+1),MATCH(I$1,enemy_skill_triggers!$1:$1,0)-MATCH($F$1,enemy_skill_triggers!$1:$1,0)+1,FALSE)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1" s="97" t="str">
        <f ca="1">VLOOKUP($F101,OFFSET(enemy_skill_triggers!$A$1,0,0,COUNTA(enemy_skill_triggers!$A:$A),MATCH(J$1,enemy_skill_triggers!$1:$1,0)-MATCH($F$1,enemy_skill_triggers!$1:$1,0)+1),MATCH(J$1,enemy_skill_triggers!$1:$1,0)-MATCH($F$1,enemy_skill_triggers!$1:$1,0)+1,FALSE)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1" s="97" t="str">
        <f ca="1">VLOOKUP($F101,OFFSET(enemy_skill_triggers!$A$1,0,0,COUNTA(enemy_skill_triggers!$A:$A),MATCH(K$1,enemy_skill_triggers!$1:$1,0)-MATCH($F$1,enemy_skill_triggers!$1:$1,0)+1),MATCH(K$1,enemy_skill_triggers!$1:$1,0)-MATCH($F$1,enemy_skill_triggers!$1:$1,0)+1,FALSE)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1" s="97">
        <f ca="1">VLOOKUP($F101,OFFSET(enemy_skill_triggers!$A$1,0,0,COUNTA(enemy_skill_triggers!$A:$A),MATCH(L$1,enemy_skill_triggers!$1:$1,0)-MATCH($F$1,enemy_skill_triggers!$1:$1,0)+1),MATCH(L$1,enemy_skill_triggers!$1:$1,0)-MATCH($F$1,enemy_skill_triggers!$1:$1,0)+1,FALSE)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1" s="97" t="str">
        <f ca="1">VLOOKUP($F101,OFFSET(enemy_skill_triggers!$A$1,0,0,COUNTA(enemy_skill_triggers!$A:$A),MATCH(M$1,enemy_skill_triggers!$1:$1,0)-MATCH($F$1,enemy_skill_triggers!$1:$1,0)+1),MATCH(M$1,enemy_skill_triggers!$1:$1,0)-MATCH($F$1,enemy_skill_triggers!$1:$1,0)+1,FALSE)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1" s="97">
        <f ca="1">VLOOKUP($F101,OFFSET(enemy_skill_triggers!$A$1,0,0,COUNTA(enemy_skill_triggers!$A:$A),MATCH(N$1,enemy_skill_triggers!$1:$1,0)-MATCH($F$1,enemy_skill_triggers!$1:$1,0)+1),MATCH(N$1,enemy_skill_triggers!$1:$1,0)-MATCH($F$1,enemy_skill_triggers!$1:$1,0)+1,FALSE)</f>
        <v>235</v>
      </c>
      <c r="O101" s="97">
        <f ca="1">VLOOKUP($F101,OFFSET(enemy_skill_triggers!$A$1,0,0,COUNTA(enemy_skill_triggers!$A:$A),MATCH(O$1,enemy_skill_triggers!$1:$1,0)-MATCH($F$1,enemy_skill_triggers!$1:$1,0)+1),MATCH(O$1,enemy_skill_triggers!$1:$1,0)-MATCH($F$1,enemy_skill_triggers!$1:$1,0)+1,FALSE)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1" s="95"/>
      <c r="Q101" s="95"/>
      <c r="R101" s="95"/>
    </row>
    <row r="102" spans="1:18" s="115" customFormat="1" ht="31" customHeight="1" thickBot="1" x14ac:dyDescent="0.2">
      <c r="A102" s="111" t="str">
        <f t="shared" si="21"/>
        <v>47015240_47015249</v>
      </c>
      <c r="B102" s="195">
        <v>47015240</v>
      </c>
      <c r="C102" s="169">
        <v>47015249</v>
      </c>
      <c r="D102" s="96" t="str">
        <f ca="1">VLOOKUP($C102,OFFSET(enemy_skills!$A$1,0,0,COUNTA(enemy_skills!$A:$A),MATCH(D$1,enemy_skills!$1:$1,0)-MATCH("enemy_skill_id",enemy_skills!$1:$1,0)+1),MATCH(D$1,enemy_skills!$1:$1,0)-MATCH("enemy_skill_id",enemy_skills!$1:$1,0)+1,FALSE)</f>
        <v>”じゅーんぶらいど”という行事らしいですよ！</v>
      </c>
      <c r="E102" s="96" t="str">
        <f ca="1">VLOOKUP($C102,OFFSET(enemy_skills!$A$1,0,0,COUNTA(enemy_skills!$A:$A),MATCH(E$1,enemy_skills!$1:$1,0)-MATCH("enemy_skill_id",enemy_skills!$1:$1,0)+1),MATCH(E$1,enemy_skills!$1:$1,0)-MATCH("enemy_skill_id",enemy_skills!$1:$1,0)+1,FALSE)</f>
        <v>この衣装似合っていますか？_x000D_【状態異常耐性+6ターン攻撃力大UP+_x000D_全ユニットの攻撃力50%DOWN】</v>
      </c>
      <c r="F102" s="169">
        <v>47015249</v>
      </c>
      <c r="G102" s="97">
        <f ca="1">VLOOKUP($F102,OFFSET(enemy_skill_triggers!$A$1,0,0,COUNTA(enemy_skill_triggers!$A:$A),MATCH(G$1,enemy_skill_triggers!$1:$1,0)-MATCH($F$1,enemy_skill_triggers!$1:$1,0)+1),MATCH(G$1,enemy_skill_triggers!$1:$1,0)-MATCH($F$1,enemy_skill_triggers!$1:$1,0)+1,FALSE)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2" s="97">
        <f ca="1">VLOOKUP($F102,OFFSET(enemy_skill_triggers!$A$1,0,0,COUNTA(enemy_skill_triggers!$A:$A),MATCH(H$1,enemy_skill_triggers!$1:$1,0)-MATCH($F$1,enemy_skill_triggers!$1:$1,0)+1),MATCH(H$1,enemy_skill_triggers!$1:$1,0)-MATCH($F$1,enemy_skill_triggers!$1:$1,0)+1,FALSE)</f>
        <v>114</v>
      </c>
      <c r="I102" s="97">
        <f ca="1">VLOOKUP($F102,OFFSET(enemy_skill_triggers!$A$1,0,0,COUNTA(enemy_skill_triggers!$A:$A),MATCH(I$1,enemy_skill_triggers!$1:$1,0)-MATCH($F$1,enemy_skill_triggers!$1:$1,0)+1),MATCH(I$1,enemy_skill_triggers!$1:$1,0)-MATCH($F$1,enemy_skill_triggers!$1:$1,0)+1,FALSE)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2" s="97" t="str">
        <f ca="1">VLOOKUP($F102,OFFSET(enemy_skill_triggers!$A$1,0,0,COUNTA(enemy_skill_triggers!$A:$A),MATCH(J$1,enemy_skill_triggers!$1:$1,0)-MATCH($F$1,enemy_skill_triggers!$1:$1,0)+1),MATCH(J$1,enemy_skill_triggers!$1:$1,0)-MATCH($F$1,enemy_skill_triggers!$1:$1,0)+1,FALSE)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2" s="97" t="str">
        <f ca="1">VLOOKUP($F102,OFFSET(enemy_skill_triggers!$A$1,0,0,COUNTA(enemy_skill_triggers!$A:$A),MATCH(K$1,enemy_skill_triggers!$1:$1,0)-MATCH($F$1,enemy_skill_triggers!$1:$1,0)+1),MATCH(K$1,enemy_skill_triggers!$1:$1,0)-MATCH($F$1,enemy_skill_triggers!$1:$1,0)+1,FALSE)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2" s="97">
        <f ca="1">VLOOKUP($F102,OFFSET(enemy_skill_triggers!$A$1,0,0,COUNTA(enemy_skill_triggers!$A:$A),MATCH(L$1,enemy_skill_triggers!$1:$1,0)-MATCH($F$1,enemy_skill_triggers!$1:$1,0)+1),MATCH(L$1,enemy_skill_triggers!$1:$1,0)-MATCH($F$1,enemy_skill_triggers!$1:$1,0)+1,FALSE)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2" s="97" t="str">
        <f ca="1">VLOOKUP($F102,OFFSET(enemy_skill_triggers!$A$1,0,0,COUNTA(enemy_skill_triggers!$A:$A),MATCH(M$1,enemy_skill_triggers!$1:$1,0)-MATCH($F$1,enemy_skill_triggers!$1:$1,0)+1),MATCH(M$1,enemy_skill_triggers!$1:$1,0)-MATCH($F$1,enemy_skill_triggers!$1:$1,0)+1,FALSE)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2" s="97">
        <f ca="1">VLOOKUP($F102,OFFSET(enemy_skill_triggers!$A$1,0,0,COUNTA(enemy_skill_triggers!$A:$A),MATCH(N$1,enemy_skill_triggers!$1:$1,0)-MATCH($F$1,enemy_skill_triggers!$1:$1,0)+1),MATCH(N$1,enemy_skill_triggers!$1:$1,0)-MATCH($F$1,enemy_skill_triggers!$1:$1,0)+1,FALSE)</f>
        <v>236</v>
      </c>
      <c r="O102" s="97">
        <f ca="1">VLOOKUP($F102,OFFSET(enemy_skill_triggers!$A$1,0,0,COUNTA(enemy_skill_triggers!$A:$A),MATCH(O$1,enemy_skill_triggers!$1:$1,0)-MATCH($F$1,enemy_skill_triggers!$1:$1,0)+1),MATCH(O$1,enemy_skill_triggers!$1:$1,0)-MATCH($F$1,enemy_skill_triggers!$1:$1,0)+1,FALSE)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2" s="95"/>
      <c r="Q102" s="95"/>
      <c r="R102" s="95"/>
    </row>
    <row r="103" spans="1:18" s="115" customFormat="1" ht="31" customHeight="1" thickBot="1" x14ac:dyDescent="0.2">
      <c r="A103" s="111" t="str">
        <f t="shared" si="21"/>
        <v>47015240_47015250</v>
      </c>
      <c r="B103" s="195">
        <v>47015240</v>
      </c>
      <c r="C103" s="177">
        <v>47015250</v>
      </c>
      <c r="D103" s="96" t="str">
        <f ca="1">VLOOKUP($C103,OFFSET(enemy_skills!$A$1,0,0,COUNTA(enemy_skills!$A:$A),MATCH(D$1,enemy_skills!$1:$1,0)-MATCH("enemy_skill_id",enemy_skills!$1:$1,0)+1),MATCH(D$1,enemy_skills!$1:$1,0)-MATCH("enemy_skill_id",enemy_skills!$1:$1,0)+1,FALSE)</f>
        <v>”じゅーんぶらいど”という行事らしいですよ！</v>
      </c>
      <c r="E103" s="96" t="str">
        <f ca="1">VLOOKUP($C103,OFFSET(enemy_skills!$A$1,0,0,COUNTA(enemy_skills!$A:$A),MATCH(E$1,enemy_skills!$1:$1,0)-MATCH("enemy_skill_id",enemy_skills!$1:$1,0)+1),MATCH(E$1,enemy_skills!$1:$1,0)-MATCH("enemy_skill_id",enemy_skills!$1:$1,0)+1,FALSE)</f>
        <v>この衣装似合っていますか？_x000D_【状態異常耐性+6ターン攻撃力大UP+_x000D_全ユニットの攻撃力50%DOWN】</v>
      </c>
      <c r="F103" s="177">
        <v>47015250</v>
      </c>
      <c r="G103" s="97">
        <f ca="1">VLOOKUP($F103,OFFSET(enemy_skill_triggers!$A$1,0,0,COUNTA(enemy_skill_triggers!$A:$A),MATCH(G$1,enemy_skill_triggers!$1:$1,0)-MATCH($F$1,enemy_skill_triggers!$1:$1,0)+1),MATCH(G$1,enemy_skill_triggers!$1:$1,0)-MATCH($F$1,enemy_skill_triggers!$1:$1,0)+1,FALSE)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3" s="97">
        <f ca="1">VLOOKUP($F103,OFFSET(enemy_skill_triggers!$A$1,0,0,COUNTA(enemy_skill_triggers!$A:$A),MATCH(H$1,enemy_skill_triggers!$1:$1,0)-MATCH($F$1,enemy_skill_triggers!$1:$1,0)+1),MATCH(H$1,enemy_skill_triggers!$1:$1,0)-MATCH($F$1,enemy_skill_triggers!$1:$1,0)+1,FALSE)</f>
        <v>113</v>
      </c>
      <c r="I103" s="97">
        <f ca="1">VLOOKUP($F103,OFFSET(enemy_skill_triggers!$A$1,0,0,COUNTA(enemy_skill_triggers!$A:$A),MATCH(I$1,enemy_skill_triggers!$1:$1,0)-MATCH($F$1,enemy_skill_triggers!$1:$1,0)+1),MATCH(I$1,enemy_skill_triggers!$1:$1,0)-MATCH($F$1,enemy_skill_triggers!$1:$1,0)+1,FALSE)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3" s="97" t="str">
        <f ca="1">VLOOKUP($F103,OFFSET(enemy_skill_triggers!$A$1,0,0,COUNTA(enemy_skill_triggers!$A:$A),MATCH(J$1,enemy_skill_triggers!$1:$1,0)-MATCH($F$1,enemy_skill_triggers!$1:$1,0)+1),MATCH(J$1,enemy_skill_triggers!$1:$1,0)-MATCH($F$1,enemy_skill_triggers!$1:$1,0)+1,FALSE)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3" s="97" t="str">
        <f ca="1">VLOOKUP($F103,OFFSET(enemy_skill_triggers!$A$1,0,0,COUNTA(enemy_skill_triggers!$A:$A),MATCH(K$1,enemy_skill_triggers!$1:$1,0)-MATCH($F$1,enemy_skill_triggers!$1:$1,0)+1),MATCH(K$1,enemy_skill_triggers!$1:$1,0)-MATCH($F$1,enemy_skill_triggers!$1:$1,0)+1,FALSE)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3" s="97">
        <f ca="1">VLOOKUP($F103,OFFSET(enemy_skill_triggers!$A$1,0,0,COUNTA(enemy_skill_triggers!$A:$A),MATCH(L$1,enemy_skill_triggers!$1:$1,0)-MATCH($F$1,enemy_skill_triggers!$1:$1,0)+1),MATCH(L$1,enemy_skill_triggers!$1:$1,0)-MATCH($F$1,enemy_skill_triggers!$1:$1,0)+1,FALSE)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3" s="97" t="str">
        <f ca="1">VLOOKUP($F103,OFFSET(enemy_skill_triggers!$A$1,0,0,COUNTA(enemy_skill_triggers!$A:$A),MATCH(M$1,enemy_skill_triggers!$1:$1,0)-MATCH($F$1,enemy_skill_triggers!$1:$1,0)+1),MATCH(M$1,enemy_skill_triggers!$1:$1,0)-MATCH($F$1,enemy_skill_triggers!$1:$1,0)+1,FALSE)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3" s="97">
        <f ca="1">VLOOKUP($F103,OFFSET(enemy_skill_triggers!$A$1,0,0,COUNTA(enemy_skill_triggers!$A:$A),MATCH(N$1,enemy_skill_triggers!$1:$1,0)-MATCH($F$1,enemy_skill_triggers!$1:$1,0)+1),MATCH(N$1,enemy_skill_triggers!$1:$1,0)-MATCH($F$1,enemy_skill_triggers!$1:$1,0)+1,FALSE)</f>
        <v>237</v>
      </c>
      <c r="O103" s="97">
        <f ca="1">VLOOKUP($F103,OFFSET(enemy_skill_triggers!$A$1,0,0,COUNTA(enemy_skill_triggers!$A:$A),MATCH(O$1,enemy_skill_triggers!$1:$1,0)-MATCH($F$1,enemy_skill_triggers!$1:$1,0)+1),MATCH(O$1,enemy_skill_triggers!$1:$1,0)-MATCH($F$1,enemy_skill_triggers!$1:$1,0)+1,FALSE)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3" s="95"/>
      <c r="Q103" s="95"/>
      <c r="R103" s="95"/>
    </row>
    <row r="104" spans="1:18" s="115" customFormat="1" ht="31" customHeight="1" thickBot="1" x14ac:dyDescent="0.2">
      <c r="A104" s="111" t="str">
        <f t="shared" si="21"/>
        <v>47015240_47015251</v>
      </c>
      <c r="B104" s="195">
        <v>47015240</v>
      </c>
      <c r="C104" s="169">
        <v>47015251</v>
      </c>
      <c r="D104" s="96" t="str">
        <f ca="1">VLOOKUP($C104,OFFSET(enemy_skills!$A$1,0,0,COUNTA(enemy_skills!$A:$A),MATCH(D$1,enemy_skills!$1:$1,0)-MATCH("enemy_skill_id",enemy_skills!$1:$1,0)+1),MATCH(D$1,enemy_skills!$1:$1,0)-MATCH("enemy_skill_id",enemy_skills!$1:$1,0)+1,FALSE)</f>
        <v>”じゅーんぶらいど”という行事らしいですよ！</v>
      </c>
      <c r="E104" s="96" t="str">
        <f ca="1">VLOOKUP($C104,OFFSET(enemy_skills!$A$1,0,0,COUNTA(enemy_skills!$A:$A),MATCH(E$1,enemy_skills!$1:$1,0)-MATCH("enemy_skill_id",enemy_skills!$1:$1,0)+1),MATCH(E$1,enemy_skills!$1:$1,0)-MATCH("enemy_skill_id",enemy_skills!$1:$1,0)+1,FALSE)</f>
        <v>この衣装似合っていますか？_x000D_【状態異常耐性+6ターン攻撃力大UP+_x000D_全ユニットの攻撃力50%DOWN】</v>
      </c>
      <c r="F104" s="169">
        <v>47015251</v>
      </c>
      <c r="G104" s="97">
        <f ca="1">VLOOKUP($F104,OFFSET(enemy_skill_triggers!$A$1,0,0,COUNTA(enemy_skill_triggers!$A:$A),MATCH(G$1,enemy_skill_triggers!$1:$1,0)-MATCH($F$1,enemy_skill_triggers!$1:$1,0)+1),MATCH(G$1,enemy_skill_triggers!$1:$1,0)-MATCH($F$1,enemy_skill_triggers!$1:$1,0)+1,FALSE)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4" s="97">
        <f ca="1">VLOOKUP($F104,OFFSET(enemy_skill_triggers!$A$1,0,0,COUNTA(enemy_skill_triggers!$A:$A),MATCH(H$1,enemy_skill_triggers!$1:$1,0)-MATCH($F$1,enemy_skill_triggers!$1:$1,0)+1),MATCH(H$1,enemy_skill_triggers!$1:$1,0)-MATCH($F$1,enemy_skill_triggers!$1:$1,0)+1,FALSE)</f>
        <v>112</v>
      </c>
      <c r="I104" s="97">
        <f ca="1">VLOOKUP($F104,OFFSET(enemy_skill_triggers!$A$1,0,0,COUNTA(enemy_skill_triggers!$A:$A),MATCH(I$1,enemy_skill_triggers!$1:$1,0)-MATCH($F$1,enemy_skill_triggers!$1:$1,0)+1),MATCH(I$1,enemy_skill_triggers!$1:$1,0)-MATCH($F$1,enemy_skill_triggers!$1:$1,0)+1,FALSE)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4" s="97" t="str">
        <f ca="1">VLOOKUP($F104,OFFSET(enemy_skill_triggers!$A$1,0,0,COUNTA(enemy_skill_triggers!$A:$A),MATCH(J$1,enemy_skill_triggers!$1:$1,0)-MATCH($F$1,enemy_skill_triggers!$1:$1,0)+1),MATCH(J$1,enemy_skill_triggers!$1:$1,0)-MATCH($F$1,enemy_skill_triggers!$1:$1,0)+1,FALSE)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4" s="97" t="str">
        <f ca="1">VLOOKUP($F104,OFFSET(enemy_skill_triggers!$A$1,0,0,COUNTA(enemy_skill_triggers!$A:$A),MATCH(K$1,enemy_skill_triggers!$1:$1,0)-MATCH($F$1,enemy_skill_triggers!$1:$1,0)+1),MATCH(K$1,enemy_skill_triggers!$1:$1,0)-MATCH($F$1,enemy_skill_triggers!$1:$1,0)+1,FALSE)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4" s="97">
        <f ca="1">VLOOKUP($F104,OFFSET(enemy_skill_triggers!$A$1,0,0,COUNTA(enemy_skill_triggers!$A:$A),MATCH(L$1,enemy_skill_triggers!$1:$1,0)-MATCH($F$1,enemy_skill_triggers!$1:$1,0)+1),MATCH(L$1,enemy_skill_triggers!$1:$1,0)-MATCH($F$1,enemy_skill_triggers!$1:$1,0)+1,FALSE)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4" s="97" t="str">
        <f ca="1">VLOOKUP($F104,OFFSET(enemy_skill_triggers!$A$1,0,0,COUNTA(enemy_skill_triggers!$A:$A),MATCH(M$1,enemy_skill_triggers!$1:$1,0)-MATCH($F$1,enemy_skill_triggers!$1:$1,0)+1),MATCH(M$1,enemy_skill_triggers!$1:$1,0)-MATCH($F$1,enemy_skill_triggers!$1:$1,0)+1,FALSE)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4" s="97">
        <f ca="1">VLOOKUP($F104,OFFSET(enemy_skill_triggers!$A$1,0,0,COUNTA(enemy_skill_triggers!$A:$A),MATCH(N$1,enemy_skill_triggers!$1:$1,0)-MATCH($F$1,enemy_skill_triggers!$1:$1,0)+1),MATCH(N$1,enemy_skill_triggers!$1:$1,0)-MATCH($F$1,enemy_skill_triggers!$1:$1,0)+1,FALSE)</f>
        <v>808</v>
      </c>
      <c r="O104" s="97">
        <f ca="1">VLOOKUP($F104,OFFSET(enemy_skill_triggers!$A$1,0,0,COUNTA(enemy_skill_triggers!$A:$A),MATCH(O$1,enemy_skill_triggers!$1:$1,0)-MATCH($F$1,enemy_skill_triggers!$1:$1,0)+1),MATCH(O$1,enemy_skill_triggers!$1:$1,0)-MATCH($F$1,enemy_skill_triggers!$1:$1,0)+1,FALSE)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4" s="95"/>
      <c r="Q104" s="95"/>
      <c r="R104" s="95"/>
    </row>
    <row r="105" spans="1:18" s="115" customFormat="1" ht="31" customHeight="1" thickBot="1" x14ac:dyDescent="0.2">
      <c r="A105" s="111" t="str">
        <f t="shared" si="21"/>
        <v>47015240_47015252</v>
      </c>
      <c r="B105" s="195">
        <v>47015240</v>
      </c>
      <c r="C105" s="177">
        <v>47015252</v>
      </c>
      <c r="D105" s="96" t="str">
        <f ca="1">VLOOKUP($C105,OFFSET(enemy_skills!$A$1,0,0,COUNTA(enemy_skills!$A:$A),MATCH(D$1,enemy_skills!$1:$1,0)-MATCH("enemy_skill_id",enemy_skills!$1:$1,0)+1),MATCH(D$1,enemy_skills!$1:$1,0)-MATCH("enemy_skill_id",enemy_skills!$1:$1,0)+1,FALSE)</f>
        <v>”じゅーんぶらいど”という行事らしいですよ！</v>
      </c>
      <c r="E105" s="96" t="str">
        <f ca="1">VLOOKUP($C105,OFFSET(enemy_skills!$A$1,0,0,COUNTA(enemy_skills!$A:$A),MATCH(E$1,enemy_skills!$1:$1,0)-MATCH("enemy_skill_id",enemy_skills!$1:$1,0)+1),MATCH(E$1,enemy_skills!$1:$1,0)-MATCH("enemy_skill_id",enemy_skills!$1:$1,0)+1,FALSE)</f>
        <v>この衣装似合っていますか？_x000D_【状態異常耐性+6ターン攻撃力大UP+_x000D_全ユニットの攻撃力50%DOWN】</v>
      </c>
      <c r="F105" s="177">
        <v>47015252</v>
      </c>
      <c r="G105" s="97">
        <f ca="1">VLOOKUP($F105,OFFSET(enemy_skill_triggers!$A$1,0,0,COUNTA(enemy_skill_triggers!$A:$A),MATCH(G$1,enemy_skill_triggers!$1:$1,0)-MATCH($F$1,enemy_skill_triggers!$1:$1,0)+1),MATCH(G$1,enemy_skill_triggers!$1:$1,0)-MATCH($F$1,enemy_skill_triggers!$1:$1,0)+1,FALSE)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5" s="97">
        <f ca="1">VLOOKUP($F105,OFFSET(enemy_skill_triggers!$A$1,0,0,COUNTA(enemy_skill_triggers!$A:$A),MATCH(H$1,enemy_skill_triggers!$1:$1,0)-MATCH($F$1,enemy_skill_triggers!$1:$1,0)+1),MATCH(H$1,enemy_skill_triggers!$1:$1,0)-MATCH($F$1,enemy_skill_triggers!$1:$1,0)+1,FALSE)</f>
        <v>111</v>
      </c>
      <c r="I105" s="97">
        <f ca="1">VLOOKUP($F105,OFFSET(enemy_skill_triggers!$A$1,0,0,COUNTA(enemy_skill_triggers!$A:$A),MATCH(I$1,enemy_skill_triggers!$1:$1,0)-MATCH($F$1,enemy_skill_triggers!$1:$1,0)+1),MATCH(I$1,enemy_skill_triggers!$1:$1,0)-MATCH($F$1,enemy_skill_triggers!$1:$1,0)+1,FALSE)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5" s="97" t="str">
        <f ca="1">VLOOKUP($F105,OFFSET(enemy_skill_triggers!$A$1,0,0,COUNTA(enemy_skill_triggers!$A:$A),MATCH(J$1,enemy_skill_triggers!$1:$1,0)-MATCH($F$1,enemy_skill_triggers!$1:$1,0)+1),MATCH(J$1,enemy_skill_triggers!$1:$1,0)-MATCH($F$1,enemy_skill_triggers!$1:$1,0)+1,FALSE)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5" s="97" t="str">
        <f ca="1">VLOOKUP($F105,OFFSET(enemy_skill_triggers!$A$1,0,0,COUNTA(enemy_skill_triggers!$A:$A),MATCH(K$1,enemy_skill_triggers!$1:$1,0)-MATCH($F$1,enemy_skill_triggers!$1:$1,0)+1),MATCH(K$1,enemy_skill_triggers!$1:$1,0)-MATCH($F$1,enemy_skill_triggers!$1:$1,0)+1,FALSE)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5" s="97">
        <f ca="1">VLOOKUP($F105,OFFSET(enemy_skill_triggers!$A$1,0,0,COUNTA(enemy_skill_triggers!$A:$A),MATCH(L$1,enemy_skill_triggers!$1:$1,0)-MATCH($F$1,enemy_skill_triggers!$1:$1,0)+1),MATCH(L$1,enemy_skill_triggers!$1:$1,0)-MATCH($F$1,enemy_skill_triggers!$1:$1,0)+1,FALSE)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5" s="97" t="str">
        <f ca="1">VLOOKUP($F105,OFFSET(enemy_skill_triggers!$A$1,0,0,COUNTA(enemy_skill_triggers!$A:$A),MATCH(M$1,enemy_skill_triggers!$1:$1,0)-MATCH($F$1,enemy_skill_triggers!$1:$1,0)+1),MATCH(M$1,enemy_skill_triggers!$1:$1,0)-MATCH($F$1,enemy_skill_triggers!$1:$1,0)+1,FALSE)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5" s="97">
        <f ca="1">VLOOKUP($F105,OFFSET(enemy_skill_triggers!$A$1,0,0,COUNTA(enemy_skill_triggers!$A:$A),MATCH(N$1,enemy_skill_triggers!$1:$1,0)-MATCH($F$1,enemy_skill_triggers!$1:$1,0)+1),MATCH(N$1,enemy_skill_triggers!$1:$1,0)-MATCH($F$1,enemy_skill_triggers!$1:$1,0)+1,FALSE)</f>
        <v>1058</v>
      </c>
      <c r="O105" s="97">
        <f ca="1">VLOOKUP($F105,OFFSET(enemy_skill_triggers!$A$1,0,0,COUNTA(enemy_skill_triggers!$A:$A),MATCH(O$1,enemy_skill_triggers!$1:$1,0)-MATCH($F$1,enemy_skill_triggers!$1:$1,0)+1),MATCH(O$1,enemy_skill_triggers!$1:$1,0)-MATCH($F$1,enemy_skill_triggers!$1:$1,0)+1,FALSE)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5" s="95"/>
      <c r="Q105" s="95"/>
      <c r="R105" s="95"/>
    </row>
    <row r="106" spans="1:18" s="115" customFormat="1" ht="31" customHeight="1" thickBot="1" x14ac:dyDescent="0.2">
      <c r="A106" s="111" t="str">
        <f t="shared" si="21"/>
        <v>47015240_47015253</v>
      </c>
      <c r="B106" s="195">
        <v>47015240</v>
      </c>
      <c r="C106" s="169">
        <v>47015253</v>
      </c>
      <c r="D106" s="96" t="str">
        <f ca="1">VLOOKUP($C106,OFFSET(enemy_skills!$A$1,0,0,COUNTA(enemy_skills!$A:$A),MATCH(D$1,enemy_skills!$1:$1,0)-MATCH("enemy_skill_id",enemy_skills!$1:$1,0)+1),MATCH(D$1,enemy_skills!$1:$1,0)-MATCH("enemy_skill_id",enemy_skills!$1:$1,0)+1,FALSE)</f>
        <v>”じゅーんぶらいど”という行事らしいですよ！</v>
      </c>
      <c r="E106" s="96" t="str">
        <f ca="1">VLOOKUP($C106,OFFSET(enemy_skills!$A$1,0,0,COUNTA(enemy_skills!$A:$A),MATCH(E$1,enemy_skills!$1:$1,0)-MATCH("enemy_skill_id",enemy_skills!$1:$1,0)+1),MATCH(E$1,enemy_skills!$1:$1,0)-MATCH("enemy_skill_id",enemy_skills!$1:$1,0)+1,FALSE)</f>
        <v>この衣装似合っていますか？_x000D_【状態異常耐性+6ターン攻撃力大UP+_x000D_全ユニットの攻撃力50%DOWN】</v>
      </c>
      <c r="F106" s="169">
        <v>47015253</v>
      </c>
      <c r="G106" s="97">
        <f ca="1">VLOOKUP($F106,OFFSET(enemy_skill_triggers!$A$1,0,0,COUNTA(enemy_skill_triggers!$A:$A),MATCH(G$1,enemy_skill_triggers!$1:$1,0)-MATCH($F$1,enemy_skill_triggers!$1:$1,0)+1),MATCH(G$1,enemy_skill_triggers!$1:$1,0)-MATCH($F$1,enemy_skill_triggers!$1:$1,0)+1,FALSE)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6" s="97">
        <f ca="1">VLOOKUP($F106,OFFSET(enemy_skill_triggers!$A$1,0,0,COUNTA(enemy_skill_triggers!$A:$A),MATCH(H$1,enemy_skill_triggers!$1:$1,0)-MATCH($F$1,enemy_skill_triggers!$1:$1,0)+1),MATCH(H$1,enemy_skill_triggers!$1:$1,0)-MATCH($F$1,enemy_skill_triggers!$1:$1,0)+1,FALSE)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06" s="97">
        <f ca="1">VLOOKUP($F106,OFFSET(enemy_skill_triggers!$A$1,0,0,COUNTA(enemy_skill_triggers!$A:$A),MATCH(I$1,enemy_skill_triggers!$1:$1,0)-MATCH($F$1,enemy_skill_triggers!$1:$1,0)+1),MATCH(I$1,enemy_skill_triggers!$1:$1,0)-MATCH($F$1,enemy_skill_triggers!$1:$1,0)+1,FALSE)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6" s="97" t="str">
        <f ca="1">VLOOKUP($F106,OFFSET(enemy_skill_triggers!$A$1,0,0,COUNTA(enemy_skill_triggers!$A:$A),MATCH(J$1,enemy_skill_triggers!$1:$1,0)-MATCH($F$1,enemy_skill_triggers!$1:$1,0)+1),MATCH(J$1,enemy_skill_triggers!$1:$1,0)-MATCH($F$1,enemy_skill_triggers!$1:$1,0)+1,FALSE)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6" s="97" t="str">
        <f ca="1">VLOOKUP($F106,OFFSET(enemy_skill_triggers!$A$1,0,0,COUNTA(enemy_skill_triggers!$A:$A),MATCH(K$1,enemy_skill_triggers!$1:$1,0)-MATCH($F$1,enemy_skill_triggers!$1:$1,0)+1),MATCH(K$1,enemy_skill_triggers!$1:$1,0)-MATCH($F$1,enemy_skill_triggers!$1:$1,0)+1,FALSE)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6" s="97">
        <f ca="1">VLOOKUP($F106,OFFSET(enemy_skill_triggers!$A$1,0,0,COUNTA(enemy_skill_triggers!$A:$A),MATCH(L$1,enemy_skill_triggers!$1:$1,0)-MATCH($F$1,enemy_skill_triggers!$1:$1,0)+1),MATCH(L$1,enemy_skill_triggers!$1:$1,0)-MATCH($F$1,enemy_skill_triggers!$1:$1,0)+1,FALSE)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6" s="97" t="str">
        <f ca="1">VLOOKUP($F106,OFFSET(enemy_skill_triggers!$A$1,0,0,COUNTA(enemy_skill_triggers!$A:$A),MATCH(M$1,enemy_skill_triggers!$1:$1,0)-MATCH($F$1,enemy_skill_triggers!$1:$1,0)+1),MATCH(M$1,enemy_skill_triggers!$1:$1,0)-MATCH($F$1,enemy_skill_triggers!$1:$1,0)+1,FALSE)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6" s="97">
        <f ca="1">VLOOKUP($F106,OFFSET(enemy_skill_triggers!$A$1,0,0,COUNTA(enemy_skill_triggers!$A:$A),MATCH(N$1,enemy_skill_triggers!$1:$1,0)-MATCH($F$1,enemy_skill_triggers!$1:$1,0)+1),MATCH(N$1,enemy_skill_triggers!$1:$1,0)-MATCH($F$1,enemy_skill_triggers!$1:$1,0)+1,FALSE)</f>
        <v>1336</v>
      </c>
      <c r="O106" s="97">
        <f ca="1">VLOOKUP($F106,OFFSET(enemy_skill_triggers!$A$1,0,0,COUNTA(enemy_skill_triggers!$A:$A),MATCH(O$1,enemy_skill_triggers!$1:$1,0)-MATCH($F$1,enemy_skill_triggers!$1:$1,0)+1),MATCH(O$1,enemy_skill_triggers!$1:$1,0)-MATCH($F$1,enemy_skill_triggers!$1:$1,0)+1,FALSE)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6" s="95"/>
      <c r="Q106" s="95"/>
      <c r="R106" s="95"/>
    </row>
    <row r="107" spans="1:18" s="115" customFormat="1" ht="31" customHeight="1" thickBot="1" x14ac:dyDescent="0.2">
      <c r="A107" s="111" t="str">
        <f t="shared" si="21"/>
        <v>47015240_47015254</v>
      </c>
      <c r="B107" s="195">
        <v>47015240</v>
      </c>
      <c r="C107" s="177">
        <v>47015254</v>
      </c>
      <c r="D107" s="96" t="str">
        <f ca="1">VLOOKUP($C107,OFFSET(enemy_skills!$A$1,0,0,COUNTA(enemy_skills!$A:$A),MATCH(D$1,enemy_skills!$1:$1,0)-MATCH("enemy_skill_id",enemy_skills!$1:$1,0)+1),MATCH(D$1,enemy_skills!$1:$1,0)-MATCH("enemy_skill_id",enemy_skills!$1:$1,0)+1,FALSE)</f>
        <v>”じゅーんぶらいど”という行事らしいですよ！</v>
      </c>
      <c r="E107" s="96" t="str">
        <f ca="1">VLOOKUP($C107,OFFSET(enemy_skills!$A$1,0,0,COUNTA(enemy_skills!$A:$A),MATCH(E$1,enemy_skills!$1:$1,0)-MATCH("enemy_skill_id",enemy_skills!$1:$1,0)+1),MATCH(E$1,enemy_skills!$1:$1,0)-MATCH("enemy_skill_id",enemy_skills!$1:$1,0)+1,FALSE)</f>
        <v>この衣装似合っていますか？_x000D_【状態異常耐性+6ターン攻撃力大UP+_x000D_全ユニットの攻撃力50%DOWN】</v>
      </c>
      <c r="F107" s="177">
        <v>47015254</v>
      </c>
      <c r="G107" s="97">
        <f ca="1">VLOOKUP($F107,OFFSET(enemy_skill_triggers!$A$1,0,0,COUNTA(enemy_skill_triggers!$A:$A),MATCH(G$1,enemy_skill_triggers!$1:$1,0)-MATCH($F$1,enemy_skill_triggers!$1:$1,0)+1),MATCH(G$1,enemy_skill_triggers!$1:$1,0)-MATCH($F$1,enemy_skill_triggers!$1:$1,0)+1,FALSE)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7" s="97">
        <f ca="1">VLOOKUP($F107,OFFSET(enemy_skill_triggers!$A$1,0,0,COUNTA(enemy_skill_triggers!$A:$A),MATCH(H$1,enemy_skill_triggers!$1:$1,0)-MATCH($F$1,enemy_skill_triggers!$1:$1,0)+1),MATCH(H$1,enemy_skill_triggers!$1:$1,0)-MATCH($F$1,enemy_skill_triggers!$1:$1,0)+1,FALSE)</f>
        <v>109</v>
      </c>
      <c r="I107" s="97">
        <f ca="1">VLOOKUP($F107,OFFSET(enemy_skill_triggers!$A$1,0,0,COUNTA(enemy_skill_triggers!$A:$A),MATCH(I$1,enemy_skill_triggers!$1:$1,0)-MATCH($F$1,enemy_skill_triggers!$1:$1,0)+1),MATCH(I$1,enemy_skill_triggers!$1:$1,0)-MATCH($F$1,enemy_skill_triggers!$1:$1,0)+1,FALSE)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7" s="97" t="str">
        <f ca="1">VLOOKUP($F107,OFFSET(enemy_skill_triggers!$A$1,0,0,COUNTA(enemy_skill_triggers!$A:$A),MATCH(J$1,enemy_skill_triggers!$1:$1,0)-MATCH($F$1,enemy_skill_triggers!$1:$1,0)+1),MATCH(J$1,enemy_skill_triggers!$1:$1,0)-MATCH($F$1,enemy_skill_triggers!$1:$1,0)+1,FALSE)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7" s="97" t="str">
        <f ca="1">VLOOKUP($F107,OFFSET(enemy_skill_triggers!$A$1,0,0,COUNTA(enemy_skill_triggers!$A:$A),MATCH(K$1,enemy_skill_triggers!$1:$1,0)-MATCH($F$1,enemy_skill_triggers!$1:$1,0)+1),MATCH(K$1,enemy_skill_triggers!$1:$1,0)-MATCH($F$1,enemy_skill_triggers!$1:$1,0)+1,FALSE)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7" s="97">
        <f ca="1">VLOOKUP($F107,OFFSET(enemy_skill_triggers!$A$1,0,0,COUNTA(enemy_skill_triggers!$A:$A),MATCH(L$1,enemy_skill_triggers!$1:$1,0)-MATCH($F$1,enemy_skill_triggers!$1:$1,0)+1),MATCH(L$1,enemy_skill_triggers!$1:$1,0)-MATCH($F$1,enemy_skill_triggers!$1:$1,0)+1,FALSE)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7" s="97" t="str">
        <f ca="1">VLOOKUP($F107,OFFSET(enemy_skill_triggers!$A$1,0,0,COUNTA(enemy_skill_triggers!$A:$A),MATCH(M$1,enemy_skill_triggers!$1:$1,0)-MATCH($F$1,enemy_skill_triggers!$1:$1,0)+1),MATCH(M$1,enemy_skill_triggers!$1:$1,0)-MATCH($F$1,enemy_skill_triggers!$1:$1,0)+1,FALSE)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7" s="97">
        <f ca="1">VLOOKUP($F107,OFFSET(enemy_skill_triggers!$A$1,0,0,COUNTA(enemy_skill_triggers!$A:$A),MATCH(N$1,enemy_skill_triggers!$1:$1,0)-MATCH($F$1,enemy_skill_triggers!$1:$1,0)+1),MATCH(N$1,enemy_skill_triggers!$1:$1,0)-MATCH($F$1,enemy_skill_triggers!$1:$1,0)+1,FALSE)</f>
        <v>1337</v>
      </c>
      <c r="O107" s="97">
        <f ca="1">VLOOKUP($F107,OFFSET(enemy_skill_triggers!$A$1,0,0,COUNTA(enemy_skill_triggers!$A:$A),MATCH(O$1,enemy_skill_triggers!$1:$1,0)-MATCH($F$1,enemy_skill_triggers!$1:$1,0)+1),MATCH(O$1,enemy_skill_triggers!$1:$1,0)-MATCH($F$1,enemy_skill_triggers!$1:$1,0)+1,FALSE)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7" s="95"/>
      <c r="Q107" s="95"/>
      <c r="R107" s="95"/>
    </row>
    <row r="108" spans="1:18" s="115" customFormat="1" ht="31" customHeight="1" thickBot="1" x14ac:dyDescent="0.2">
      <c r="A108" s="111" t="str">
        <f t="shared" si="21"/>
        <v>47015240_47015255</v>
      </c>
      <c r="B108" s="195">
        <v>47015240</v>
      </c>
      <c r="C108" s="169">
        <v>47015255</v>
      </c>
      <c r="D108" s="96" t="str">
        <f ca="1">VLOOKUP($C108,OFFSET(enemy_skills!$A$1,0,0,COUNTA(enemy_skills!$A:$A),MATCH(D$1,enemy_skills!$1:$1,0)-MATCH("enemy_skill_id",enemy_skills!$1:$1,0)+1),MATCH(D$1,enemy_skills!$1:$1,0)-MATCH("enemy_skill_id",enemy_skills!$1:$1,0)+1,FALSE)</f>
        <v>貴方もこの祭りに参加していたのですね</v>
      </c>
      <c r="E108" s="96" t="str">
        <f ca="1">VLOOKUP($C108,OFFSET(enemy_skills!$A$1,0,0,COUNTA(enemy_skills!$A:$A),MATCH(E$1,enemy_skills!$1:$1,0)-MATCH("enemy_skill_id",enemy_skills!$1:$1,0)+1),MATCH(E$1,enemy_skills!$1:$1,0)-MATCH("enemy_skill_id",enemy_skills!$1:$1,0)+1,FALSE)</f>
        <v>私もたまには羽目を外してもいいですよね？_x000D_【状態異常耐性+6ターン攻撃力大UP+_x000D_全ユニットの攻撃力50%DOWN】</v>
      </c>
      <c r="F108" s="169">
        <v>47015255</v>
      </c>
      <c r="G108" s="97">
        <f ca="1">VLOOKUP($F108,OFFSET(enemy_skill_triggers!$A$1,0,0,COUNTA(enemy_skill_triggers!$A:$A),MATCH(G$1,enemy_skill_triggers!$1:$1,0)-MATCH($F$1,enemy_skill_triggers!$1:$1,0)+1),MATCH(G$1,enemy_skill_triggers!$1:$1,0)-MATCH($F$1,enemy_skill_triggers!$1:$1,0)+1,FALSE)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8" s="97">
        <f ca="1">VLOOKUP($F108,OFFSET(enemy_skill_triggers!$A$1,0,0,COUNTA(enemy_skill_triggers!$A:$A),MATCH(H$1,enemy_skill_triggers!$1:$1,0)-MATCH($F$1,enemy_skill_triggers!$1:$1,0)+1),MATCH(H$1,enemy_skill_triggers!$1:$1,0)-MATCH($F$1,enemy_skill_triggers!$1:$1,0)+1,FALSE)</f>
        <v>108</v>
      </c>
      <c r="I108" s="97">
        <f ca="1">VLOOKUP($F108,OFFSET(enemy_skill_triggers!$A$1,0,0,COUNTA(enemy_skill_triggers!$A:$A),MATCH(I$1,enemy_skill_triggers!$1:$1,0)-MATCH($F$1,enemy_skill_triggers!$1:$1,0)+1),MATCH(I$1,enemy_skill_triggers!$1:$1,0)-MATCH($F$1,enemy_skill_triggers!$1:$1,0)+1,FALSE)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8" s="97" t="str">
        <f ca="1">VLOOKUP($F108,OFFSET(enemy_skill_triggers!$A$1,0,0,COUNTA(enemy_skill_triggers!$A:$A),MATCH(J$1,enemy_skill_triggers!$1:$1,0)-MATCH($F$1,enemy_skill_triggers!$1:$1,0)+1),MATCH(J$1,enemy_skill_triggers!$1:$1,0)-MATCH($F$1,enemy_skill_triggers!$1:$1,0)+1,FALSE)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8" s="97" t="str">
        <f ca="1">VLOOKUP($F108,OFFSET(enemy_skill_triggers!$A$1,0,0,COUNTA(enemy_skill_triggers!$A:$A),MATCH(K$1,enemy_skill_triggers!$1:$1,0)-MATCH($F$1,enemy_skill_triggers!$1:$1,0)+1),MATCH(K$1,enemy_skill_triggers!$1:$1,0)-MATCH($F$1,enemy_skill_triggers!$1:$1,0)+1,FALSE)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8" s="97">
        <f ca="1">VLOOKUP($F108,OFFSET(enemy_skill_triggers!$A$1,0,0,COUNTA(enemy_skill_triggers!$A:$A),MATCH(L$1,enemy_skill_triggers!$1:$1,0)-MATCH($F$1,enemy_skill_triggers!$1:$1,0)+1),MATCH(L$1,enemy_skill_triggers!$1:$1,0)-MATCH($F$1,enemy_skill_triggers!$1:$1,0)+1,FALSE)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8" s="97" t="str">
        <f ca="1">VLOOKUP($F108,OFFSET(enemy_skill_triggers!$A$1,0,0,COUNTA(enemy_skill_triggers!$A:$A),MATCH(M$1,enemy_skill_triggers!$1:$1,0)-MATCH($F$1,enemy_skill_triggers!$1:$1,0)+1),MATCH(M$1,enemy_skill_triggers!$1:$1,0)-MATCH($F$1,enemy_skill_triggers!$1:$1,0)+1,FALSE)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8" s="97">
        <f ca="1">VLOOKUP($F108,OFFSET(enemy_skill_triggers!$A$1,0,0,COUNTA(enemy_skill_triggers!$A:$A),MATCH(N$1,enemy_skill_triggers!$1:$1,0)-MATCH($F$1,enemy_skill_triggers!$1:$1,0)+1),MATCH(N$1,enemy_skill_triggers!$1:$1,0)-MATCH($F$1,enemy_skill_triggers!$1:$1,0)+1,FALSE)</f>
        <v>1330</v>
      </c>
      <c r="O108" s="97">
        <f ca="1">VLOOKUP($F108,OFFSET(enemy_skill_triggers!$A$1,0,0,COUNTA(enemy_skill_triggers!$A:$A),MATCH(O$1,enemy_skill_triggers!$1:$1,0)-MATCH($F$1,enemy_skill_triggers!$1:$1,0)+1),MATCH(O$1,enemy_skill_triggers!$1:$1,0)-MATCH($F$1,enemy_skill_triggers!$1:$1,0)+1,FALSE)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8" s="95"/>
      <c r="Q108" s="95"/>
      <c r="R108" s="95"/>
    </row>
    <row r="109" spans="1:18" s="115" customFormat="1" ht="31" customHeight="1" thickBot="1" x14ac:dyDescent="0.2">
      <c r="A109" s="111" t="str">
        <f t="shared" si="21"/>
        <v>47015240_47015256</v>
      </c>
      <c r="B109" s="195">
        <v>47015240</v>
      </c>
      <c r="C109" s="177">
        <v>47015256</v>
      </c>
      <c r="D109" s="96" t="str">
        <f ca="1">VLOOKUP($C109,OFFSET(enemy_skills!$A$1,0,0,COUNTA(enemy_skills!$A:$A),MATCH(D$1,enemy_skills!$1:$1,0)-MATCH("enemy_skill_id",enemy_skills!$1:$1,0)+1),MATCH(D$1,enemy_skills!$1:$1,0)-MATCH("enemy_skill_id",enemy_skills!$1:$1,0)+1,FALSE)</f>
        <v>貴方もこの祭りに参加していたのですね</v>
      </c>
      <c r="E109" s="96" t="str">
        <f ca="1">VLOOKUP($C109,OFFSET(enemy_skills!$A$1,0,0,COUNTA(enemy_skills!$A:$A),MATCH(E$1,enemy_skills!$1:$1,0)-MATCH("enemy_skill_id",enemy_skills!$1:$1,0)+1),MATCH(E$1,enemy_skills!$1:$1,0)-MATCH("enemy_skill_id",enemy_skills!$1:$1,0)+1,FALSE)</f>
        <v>私もたまには羽目を外してもいいですよね？_x000D_【状態異常耐性+6ターン攻撃力大UP+_x000D_全ユニットの攻撃力50%DOWN】</v>
      </c>
      <c r="F109" s="177">
        <v>47015256</v>
      </c>
      <c r="G109" s="97">
        <f ca="1">VLOOKUP($F109,OFFSET(enemy_skill_triggers!$A$1,0,0,COUNTA(enemy_skill_triggers!$A:$A),MATCH(G$1,enemy_skill_triggers!$1:$1,0)-MATCH($F$1,enemy_skill_triggers!$1:$1,0)+1),MATCH(G$1,enemy_skill_triggers!$1:$1,0)-MATCH($F$1,enemy_skill_triggers!$1:$1,0)+1,FALSE)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9" s="97">
        <f ca="1">VLOOKUP($F109,OFFSET(enemy_skill_triggers!$A$1,0,0,COUNTA(enemy_skill_triggers!$A:$A),MATCH(H$1,enemy_skill_triggers!$1:$1,0)-MATCH($F$1,enemy_skill_triggers!$1:$1,0)+1),MATCH(H$1,enemy_skill_triggers!$1:$1,0)-MATCH($F$1,enemy_skill_triggers!$1:$1,0)+1,FALSE)</f>
        <v>107</v>
      </c>
      <c r="I109" s="97">
        <f ca="1">VLOOKUP($F109,OFFSET(enemy_skill_triggers!$A$1,0,0,COUNTA(enemy_skill_triggers!$A:$A),MATCH(I$1,enemy_skill_triggers!$1:$1,0)-MATCH($F$1,enemy_skill_triggers!$1:$1,0)+1),MATCH(I$1,enemy_skill_triggers!$1:$1,0)-MATCH($F$1,enemy_skill_triggers!$1:$1,0)+1,FALSE)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9" s="97" t="str">
        <f ca="1">VLOOKUP($F109,OFFSET(enemy_skill_triggers!$A$1,0,0,COUNTA(enemy_skill_triggers!$A:$A),MATCH(J$1,enemy_skill_triggers!$1:$1,0)-MATCH($F$1,enemy_skill_triggers!$1:$1,0)+1),MATCH(J$1,enemy_skill_triggers!$1:$1,0)-MATCH($F$1,enemy_skill_triggers!$1:$1,0)+1,FALSE)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9" s="97" t="str">
        <f ca="1">VLOOKUP($F109,OFFSET(enemy_skill_triggers!$A$1,0,0,COUNTA(enemy_skill_triggers!$A:$A),MATCH(K$1,enemy_skill_triggers!$1:$1,0)-MATCH($F$1,enemy_skill_triggers!$1:$1,0)+1),MATCH(K$1,enemy_skill_triggers!$1:$1,0)-MATCH($F$1,enemy_skill_triggers!$1:$1,0)+1,FALSE)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9" s="97">
        <f ca="1">VLOOKUP($F109,OFFSET(enemy_skill_triggers!$A$1,0,0,COUNTA(enemy_skill_triggers!$A:$A),MATCH(L$1,enemy_skill_triggers!$1:$1,0)-MATCH($F$1,enemy_skill_triggers!$1:$1,0)+1),MATCH(L$1,enemy_skill_triggers!$1:$1,0)-MATCH($F$1,enemy_skill_triggers!$1:$1,0)+1,FALSE)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9" s="97" t="str">
        <f ca="1">VLOOKUP($F109,OFFSET(enemy_skill_triggers!$A$1,0,0,COUNTA(enemy_skill_triggers!$A:$A),MATCH(M$1,enemy_skill_triggers!$1:$1,0)-MATCH($F$1,enemy_skill_triggers!$1:$1,0)+1),MATCH(M$1,enemy_skill_triggers!$1:$1,0)-MATCH($F$1,enemy_skill_triggers!$1:$1,0)+1,FALSE)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9" s="97">
        <f ca="1">VLOOKUP($F109,OFFSET(enemy_skill_triggers!$A$1,0,0,COUNTA(enemy_skill_triggers!$A:$A),MATCH(N$1,enemy_skill_triggers!$1:$1,0)-MATCH($F$1,enemy_skill_triggers!$1:$1,0)+1),MATCH(N$1,enemy_skill_triggers!$1:$1,0)-MATCH($F$1,enemy_skill_triggers!$1:$1,0)+1,FALSE)</f>
        <v>1331</v>
      </c>
      <c r="O109" s="97">
        <f ca="1">VLOOKUP($F109,OFFSET(enemy_skill_triggers!$A$1,0,0,COUNTA(enemy_skill_triggers!$A:$A),MATCH(O$1,enemy_skill_triggers!$1:$1,0)-MATCH($F$1,enemy_skill_triggers!$1:$1,0)+1),MATCH(O$1,enemy_skill_triggers!$1:$1,0)-MATCH($F$1,enemy_skill_triggers!$1:$1,0)+1,FALSE)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9" s="95"/>
      <c r="Q109" s="95"/>
      <c r="R109" s="95"/>
    </row>
    <row r="110" spans="1:18" s="115" customFormat="1" ht="31" customHeight="1" thickBot="1" x14ac:dyDescent="0.2">
      <c r="A110" s="111" t="str">
        <f t="shared" ref="A110:A111" si="23">B110&amp;"_"&amp;C110</f>
        <v>47015240_47015257</v>
      </c>
      <c r="B110" s="195">
        <v>47015240</v>
      </c>
      <c r="C110" s="169">
        <v>47015257</v>
      </c>
      <c r="D110" s="96" t="str">
        <f ca="1">VLOOKUP($C110,OFFSET(enemy_skills!$A$1,0,0,COUNTA(enemy_skills!$A:$A),MATCH(D$1,enemy_skills!$1:$1,0)-MATCH("enemy_skill_id",enemy_skills!$1:$1,0)+1),MATCH(D$1,enemy_skills!$1:$1,0)-MATCH("enemy_skill_id",enemy_skills!$1:$1,0)+1,FALSE)</f>
        <v>貴方もこの祭りに参加していたのですね</v>
      </c>
      <c r="E110" s="96" t="str">
        <f ca="1">VLOOKUP($C110,OFFSET(enemy_skills!$A$1,0,0,COUNTA(enemy_skills!$A:$A),MATCH(E$1,enemy_skills!$1:$1,0)-MATCH("enemy_skill_id",enemy_skills!$1:$1,0)+1),MATCH(E$1,enemy_skills!$1:$1,0)-MATCH("enemy_skill_id",enemy_skills!$1:$1,0)+1,FALSE)</f>
        <v>私もたまには羽目を外してもいいですよね？_x000D_【状態異常耐性+6ターン攻撃力大UP+_x000D_全ユニットの攻撃力50%DOWN】</v>
      </c>
      <c r="F110" s="169">
        <v>47015257</v>
      </c>
      <c r="G110" s="97">
        <f ca="1">VLOOKUP($F110,OFFSET(enemy_skill_triggers!$A$1,0,0,COUNTA(enemy_skill_triggers!$A:$A),MATCH(G$1,enemy_skill_triggers!$1:$1,0)-MATCH($F$1,enemy_skill_triggers!$1:$1,0)+1),MATCH(G$1,enemy_skill_triggers!$1:$1,0)-MATCH($F$1,enemy_skill_triggers!$1:$1,0)+1,FALSE)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0" s="97">
        <f ca="1">VLOOKUP($F110,OFFSET(enemy_skill_triggers!$A$1,0,0,COUNTA(enemy_skill_triggers!$A:$A),MATCH(H$1,enemy_skill_triggers!$1:$1,0)-MATCH($F$1,enemy_skill_triggers!$1:$1,0)+1),MATCH(H$1,enemy_skill_triggers!$1:$1,0)-MATCH($F$1,enemy_skill_triggers!$1:$1,0)+1,FALSE)</f>
        <v>106</v>
      </c>
      <c r="I110" s="97">
        <f ca="1">VLOOKUP($F110,OFFSET(enemy_skill_triggers!$A$1,0,0,COUNTA(enemy_skill_triggers!$A:$A),MATCH(I$1,enemy_skill_triggers!$1:$1,0)-MATCH($F$1,enemy_skill_triggers!$1:$1,0)+1),MATCH(I$1,enemy_skill_triggers!$1:$1,0)-MATCH($F$1,enemy_skill_triggers!$1:$1,0)+1,FALSE)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0" s="97" t="str">
        <f ca="1">VLOOKUP($F110,OFFSET(enemy_skill_triggers!$A$1,0,0,COUNTA(enemy_skill_triggers!$A:$A),MATCH(J$1,enemy_skill_triggers!$1:$1,0)-MATCH($F$1,enemy_skill_triggers!$1:$1,0)+1),MATCH(J$1,enemy_skill_triggers!$1:$1,0)-MATCH($F$1,enemy_skill_triggers!$1:$1,0)+1,FALSE)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0" s="97" t="str">
        <f ca="1">VLOOKUP($F110,OFFSET(enemy_skill_triggers!$A$1,0,0,COUNTA(enemy_skill_triggers!$A:$A),MATCH(K$1,enemy_skill_triggers!$1:$1,0)-MATCH($F$1,enemy_skill_triggers!$1:$1,0)+1),MATCH(K$1,enemy_skill_triggers!$1:$1,0)-MATCH($F$1,enemy_skill_triggers!$1:$1,0)+1,FALSE)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0" s="97">
        <f ca="1">VLOOKUP($F110,OFFSET(enemy_skill_triggers!$A$1,0,0,COUNTA(enemy_skill_triggers!$A:$A),MATCH(L$1,enemy_skill_triggers!$1:$1,0)-MATCH($F$1,enemy_skill_triggers!$1:$1,0)+1),MATCH(L$1,enemy_skill_triggers!$1:$1,0)-MATCH($F$1,enemy_skill_triggers!$1:$1,0)+1,FALSE)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0" s="97" t="str">
        <f ca="1">VLOOKUP($F110,OFFSET(enemy_skill_triggers!$A$1,0,0,COUNTA(enemy_skill_triggers!$A:$A),MATCH(M$1,enemy_skill_triggers!$1:$1,0)-MATCH($F$1,enemy_skill_triggers!$1:$1,0)+1),MATCH(M$1,enemy_skill_triggers!$1:$1,0)-MATCH($F$1,enemy_skill_triggers!$1:$1,0)+1,FALSE)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0" s="97">
        <f ca="1">VLOOKUP($F110,OFFSET(enemy_skill_triggers!$A$1,0,0,COUNTA(enemy_skill_triggers!$A:$A),MATCH(N$1,enemy_skill_triggers!$1:$1,0)-MATCH($F$1,enemy_skill_triggers!$1:$1,0)+1),MATCH(N$1,enemy_skill_triggers!$1:$1,0)-MATCH($F$1,enemy_skill_triggers!$1:$1,0)+1,FALSE)</f>
        <v>756</v>
      </c>
      <c r="O110" s="97">
        <f ca="1">VLOOKUP($F110,OFFSET(enemy_skill_triggers!$A$1,0,0,COUNTA(enemy_skill_triggers!$A:$A),MATCH(O$1,enemy_skill_triggers!$1:$1,0)-MATCH($F$1,enemy_skill_triggers!$1:$1,0)+1),MATCH(O$1,enemy_skill_triggers!$1:$1,0)-MATCH($F$1,enemy_skill_triggers!$1:$1,0)+1,FALSE)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0" s="95"/>
      <c r="Q110" s="95"/>
      <c r="R110" s="95"/>
    </row>
    <row r="111" spans="1:18" s="115" customFormat="1" ht="31" customHeight="1" thickBot="1" x14ac:dyDescent="0.2">
      <c r="A111" s="111" t="str">
        <f t="shared" si="23"/>
        <v>47015240_47015258</v>
      </c>
      <c r="B111" s="195">
        <v>47015240</v>
      </c>
      <c r="C111" s="177">
        <v>47015258</v>
      </c>
      <c r="D111" s="96" t="str">
        <f ca="1">VLOOKUP($C111,OFFSET(enemy_skills!$A$1,0,0,COUNTA(enemy_skills!$A:$A),MATCH(D$1,enemy_skills!$1:$1,0)-MATCH("enemy_skill_id",enemy_skills!$1:$1,0)+1),MATCH(D$1,enemy_skills!$1:$1,0)-MATCH("enemy_skill_id",enemy_skills!$1:$1,0)+1,FALSE)</f>
        <v>貴方もこの祭りに参加していたのですね</v>
      </c>
      <c r="E111" s="96" t="str">
        <f ca="1">VLOOKUP($C111,OFFSET(enemy_skills!$A$1,0,0,COUNTA(enemy_skills!$A:$A),MATCH(E$1,enemy_skills!$1:$1,0)-MATCH("enemy_skill_id",enemy_skills!$1:$1,0)+1),MATCH(E$1,enemy_skills!$1:$1,0)-MATCH("enemy_skill_id",enemy_skills!$1:$1,0)+1,FALSE)</f>
        <v>私もたまには羽目を外してもいいですよね？_x000D_【状態異常耐性+6ターン攻撃力大UP+_x000D_全ユニットの攻撃力50%DOWN】</v>
      </c>
      <c r="F111" s="177">
        <v>47015258</v>
      </c>
      <c r="G111" s="97">
        <f ca="1">VLOOKUP($F111,OFFSET(enemy_skill_triggers!$A$1,0,0,COUNTA(enemy_skill_triggers!$A:$A),MATCH(G$1,enemy_skill_triggers!$1:$1,0)-MATCH($F$1,enemy_skill_triggers!$1:$1,0)+1),MATCH(G$1,enemy_skill_triggers!$1:$1,0)-MATCH($F$1,enemy_skill_triggers!$1:$1,0)+1,FALSE)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1" s="97">
        <f ca="1">VLOOKUP($F111,OFFSET(enemy_skill_triggers!$A$1,0,0,COUNTA(enemy_skill_triggers!$A:$A),MATCH(H$1,enemy_skill_triggers!$1:$1,0)-MATCH($F$1,enemy_skill_triggers!$1:$1,0)+1),MATCH(H$1,enemy_skill_triggers!$1:$1,0)-MATCH($F$1,enemy_skill_triggers!$1:$1,0)+1,FALSE)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111" s="97">
        <f ca="1">VLOOKUP($F111,OFFSET(enemy_skill_triggers!$A$1,0,0,COUNTA(enemy_skill_triggers!$A:$A),MATCH(I$1,enemy_skill_triggers!$1:$1,0)-MATCH($F$1,enemy_skill_triggers!$1:$1,0)+1),MATCH(I$1,enemy_skill_triggers!$1:$1,0)-MATCH($F$1,enemy_skill_triggers!$1:$1,0)+1,FALSE)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1" s="97" t="str">
        <f ca="1">VLOOKUP($F111,OFFSET(enemy_skill_triggers!$A$1,0,0,COUNTA(enemy_skill_triggers!$A:$A),MATCH(J$1,enemy_skill_triggers!$1:$1,0)-MATCH($F$1,enemy_skill_triggers!$1:$1,0)+1),MATCH(J$1,enemy_skill_triggers!$1:$1,0)-MATCH($F$1,enemy_skill_triggers!$1:$1,0)+1,FALSE)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1" s="97" t="str">
        <f ca="1">VLOOKUP($F111,OFFSET(enemy_skill_triggers!$A$1,0,0,COUNTA(enemy_skill_triggers!$A:$A),MATCH(K$1,enemy_skill_triggers!$1:$1,0)-MATCH($F$1,enemy_skill_triggers!$1:$1,0)+1),MATCH(K$1,enemy_skill_triggers!$1:$1,0)-MATCH($F$1,enemy_skill_triggers!$1:$1,0)+1,FALSE)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1" s="97">
        <f ca="1">VLOOKUP($F111,OFFSET(enemy_skill_triggers!$A$1,0,0,COUNTA(enemy_skill_triggers!$A:$A),MATCH(L$1,enemy_skill_triggers!$1:$1,0)-MATCH($F$1,enemy_skill_triggers!$1:$1,0)+1),MATCH(L$1,enemy_skill_triggers!$1:$1,0)-MATCH($F$1,enemy_skill_triggers!$1:$1,0)+1,FALSE)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1" s="97" t="str">
        <f ca="1">VLOOKUP($F111,OFFSET(enemy_skill_triggers!$A$1,0,0,COUNTA(enemy_skill_triggers!$A:$A),MATCH(M$1,enemy_skill_triggers!$1:$1,0)-MATCH($F$1,enemy_skill_triggers!$1:$1,0)+1),MATCH(M$1,enemy_skill_triggers!$1:$1,0)-MATCH($F$1,enemy_skill_triggers!$1:$1,0)+1,FALSE)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1" s="97">
        <f ca="1">VLOOKUP($F111,OFFSET(enemy_skill_triggers!$A$1,0,0,COUNTA(enemy_skill_triggers!$A:$A),MATCH(N$1,enemy_skill_triggers!$1:$1,0)-MATCH($F$1,enemy_skill_triggers!$1:$1,0)+1),MATCH(N$1,enemy_skill_triggers!$1:$1,0)-MATCH($F$1,enemy_skill_triggers!$1:$1,0)+1,FALSE)</f>
        <v>757</v>
      </c>
      <c r="O111" s="97">
        <f ca="1">VLOOKUP($F111,OFFSET(enemy_skill_triggers!$A$1,0,0,COUNTA(enemy_skill_triggers!$A:$A),MATCH(O$1,enemy_skill_triggers!$1:$1,0)-MATCH($F$1,enemy_skill_triggers!$1:$1,0)+1),MATCH(O$1,enemy_skill_triggers!$1:$1,0)-MATCH($F$1,enemy_skill_triggers!$1:$1,0)+1,FALSE)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1" s="95"/>
      <c r="Q111" s="95"/>
      <c r="R111" s="95"/>
    </row>
    <row r="112" spans="1:18" s="115" customFormat="1" ht="31" customHeight="1" thickBot="1" x14ac:dyDescent="0.2">
      <c r="A112" s="111" t="str">
        <f t="shared" si="21"/>
        <v>47015260_47015260</v>
      </c>
      <c r="B112" s="106">
        <v>47015260</v>
      </c>
      <c r="C112" s="171">
        <v>47015260</v>
      </c>
      <c r="D112" s="96" t="str">
        <f ca="1">VLOOKUP($C112,OFFSET(enemy_skills!$A$1,0,0,COUNTA(enemy_skills!$A:$A),MATCH(D$1,enemy_skills!$1:$1,0)-MATCH("enemy_skill_id",enemy_skills!$1:$1,0)+1),MATCH(D$1,enemy_skills!$1:$1,0)-MATCH("enemy_skill_id",enemy_skills!$1:$1,0)+1,FALSE)</f>
        <v>少し本気を出しましょうか</v>
      </c>
      <c r="E112" s="96" t="str">
        <f ca="1">VLOOKUP($C112,OFFSET(enemy_skills!$A$1,0,0,COUNTA(enemy_skills!$A:$A),MATCH(E$1,enemy_skills!$1:$1,0)-MATCH("enemy_skill_id",enemy_skills!$1:$1,0)+1),MATCH(E$1,enemy_skills!$1:$1,0)-MATCH("enemy_skill_id",enemy_skills!$1:$1,0)+1,FALSE)</f>
        <v>状態異常耐性+_x000D_5ターン確率でCパネルがドロップ+_x000D_属性パネルを緑のダメージパネルに8個変換</v>
      </c>
      <c r="F112" s="171">
        <v>47015260</v>
      </c>
      <c r="G112" s="97">
        <f ca="1">VLOOKUP($F112,OFFSET(enemy_skill_triggers!$A$1,0,0,COUNTA(enemy_skill_triggers!$A:$A),MATCH(G$1,enemy_skill_triggers!$1:$1,0)-MATCH($F$1,enemy_skill_triggers!$1:$1,0)+1),MATCH(G$1,enemy_skill_triggers!$1:$1,0)-MATCH($F$1,enemy_skill_triggers!$1:$1,0)+1,FALSE)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2" s="97">
        <f ca="1">VLOOKUP($F112,OFFSET(enemy_skill_triggers!$A$1,0,0,COUNTA(enemy_skill_triggers!$A:$A),MATCH(H$1,enemy_skill_triggers!$1:$1,0)-MATCH($F$1,enemy_skill_triggers!$1:$1,0)+1),MATCH(H$1,enemy_skill_triggers!$1:$1,0)-MATCH($F$1,enemy_skill_triggers!$1:$1,0)+1,FALSE)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12" s="97">
        <f ca="1">VLOOKUP($F112,OFFSET(enemy_skill_triggers!$A$1,0,0,COUNTA(enemy_skill_triggers!$A:$A),MATCH(I$1,enemy_skill_triggers!$1:$1,0)-MATCH($F$1,enemy_skill_triggers!$1:$1,0)+1),MATCH(I$1,enemy_skill_triggers!$1:$1,0)-MATCH($F$1,enemy_skill_triggers!$1:$1,0)+1,FALSE)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2" s="97" t="str">
        <f ca="1">VLOOKUP($F112,OFFSET(enemy_skill_triggers!$A$1,0,0,COUNTA(enemy_skill_triggers!$A:$A),MATCH(J$1,enemy_skill_triggers!$1:$1,0)-MATCH($F$1,enemy_skill_triggers!$1:$1,0)+1),MATCH(J$1,enemy_skill_triggers!$1:$1,0)-MATCH($F$1,enemy_skill_triggers!$1:$1,0)+1,FALSE)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2" s="97" t="str">
        <f ca="1">VLOOKUP($F112,OFFSET(enemy_skill_triggers!$A$1,0,0,COUNTA(enemy_skill_triggers!$A:$A),MATCH(K$1,enemy_skill_triggers!$1:$1,0)-MATCH($F$1,enemy_skill_triggers!$1:$1,0)+1),MATCH(K$1,enemy_skill_triggers!$1:$1,0)-MATCH($F$1,enemy_skill_triggers!$1:$1,0)+1,FALSE)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2" s="97">
        <f ca="1">VLOOKUP($F112,OFFSET(enemy_skill_triggers!$A$1,0,0,COUNTA(enemy_skill_triggers!$A:$A),MATCH(L$1,enemy_skill_triggers!$1:$1,0)-MATCH($F$1,enemy_skill_triggers!$1:$1,0)+1),MATCH(L$1,enemy_skill_triggers!$1:$1,0)-MATCH($F$1,enemy_skill_triggers!$1:$1,0)+1,FALSE)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2" s="97" t="str">
        <f ca="1">VLOOKUP($F112,OFFSET(enemy_skill_triggers!$A$1,0,0,COUNTA(enemy_skill_triggers!$A:$A),MATCH(M$1,enemy_skill_triggers!$1:$1,0)-MATCH($F$1,enemy_skill_triggers!$1:$1,0)+1),MATCH(M$1,enemy_skill_triggers!$1:$1,0)-MATCH($F$1,enemy_skill_triggers!$1:$1,0)+1,FALSE)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2" s="97" t="str">
        <f ca="1">VLOOKUP($F112,OFFSET(enemy_skill_triggers!$A$1,0,0,COUNTA(enemy_skill_triggers!$A:$A),MATCH(N$1,enemy_skill_triggers!$1:$1,0)-MATCH($F$1,enemy_skill_triggers!$1:$1,0)+1),MATCH(N$1,enemy_skill_triggers!$1:$1,0)-MATCH($F$1,enemy_skill_triggers!$1:$1,0)+1,FALSE)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2" s="97">
        <f ca="1">VLOOKUP($F112,OFFSET(enemy_skill_triggers!$A$1,0,0,COUNTA(enemy_skill_triggers!$A:$A),MATCH(O$1,enemy_skill_triggers!$1:$1,0)-MATCH($F$1,enemy_skill_triggers!$1:$1,0)+1),MATCH(O$1,enemy_skill_triggers!$1:$1,0)-MATCH($F$1,enemy_skill_triggers!$1:$1,0)+1,FALSE)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2" s="95"/>
      <c r="Q112" s="95"/>
      <c r="R112" s="95"/>
    </row>
    <row r="113" spans="1:18" ht="31" customHeight="1" thickBot="1" x14ac:dyDescent="0.2">
      <c r="A113" s="103" t="str">
        <f t="shared" si="21"/>
        <v>47015260_47015261</v>
      </c>
      <c r="B113" s="106">
        <v>47015260</v>
      </c>
      <c r="C113" s="171">
        <v>47015261</v>
      </c>
      <c r="D113" s="39" t="str">
        <f ca="1">VLOOKUP($C113,OFFSET(enemy_skills!$A$1,0,0,COUNTA(enemy_skills!$A:$A),MATCH(D$1,enemy_skills!$1:$1,0)-MATCH("enemy_skill_id",enemy_skills!$1:$1,0)+1),MATCH(D$1,enemy_skills!$1:$1,0)-MATCH("enemy_skill_id",enemy_skills!$1:$1,0)+1,FALSE)</f>
        <v>花嫁の嗜み</v>
      </c>
      <c r="E113" s="39" t="str">
        <f ca="1">VLOOKUP($C113,OFFSET(enemy_skills!$A$1,0,0,COUNTA(enemy_skills!$A:$A),MATCH(E$1,enemy_skills!$1:$1,0)-MATCH("enemy_skill_id",enemy_skills!$1:$1,0)+1),MATCH(E$1,enemy_skills!$1:$1,0)-MATCH("enemy_skill_id",enemy_skills!$1:$1,0)+1,FALSE)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13" s="171">
        <v>47015261</v>
      </c>
      <c r="G113" s="41">
        <f ca="1">VLOOKUP($F113,OFFSET(enemy_skill_triggers!$A$1,0,0,COUNTA(enemy_skill_triggers!$A:$A),MATCH(G$1,enemy_skill_triggers!$1:$1,0)-MATCH($F$1,enemy_skill_triggers!$1:$1,0)+1),MATCH(G$1,enemy_skill_triggers!$1:$1,0)-MATCH($F$1,enemy_skill_triggers!$1:$1,0)+1,FALSE)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3" s="41">
        <f ca="1">VLOOKUP($F113,OFFSET(enemy_skill_triggers!$A$1,0,0,COUNTA(enemy_skill_triggers!$A:$A),MATCH(H$1,enemy_skill_triggers!$1:$1,0)-MATCH($F$1,enemy_skill_triggers!$1:$1,0)+1),MATCH(H$1,enemy_skill_triggers!$1:$1,0)-MATCH($F$1,enemy_skill_triggers!$1:$1,0)+1,FALSE)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13" s="41">
        <f ca="1">VLOOKUP($F113,OFFSET(enemy_skill_triggers!$A$1,0,0,COUNTA(enemy_skill_triggers!$A:$A),MATCH(I$1,enemy_skill_triggers!$1:$1,0)-MATCH($F$1,enemy_skill_triggers!$1:$1,0)+1),MATCH(I$1,enemy_skill_triggers!$1:$1,0)-MATCH($F$1,enemy_skill_triggers!$1:$1,0)+1,FALSE)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113" s="41" t="str">
        <f ca="1">VLOOKUP($F113,OFFSET(enemy_skill_triggers!$A$1,0,0,COUNTA(enemy_skill_triggers!$A:$A),MATCH(J$1,enemy_skill_triggers!$1:$1,0)-MATCH($F$1,enemy_skill_triggers!$1:$1,0)+1),MATCH(J$1,enemy_skill_triggers!$1:$1,0)-MATCH($F$1,enemy_skill_triggers!$1:$1,0)+1,FALSE)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3" s="41" t="str">
        <f ca="1">VLOOKUP($F113,OFFSET(enemy_skill_triggers!$A$1,0,0,COUNTA(enemy_skill_triggers!$A:$A),MATCH(K$1,enemy_skill_triggers!$1:$1,0)-MATCH($F$1,enemy_skill_triggers!$1:$1,0)+1),MATCH(K$1,enemy_skill_triggers!$1:$1,0)-MATCH($F$1,enemy_skill_triggers!$1:$1,0)+1,FALSE)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3" s="41" t="str">
        <f ca="1">VLOOKUP($F113,OFFSET(enemy_skill_triggers!$A$1,0,0,COUNTA(enemy_skill_triggers!$A:$A),MATCH(L$1,enemy_skill_triggers!$1:$1,0)-MATCH($F$1,enemy_skill_triggers!$1:$1,0)+1),MATCH(L$1,enemy_skill_triggers!$1:$1,0)-MATCH($F$1,enemy_skill_triggers!$1:$1,0)+1,FALSE)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3" s="41" t="str">
        <f ca="1">VLOOKUP($F113,OFFSET(enemy_skill_triggers!$A$1,0,0,COUNTA(enemy_skill_triggers!$A:$A),MATCH(M$1,enemy_skill_triggers!$1:$1,0)-MATCH($F$1,enemy_skill_triggers!$1:$1,0)+1),MATCH(M$1,enemy_skill_triggers!$1:$1,0)-MATCH($F$1,enemy_skill_triggers!$1:$1,0)+1,FALSE)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3" s="41" t="str">
        <f ca="1">VLOOKUP($F113,OFFSET(enemy_skill_triggers!$A$1,0,0,COUNTA(enemy_skill_triggers!$A:$A),MATCH(N$1,enemy_skill_triggers!$1:$1,0)-MATCH($F$1,enemy_skill_triggers!$1:$1,0)+1),MATCH(N$1,enemy_skill_triggers!$1:$1,0)-MATCH($F$1,enemy_skill_triggers!$1:$1,0)+1,FALSE)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3" s="41">
        <f ca="1">VLOOKUP($F113,OFFSET(enemy_skill_triggers!$A$1,0,0,COUNTA(enemy_skill_triggers!$A:$A),MATCH(O$1,enemy_skill_triggers!$1:$1,0)-MATCH($F$1,enemy_skill_triggers!$1:$1,0)+1),MATCH(O$1,enemy_skill_triggers!$1:$1,0)-MATCH($F$1,enemy_skill_triggers!$1:$1,0)+1,FALSE)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113" s="40"/>
      <c r="Q113" s="40"/>
      <c r="R113" s="40"/>
    </row>
    <row r="114" spans="1:18" s="110" customFormat="1" ht="31" customHeight="1" thickBot="1" x14ac:dyDescent="0.2">
      <c r="A114" s="123" t="str">
        <f t="shared" si="21"/>
        <v>47015260_47015262</v>
      </c>
      <c r="B114" s="106">
        <v>47015260</v>
      </c>
      <c r="C114" s="171">
        <v>47015262</v>
      </c>
      <c r="D114" s="39" t="str">
        <f ca="1">VLOOKUP($C114,OFFSET(enemy_skills!$A$1,0,0,COUNTA(enemy_skills!$A:$A),MATCH(D$1,enemy_skills!$1:$1,0)-MATCH("enemy_skill_id",enemy_skills!$1:$1,0)+1),MATCH(D$1,enemy_skills!$1:$1,0)-MATCH("enemy_skill_id",enemy_skills!$1:$1,0)+1,FALSE)</f>
        <v>美しい花には棘があるのですよ</v>
      </c>
      <c r="E114" s="39" t="str">
        <f ca="1">VLOOKUP($C114,OFFSET(enemy_skills!$A$1,0,0,COUNTA(enemy_skills!$A:$A),MATCH(E$1,enemy_skills!$1:$1,0)-MATCH("enemy_skill_id",enemy_skills!$1:$1,0)+1),MATCH(E$1,enemy_skills!$1:$1,0)-MATCH("enemy_skill_id",enemy_skills!$1:$1,0)+1,FALSE)</f>
        <v>Cパネルを吸収して攻撃+_x000D_ランダムで緑のダメージパネルに最大2個変換</v>
      </c>
      <c r="F114" s="171">
        <v>47015262</v>
      </c>
      <c r="G114" s="94">
        <f ca="1">VLOOKUP($F114,OFFSET(enemy_skill_triggers!$A$1,0,0,COUNTA(enemy_skill_triggers!$A:$A),MATCH(G$1,enemy_skill_triggers!$1:$1,0)-MATCH($F$1,enemy_skill_triggers!$1:$1,0)+1),MATCH(G$1,enemy_skill_triggers!$1:$1,0)-MATCH($F$1,enemy_skill_triggers!$1:$1,0)+1,FALSE)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4" s="94">
        <f ca="1">VLOOKUP($F114,OFFSET(enemy_skill_triggers!$A$1,0,0,COUNTA(enemy_skill_triggers!$A:$A),MATCH(H$1,enemy_skill_triggers!$1:$1,0)-MATCH($F$1,enemy_skill_triggers!$1:$1,0)+1),MATCH(H$1,enemy_skill_triggers!$1:$1,0)-MATCH($F$1,enemy_skill_triggers!$1:$1,0)+1,FALSE)</f>
        <v>45</v>
      </c>
      <c r="I114" s="94">
        <f ca="1">VLOOKUP($F114,OFFSET(enemy_skill_triggers!$A$1,0,0,COUNTA(enemy_skill_triggers!$A:$A),MATCH(I$1,enemy_skill_triggers!$1:$1,0)-MATCH($F$1,enemy_skill_triggers!$1:$1,0)+1),MATCH(I$1,enemy_skill_triggers!$1:$1,0)-MATCH($F$1,enemy_skill_triggers!$1:$1,0)+1,FALSE)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114" s="94" t="str">
        <f ca="1">VLOOKUP($F114,OFFSET(enemy_skill_triggers!$A$1,0,0,COUNTA(enemy_skill_triggers!$A:$A),MATCH(J$1,enemy_skill_triggers!$1:$1,0)-MATCH($F$1,enemy_skill_triggers!$1:$1,0)+1),MATCH(J$1,enemy_skill_triggers!$1:$1,0)-MATCH($F$1,enemy_skill_triggers!$1:$1,0)+1,FALSE)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4" s="94" t="str">
        <f ca="1">VLOOKUP($F114,OFFSET(enemy_skill_triggers!$A$1,0,0,COUNTA(enemy_skill_triggers!$A:$A),MATCH(K$1,enemy_skill_triggers!$1:$1,0)-MATCH($F$1,enemy_skill_triggers!$1:$1,0)+1),MATCH(K$1,enemy_skill_triggers!$1:$1,0)-MATCH($F$1,enemy_skill_triggers!$1:$1,0)+1,FALSE)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4" s="94" t="str">
        <f ca="1">VLOOKUP($F114,OFFSET(enemy_skill_triggers!$A$1,0,0,COUNTA(enemy_skill_triggers!$A:$A),MATCH(L$1,enemy_skill_triggers!$1:$1,0)-MATCH($F$1,enemy_skill_triggers!$1:$1,0)+1),MATCH(L$1,enemy_skill_triggers!$1:$1,0)-MATCH($F$1,enemy_skill_triggers!$1:$1,0)+1,FALSE)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4" s="94" t="str">
        <f ca="1">VLOOKUP($F114,OFFSET(enemy_skill_triggers!$A$1,0,0,COUNTA(enemy_skill_triggers!$A:$A),MATCH(M$1,enemy_skill_triggers!$1:$1,0)-MATCH($F$1,enemy_skill_triggers!$1:$1,0)+1),MATCH(M$1,enemy_skill_triggers!$1:$1,0)-MATCH($F$1,enemy_skill_triggers!$1:$1,0)+1,FALSE)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4" s="94" t="str">
        <f ca="1">VLOOKUP($F114,OFFSET(enemy_skill_triggers!$A$1,0,0,COUNTA(enemy_skill_triggers!$A:$A),MATCH(N$1,enemy_skill_triggers!$1:$1,0)-MATCH($F$1,enemy_skill_triggers!$1:$1,0)+1),MATCH(N$1,enemy_skill_triggers!$1:$1,0)-MATCH($F$1,enemy_skill_triggers!$1:$1,0)+1,FALSE)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4" s="94">
        <f ca="1">VLOOKUP($F114,OFFSET(enemy_skill_triggers!$A$1,0,0,COUNTA(enemy_skill_triggers!$A:$A),MATCH(O$1,enemy_skill_triggers!$1:$1,0)-MATCH($F$1,enemy_skill_triggers!$1:$1,0)+1),MATCH(O$1,enemy_skill_triggers!$1:$1,0)-MATCH($F$1,enemy_skill_triggers!$1:$1,0)+1,FALSE)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114" s="92"/>
      <c r="Q114" s="92"/>
      <c r="R114" s="92"/>
    </row>
    <row r="115" spans="1:18" ht="31" customHeight="1" thickBot="1" x14ac:dyDescent="0.2">
      <c r="A115" s="103" t="str">
        <f t="shared" si="21"/>
        <v>47015260_47015263</v>
      </c>
      <c r="B115" s="106">
        <v>47015260</v>
      </c>
      <c r="C115" s="171">
        <v>47015263</v>
      </c>
      <c r="D115" s="39" t="str">
        <f ca="1">VLOOKUP($C115,OFFSET(enemy_skills!$A$1,0,0,COUNTA(enemy_skills!$A:$A),MATCH(D$1,enemy_skills!$1:$1,0)-MATCH("enemy_skill_id",enemy_skills!$1:$1,0)+1),MATCH(D$1,enemy_skills!$1:$1,0)-MATCH("enemy_skill_id",enemy_skills!$1:$1,0)+1,FALSE)</f>
        <v>少し楽しくなってきました</v>
      </c>
      <c r="E115" s="39" t="str">
        <f ca="1">VLOOKUP($C115,OFFSET(enemy_skills!$A$1,0,0,COUNTA(enemy_skills!$A:$A),MATCH(E$1,enemy_skills!$1:$1,0)-MATCH("enemy_skill_id",enemy_skills!$1:$1,0)+1),MATCH(E$1,enemy_skills!$1:$1,0)-MATCH("enemy_skill_id",enemy_skills!$1:$1,0)+1,FALSE)</f>
        <v>ハートパネルを吸収して回復+_x000D_4ターン全ユニットの回復力25％DOWN</v>
      </c>
      <c r="F115" s="171">
        <v>47015263</v>
      </c>
      <c r="G115" s="41">
        <f ca="1">VLOOKUP($F115,OFFSET(enemy_skill_triggers!$A$1,0,0,COUNTA(enemy_skill_triggers!$A:$A),MATCH(G$1,enemy_skill_triggers!$1:$1,0)-MATCH($F$1,enemy_skill_triggers!$1:$1,0)+1),MATCH(G$1,enemy_skill_triggers!$1:$1,0)-MATCH($F$1,enemy_skill_triggers!$1:$1,0)+1,FALSE)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5" s="41">
        <f ca="1">VLOOKUP($F115,OFFSET(enemy_skill_triggers!$A$1,0,0,COUNTA(enemy_skill_triggers!$A:$A),MATCH(H$1,enemy_skill_triggers!$1:$1,0)-MATCH($F$1,enemy_skill_triggers!$1:$1,0)+1),MATCH(H$1,enemy_skill_triggers!$1:$1,0)-MATCH($F$1,enemy_skill_triggers!$1:$1,0)+1,FALSE)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15" s="41">
        <f ca="1">VLOOKUP($F115,OFFSET(enemy_skill_triggers!$A$1,0,0,COUNTA(enemy_skill_triggers!$A:$A),MATCH(I$1,enemy_skill_triggers!$1:$1,0)-MATCH($F$1,enemy_skill_triggers!$1:$1,0)+1),MATCH(I$1,enemy_skill_triggers!$1:$1,0)-MATCH($F$1,enemy_skill_triggers!$1:$1,0)+1,FALSE)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15" s="41" t="str">
        <f ca="1">VLOOKUP($F115,OFFSET(enemy_skill_triggers!$A$1,0,0,COUNTA(enemy_skill_triggers!$A:$A),MATCH(J$1,enemy_skill_triggers!$1:$1,0)-MATCH($F$1,enemy_skill_triggers!$1:$1,0)+1),MATCH(J$1,enemy_skill_triggers!$1:$1,0)-MATCH($F$1,enemy_skill_triggers!$1:$1,0)+1,FALSE)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5" s="41" t="str">
        <f ca="1">VLOOKUP($F115,OFFSET(enemy_skill_triggers!$A$1,0,0,COUNTA(enemy_skill_triggers!$A:$A),MATCH(K$1,enemy_skill_triggers!$1:$1,0)-MATCH($F$1,enemy_skill_triggers!$1:$1,0)+1),MATCH(K$1,enemy_skill_triggers!$1:$1,0)-MATCH($F$1,enemy_skill_triggers!$1:$1,0)+1,FALSE)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5" s="41" t="str">
        <f ca="1">VLOOKUP($F115,OFFSET(enemy_skill_triggers!$A$1,0,0,COUNTA(enemy_skill_triggers!$A:$A),MATCH(L$1,enemy_skill_triggers!$1:$1,0)-MATCH($F$1,enemy_skill_triggers!$1:$1,0)+1),MATCH(L$1,enemy_skill_triggers!$1:$1,0)-MATCH($F$1,enemy_skill_triggers!$1:$1,0)+1,FALSE)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5" s="41" t="str">
        <f ca="1">VLOOKUP($F115,OFFSET(enemy_skill_triggers!$A$1,0,0,COUNTA(enemy_skill_triggers!$A:$A),MATCH(M$1,enemy_skill_triggers!$1:$1,0)-MATCH($F$1,enemy_skill_triggers!$1:$1,0)+1),MATCH(M$1,enemy_skill_triggers!$1:$1,0)-MATCH($F$1,enemy_skill_triggers!$1:$1,0)+1,FALSE)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5" s="41" t="str">
        <f ca="1">VLOOKUP($F115,OFFSET(enemy_skill_triggers!$A$1,0,0,COUNTA(enemy_skill_triggers!$A:$A),MATCH(N$1,enemy_skill_triggers!$1:$1,0)-MATCH($F$1,enemy_skill_triggers!$1:$1,0)+1),MATCH(N$1,enemy_skill_triggers!$1:$1,0)-MATCH($F$1,enemy_skill_triggers!$1:$1,0)+1,FALSE)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5" s="41">
        <f ca="1">VLOOKUP($F115,OFFSET(enemy_skill_triggers!$A$1,0,0,COUNTA(enemy_skill_triggers!$A:$A),MATCH(O$1,enemy_skill_triggers!$1:$1,0)-MATCH($F$1,enemy_skill_triggers!$1:$1,0)+1),MATCH(O$1,enemy_skill_triggers!$1:$1,0)-MATCH($F$1,enemy_skill_triggers!$1:$1,0)+1,FALSE)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15" s="40"/>
      <c r="Q115" s="40"/>
      <c r="R115" s="40"/>
    </row>
    <row r="116" spans="1:18" ht="31" customHeight="1" thickBot="1" x14ac:dyDescent="0.2">
      <c r="A116" s="103" t="str">
        <f t="shared" si="21"/>
        <v>47015260_47015264</v>
      </c>
      <c r="B116" s="106">
        <v>47015260</v>
      </c>
      <c r="C116" s="171">
        <v>47015264</v>
      </c>
      <c r="D116" s="39" t="str">
        <f ca="1">VLOOKUP($C116,OFFSET(enemy_skills!$A$1,0,0,COUNTA(enemy_skills!$A:$A),MATCH(D$1,enemy_skills!$1:$1,0)-MATCH("enemy_skill_id",enemy_skills!$1:$1,0)+1),MATCH(D$1,enemy_skills!$1:$1,0)-MATCH("enemy_skill_id",enemy_skills!$1:$1,0)+1,FALSE)</f>
        <v>花嫁修行</v>
      </c>
      <c r="E116" s="39" t="str">
        <f ca="1">VLOOKUP($C116,OFFSET(enemy_skills!$A$1,0,0,COUNTA(enemy_skills!$A:$A),MATCH(E$1,enemy_skills!$1:$1,0)-MATCH("enemy_skill_id",enemy_skills!$1:$1,0)+1),MATCH(E$1,enemy_skills!$1:$1,0)-MATCH("enemy_skill_id",enemy_skills!$1:$1,0)+1,FALSE)</f>
        <v>1ターン防御力UP+_x000D_1ターン全属性の攻撃をカウンター</v>
      </c>
      <c r="F116" s="171">
        <v>47015264</v>
      </c>
      <c r="G116" s="41">
        <f ca="1">VLOOKUP($F116,OFFSET(enemy_skill_triggers!$A$1,0,0,COUNTA(enemy_skill_triggers!$A:$A),MATCH(G$1,enemy_skill_triggers!$1:$1,0)-MATCH($F$1,enemy_skill_triggers!$1:$1,0)+1),MATCH(G$1,enemy_skill_triggers!$1:$1,0)-MATCH($F$1,enemy_skill_triggers!$1:$1,0)+1,FALSE)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6" s="41">
        <f ca="1">VLOOKUP($F116,OFFSET(enemy_skill_triggers!$A$1,0,0,COUNTA(enemy_skill_triggers!$A:$A),MATCH(H$1,enemy_skill_triggers!$1:$1,0)-MATCH($F$1,enemy_skill_triggers!$1:$1,0)+1),MATCH(H$1,enemy_skill_triggers!$1:$1,0)-MATCH($F$1,enemy_skill_triggers!$1:$1,0)+1,FALSE)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116" s="41">
        <f ca="1">VLOOKUP($F116,OFFSET(enemy_skill_triggers!$A$1,0,0,COUNTA(enemy_skill_triggers!$A:$A),MATCH(I$1,enemy_skill_triggers!$1:$1,0)-MATCH($F$1,enemy_skill_triggers!$1:$1,0)+1),MATCH(I$1,enemy_skill_triggers!$1:$1,0)-MATCH($F$1,enemy_skill_triggers!$1:$1,0)+1,FALSE)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6" s="41" t="str">
        <f ca="1">VLOOKUP($F116,OFFSET(enemy_skill_triggers!$A$1,0,0,COUNTA(enemy_skill_triggers!$A:$A),MATCH(J$1,enemy_skill_triggers!$1:$1,0)-MATCH($F$1,enemy_skill_triggers!$1:$1,0)+1),MATCH(J$1,enemy_skill_triggers!$1:$1,0)-MATCH($F$1,enemy_skill_triggers!$1:$1,0)+1,FALSE)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6" s="41" t="str">
        <f ca="1">VLOOKUP($F116,OFFSET(enemy_skill_triggers!$A$1,0,0,COUNTA(enemy_skill_triggers!$A:$A),MATCH(K$1,enemy_skill_triggers!$1:$1,0)-MATCH($F$1,enemy_skill_triggers!$1:$1,0)+1),MATCH(K$1,enemy_skill_triggers!$1:$1,0)-MATCH($F$1,enemy_skill_triggers!$1:$1,0)+1,FALSE)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6" s="41">
        <f ca="1">VLOOKUP($F116,OFFSET(enemy_skill_triggers!$A$1,0,0,COUNTA(enemy_skill_triggers!$A:$A),MATCH(L$1,enemy_skill_triggers!$1:$1,0)-MATCH($F$1,enemy_skill_triggers!$1:$1,0)+1),MATCH(L$1,enemy_skill_triggers!$1:$1,0)-MATCH($F$1,enemy_skill_triggers!$1:$1,0)+1,FALSE)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6" s="41" t="str">
        <f ca="1">VLOOKUP($F116,OFFSET(enemy_skill_triggers!$A$1,0,0,COUNTA(enemy_skill_triggers!$A:$A),MATCH(M$1,enemy_skill_triggers!$1:$1,0)-MATCH($F$1,enemy_skill_triggers!$1:$1,0)+1),MATCH(M$1,enemy_skill_triggers!$1:$1,0)-MATCH($F$1,enemy_skill_triggers!$1:$1,0)+1,FALSE)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6" s="41" t="str">
        <f ca="1">VLOOKUP($F116,OFFSET(enemy_skill_triggers!$A$1,0,0,COUNTA(enemy_skill_triggers!$A:$A),MATCH(N$1,enemy_skill_triggers!$1:$1,0)-MATCH($F$1,enemy_skill_triggers!$1:$1,0)+1),MATCH(N$1,enemy_skill_triggers!$1:$1,0)-MATCH($F$1,enemy_skill_triggers!$1:$1,0)+1,FALSE)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6" s="41">
        <f ca="1">VLOOKUP($F116,OFFSET(enemy_skill_triggers!$A$1,0,0,COUNTA(enemy_skill_triggers!$A:$A),MATCH(O$1,enemy_skill_triggers!$1:$1,0)-MATCH($F$1,enemy_skill_triggers!$1:$1,0)+1),MATCH(O$1,enemy_skill_triggers!$1:$1,0)-MATCH($F$1,enemy_skill_triggers!$1:$1,0)+1,FALSE)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6" s="40"/>
      <c r="Q116" s="40"/>
      <c r="R116" s="40"/>
    </row>
    <row r="117" spans="1:18" s="122" customFormat="1" ht="31" customHeight="1" thickBot="1" x14ac:dyDescent="0.2">
      <c r="A117" s="118" t="str">
        <f t="shared" si="21"/>
        <v>47015260_47015265</v>
      </c>
      <c r="B117" s="106">
        <v>47015260</v>
      </c>
      <c r="C117" s="171">
        <v>47015265</v>
      </c>
      <c r="D117" s="120" t="str">
        <f ca="1">VLOOKUP($C117,OFFSET(enemy_skills!$A$1,0,0,COUNTA(enemy_skills!$A:$A),MATCH(D$1,enemy_skills!$1:$1,0)-MATCH("enemy_skill_id",enemy_skills!$1:$1,0)+1),MATCH(D$1,enemy_skills!$1:$1,0)-MATCH("enemy_skill_id",enemy_skills!$1:$1,0)+1,FALSE)</f>
        <v>化粧直し</v>
      </c>
      <c r="E117" s="120" t="str">
        <f ca="1">VLOOKUP($C117,OFFSET(enemy_skills!$A$1,0,0,COUNTA(enemy_skills!$A:$A),MATCH(E$1,enemy_skills!$1:$1,0)-MATCH("enemy_skill_id",enemy_skills!$1:$1,0)+1),MATCH(E$1,enemy_skills!$1:$1,0)-MATCH("enemy_skill_id",enemy_skills!$1:$1,0)+1,FALSE)</f>
        <v>2ターン暗闇+10ターンボムの爆風を50%DOWN+_x000D_ランダムで緑のダメージパネルに最大3個変換</v>
      </c>
      <c r="F117" s="171">
        <v>47015265</v>
      </c>
      <c r="G117" s="121">
        <f ca="1">VLOOKUP($F117,OFFSET(enemy_skill_triggers!$A$1,0,0,COUNTA(enemy_skill_triggers!$A:$A),MATCH(G$1,enemy_skill_triggers!$1:$1,0)-MATCH($F$1,enemy_skill_triggers!$1:$1,0)+1),MATCH(G$1,enemy_skill_triggers!$1:$1,0)-MATCH($F$1,enemy_skill_triggers!$1:$1,0)+1,FALSE)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7" s="121">
        <f ca="1">VLOOKUP($F117,OFFSET(enemy_skill_triggers!$A$1,0,0,COUNTA(enemy_skill_triggers!$A:$A),MATCH(H$1,enemy_skill_triggers!$1:$1,0)-MATCH($F$1,enemy_skill_triggers!$1:$1,0)+1),MATCH(H$1,enemy_skill_triggers!$1:$1,0)-MATCH($F$1,enemy_skill_triggers!$1:$1,0)+1,FALSE)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117" s="121">
        <f ca="1">VLOOKUP($F117,OFFSET(enemy_skill_triggers!$A$1,0,0,COUNTA(enemy_skill_triggers!$A:$A),MATCH(I$1,enemy_skill_triggers!$1:$1,0)-MATCH($F$1,enemy_skill_triggers!$1:$1,0)+1),MATCH(I$1,enemy_skill_triggers!$1:$1,0)-MATCH($F$1,enemy_skill_triggers!$1:$1,0)+1,FALSE)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7" s="121">
        <f ca="1">VLOOKUP($F117,OFFSET(enemy_skill_triggers!$A$1,0,0,COUNTA(enemy_skill_triggers!$A:$A),MATCH(J$1,enemy_skill_triggers!$1:$1,0)-MATCH($F$1,enemy_skill_triggers!$1:$1,0)+1),MATCH(J$1,enemy_skill_triggers!$1:$1,0)-MATCH($F$1,enemy_skill_triggers!$1:$1,0)+1,FALSE)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17" s="121" t="str">
        <f ca="1">VLOOKUP($F117,OFFSET(enemy_skill_triggers!$A$1,0,0,COUNTA(enemy_skill_triggers!$A:$A),MATCH(K$1,enemy_skill_triggers!$1:$1,0)-MATCH($F$1,enemy_skill_triggers!$1:$1,0)+1),MATCH(K$1,enemy_skill_triggers!$1:$1,0)-MATCH($F$1,enemy_skill_triggers!$1:$1,0)+1,FALSE)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7" s="121">
        <f ca="1">VLOOKUP($F117,OFFSET(enemy_skill_triggers!$A$1,0,0,COUNTA(enemy_skill_triggers!$A:$A),MATCH(L$1,enemy_skill_triggers!$1:$1,0)-MATCH($F$1,enemy_skill_triggers!$1:$1,0)+1),MATCH(L$1,enemy_skill_triggers!$1:$1,0)-MATCH($F$1,enemy_skill_triggers!$1:$1,0)+1,FALSE)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7" s="121" t="str">
        <f ca="1">VLOOKUP($F117,OFFSET(enemy_skill_triggers!$A$1,0,0,COUNTA(enemy_skill_triggers!$A:$A),MATCH(M$1,enemy_skill_triggers!$1:$1,0)-MATCH($F$1,enemy_skill_triggers!$1:$1,0)+1),MATCH(M$1,enemy_skill_triggers!$1:$1,0)-MATCH($F$1,enemy_skill_triggers!$1:$1,0)+1,FALSE)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7" s="121" t="str">
        <f ca="1">VLOOKUP($F117,OFFSET(enemy_skill_triggers!$A$1,0,0,COUNTA(enemy_skill_triggers!$A:$A),MATCH(N$1,enemy_skill_triggers!$1:$1,0)-MATCH($F$1,enemy_skill_triggers!$1:$1,0)+1),MATCH(N$1,enemy_skill_triggers!$1:$1,0)-MATCH($F$1,enemy_skill_triggers!$1:$1,0)+1,FALSE)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7" s="121">
        <f ca="1">VLOOKUP($F117,OFFSET(enemy_skill_triggers!$A$1,0,0,COUNTA(enemy_skill_triggers!$A:$A),MATCH(O$1,enemy_skill_triggers!$1:$1,0)-MATCH($F$1,enemy_skill_triggers!$1:$1,0)+1),MATCH(O$1,enemy_skill_triggers!$1:$1,0)-MATCH($F$1,enemy_skill_triggers!$1:$1,0)+1,FALSE)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7" s="119"/>
      <c r="Q117" s="119"/>
      <c r="R117" s="119"/>
    </row>
    <row r="118" spans="1:18" s="110" customFormat="1" ht="31" customHeight="1" x14ac:dyDescent="0.15">
      <c r="A118" s="109" t="str">
        <f t="shared" si="21"/>
        <v>47015270_47015270</v>
      </c>
      <c r="B118" s="135">
        <v>47015270</v>
      </c>
      <c r="C118" s="178">
        <v>47015270</v>
      </c>
      <c r="D118" s="93" t="str">
        <f ca="1">VLOOKUP($C118,OFFSET(enemy_skills!$A$1,0,0,COUNTA(enemy_skills!$A:$A),MATCH(D$1,enemy_skills!$1:$1,0)-MATCH("enemy_skill_id",enemy_skills!$1:$1,0)+1),MATCH(D$1,enemy_skills!$1:$1,0)-MATCH("enemy_skill_id",enemy_skills!$1:$1,0)+1,FALSE)</f>
        <v>あら？貴方達だったのですか！_x000D_ごめんね、勘違いしちゃったの</v>
      </c>
      <c r="E118" s="93" t="str">
        <f ca="1">VLOOKUP($C118,OFFSET(enemy_skills!$A$1,0,0,COUNTA(enemy_skills!$A:$A),MATCH(E$1,enemy_skills!$1:$1,0)-MATCH("enemy_skill_id",enemy_skills!$1:$1,0)+1),MATCH(E$1,enemy_skills!$1:$1,0)-MATCH("enemy_skill_id",enemy_skills!$1:$1,0)+1,FALSE)</f>
        <v>全てのマイナス効果を解除+_x000D_特定エリアをハートパネルに変換+_x000D_フィーバーゲージ33%増加_x000D_【HP25%以下で超強力な大ダメージ！】</v>
      </c>
      <c r="F118" s="178">
        <v>47015270</v>
      </c>
      <c r="G118" s="94">
        <f ca="1">VLOOKUP($F118,OFFSET(enemy_skill_triggers!$A$1,0,0,COUNTA(enemy_skill_triggers!$A:$A),MATCH(G$1,enemy_skill_triggers!$1:$1,0)-MATCH($F$1,enemy_skill_triggers!$1:$1,0)+1),MATCH(G$1,enemy_skill_triggers!$1:$1,0)-MATCH($F$1,enemy_skill_triggers!$1:$1,0)+1,FALSE)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8" s="94">
        <f ca="1">VLOOKUP($F118,OFFSET(enemy_skill_triggers!$A$1,0,0,COUNTA(enemy_skill_triggers!$A:$A),MATCH(H$1,enemy_skill_triggers!$1:$1,0)-MATCH($F$1,enemy_skill_triggers!$1:$1,0)+1),MATCH(H$1,enemy_skill_triggers!$1:$1,0)-MATCH($F$1,enemy_skill_triggers!$1:$1,0)+1,FALSE)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18" s="94">
        <f ca="1">VLOOKUP($F118,OFFSET(enemy_skill_triggers!$A$1,0,0,COUNTA(enemy_skill_triggers!$A:$A),MATCH(I$1,enemy_skill_triggers!$1:$1,0)-MATCH($F$1,enemy_skill_triggers!$1:$1,0)+1),MATCH(I$1,enemy_skill_triggers!$1:$1,0)-MATCH($F$1,enemy_skill_triggers!$1:$1,0)+1,FALSE)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8" s="94" t="str">
        <f ca="1">VLOOKUP($F118,OFFSET(enemy_skill_triggers!$A$1,0,0,COUNTA(enemy_skill_triggers!$A:$A),MATCH(J$1,enemy_skill_triggers!$1:$1,0)-MATCH($F$1,enemy_skill_triggers!$1:$1,0)+1),MATCH(J$1,enemy_skill_triggers!$1:$1,0)-MATCH($F$1,enemy_skill_triggers!$1:$1,0)+1,FALSE)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8" s="94" t="str">
        <f ca="1">VLOOKUP($F118,OFFSET(enemy_skill_triggers!$A$1,0,0,COUNTA(enemy_skill_triggers!$A:$A),MATCH(K$1,enemy_skill_triggers!$1:$1,0)-MATCH($F$1,enemy_skill_triggers!$1:$1,0)+1),MATCH(K$1,enemy_skill_triggers!$1:$1,0)-MATCH($F$1,enemy_skill_triggers!$1:$1,0)+1,FALSE)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8" s="94">
        <f ca="1">VLOOKUP($F118,OFFSET(enemy_skill_triggers!$A$1,0,0,COUNTA(enemy_skill_triggers!$A:$A),MATCH(L$1,enemy_skill_triggers!$1:$1,0)-MATCH($F$1,enemy_skill_triggers!$1:$1,0)+1),MATCH(L$1,enemy_skill_triggers!$1:$1,0)-MATCH($F$1,enemy_skill_triggers!$1:$1,0)+1,FALSE)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8" s="94" t="str">
        <f ca="1">VLOOKUP($F118,OFFSET(enemy_skill_triggers!$A$1,0,0,COUNTA(enemy_skill_triggers!$A:$A),MATCH(M$1,enemy_skill_triggers!$1:$1,0)-MATCH($F$1,enemy_skill_triggers!$1:$1,0)+1),MATCH(M$1,enemy_skill_triggers!$1:$1,0)-MATCH($F$1,enemy_skill_triggers!$1:$1,0)+1,FALSE)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8" s="94" t="str">
        <f ca="1">VLOOKUP($F118,OFFSET(enemy_skill_triggers!$A$1,0,0,COUNTA(enemy_skill_triggers!$A:$A),MATCH(N$1,enemy_skill_triggers!$1:$1,0)-MATCH($F$1,enemy_skill_triggers!$1:$1,0)+1),MATCH(N$1,enemy_skill_triggers!$1:$1,0)-MATCH($F$1,enemy_skill_triggers!$1:$1,0)+1,FALSE)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8" s="94">
        <f ca="1">VLOOKUP($F118,OFFSET(enemy_skill_triggers!$A$1,0,0,COUNTA(enemy_skill_triggers!$A:$A),MATCH(O$1,enemy_skill_triggers!$1:$1,0)-MATCH($F$1,enemy_skill_triggers!$1:$1,0)+1),MATCH(O$1,enemy_skill_triggers!$1:$1,0)-MATCH($F$1,enemy_skill_triggers!$1:$1,0)+1,FALSE)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8" s="92"/>
      <c r="Q118" s="92"/>
      <c r="R118" s="92"/>
    </row>
    <row r="119" spans="1:18" ht="31" customHeight="1" x14ac:dyDescent="0.15">
      <c r="A119" s="101" t="str">
        <f t="shared" si="21"/>
        <v>47015270_47015271</v>
      </c>
      <c r="B119" s="135">
        <v>47015270</v>
      </c>
      <c r="C119" s="179">
        <v>47015271</v>
      </c>
      <c r="D119" s="39" t="str">
        <f ca="1">VLOOKUP($C119,OFFSET(enemy_skills!$A$1,0,0,COUNTA(enemy_skills!$A:$A),MATCH(D$1,enemy_skills!$1:$1,0)-MATCH("enemy_skill_id",enemy_skills!$1:$1,0)+1),MATCH(D$1,enemy_skills!$1:$1,0)-MATCH("enemy_skill_id",enemy_skills!$1:$1,0)+1,FALSE)</f>
        <v>私、綺麗ですか？</v>
      </c>
      <c r="E119" s="39" t="str">
        <f ca="1">VLOOKUP($C119,OFFSET(enemy_skills!$A$1,0,0,COUNTA(enemy_skills!$A:$A),MATCH(E$1,enemy_skills!$1:$1,0)-MATCH("enemy_skill_id",enemy_skills!$1:$1,0)+1),MATCH(E$1,enemy_skills!$1:$1,0)-MATCH("enemy_skill_id",enemy_skills!$1:$1,0)+1,FALSE)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119" s="179">
        <v>47015271</v>
      </c>
      <c r="G119" s="41">
        <f ca="1">VLOOKUP($F119,OFFSET(enemy_skill_triggers!$A$1,0,0,COUNTA(enemy_skill_triggers!$A:$A),MATCH(G$1,enemy_skill_triggers!$1:$1,0)-MATCH($F$1,enemy_skill_triggers!$1:$1,0)+1),MATCH(G$1,enemy_skill_triggers!$1:$1,0)-MATCH($F$1,enemy_skill_triggers!$1:$1,0)+1,FALSE)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9" s="41">
        <f ca="1">VLOOKUP($F119,OFFSET(enemy_skill_triggers!$A$1,0,0,COUNTA(enemy_skill_triggers!$A:$A),MATCH(H$1,enemy_skill_triggers!$1:$1,0)-MATCH($F$1,enemy_skill_triggers!$1:$1,0)+1),MATCH(H$1,enemy_skill_triggers!$1:$1,0)-MATCH($F$1,enemy_skill_triggers!$1:$1,0)+1,FALSE)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19" s="41">
        <f ca="1">VLOOKUP($F119,OFFSET(enemy_skill_triggers!$A$1,0,0,COUNTA(enemy_skill_triggers!$A:$A),MATCH(I$1,enemy_skill_triggers!$1:$1,0)-MATCH($F$1,enemy_skill_triggers!$1:$1,0)+1),MATCH(I$1,enemy_skill_triggers!$1:$1,0)-MATCH($F$1,enemy_skill_triggers!$1:$1,0)+1,FALSE)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19" s="41" t="str">
        <f ca="1">VLOOKUP($F119,OFFSET(enemy_skill_triggers!$A$1,0,0,COUNTA(enemy_skill_triggers!$A:$A),MATCH(J$1,enemy_skill_triggers!$1:$1,0)-MATCH($F$1,enemy_skill_triggers!$1:$1,0)+1),MATCH(J$1,enemy_skill_triggers!$1:$1,0)-MATCH($F$1,enemy_skill_triggers!$1:$1,0)+1,FALSE)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9" s="41" t="str">
        <f ca="1">VLOOKUP($F119,OFFSET(enemy_skill_triggers!$A$1,0,0,COUNTA(enemy_skill_triggers!$A:$A),MATCH(K$1,enemy_skill_triggers!$1:$1,0)-MATCH($F$1,enemy_skill_triggers!$1:$1,0)+1),MATCH(K$1,enemy_skill_triggers!$1:$1,0)-MATCH($F$1,enemy_skill_triggers!$1:$1,0)+1,FALSE)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9" s="41" t="str">
        <f ca="1">VLOOKUP($F119,OFFSET(enemy_skill_triggers!$A$1,0,0,COUNTA(enemy_skill_triggers!$A:$A),MATCH(L$1,enemy_skill_triggers!$1:$1,0)-MATCH($F$1,enemy_skill_triggers!$1:$1,0)+1),MATCH(L$1,enemy_skill_triggers!$1:$1,0)-MATCH($F$1,enemy_skill_triggers!$1:$1,0)+1,FALSE)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9" s="41" t="str">
        <f ca="1">VLOOKUP($F119,OFFSET(enemy_skill_triggers!$A$1,0,0,COUNTA(enemy_skill_triggers!$A:$A),MATCH(M$1,enemy_skill_triggers!$1:$1,0)-MATCH($F$1,enemy_skill_triggers!$1:$1,0)+1),MATCH(M$1,enemy_skill_triggers!$1:$1,0)-MATCH($F$1,enemy_skill_triggers!$1:$1,0)+1,FALSE)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9" s="41" t="str">
        <f ca="1">VLOOKUP($F119,OFFSET(enemy_skill_triggers!$A$1,0,0,COUNTA(enemy_skill_triggers!$A:$A),MATCH(N$1,enemy_skill_triggers!$1:$1,0)-MATCH($F$1,enemy_skill_triggers!$1:$1,0)+1),MATCH(N$1,enemy_skill_triggers!$1:$1,0)-MATCH($F$1,enemy_skill_triggers!$1:$1,0)+1,FALSE)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9" s="41">
        <f ca="1">VLOOKUP($F119,OFFSET(enemy_skill_triggers!$A$1,0,0,COUNTA(enemy_skill_triggers!$A:$A),MATCH(O$1,enemy_skill_triggers!$1:$1,0)-MATCH($F$1,enemy_skill_triggers!$1:$1,0)+1),MATCH(O$1,enemy_skill_triggers!$1:$1,0)-MATCH($F$1,enemy_skill_triggers!$1:$1,0)+1,FALSE)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19" s="40"/>
      <c r="Q119" s="40"/>
      <c r="R119" s="40"/>
    </row>
    <row r="120" spans="1:18" s="110" customFormat="1" ht="31" customHeight="1" x14ac:dyDescent="0.15">
      <c r="A120" s="109" t="str">
        <f t="shared" si="21"/>
        <v>47015270_47015272</v>
      </c>
      <c r="B120" s="135">
        <v>47015270</v>
      </c>
      <c r="C120" s="178">
        <v>47015272</v>
      </c>
      <c r="D120" s="93" t="str">
        <f ca="1">VLOOKUP($C120,OFFSET(enemy_skills!$A$1,0,0,COUNTA(enemy_skills!$A:$A),MATCH(D$1,enemy_skills!$1:$1,0)-MATCH("enemy_skill_id",enemy_skills!$1:$1,0)+1),MATCH(D$1,enemy_skills!$1:$1,0)-MATCH("enemy_skill_id",enemy_skills!$1:$1,0)+1,FALSE)</f>
        <v>存分に見て良いのですよ！</v>
      </c>
      <c r="E120" s="93" t="str">
        <f ca="1">VLOOKUP($C120,OFFSET(enemy_skills!$A$1,0,0,COUNTA(enemy_skills!$A:$A),MATCH(E$1,enemy_skills!$1:$1,0)-MATCH("enemy_skill_id",enemy_skills!$1:$1,0)+1),MATCH(E$1,enemy_skills!$1:$1,0)-MATCH("enemy_skill_id",enemy_skills!$1:$1,0)+1,FALSE)</f>
        <v>ランダムで緑のダメージパネルに最大10個変換+_x000D_ランダムでボムパネルに最大1個変換</v>
      </c>
      <c r="F120" s="178">
        <v>47015272</v>
      </c>
      <c r="G120" s="94">
        <f ca="1">VLOOKUP($F120,OFFSET(enemy_skill_triggers!$A$1,0,0,COUNTA(enemy_skill_triggers!$A:$A),MATCH(G$1,enemy_skill_triggers!$1:$1,0)-MATCH($F$1,enemy_skill_triggers!$1:$1,0)+1),MATCH(G$1,enemy_skill_triggers!$1:$1,0)-MATCH($F$1,enemy_skill_triggers!$1:$1,0)+1,FALSE)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0" s="94">
        <f ca="1">VLOOKUP($F120,OFFSET(enemy_skill_triggers!$A$1,0,0,COUNTA(enemy_skill_triggers!$A:$A),MATCH(H$1,enemy_skill_triggers!$1:$1,0)-MATCH($F$1,enemy_skill_triggers!$1:$1,0)+1),MATCH(H$1,enemy_skill_triggers!$1:$1,0)-MATCH($F$1,enemy_skill_triggers!$1:$1,0)+1,FALSE)</f>
        <v>55</v>
      </c>
      <c r="I120" s="94">
        <f ca="1">VLOOKUP($F120,OFFSET(enemy_skill_triggers!$A$1,0,0,COUNTA(enemy_skill_triggers!$A:$A),MATCH(I$1,enemy_skill_triggers!$1:$1,0)-MATCH($F$1,enemy_skill_triggers!$1:$1,0)+1),MATCH(I$1,enemy_skill_triggers!$1:$1,0)-MATCH($F$1,enemy_skill_triggers!$1:$1,0)+1,FALSE)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120" s="94" t="str">
        <f ca="1">VLOOKUP($F120,OFFSET(enemy_skill_triggers!$A$1,0,0,COUNTA(enemy_skill_triggers!$A:$A),MATCH(J$1,enemy_skill_triggers!$1:$1,0)-MATCH($F$1,enemy_skill_triggers!$1:$1,0)+1),MATCH(J$1,enemy_skill_triggers!$1:$1,0)-MATCH($F$1,enemy_skill_triggers!$1:$1,0)+1,FALSE)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0" s="94" t="str">
        <f ca="1">VLOOKUP($F120,OFFSET(enemy_skill_triggers!$A$1,0,0,COUNTA(enemy_skill_triggers!$A:$A),MATCH(K$1,enemy_skill_triggers!$1:$1,0)-MATCH($F$1,enemy_skill_triggers!$1:$1,0)+1),MATCH(K$1,enemy_skill_triggers!$1:$1,0)-MATCH($F$1,enemy_skill_triggers!$1:$1,0)+1,FALSE)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0" s="94">
        <f ca="1">VLOOKUP($F120,OFFSET(enemy_skill_triggers!$A$1,0,0,COUNTA(enemy_skill_triggers!$A:$A),MATCH(L$1,enemy_skill_triggers!$1:$1,0)-MATCH($F$1,enemy_skill_triggers!$1:$1,0)+1),MATCH(L$1,enemy_skill_triggers!$1:$1,0)-MATCH($F$1,enemy_skill_triggers!$1:$1,0)+1,FALSE)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20" s="94" t="str">
        <f ca="1">VLOOKUP($F120,OFFSET(enemy_skill_triggers!$A$1,0,0,COUNTA(enemy_skill_triggers!$A:$A),MATCH(M$1,enemy_skill_triggers!$1:$1,0)-MATCH($F$1,enemy_skill_triggers!$1:$1,0)+1),MATCH(M$1,enemy_skill_triggers!$1:$1,0)-MATCH($F$1,enemy_skill_triggers!$1:$1,0)+1,FALSE)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0" s="94" t="str">
        <f ca="1">VLOOKUP($F120,OFFSET(enemy_skill_triggers!$A$1,0,0,COUNTA(enemy_skill_triggers!$A:$A),MATCH(N$1,enemy_skill_triggers!$1:$1,0)-MATCH($F$1,enemy_skill_triggers!$1:$1,0)+1),MATCH(N$1,enemy_skill_triggers!$1:$1,0)-MATCH($F$1,enemy_skill_triggers!$1:$1,0)+1,FALSE)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0" s="94">
        <f ca="1">VLOOKUP($F120,OFFSET(enemy_skill_triggers!$A$1,0,0,COUNTA(enemy_skill_triggers!$A:$A),MATCH(O$1,enemy_skill_triggers!$1:$1,0)-MATCH($F$1,enemy_skill_triggers!$1:$1,0)+1),MATCH(O$1,enemy_skill_triggers!$1:$1,0)-MATCH($F$1,enemy_skill_triggers!$1:$1,0)+1,FALSE)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120" s="92"/>
      <c r="Q120" s="92"/>
      <c r="R120" s="92"/>
    </row>
    <row r="121" spans="1:18" ht="31" customHeight="1" x14ac:dyDescent="0.15">
      <c r="A121" s="101" t="str">
        <f t="shared" si="21"/>
        <v>47015270_47015273</v>
      </c>
      <c r="B121" s="135">
        <v>47015270</v>
      </c>
      <c r="C121" s="179">
        <v>47015273</v>
      </c>
      <c r="D121" s="39" t="str">
        <f ca="1">VLOOKUP($C121,OFFSET(enemy_skills!$A$1,0,0,COUNTA(enemy_skills!$A:$A),MATCH(D$1,enemy_skills!$1:$1,0)-MATCH("enemy_skill_id",enemy_skills!$1:$1,0)+1),MATCH(D$1,enemy_skills!$1:$1,0)-MATCH("enemy_skill_id",enemy_skills!$1:$1,0)+1,FALSE)</f>
        <v>お触りは禁止ですよ</v>
      </c>
      <c r="E121" s="39" t="str">
        <f ca="1">VLOOKUP($C121,OFFSET(enemy_skills!$A$1,0,0,COUNTA(enemy_skills!$A:$A),MATCH(E$1,enemy_skills!$1:$1,0)-MATCH("enemy_skill_id",enemy_skills!$1:$1,0)+1),MATCH(E$1,enemy_skills!$1:$1,0)-MATCH("enemy_skill_id",enemy_skills!$1:$1,0)+1,FALSE)</f>
        <v>全体攻撃+1ターン全ユニットにスキルバインド</v>
      </c>
      <c r="F121" s="179">
        <v>47015273</v>
      </c>
      <c r="G121" s="41">
        <f ca="1">VLOOKUP($F121,OFFSET(enemy_skill_triggers!$A$1,0,0,COUNTA(enemy_skill_triggers!$A:$A),MATCH(G$1,enemy_skill_triggers!$1:$1,0)-MATCH($F$1,enemy_skill_triggers!$1:$1,0)+1),MATCH(G$1,enemy_skill_triggers!$1:$1,0)-MATCH($F$1,enemy_skill_triggers!$1:$1,0)+1,FALSE)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1" s="41">
        <f ca="1">VLOOKUP($F121,OFFSET(enemy_skill_triggers!$A$1,0,0,COUNTA(enemy_skill_triggers!$A:$A),MATCH(H$1,enemy_skill_triggers!$1:$1,0)-MATCH($F$1,enemy_skill_triggers!$1:$1,0)+1),MATCH(H$1,enemy_skill_triggers!$1:$1,0)-MATCH($F$1,enemy_skill_triggers!$1:$1,0)+1,FALSE)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21" s="41">
        <f ca="1">VLOOKUP($F121,OFFSET(enemy_skill_triggers!$A$1,0,0,COUNTA(enemy_skill_triggers!$A:$A),MATCH(I$1,enemy_skill_triggers!$1:$1,0)-MATCH($F$1,enemy_skill_triggers!$1:$1,0)+1),MATCH(I$1,enemy_skill_triggers!$1:$1,0)-MATCH($F$1,enemy_skill_triggers!$1:$1,0)+1,FALSE)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121" s="41" t="str">
        <f ca="1">VLOOKUP($F121,OFFSET(enemy_skill_triggers!$A$1,0,0,COUNTA(enemy_skill_triggers!$A:$A),MATCH(J$1,enemy_skill_triggers!$1:$1,0)-MATCH($F$1,enemy_skill_triggers!$1:$1,0)+1),MATCH(J$1,enemy_skill_triggers!$1:$1,0)-MATCH($F$1,enemy_skill_triggers!$1:$1,0)+1,FALSE)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1" s="41" t="str">
        <f ca="1">VLOOKUP($F121,OFFSET(enemy_skill_triggers!$A$1,0,0,COUNTA(enemy_skill_triggers!$A:$A),MATCH(K$1,enemy_skill_triggers!$1:$1,0)-MATCH($F$1,enemy_skill_triggers!$1:$1,0)+1),MATCH(K$1,enemy_skill_triggers!$1:$1,0)-MATCH($F$1,enemy_skill_triggers!$1:$1,0)+1,FALSE)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1" s="41">
        <f ca="1">VLOOKUP($F121,OFFSET(enemy_skill_triggers!$A$1,0,0,COUNTA(enemy_skill_triggers!$A:$A),MATCH(L$1,enemy_skill_triggers!$1:$1,0)-MATCH($F$1,enemy_skill_triggers!$1:$1,0)+1),MATCH(L$1,enemy_skill_triggers!$1:$1,0)-MATCH($F$1,enemy_skill_triggers!$1:$1,0)+1,FALSE)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21" s="41" t="str">
        <f ca="1">VLOOKUP($F121,OFFSET(enemy_skill_triggers!$A$1,0,0,COUNTA(enemy_skill_triggers!$A:$A),MATCH(M$1,enemy_skill_triggers!$1:$1,0)-MATCH($F$1,enemy_skill_triggers!$1:$1,0)+1),MATCH(M$1,enemy_skill_triggers!$1:$1,0)-MATCH($F$1,enemy_skill_triggers!$1:$1,0)+1,FALSE)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1" s="41" t="str">
        <f ca="1">VLOOKUP($F121,OFFSET(enemy_skill_triggers!$A$1,0,0,COUNTA(enemy_skill_triggers!$A:$A),MATCH(N$1,enemy_skill_triggers!$1:$1,0)-MATCH($F$1,enemy_skill_triggers!$1:$1,0)+1),MATCH(N$1,enemy_skill_triggers!$1:$1,0)-MATCH($F$1,enemy_skill_triggers!$1:$1,0)+1,FALSE)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1" s="41">
        <f ca="1">VLOOKUP($F121,OFFSET(enemy_skill_triggers!$A$1,0,0,COUNTA(enemy_skill_triggers!$A:$A),MATCH(O$1,enemy_skill_triggers!$1:$1,0)-MATCH($F$1,enemy_skill_triggers!$1:$1,0)+1),MATCH(O$1,enemy_skill_triggers!$1:$1,0)-MATCH($F$1,enemy_skill_triggers!$1:$1,0)+1,FALSE)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121" s="40"/>
      <c r="Q121" s="40"/>
      <c r="R121" s="40"/>
    </row>
    <row r="122" spans="1:18" s="110" customFormat="1" ht="31" customHeight="1" x14ac:dyDescent="0.15">
      <c r="A122" s="109" t="str">
        <f t="shared" si="21"/>
        <v>47015270_47015274</v>
      </c>
      <c r="B122" s="135">
        <v>47015270</v>
      </c>
      <c r="C122" s="178">
        <v>47015274</v>
      </c>
      <c r="D122" s="93" t="str">
        <f ca="1">VLOOKUP($C122,OFFSET(enemy_skills!$A$1,0,0,COUNTA(enemy_skills!$A:$A),MATCH(D$1,enemy_skills!$1:$1,0)-MATCH("enemy_skill_id",enemy_skills!$1:$1,0)+1),MATCH(D$1,enemy_skills!$1:$1,0)-MATCH("enemy_skill_id",enemy_skills!$1:$1,0)+1,FALSE)</f>
        <v>もっと盛り上がりましょう！</v>
      </c>
      <c r="E122" s="93" t="str">
        <f ca="1">VLOOKUP($C122,OFFSET(enemy_skills!$A$1,0,0,COUNTA(enemy_skills!$A:$A),MATCH(E$1,enemy_skills!$1:$1,0)-MATCH("enemy_skill_id",enemy_skills!$1:$1,0)+1),MATCH(E$1,enemy_skills!$1:$1,0)-MATCH("enemy_skill_id",enemy_skills!$1:$1,0)+1,FALSE)</f>
        <v>種族ゴッドのユニットに大ダメージの全体攻撃</v>
      </c>
      <c r="F122" s="178">
        <v>47015274</v>
      </c>
      <c r="G122" s="94">
        <f ca="1">VLOOKUP($F122,OFFSET(enemy_skill_triggers!$A$1,0,0,COUNTA(enemy_skill_triggers!$A:$A),MATCH(G$1,enemy_skill_triggers!$1:$1,0)-MATCH($F$1,enemy_skill_triggers!$1:$1,0)+1),MATCH(G$1,enemy_skill_triggers!$1:$1,0)-MATCH($F$1,enemy_skill_triggers!$1:$1,0)+1,FALSE)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2" s="94">
        <f ca="1">VLOOKUP($F122,OFFSET(enemy_skill_triggers!$A$1,0,0,COUNTA(enemy_skill_triggers!$A:$A),MATCH(H$1,enemy_skill_triggers!$1:$1,0)-MATCH($F$1,enemy_skill_triggers!$1:$1,0)+1),MATCH(H$1,enemy_skill_triggers!$1:$1,0)-MATCH($F$1,enemy_skill_triggers!$1:$1,0)+1,FALSE)</f>
        <v>45</v>
      </c>
      <c r="I122" s="94">
        <f ca="1">VLOOKUP($F122,OFFSET(enemy_skill_triggers!$A$1,0,0,COUNTA(enemy_skill_triggers!$A:$A),MATCH(I$1,enemy_skill_triggers!$1:$1,0)-MATCH($F$1,enemy_skill_triggers!$1:$1,0)+1),MATCH(I$1,enemy_skill_triggers!$1:$1,0)-MATCH($F$1,enemy_skill_triggers!$1:$1,0)+1,FALSE)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122" s="94" t="str">
        <f ca="1">VLOOKUP($F122,OFFSET(enemy_skill_triggers!$A$1,0,0,COUNTA(enemy_skill_triggers!$A:$A),MATCH(J$1,enemy_skill_triggers!$1:$1,0)-MATCH($F$1,enemy_skill_triggers!$1:$1,0)+1),MATCH(J$1,enemy_skill_triggers!$1:$1,0)-MATCH($F$1,enemy_skill_triggers!$1:$1,0)+1,FALSE)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2" s="94" t="str">
        <f ca="1">VLOOKUP($F122,OFFSET(enemy_skill_triggers!$A$1,0,0,COUNTA(enemy_skill_triggers!$A:$A),MATCH(K$1,enemy_skill_triggers!$1:$1,0)-MATCH($F$1,enemy_skill_triggers!$1:$1,0)+1),MATCH(K$1,enemy_skill_triggers!$1:$1,0)-MATCH($F$1,enemy_skill_triggers!$1:$1,0)+1,FALSE)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2" s="94" t="str">
        <f ca="1">VLOOKUP($F122,OFFSET(enemy_skill_triggers!$A$1,0,0,COUNTA(enemy_skill_triggers!$A:$A),MATCH(L$1,enemy_skill_triggers!$1:$1,0)-MATCH($F$1,enemy_skill_triggers!$1:$1,0)+1),MATCH(L$1,enemy_skill_triggers!$1:$1,0)-MATCH($F$1,enemy_skill_triggers!$1:$1,0)+1,FALSE)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2" s="94" t="str">
        <f ca="1">VLOOKUP($F122,OFFSET(enemy_skill_triggers!$A$1,0,0,COUNTA(enemy_skill_triggers!$A:$A),MATCH(M$1,enemy_skill_triggers!$1:$1,0)-MATCH($F$1,enemy_skill_triggers!$1:$1,0)+1),MATCH(M$1,enemy_skill_triggers!$1:$1,0)-MATCH($F$1,enemy_skill_triggers!$1:$1,0)+1,FALSE)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2" s="94" t="str">
        <f ca="1">VLOOKUP($F122,OFFSET(enemy_skill_triggers!$A$1,0,0,COUNTA(enemy_skill_triggers!$A:$A),MATCH(N$1,enemy_skill_triggers!$1:$1,0)-MATCH($F$1,enemy_skill_triggers!$1:$1,0)+1),MATCH(N$1,enemy_skill_triggers!$1:$1,0)-MATCH($F$1,enemy_skill_triggers!$1:$1,0)+1,FALSE)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2" s="94">
        <f ca="1">VLOOKUP($F122,OFFSET(enemy_skill_triggers!$A$1,0,0,COUNTA(enemy_skill_triggers!$A:$A),MATCH(O$1,enemy_skill_triggers!$1:$1,0)-MATCH($F$1,enemy_skill_triggers!$1:$1,0)+1),MATCH(O$1,enemy_skill_triggers!$1:$1,0)-MATCH($F$1,enemy_skill_triggers!$1:$1,0)+1,FALSE)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122" s="92"/>
      <c r="Q122" s="92"/>
      <c r="R122" s="92"/>
    </row>
    <row r="123" spans="1:18" ht="31" customHeight="1" x14ac:dyDescent="0.15">
      <c r="A123" s="101" t="str">
        <f t="shared" si="21"/>
        <v>47015270_47015275</v>
      </c>
      <c r="B123" s="135">
        <v>47015270</v>
      </c>
      <c r="C123" s="179">
        <v>47015275</v>
      </c>
      <c r="D123" s="39" t="str">
        <f ca="1">VLOOKUP($C123,OFFSET(enemy_skills!$A$1,0,0,COUNTA(enemy_skills!$A:$A),MATCH(D$1,enemy_skills!$1:$1,0)-MATCH("enemy_skill_id",enemy_skills!$1:$1,0)+1),MATCH(D$1,enemy_skills!$1:$1,0)-MATCH("enemy_skill_id",enemy_skills!$1:$1,0)+1,FALSE)</f>
        <v>まだ見足りないのではなくて？</v>
      </c>
      <c r="E123" s="39" t="str">
        <f ca="1">VLOOKUP($C123,OFFSET(enemy_skills!$A$1,0,0,COUNTA(enemy_skills!$A:$A),MATCH(E$1,enemy_skills!$1:$1,0)-MATCH("enemy_skill_id",enemy_skills!$1:$1,0)+1),MATCH(E$1,enemy_skills!$1:$1,0)-MATCH("enemy_skill_id",enemy_skills!$1:$1,0)+1,FALSE)</f>
        <v>4ターン防御力UP+_x000D_4ターン全ユニットのタップ回数を1DOWN+_x000D_特定エリアをハートパネルに変換</v>
      </c>
      <c r="F123" s="179">
        <v>47015275</v>
      </c>
      <c r="G123" s="41">
        <f ca="1">VLOOKUP($F123,OFFSET(enemy_skill_triggers!$A$1,0,0,COUNTA(enemy_skill_triggers!$A:$A),MATCH(G$1,enemy_skill_triggers!$1:$1,0)-MATCH($F$1,enemy_skill_triggers!$1:$1,0)+1),MATCH(G$1,enemy_skill_triggers!$1:$1,0)-MATCH($F$1,enemy_skill_triggers!$1:$1,0)+1,FALSE)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3" s="41">
        <f ca="1">VLOOKUP($F123,OFFSET(enemy_skill_triggers!$A$1,0,0,COUNTA(enemy_skill_triggers!$A:$A),MATCH(H$1,enemy_skill_triggers!$1:$1,0)-MATCH($F$1,enemy_skill_triggers!$1:$1,0)+1),MATCH(H$1,enemy_skill_triggers!$1:$1,0)-MATCH($F$1,enemy_skill_triggers!$1:$1,0)+1,FALSE)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123" s="41">
        <f ca="1">VLOOKUP($F123,OFFSET(enemy_skill_triggers!$A$1,0,0,COUNTA(enemy_skill_triggers!$A:$A),MATCH(I$1,enemy_skill_triggers!$1:$1,0)-MATCH($F$1,enemy_skill_triggers!$1:$1,0)+1),MATCH(I$1,enemy_skill_triggers!$1:$1,0)-MATCH($F$1,enemy_skill_triggers!$1:$1,0)+1,FALSE)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3" s="41">
        <f ca="1">VLOOKUP($F123,OFFSET(enemy_skill_triggers!$A$1,0,0,COUNTA(enemy_skill_triggers!$A:$A),MATCH(J$1,enemy_skill_triggers!$1:$1,0)-MATCH($F$1,enemy_skill_triggers!$1:$1,0)+1),MATCH(J$1,enemy_skill_triggers!$1:$1,0)-MATCH($F$1,enemy_skill_triggers!$1:$1,0)+1,FALSE)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123" s="41" t="str">
        <f ca="1">VLOOKUP($F123,OFFSET(enemy_skill_triggers!$A$1,0,0,COUNTA(enemy_skill_triggers!$A:$A),MATCH(K$1,enemy_skill_triggers!$1:$1,0)-MATCH($F$1,enemy_skill_triggers!$1:$1,0)+1),MATCH(K$1,enemy_skill_triggers!$1:$1,0)-MATCH($F$1,enemy_skill_triggers!$1:$1,0)+1,FALSE)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3" s="41">
        <f ca="1">VLOOKUP($F123,OFFSET(enemy_skill_triggers!$A$1,0,0,COUNTA(enemy_skill_triggers!$A:$A),MATCH(L$1,enemy_skill_triggers!$1:$1,0)-MATCH($F$1,enemy_skill_triggers!$1:$1,0)+1),MATCH(L$1,enemy_skill_triggers!$1:$1,0)-MATCH($F$1,enemy_skill_triggers!$1:$1,0)+1,FALSE)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3" s="41">
        <f ca="1">VLOOKUP($F123,OFFSET(enemy_skill_triggers!$A$1,0,0,COUNTA(enemy_skill_triggers!$A:$A),MATCH(M$1,enemy_skill_triggers!$1:$1,0)-MATCH($F$1,enemy_skill_triggers!$1:$1,0)+1),MATCH(M$1,enemy_skill_triggers!$1:$1,0)-MATCH($F$1,enemy_skill_triggers!$1:$1,0)+1,FALSE)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3" s="41" t="str">
        <f ca="1">VLOOKUP($F123,OFFSET(enemy_skill_triggers!$A$1,0,0,COUNTA(enemy_skill_triggers!$A:$A),MATCH(N$1,enemy_skill_triggers!$1:$1,0)-MATCH($F$1,enemy_skill_triggers!$1:$1,0)+1),MATCH(N$1,enemy_skill_triggers!$1:$1,0)-MATCH($F$1,enemy_skill_triggers!$1:$1,0)+1,FALSE)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3" s="41">
        <f ca="1">VLOOKUP($F123,OFFSET(enemy_skill_triggers!$A$1,0,0,COUNTA(enemy_skill_triggers!$A:$A),MATCH(O$1,enemy_skill_triggers!$1:$1,0)-MATCH($F$1,enemy_skill_triggers!$1:$1,0)+1),MATCH(O$1,enemy_skill_triggers!$1:$1,0)-MATCH($F$1,enemy_skill_triggers!$1:$1,0)+1,FALSE)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3" s="40"/>
      <c r="Q123" s="40"/>
      <c r="R123" s="40"/>
    </row>
    <row r="124" spans="1:18" s="110" customFormat="1" ht="31" customHeight="1" x14ac:dyDescent="0.15">
      <c r="A124" s="109" t="str">
        <f t="shared" si="21"/>
        <v>47015270_47015276</v>
      </c>
      <c r="B124" s="135">
        <v>47015270</v>
      </c>
      <c r="C124" s="178">
        <v>47015276</v>
      </c>
      <c r="D124" s="93" t="str">
        <f ca="1">VLOOKUP($C124,OFFSET(enemy_skills!$A$1,0,0,COUNTA(enemy_skills!$A:$A),MATCH(D$1,enemy_skills!$1:$1,0)-MATCH("enemy_skill_id",enemy_skills!$1:$1,0)+1),MATCH(D$1,enemy_skills!$1:$1,0)-MATCH("enemy_skill_id",enemy_skills!$1:$1,0)+1,FALSE)</f>
        <v>ふぃなーれですよ！</v>
      </c>
      <c r="E124" s="93" t="str">
        <f ca="1">VLOOKUP($C124,OFFSET(enemy_skills!$A$1,0,0,COUNTA(enemy_skills!$A:$A),MATCH(E$1,enemy_skills!$1:$1,0)-MATCH("enemy_skill_id",enemy_skills!$1:$1,0)+1),MATCH(E$1,enemy_skills!$1:$1,0)-MATCH("enemy_skill_id",enemy_skills!$1:$1,0)+1,FALSE)</f>
        <v>次のターンに超強力な大ダメージ攻撃+_x000D_フィーバーゲージ33%増加</v>
      </c>
      <c r="F124" s="178">
        <v>47015276</v>
      </c>
      <c r="G124" s="94">
        <f ca="1">VLOOKUP($F124,OFFSET(enemy_skill_triggers!$A$1,0,0,COUNTA(enemy_skill_triggers!$A:$A),MATCH(G$1,enemy_skill_triggers!$1:$1,0)-MATCH($F$1,enemy_skill_triggers!$1:$1,0)+1),MATCH(G$1,enemy_skill_triggers!$1:$1,0)-MATCH($F$1,enemy_skill_triggers!$1:$1,0)+1,FALSE)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4" s="94">
        <f ca="1">VLOOKUP($F124,OFFSET(enemy_skill_triggers!$A$1,0,0,COUNTA(enemy_skill_triggers!$A:$A),MATCH(H$1,enemy_skill_triggers!$1:$1,0)-MATCH($F$1,enemy_skill_triggers!$1:$1,0)+1),MATCH(H$1,enemy_skill_triggers!$1:$1,0)-MATCH($F$1,enemy_skill_triggers!$1:$1,0)+1,FALSE)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24" s="94">
        <f ca="1">VLOOKUP($F124,OFFSET(enemy_skill_triggers!$A$1,0,0,COUNTA(enemy_skill_triggers!$A:$A),MATCH(I$1,enemy_skill_triggers!$1:$1,0)-MATCH($F$1,enemy_skill_triggers!$1:$1,0)+1),MATCH(I$1,enemy_skill_triggers!$1:$1,0)-MATCH($F$1,enemy_skill_triggers!$1:$1,0)+1,FALSE)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4" s="94">
        <f ca="1">VLOOKUP($F124,OFFSET(enemy_skill_triggers!$A$1,0,0,COUNTA(enemy_skill_triggers!$A:$A),MATCH(J$1,enemy_skill_triggers!$1:$1,0)-MATCH($F$1,enemy_skill_triggers!$1:$1,0)+1),MATCH(J$1,enemy_skill_triggers!$1:$1,0)-MATCH($F$1,enemy_skill_triggers!$1:$1,0)+1,FALSE)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124" s="94" t="str">
        <f ca="1">VLOOKUP($F124,OFFSET(enemy_skill_triggers!$A$1,0,0,COUNTA(enemy_skill_triggers!$A:$A),MATCH(K$1,enemy_skill_triggers!$1:$1,0)-MATCH($F$1,enemy_skill_triggers!$1:$1,0)+1),MATCH(K$1,enemy_skill_triggers!$1:$1,0)-MATCH($F$1,enemy_skill_triggers!$1:$1,0)+1,FALSE)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4" s="94">
        <f ca="1">VLOOKUP($F124,OFFSET(enemy_skill_triggers!$A$1,0,0,COUNTA(enemy_skill_triggers!$A:$A),MATCH(L$1,enemy_skill_triggers!$1:$1,0)-MATCH($F$1,enemy_skill_triggers!$1:$1,0)+1),MATCH(L$1,enemy_skill_triggers!$1:$1,0)-MATCH($F$1,enemy_skill_triggers!$1:$1,0)+1,FALSE)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4" s="94">
        <f ca="1">VLOOKUP($F124,OFFSET(enemy_skill_triggers!$A$1,0,0,COUNTA(enemy_skill_triggers!$A:$A),MATCH(M$1,enemy_skill_triggers!$1:$1,0)-MATCH($F$1,enemy_skill_triggers!$1:$1,0)+1),MATCH(M$1,enemy_skill_triggers!$1:$1,0)-MATCH($F$1,enemy_skill_triggers!$1:$1,0)+1,FALSE)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4" s="94" t="str">
        <f ca="1">VLOOKUP($F124,OFFSET(enemy_skill_triggers!$A$1,0,0,COUNTA(enemy_skill_triggers!$A:$A),MATCH(N$1,enemy_skill_triggers!$1:$1,0)-MATCH($F$1,enemy_skill_triggers!$1:$1,0)+1),MATCH(N$1,enemy_skill_triggers!$1:$1,0)-MATCH($F$1,enemy_skill_triggers!$1:$1,0)+1,FALSE)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4" s="94">
        <f ca="1">VLOOKUP($F124,OFFSET(enemy_skill_triggers!$A$1,0,0,COUNTA(enemy_skill_triggers!$A:$A),MATCH(O$1,enemy_skill_triggers!$1:$1,0)-MATCH($F$1,enemy_skill_triggers!$1:$1,0)+1),MATCH(O$1,enemy_skill_triggers!$1:$1,0)-MATCH($F$1,enemy_skill_triggers!$1:$1,0)+1,FALSE)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4" s="92"/>
      <c r="Q124" s="92"/>
      <c r="R124" s="92"/>
    </row>
    <row r="125" spans="1:18" s="131" customFormat="1" ht="31" customHeight="1" x14ac:dyDescent="0.15">
      <c r="A125" s="127" t="str">
        <f t="shared" si="21"/>
        <v>47015270_47015277</v>
      </c>
      <c r="B125" s="135">
        <v>47015270</v>
      </c>
      <c r="C125" s="179">
        <v>47015277</v>
      </c>
      <c r="D125" s="129" t="str">
        <f ca="1">VLOOKUP($C125,OFFSET(enemy_skills!$A$1,0,0,COUNTA(enemy_skills!$A:$A),MATCH(D$1,enemy_skills!$1:$1,0)-MATCH("enemy_skill_id",enemy_skills!$1:$1,0)+1),MATCH(D$1,enemy_skills!$1:$1,0)-MATCH("enemy_skill_id",enemy_skills!$1:$1,0)+1,FALSE)</f>
        <v>アマテラスが花束を大きく振りかぶる</v>
      </c>
      <c r="E125" s="129" t="str">
        <f ca="1">VLOOKUP($C125,OFFSET(enemy_skills!$A$1,0,0,COUNTA(enemy_skills!$A:$A),MATCH(E$1,enemy_skills!$1:$1,0)-MATCH("enemy_skill_id",enemy_skills!$1:$1,0)+1),MATCH(E$1,enemy_skills!$1:$1,0)-MATCH("enemy_skill_id",enemy_skills!$1:$1,0)+1,FALSE)</f>
        <v>”ぶーけとす”って一度やってみたかったの！！_x000D_【超強力な大ダメージ攻撃】</v>
      </c>
      <c r="F125" s="179">
        <v>47015277</v>
      </c>
      <c r="G125" s="130">
        <f ca="1">VLOOKUP($F125,OFFSET(enemy_skill_triggers!$A$1,0,0,COUNTA(enemy_skill_triggers!$A:$A),MATCH(G$1,enemy_skill_triggers!$1:$1,0)-MATCH($F$1,enemy_skill_triggers!$1:$1,0)+1),MATCH(G$1,enemy_skill_triggers!$1:$1,0)-MATCH($F$1,enemy_skill_triggers!$1:$1,0)+1,FALSE)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5" s="130">
        <f ca="1">VLOOKUP($F125,OFFSET(enemy_skill_triggers!$A$1,0,0,COUNTA(enemy_skill_triggers!$A:$A),MATCH(H$1,enemy_skill_triggers!$1:$1,0)-MATCH($F$1,enemy_skill_triggers!$1:$1,0)+1),MATCH(H$1,enemy_skill_triggers!$1:$1,0)-MATCH($F$1,enemy_skill_triggers!$1:$1,0)+1,FALSE)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125" s="130">
        <f ca="1">VLOOKUP($F125,OFFSET(enemy_skill_triggers!$A$1,0,0,COUNTA(enemy_skill_triggers!$A:$A),MATCH(I$1,enemy_skill_triggers!$1:$1,0)-MATCH($F$1,enemy_skill_triggers!$1:$1,0)+1),MATCH(I$1,enemy_skill_triggers!$1:$1,0)-MATCH($F$1,enemy_skill_triggers!$1:$1,0)+1,FALSE)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5" s="130">
        <f ca="1">VLOOKUP($F125,OFFSET(enemy_skill_triggers!$A$1,0,0,COUNTA(enemy_skill_triggers!$A:$A),MATCH(J$1,enemy_skill_triggers!$1:$1,0)-MATCH($F$1,enemy_skill_triggers!$1:$1,0)+1),MATCH(J$1,enemy_skill_triggers!$1:$1,0)-MATCH($F$1,enemy_skill_triggers!$1:$1,0)+1,FALSE)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125" s="130" t="str">
        <f ca="1">VLOOKUP($F125,OFFSET(enemy_skill_triggers!$A$1,0,0,COUNTA(enemy_skill_triggers!$A:$A),MATCH(K$1,enemy_skill_triggers!$1:$1,0)-MATCH($F$1,enemy_skill_triggers!$1:$1,0)+1),MATCH(K$1,enemy_skill_triggers!$1:$1,0)-MATCH($F$1,enemy_skill_triggers!$1:$1,0)+1,FALSE)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5" s="130">
        <f ca="1">VLOOKUP($F125,OFFSET(enemy_skill_triggers!$A$1,0,0,COUNTA(enemy_skill_triggers!$A:$A),MATCH(L$1,enemy_skill_triggers!$1:$1,0)-MATCH($F$1,enemy_skill_triggers!$1:$1,0)+1),MATCH(L$1,enemy_skill_triggers!$1:$1,0)-MATCH($F$1,enemy_skill_triggers!$1:$1,0)+1,FALSE)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5" s="130">
        <f ca="1">VLOOKUP($F125,OFFSET(enemy_skill_triggers!$A$1,0,0,COUNTA(enemy_skill_triggers!$A:$A),MATCH(M$1,enemy_skill_triggers!$1:$1,0)-MATCH($F$1,enemy_skill_triggers!$1:$1,0)+1),MATCH(M$1,enemy_skill_triggers!$1:$1,0)-MATCH($F$1,enemy_skill_triggers!$1:$1,0)+1,FALSE)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5" s="130" t="str">
        <f ca="1">VLOOKUP($F125,OFFSET(enemy_skill_triggers!$A$1,0,0,COUNTA(enemy_skill_triggers!$A:$A),MATCH(N$1,enemy_skill_triggers!$1:$1,0)-MATCH($F$1,enemy_skill_triggers!$1:$1,0)+1),MATCH(N$1,enemy_skill_triggers!$1:$1,0)-MATCH($F$1,enemy_skill_triggers!$1:$1,0)+1,FALSE)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5" s="130">
        <f ca="1">VLOOKUP($F125,OFFSET(enemy_skill_triggers!$A$1,0,0,COUNTA(enemy_skill_triggers!$A:$A),MATCH(O$1,enemy_skill_triggers!$1:$1,0)-MATCH($F$1,enemy_skill_triggers!$1:$1,0)+1),MATCH(O$1,enemy_skill_triggers!$1:$1,0)-MATCH($F$1,enemy_skill_triggers!$1:$1,0)+1,FALSE)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5" s="128"/>
      <c r="Q125" s="128"/>
      <c r="R125" s="128"/>
    </row>
    <row r="126" spans="1:18" s="131" customFormat="1" ht="31" customHeight="1" x14ac:dyDescent="0.15">
      <c r="A126" s="127" t="str">
        <f t="shared" si="21"/>
        <v>47015270_47015278</v>
      </c>
      <c r="B126" s="135">
        <v>47015270</v>
      </c>
      <c r="C126" s="178">
        <v>47015278</v>
      </c>
      <c r="D126" s="129" t="str">
        <f ca="1">VLOOKUP($C126,OFFSET(enemy_skills!$A$1,0,0,COUNTA(enemy_skills!$A:$A),MATCH(D$1,enemy_skills!$1:$1,0)-MATCH("enemy_skill_id",enemy_skills!$1:$1,0)+1),MATCH(D$1,enemy_skills!$1:$1,0)-MATCH("enemy_skill_id",enemy_skills!$1:$1,0)+1,FALSE)</f>
        <v>”じゅーんぶらいど”_x000D_とても素敵なお祭りでしたね</v>
      </c>
      <c r="E126" s="129" t="str">
        <f ca="1">VLOOKUP($C126,OFFSET(enemy_skills!$A$1,0,0,COUNTA(enemy_skills!$A:$A),MATCH(E$1,enemy_skills!$1:$1,0)-MATCH("enemy_skill_id",enemy_skills!$1:$1,0)+1),MATCH(E$1,enemy_skills!$1:$1,0)-MATCH("enemy_skill_id",enemy_skills!$1:$1,0)+1,FALSE)</f>
        <v>あぁ、祭りが終わってしまいます…</v>
      </c>
      <c r="F126" s="178">
        <v>47015278</v>
      </c>
      <c r="G126" s="130">
        <f ca="1">VLOOKUP($F126,OFFSET(enemy_skill_triggers!$A$1,0,0,COUNTA(enemy_skill_triggers!$A:$A),MATCH(G$1,enemy_skill_triggers!$1:$1,0)-MATCH($F$1,enemy_skill_triggers!$1:$1,0)+1),MATCH(G$1,enemy_skill_triggers!$1:$1,0)-MATCH($F$1,enemy_skill_triggers!$1:$1,0)+1,FALSE)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6" s="130">
        <f ca="1">VLOOKUP($F126,OFFSET(enemy_skill_triggers!$A$1,0,0,COUNTA(enemy_skill_triggers!$A:$A),MATCH(H$1,enemy_skill_triggers!$1:$1,0)-MATCH($F$1,enemy_skill_triggers!$1:$1,0)+1),MATCH(H$1,enemy_skill_triggers!$1:$1,0)-MATCH($F$1,enemy_skill_triggers!$1:$1,0)+1,FALSE)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26" s="130">
        <f ca="1">VLOOKUP($F126,OFFSET(enemy_skill_triggers!$A$1,0,0,COUNTA(enemy_skill_triggers!$A:$A),MATCH(I$1,enemy_skill_triggers!$1:$1,0)-MATCH($F$1,enemy_skill_triggers!$1:$1,0)+1),MATCH(I$1,enemy_skill_triggers!$1:$1,0)-MATCH($F$1,enemy_skill_triggers!$1:$1,0)+1,FALSE)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6" s="130" t="str">
        <f ca="1">VLOOKUP($F126,OFFSET(enemy_skill_triggers!$A$1,0,0,COUNTA(enemy_skill_triggers!$A:$A),MATCH(J$1,enemy_skill_triggers!$1:$1,0)-MATCH($F$1,enemy_skill_triggers!$1:$1,0)+1),MATCH(J$1,enemy_skill_triggers!$1:$1,0)-MATCH($F$1,enemy_skill_triggers!$1:$1,0)+1,FALSE)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6" s="130" t="str">
        <f ca="1">VLOOKUP($F126,OFFSET(enemy_skill_triggers!$A$1,0,0,COUNTA(enemy_skill_triggers!$A:$A),MATCH(K$1,enemy_skill_triggers!$1:$1,0)-MATCH($F$1,enemy_skill_triggers!$1:$1,0)+1),MATCH(K$1,enemy_skill_triggers!$1:$1,0)-MATCH($F$1,enemy_skill_triggers!$1:$1,0)+1,FALSE)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6" s="130">
        <f ca="1">VLOOKUP($F126,OFFSET(enemy_skill_triggers!$A$1,0,0,COUNTA(enemy_skill_triggers!$A:$A),MATCH(L$1,enemy_skill_triggers!$1:$1,0)-MATCH($F$1,enemy_skill_triggers!$1:$1,0)+1),MATCH(L$1,enemy_skill_triggers!$1:$1,0)-MATCH($F$1,enemy_skill_triggers!$1:$1,0)+1,FALSE)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6" s="130" t="str">
        <f ca="1">VLOOKUP($F126,OFFSET(enemy_skill_triggers!$A$1,0,0,COUNTA(enemy_skill_triggers!$A:$A),MATCH(M$1,enemy_skill_triggers!$1:$1,0)-MATCH($F$1,enemy_skill_triggers!$1:$1,0)+1),MATCH(M$1,enemy_skill_triggers!$1:$1,0)-MATCH($F$1,enemy_skill_triggers!$1:$1,0)+1,FALSE)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6" s="130">
        <f ca="1">VLOOKUP($F126,OFFSET(enemy_skill_triggers!$A$1,0,0,COUNTA(enemy_skill_triggers!$A:$A),MATCH(N$1,enemy_skill_triggers!$1:$1,0)-MATCH($F$1,enemy_skill_triggers!$1:$1,0)+1),MATCH(N$1,enemy_skill_triggers!$1:$1,0)-MATCH($F$1,enemy_skill_triggers!$1:$1,0)+1,FALSE)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26" s="130">
        <f ca="1">VLOOKUP($F126,OFFSET(enemy_skill_triggers!$A$1,0,0,COUNTA(enemy_skill_triggers!$A:$A),MATCH(O$1,enemy_skill_triggers!$1:$1,0)-MATCH($F$1,enemy_skill_triggers!$1:$1,0)+1),MATCH(O$1,enemy_skill_triggers!$1:$1,0)-MATCH($F$1,enemy_skill_triggers!$1:$1,0)+1,FALSE)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6" s="128"/>
      <c r="Q126" s="128"/>
      <c r="R126" s="128"/>
    </row>
    <row r="127" spans="1:18" s="131" customFormat="1" ht="31" customHeight="1" x14ac:dyDescent="0.15">
      <c r="A127" s="127" t="str">
        <f t="shared" si="21"/>
        <v>47015270_47015279</v>
      </c>
      <c r="B127" s="199">
        <v>47015270</v>
      </c>
      <c r="C127" s="178">
        <v>47015279</v>
      </c>
      <c r="D127" s="129" t="str">
        <f ca="1">VLOOKUP($C127,OFFSET(enemy_skills!$A$1,0,0,COUNTA(enemy_skills!$A:$A),MATCH(D$1,enemy_skills!$1:$1,0)-MATCH("enemy_skill_id",enemy_skills!$1:$1,0)+1),MATCH(D$1,enemy_skills!$1:$1,0)-MATCH("enemy_skill_id",enemy_skills!$1:$1,0)+1,FALSE)</f>
        <v>なんとも楽しい勝負でした</v>
      </c>
      <c r="E127" s="129" t="str">
        <f ca="1">VLOOKUP($C127,OFFSET(enemy_skills!$A$1,0,0,COUNTA(enemy_skills!$A:$A),MATCH(E$1,enemy_skills!$1:$1,0)-MATCH("enemy_skill_id",enemy_skills!$1:$1,0)+1),MATCH(E$1,enemy_skills!$1:$1,0)-MATCH("enemy_skill_id",enemy_skills!$1:$1,0)+1,FALSE)</f>
        <v>ふふふ、楽しいお祭りでしたね</v>
      </c>
      <c r="F127" s="178">
        <v>47015279</v>
      </c>
      <c r="G127" s="130">
        <f ca="1">VLOOKUP($F127,OFFSET(enemy_skill_triggers!$A$1,0,0,COUNTA(enemy_skill_triggers!$A:$A),MATCH(G$1,enemy_skill_triggers!$1:$1,0)-MATCH($F$1,enemy_skill_triggers!$1:$1,0)+1),MATCH(G$1,enemy_skill_triggers!$1:$1,0)-MATCH($F$1,enemy_skill_triggers!$1:$1,0)+1,FALSE)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7" s="130">
        <f ca="1">VLOOKUP($F127,OFFSET(enemy_skill_triggers!$A$1,0,0,COUNTA(enemy_skill_triggers!$A:$A),MATCH(H$1,enemy_skill_triggers!$1:$1,0)-MATCH($F$1,enemy_skill_triggers!$1:$1,0)+1),MATCH(H$1,enemy_skill_triggers!$1:$1,0)-MATCH($F$1,enemy_skill_triggers!$1:$1,0)+1,FALSE)</f>
        <v>119</v>
      </c>
      <c r="I127" s="130">
        <f ca="1">VLOOKUP($F127,OFFSET(enemy_skill_triggers!$A$1,0,0,COUNTA(enemy_skill_triggers!$A:$A),MATCH(I$1,enemy_skill_triggers!$1:$1,0)-MATCH($F$1,enemy_skill_triggers!$1:$1,0)+1),MATCH(I$1,enemy_skill_triggers!$1:$1,0)-MATCH($F$1,enemy_skill_triggers!$1:$1,0)+1,FALSE)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7" s="130" t="str">
        <f ca="1">VLOOKUP($F127,OFFSET(enemy_skill_triggers!$A$1,0,0,COUNTA(enemy_skill_triggers!$A:$A),MATCH(J$1,enemy_skill_triggers!$1:$1,0)-MATCH($F$1,enemy_skill_triggers!$1:$1,0)+1),MATCH(J$1,enemy_skill_triggers!$1:$1,0)-MATCH($F$1,enemy_skill_triggers!$1:$1,0)+1,FALSE)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7" s="130" t="str">
        <f ca="1">VLOOKUP($F127,OFFSET(enemy_skill_triggers!$A$1,0,0,COUNTA(enemy_skill_triggers!$A:$A),MATCH(K$1,enemy_skill_triggers!$1:$1,0)-MATCH($F$1,enemy_skill_triggers!$1:$1,0)+1),MATCH(K$1,enemy_skill_triggers!$1:$1,0)-MATCH($F$1,enemy_skill_triggers!$1:$1,0)+1,FALSE)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7" s="130">
        <f ca="1">VLOOKUP($F127,OFFSET(enemy_skill_triggers!$A$1,0,0,COUNTA(enemy_skill_triggers!$A:$A),MATCH(L$1,enemy_skill_triggers!$1:$1,0)-MATCH($F$1,enemy_skill_triggers!$1:$1,0)+1),MATCH(L$1,enemy_skill_triggers!$1:$1,0)-MATCH($F$1,enemy_skill_triggers!$1:$1,0)+1,FALSE)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7" s="130" t="str">
        <f ca="1">VLOOKUP($F127,OFFSET(enemy_skill_triggers!$A$1,0,0,COUNTA(enemy_skill_triggers!$A:$A),MATCH(M$1,enemy_skill_triggers!$1:$1,0)-MATCH($F$1,enemy_skill_triggers!$1:$1,0)+1),MATCH(M$1,enemy_skill_triggers!$1:$1,0)-MATCH($F$1,enemy_skill_triggers!$1:$1,0)+1,FALSE)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7" s="130">
        <f ca="1">VLOOKUP($F127,OFFSET(enemy_skill_triggers!$A$1,0,0,COUNTA(enemy_skill_triggers!$A:$A),MATCH(N$1,enemy_skill_triggers!$1:$1,0)-MATCH($F$1,enemy_skill_triggers!$1:$1,0)+1),MATCH(N$1,enemy_skill_triggers!$1:$1,0)-MATCH($F$1,enemy_skill_triggers!$1:$1,0)+1,FALSE)</f>
        <v>1703</v>
      </c>
      <c r="O127" s="130">
        <f ca="1">VLOOKUP($F127,OFFSET(enemy_skill_triggers!$A$1,0,0,COUNTA(enemy_skill_triggers!$A:$A),MATCH(O$1,enemy_skill_triggers!$1:$1,0)-MATCH($F$1,enemy_skill_triggers!$1:$1,0)+1),MATCH(O$1,enemy_skill_triggers!$1:$1,0)-MATCH($F$1,enemy_skill_triggers!$1:$1,0)+1,FALSE)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7" s="128"/>
      <c r="Q127" s="128"/>
      <c r="R127" s="128"/>
    </row>
    <row r="128" spans="1:18" s="131" customFormat="1" ht="31" customHeight="1" x14ac:dyDescent="0.15">
      <c r="A128" s="127" t="str">
        <f t="shared" si="21"/>
        <v>47015270_47015280</v>
      </c>
      <c r="B128" s="199">
        <v>47015270</v>
      </c>
      <c r="C128" s="179">
        <v>47015280</v>
      </c>
      <c r="D128" s="129" t="str">
        <f ca="1">VLOOKUP($C128,OFFSET(enemy_skills!$A$1,0,0,COUNTA(enemy_skills!$A:$A),MATCH(D$1,enemy_skills!$1:$1,0)-MATCH("enemy_skill_id",enemy_skills!$1:$1,0)+1),MATCH(D$1,enemy_skills!$1:$1,0)-MATCH("enemy_skill_id",enemy_skills!$1:$1,0)+1,FALSE)</f>
        <v>なんとも楽しい勝負でした</v>
      </c>
      <c r="E128" s="129" t="str">
        <f ca="1">VLOOKUP($C128,OFFSET(enemy_skills!$A$1,0,0,COUNTA(enemy_skills!$A:$A),MATCH(E$1,enemy_skills!$1:$1,0)-MATCH("enemy_skill_id",enemy_skills!$1:$1,0)+1),MATCH(E$1,enemy_skills!$1:$1,0)-MATCH("enemy_skill_id",enemy_skills!$1:$1,0)+1,FALSE)</f>
        <v>ふふふ、楽しいお祭りでしたね</v>
      </c>
      <c r="F128" s="179">
        <v>47015280</v>
      </c>
      <c r="G128" s="130">
        <f ca="1">VLOOKUP($F128,OFFSET(enemy_skill_triggers!$A$1,0,0,COUNTA(enemy_skill_triggers!$A:$A),MATCH(G$1,enemy_skill_triggers!$1:$1,0)-MATCH($F$1,enemy_skill_triggers!$1:$1,0)+1),MATCH(G$1,enemy_skill_triggers!$1:$1,0)-MATCH($F$1,enemy_skill_triggers!$1:$1,0)+1,FALSE)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8" s="130">
        <f ca="1">VLOOKUP($F128,OFFSET(enemy_skill_triggers!$A$1,0,0,COUNTA(enemy_skill_triggers!$A:$A),MATCH(H$1,enemy_skill_triggers!$1:$1,0)-MATCH($F$1,enemy_skill_triggers!$1:$1,0)+1),MATCH(H$1,enemy_skill_triggers!$1:$1,0)-MATCH($F$1,enemy_skill_triggers!$1:$1,0)+1,FALSE)</f>
        <v>118</v>
      </c>
      <c r="I128" s="130">
        <f ca="1">VLOOKUP($F128,OFFSET(enemy_skill_triggers!$A$1,0,0,COUNTA(enemy_skill_triggers!$A:$A),MATCH(I$1,enemy_skill_triggers!$1:$1,0)-MATCH($F$1,enemy_skill_triggers!$1:$1,0)+1),MATCH(I$1,enemy_skill_triggers!$1:$1,0)-MATCH($F$1,enemy_skill_triggers!$1:$1,0)+1,FALSE)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8" s="130" t="str">
        <f ca="1">VLOOKUP($F128,OFFSET(enemy_skill_triggers!$A$1,0,0,COUNTA(enemy_skill_triggers!$A:$A),MATCH(J$1,enemy_skill_triggers!$1:$1,0)-MATCH($F$1,enemy_skill_triggers!$1:$1,0)+1),MATCH(J$1,enemy_skill_triggers!$1:$1,0)-MATCH($F$1,enemy_skill_triggers!$1:$1,0)+1,FALSE)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8" s="130" t="str">
        <f ca="1">VLOOKUP($F128,OFFSET(enemy_skill_triggers!$A$1,0,0,COUNTA(enemy_skill_triggers!$A:$A),MATCH(K$1,enemy_skill_triggers!$1:$1,0)-MATCH($F$1,enemy_skill_triggers!$1:$1,0)+1),MATCH(K$1,enemy_skill_triggers!$1:$1,0)-MATCH($F$1,enemy_skill_triggers!$1:$1,0)+1,FALSE)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8" s="130">
        <f ca="1">VLOOKUP($F128,OFFSET(enemy_skill_triggers!$A$1,0,0,COUNTA(enemy_skill_triggers!$A:$A),MATCH(L$1,enemy_skill_triggers!$1:$1,0)-MATCH($F$1,enemy_skill_triggers!$1:$1,0)+1),MATCH(L$1,enemy_skill_triggers!$1:$1,0)-MATCH($F$1,enemy_skill_triggers!$1:$1,0)+1,FALSE)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8" s="130" t="str">
        <f ca="1">VLOOKUP($F128,OFFSET(enemy_skill_triggers!$A$1,0,0,COUNTA(enemy_skill_triggers!$A:$A),MATCH(M$1,enemy_skill_triggers!$1:$1,0)-MATCH($F$1,enemy_skill_triggers!$1:$1,0)+1),MATCH(M$1,enemy_skill_triggers!$1:$1,0)-MATCH($F$1,enemy_skill_triggers!$1:$1,0)+1,FALSE)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8" s="130">
        <f ca="1">VLOOKUP($F128,OFFSET(enemy_skill_triggers!$A$1,0,0,COUNTA(enemy_skill_triggers!$A:$A),MATCH(N$1,enemy_skill_triggers!$1:$1,0)-MATCH($F$1,enemy_skill_triggers!$1:$1,0)+1),MATCH(N$1,enemy_skill_triggers!$1:$1,0)-MATCH($F$1,enemy_skill_triggers!$1:$1,0)+1,FALSE)</f>
        <v>1704</v>
      </c>
      <c r="O128" s="130">
        <f ca="1">VLOOKUP($F128,OFFSET(enemy_skill_triggers!$A$1,0,0,COUNTA(enemy_skill_triggers!$A:$A),MATCH(O$1,enemy_skill_triggers!$1:$1,0)-MATCH($F$1,enemy_skill_triggers!$1:$1,0)+1),MATCH(O$1,enemy_skill_triggers!$1:$1,0)-MATCH($F$1,enemy_skill_triggers!$1:$1,0)+1,FALSE)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8" s="128"/>
      <c r="Q128" s="128"/>
      <c r="R128" s="128"/>
    </row>
    <row r="129" spans="1:18" s="131" customFormat="1" ht="31" customHeight="1" x14ac:dyDescent="0.15">
      <c r="A129" s="127" t="str">
        <f t="shared" si="21"/>
        <v>47015270_47015281</v>
      </c>
      <c r="B129" s="199">
        <v>47015270</v>
      </c>
      <c r="C129" s="178">
        <v>47015281</v>
      </c>
      <c r="D129" s="129" t="str">
        <f ca="1">VLOOKUP($C129,OFFSET(enemy_skills!$A$1,0,0,COUNTA(enemy_skills!$A:$A),MATCH(D$1,enemy_skills!$1:$1,0)-MATCH("enemy_skill_id",enemy_skills!$1:$1,0)+1),MATCH(D$1,enemy_skills!$1:$1,0)-MATCH("enemy_skill_id",enemy_skills!$1:$1,0)+1,FALSE)</f>
        <v>ありがとう_x000D_楽しい時間でしたよ</v>
      </c>
      <c r="E129" s="129" t="str">
        <f ca="1">VLOOKUP($C129,OFFSET(enemy_skills!$A$1,0,0,COUNTA(enemy_skills!$A:$A),MATCH(E$1,enemy_skills!$1:$1,0)-MATCH("enemy_skill_id",enemy_skills!$1:$1,0)+1),MATCH(E$1,enemy_skills!$1:$1,0)-MATCH("enemy_skill_id",enemy_skills!$1:$1,0)+1,FALSE)</f>
        <v>...祭りの終わりは少し悲しいですね</v>
      </c>
      <c r="F129" s="178">
        <v>47015281</v>
      </c>
      <c r="G129" s="130">
        <f ca="1">VLOOKUP($F129,OFFSET(enemy_skill_triggers!$A$1,0,0,COUNTA(enemy_skill_triggers!$A:$A),MATCH(G$1,enemy_skill_triggers!$1:$1,0)-MATCH($F$1,enemy_skill_triggers!$1:$1,0)+1),MATCH(G$1,enemy_skill_triggers!$1:$1,0)-MATCH($F$1,enemy_skill_triggers!$1:$1,0)+1,FALSE)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9" s="130">
        <f ca="1">VLOOKUP($F129,OFFSET(enemy_skill_triggers!$A$1,0,0,COUNTA(enemy_skill_triggers!$A:$A),MATCH(H$1,enemy_skill_triggers!$1:$1,0)-MATCH($F$1,enemy_skill_triggers!$1:$1,0)+1),MATCH(H$1,enemy_skill_triggers!$1:$1,0)-MATCH($F$1,enemy_skill_triggers!$1:$1,0)+1,FALSE)</f>
        <v>117</v>
      </c>
      <c r="I129" s="130">
        <f ca="1">VLOOKUP($F129,OFFSET(enemy_skill_triggers!$A$1,0,0,COUNTA(enemy_skill_triggers!$A:$A),MATCH(I$1,enemy_skill_triggers!$1:$1,0)-MATCH($F$1,enemy_skill_triggers!$1:$1,0)+1),MATCH(I$1,enemy_skill_triggers!$1:$1,0)-MATCH($F$1,enemy_skill_triggers!$1:$1,0)+1,FALSE)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9" s="130" t="str">
        <f ca="1">VLOOKUP($F129,OFFSET(enemy_skill_triggers!$A$1,0,0,COUNTA(enemy_skill_triggers!$A:$A),MATCH(J$1,enemy_skill_triggers!$1:$1,0)-MATCH($F$1,enemy_skill_triggers!$1:$1,0)+1),MATCH(J$1,enemy_skill_triggers!$1:$1,0)-MATCH($F$1,enemy_skill_triggers!$1:$1,0)+1,FALSE)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9" s="130" t="str">
        <f ca="1">VLOOKUP($F129,OFFSET(enemy_skill_triggers!$A$1,0,0,COUNTA(enemy_skill_triggers!$A:$A),MATCH(K$1,enemy_skill_triggers!$1:$1,0)-MATCH($F$1,enemy_skill_triggers!$1:$1,0)+1),MATCH(K$1,enemy_skill_triggers!$1:$1,0)-MATCH($F$1,enemy_skill_triggers!$1:$1,0)+1,FALSE)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9" s="130">
        <f ca="1">VLOOKUP($F129,OFFSET(enemy_skill_triggers!$A$1,0,0,COUNTA(enemy_skill_triggers!$A:$A),MATCH(L$1,enemy_skill_triggers!$1:$1,0)-MATCH($F$1,enemy_skill_triggers!$1:$1,0)+1),MATCH(L$1,enemy_skill_triggers!$1:$1,0)-MATCH($F$1,enemy_skill_triggers!$1:$1,0)+1,FALSE)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9" s="130" t="str">
        <f ca="1">VLOOKUP($F129,OFFSET(enemy_skill_triggers!$A$1,0,0,COUNTA(enemy_skill_triggers!$A:$A),MATCH(M$1,enemy_skill_triggers!$1:$1,0)-MATCH($F$1,enemy_skill_triggers!$1:$1,0)+1),MATCH(M$1,enemy_skill_triggers!$1:$1,0)-MATCH($F$1,enemy_skill_triggers!$1:$1,0)+1,FALSE)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9" s="130">
        <f ca="1">VLOOKUP($F129,OFFSET(enemy_skill_triggers!$A$1,0,0,COUNTA(enemy_skill_triggers!$A:$A),MATCH(N$1,enemy_skill_triggers!$1:$1,0)-MATCH($F$1,enemy_skill_triggers!$1:$1,0)+1),MATCH(N$1,enemy_skill_triggers!$1:$1,0)-MATCH($F$1,enemy_skill_triggers!$1:$1,0)+1,FALSE)</f>
        <v>1326</v>
      </c>
      <c r="O129" s="130">
        <f ca="1">VLOOKUP($F129,OFFSET(enemy_skill_triggers!$A$1,0,0,COUNTA(enemy_skill_triggers!$A:$A),MATCH(O$1,enemy_skill_triggers!$1:$1,0)-MATCH($F$1,enemy_skill_triggers!$1:$1,0)+1),MATCH(O$1,enemy_skill_triggers!$1:$1,0)-MATCH($F$1,enemy_skill_triggers!$1:$1,0)+1,FALSE)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9" s="128"/>
      <c r="Q129" s="128"/>
      <c r="R129" s="128"/>
    </row>
    <row r="130" spans="1:18" s="131" customFormat="1" ht="31" customHeight="1" x14ac:dyDescent="0.15">
      <c r="A130" s="127" t="str">
        <f t="shared" si="21"/>
        <v>47015270_47015282</v>
      </c>
      <c r="B130" s="199">
        <v>47015270</v>
      </c>
      <c r="C130" s="179">
        <v>47015282</v>
      </c>
      <c r="D130" s="129" t="str">
        <f ca="1">VLOOKUP($C130,OFFSET(enemy_skills!$A$1,0,0,COUNTA(enemy_skills!$A:$A),MATCH(D$1,enemy_skills!$1:$1,0)-MATCH("enemy_skill_id",enemy_skills!$1:$1,0)+1),MATCH(D$1,enemy_skills!$1:$1,0)-MATCH("enemy_skill_id",enemy_skills!$1:$1,0)+1,FALSE)</f>
        <v>ありがとう_x000D_楽しい時間でしたよ</v>
      </c>
      <c r="E130" s="129" t="str">
        <f ca="1">VLOOKUP($C130,OFFSET(enemy_skills!$A$1,0,0,COUNTA(enemy_skills!$A:$A),MATCH(E$1,enemy_skills!$1:$1,0)-MATCH("enemy_skill_id",enemy_skills!$1:$1,0)+1),MATCH(E$1,enemy_skills!$1:$1,0)-MATCH("enemy_skill_id",enemy_skills!$1:$1,0)+1,FALSE)</f>
        <v>...祭りの終わりは少し悲しいですね</v>
      </c>
      <c r="F130" s="179">
        <v>47015282</v>
      </c>
      <c r="G130" s="130">
        <f ca="1">VLOOKUP($F130,OFFSET(enemy_skill_triggers!$A$1,0,0,COUNTA(enemy_skill_triggers!$A:$A),MATCH(G$1,enemy_skill_triggers!$1:$1,0)-MATCH($F$1,enemy_skill_triggers!$1:$1,0)+1),MATCH(G$1,enemy_skill_triggers!$1:$1,0)-MATCH($F$1,enemy_skill_triggers!$1:$1,0)+1,FALSE)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0" s="130">
        <f ca="1">VLOOKUP($F130,OFFSET(enemy_skill_triggers!$A$1,0,0,COUNTA(enemy_skill_triggers!$A:$A),MATCH(H$1,enemy_skill_triggers!$1:$1,0)-MATCH($F$1,enemy_skill_triggers!$1:$1,0)+1),MATCH(H$1,enemy_skill_triggers!$1:$1,0)-MATCH($F$1,enemy_skill_triggers!$1:$1,0)+1,FALSE)</f>
        <v>116</v>
      </c>
      <c r="I130" s="130">
        <f ca="1">VLOOKUP($F130,OFFSET(enemy_skill_triggers!$A$1,0,0,COUNTA(enemy_skill_triggers!$A:$A),MATCH(I$1,enemy_skill_triggers!$1:$1,0)-MATCH($F$1,enemy_skill_triggers!$1:$1,0)+1),MATCH(I$1,enemy_skill_triggers!$1:$1,0)-MATCH($F$1,enemy_skill_triggers!$1:$1,0)+1,FALSE)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0" s="130" t="str">
        <f ca="1">VLOOKUP($F130,OFFSET(enemy_skill_triggers!$A$1,0,0,COUNTA(enemy_skill_triggers!$A:$A),MATCH(J$1,enemy_skill_triggers!$1:$1,0)-MATCH($F$1,enemy_skill_triggers!$1:$1,0)+1),MATCH(J$1,enemy_skill_triggers!$1:$1,0)-MATCH($F$1,enemy_skill_triggers!$1:$1,0)+1,FALSE)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0" s="130" t="str">
        <f ca="1">VLOOKUP($F130,OFFSET(enemy_skill_triggers!$A$1,0,0,COUNTA(enemy_skill_triggers!$A:$A),MATCH(K$1,enemy_skill_triggers!$1:$1,0)-MATCH($F$1,enemy_skill_triggers!$1:$1,0)+1),MATCH(K$1,enemy_skill_triggers!$1:$1,0)-MATCH($F$1,enemy_skill_triggers!$1:$1,0)+1,FALSE)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0" s="130">
        <f ca="1">VLOOKUP($F130,OFFSET(enemy_skill_triggers!$A$1,0,0,COUNTA(enemy_skill_triggers!$A:$A),MATCH(L$1,enemy_skill_triggers!$1:$1,0)-MATCH($F$1,enemy_skill_triggers!$1:$1,0)+1),MATCH(L$1,enemy_skill_triggers!$1:$1,0)-MATCH($F$1,enemy_skill_triggers!$1:$1,0)+1,FALSE)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0" s="130" t="str">
        <f ca="1">VLOOKUP($F130,OFFSET(enemy_skill_triggers!$A$1,0,0,COUNTA(enemy_skill_triggers!$A:$A),MATCH(M$1,enemy_skill_triggers!$1:$1,0)-MATCH($F$1,enemy_skill_triggers!$1:$1,0)+1),MATCH(M$1,enemy_skill_triggers!$1:$1,0)-MATCH($F$1,enemy_skill_triggers!$1:$1,0)+1,FALSE)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0" s="130">
        <f ca="1">VLOOKUP($F130,OFFSET(enemy_skill_triggers!$A$1,0,0,COUNTA(enemy_skill_triggers!$A:$A),MATCH(N$1,enemy_skill_triggers!$1:$1,0)-MATCH($F$1,enemy_skill_triggers!$1:$1,0)+1),MATCH(N$1,enemy_skill_triggers!$1:$1,0)-MATCH($F$1,enemy_skill_triggers!$1:$1,0)+1,FALSE)</f>
        <v>1327</v>
      </c>
      <c r="O130" s="130">
        <f ca="1">VLOOKUP($F130,OFFSET(enemy_skill_triggers!$A$1,0,0,COUNTA(enemy_skill_triggers!$A:$A),MATCH(O$1,enemy_skill_triggers!$1:$1,0)-MATCH($F$1,enemy_skill_triggers!$1:$1,0)+1),MATCH(O$1,enemy_skill_triggers!$1:$1,0)-MATCH($F$1,enemy_skill_triggers!$1:$1,0)+1,FALSE)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0" s="128"/>
      <c r="Q130" s="128"/>
      <c r="R130" s="128"/>
    </row>
    <row r="131" spans="1:18" s="131" customFormat="1" ht="31" customHeight="1" x14ac:dyDescent="0.15">
      <c r="A131" s="127" t="str">
        <f t="shared" si="21"/>
        <v>47015270_47015283</v>
      </c>
      <c r="B131" s="199">
        <v>47015270</v>
      </c>
      <c r="C131" s="178">
        <v>47015283</v>
      </c>
      <c r="D131" s="129" t="str">
        <f ca="1">VLOOKUP($C131,OFFSET(enemy_skills!$A$1,0,0,COUNTA(enemy_skills!$A:$A),MATCH(D$1,enemy_skills!$1:$1,0)-MATCH("enemy_skill_id",enemy_skills!$1:$1,0)+1),MATCH(D$1,enemy_skills!$1:$1,0)-MATCH("enemy_skill_id",enemy_skills!$1:$1,0)+1,FALSE)</f>
        <v>”じゅーんぶらいど”_x000D_とても素敵なお祭りでしたね</v>
      </c>
      <c r="E131" s="129" t="str">
        <f ca="1">VLOOKUP($C131,OFFSET(enemy_skills!$A$1,0,0,COUNTA(enemy_skills!$A:$A),MATCH(E$1,enemy_skills!$1:$1,0)-MATCH("enemy_skill_id",enemy_skills!$1:$1,0)+1),MATCH(E$1,enemy_skills!$1:$1,0)-MATCH("enemy_skill_id",enemy_skills!$1:$1,0)+1,FALSE)</f>
        <v>しかし、他の参加者に_x000D_あまり会えなかったのはなぜでしょう…？</v>
      </c>
      <c r="F131" s="178">
        <v>47015283</v>
      </c>
      <c r="G131" s="130">
        <f ca="1">VLOOKUP($F131,OFFSET(enemy_skill_triggers!$A$1,0,0,COUNTA(enemy_skill_triggers!$A:$A),MATCH(G$1,enemy_skill_triggers!$1:$1,0)-MATCH($F$1,enemy_skill_triggers!$1:$1,0)+1),MATCH(G$1,enemy_skill_triggers!$1:$1,0)-MATCH($F$1,enemy_skill_triggers!$1:$1,0)+1,FALSE)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1" s="130">
        <f ca="1">VLOOKUP($F131,OFFSET(enemy_skill_triggers!$A$1,0,0,COUNTA(enemy_skill_triggers!$A:$A),MATCH(H$1,enemy_skill_triggers!$1:$1,0)-MATCH($F$1,enemy_skill_triggers!$1:$1,0)+1),MATCH(H$1,enemy_skill_triggers!$1:$1,0)-MATCH($F$1,enemy_skill_triggers!$1:$1,0)+1,FALSE)</f>
        <v>115</v>
      </c>
      <c r="I131" s="130">
        <f ca="1">VLOOKUP($F131,OFFSET(enemy_skill_triggers!$A$1,0,0,COUNTA(enemy_skill_triggers!$A:$A),MATCH(I$1,enemy_skill_triggers!$1:$1,0)-MATCH($F$1,enemy_skill_triggers!$1:$1,0)+1),MATCH(I$1,enemy_skill_triggers!$1:$1,0)-MATCH($F$1,enemy_skill_triggers!$1:$1,0)+1,FALSE)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1" s="130" t="str">
        <f ca="1">VLOOKUP($F131,OFFSET(enemy_skill_triggers!$A$1,0,0,COUNTA(enemy_skill_triggers!$A:$A),MATCH(J$1,enemy_skill_triggers!$1:$1,0)-MATCH($F$1,enemy_skill_triggers!$1:$1,0)+1),MATCH(J$1,enemy_skill_triggers!$1:$1,0)-MATCH($F$1,enemy_skill_triggers!$1:$1,0)+1,FALSE)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1" s="130" t="str">
        <f ca="1">VLOOKUP($F131,OFFSET(enemy_skill_triggers!$A$1,0,0,COUNTA(enemy_skill_triggers!$A:$A),MATCH(K$1,enemy_skill_triggers!$1:$1,0)-MATCH($F$1,enemy_skill_triggers!$1:$1,0)+1),MATCH(K$1,enemy_skill_triggers!$1:$1,0)-MATCH($F$1,enemy_skill_triggers!$1:$1,0)+1,FALSE)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1" s="130">
        <f ca="1">VLOOKUP($F131,OFFSET(enemy_skill_triggers!$A$1,0,0,COUNTA(enemy_skill_triggers!$A:$A),MATCH(L$1,enemy_skill_triggers!$1:$1,0)-MATCH($F$1,enemy_skill_triggers!$1:$1,0)+1),MATCH(L$1,enemy_skill_triggers!$1:$1,0)-MATCH($F$1,enemy_skill_triggers!$1:$1,0)+1,FALSE)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1" s="130" t="str">
        <f ca="1">VLOOKUP($F131,OFFSET(enemy_skill_triggers!$A$1,0,0,COUNTA(enemy_skill_triggers!$A:$A),MATCH(M$1,enemy_skill_triggers!$1:$1,0)-MATCH($F$1,enemy_skill_triggers!$1:$1,0)+1),MATCH(M$1,enemy_skill_triggers!$1:$1,0)-MATCH($F$1,enemy_skill_triggers!$1:$1,0)+1,FALSE)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1" s="130">
        <f ca="1">VLOOKUP($F131,OFFSET(enemy_skill_triggers!$A$1,0,0,COUNTA(enemy_skill_triggers!$A:$A),MATCH(N$1,enemy_skill_triggers!$1:$1,0)-MATCH($F$1,enemy_skill_triggers!$1:$1,0)+1),MATCH(N$1,enemy_skill_triggers!$1:$1,0)-MATCH($F$1,enemy_skill_triggers!$1:$1,0)+1,FALSE)</f>
        <v>235</v>
      </c>
      <c r="O131" s="130">
        <f ca="1">VLOOKUP($F131,OFFSET(enemy_skill_triggers!$A$1,0,0,COUNTA(enemy_skill_triggers!$A:$A),MATCH(O$1,enemy_skill_triggers!$1:$1,0)-MATCH($F$1,enemy_skill_triggers!$1:$1,0)+1),MATCH(O$1,enemy_skill_triggers!$1:$1,0)-MATCH($F$1,enemy_skill_triggers!$1:$1,0)+1,FALSE)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1" s="128"/>
      <c r="Q131" s="128"/>
      <c r="R131" s="128"/>
    </row>
    <row r="132" spans="1:18" s="131" customFormat="1" ht="31" customHeight="1" x14ac:dyDescent="0.15">
      <c r="A132" s="127" t="str">
        <f t="shared" si="21"/>
        <v>47015270_47015284</v>
      </c>
      <c r="B132" s="199">
        <v>47015270</v>
      </c>
      <c r="C132" s="179">
        <v>47015284</v>
      </c>
      <c r="D132" s="129" t="str">
        <f ca="1">VLOOKUP($C132,OFFSET(enemy_skills!$A$1,0,0,COUNTA(enemy_skills!$A:$A),MATCH(D$1,enemy_skills!$1:$1,0)-MATCH("enemy_skill_id",enemy_skills!$1:$1,0)+1),MATCH(D$1,enemy_skills!$1:$1,0)-MATCH("enemy_skill_id",enemy_skills!$1:$1,0)+1,FALSE)</f>
        <v>”じゅーんぶらいど”_x000D_とても素敵なお祭りでしたね</v>
      </c>
      <c r="E132" s="129" t="str">
        <f ca="1">VLOOKUP($C132,OFFSET(enemy_skills!$A$1,0,0,COUNTA(enemy_skills!$A:$A),MATCH(E$1,enemy_skills!$1:$1,0)-MATCH("enemy_skill_id",enemy_skills!$1:$1,0)+1),MATCH(E$1,enemy_skills!$1:$1,0)-MATCH("enemy_skill_id",enemy_skills!$1:$1,0)+1,FALSE)</f>
        <v>しかし、他の参加者に_x000D_あまり会えなかったのはなぜでしょう…？</v>
      </c>
      <c r="F132" s="179">
        <v>47015284</v>
      </c>
      <c r="G132" s="130">
        <f ca="1">VLOOKUP($F132,OFFSET(enemy_skill_triggers!$A$1,0,0,COUNTA(enemy_skill_triggers!$A:$A),MATCH(G$1,enemy_skill_triggers!$1:$1,0)-MATCH($F$1,enemy_skill_triggers!$1:$1,0)+1),MATCH(G$1,enemy_skill_triggers!$1:$1,0)-MATCH($F$1,enemy_skill_triggers!$1:$1,0)+1,FALSE)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2" s="130">
        <f ca="1">VLOOKUP($F132,OFFSET(enemy_skill_triggers!$A$1,0,0,COUNTA(enemy_skill_triggers!$A:$A),MATCH(H$1,enemy_skill_triggers!$1:$1,0)-MATCH($F$1,enemy_skill_triggers!$1:$1,0)+1),MATCH(H$1,enemy_skill_triggers!$1:$1,0)-MATCH($F$1,enemy_skill_triggers!$1:$1,0)+1,FALSE)</f>
        <v>114</v>
      </c>
      <c r="I132" s="130">
        <f ca="1">VLOOKUP($F132,OFFSET(enemy_skill_triggers!$A$1,0,0,COUNTA(enemy_skill_triggers!$A:$A),MATCH(I$1,enemy_skill_triggers!$1:$1,0)-MATCH($F$1,enemy_skill_triggers!$1:$1,0)+1),MATCH(I$1,enemy_skill_triggers!$1:$1,0)-MATCH($F$1,enemy_skill_triggers!$1:$1,0)+1,FALSE)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2" s="130" t="str">
        <f ca="1">VLOOKUP($F132,OFFSET(enemy_skill_triggers!$A$1,0,0,COUNTA(enemy_skill_triggers!$A:$A),MATCH(J$1,enemy_skill_triggers!$1:$1,0)-MATCH($F$1,enemy_skill_triggers!$1:$1,0)+1),MATCH(J$1,enemy_skill_triggers!$1:$1,0)-MATCH($F$1,enemy_skill_triggers!$1:$1,0)+1,FALSE)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2" s="130" t="str">
        <f ca="1">VLOOKUP($F132,OFFSET(enemy_skill_triggers!$A$1,0,0,COUNTA(enemy_skill_triggers!$A:$A),MATCH(K$1,enemy_skill_triggers!$1:$1,0)-MATCH($F$1,enemy_skill_triggers!$1:$1,0)+1),MATCH(K$1,enemy_skill_triggers!$1:$1,0)-MATCH($F$1,enemy_skill_triggers!$1:$1,0)+1,FALSE)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2" s="130">
        <f ca="1">VLOOKUP($F132,OFFSET(enemy_skill_triggers!$A$1,0,0,COUNTA(enemy_skill_triggers!$A:$A),MATCH(L$1,enemy_skill_triggers!$1:$1,0)-MATCH($F$1,enemy_skill_triggers!$1:$1,0)+1),MATCH(L$1,enemy_skill_triggers!$1:$1,0)-MATCH($F$1,enemy_skill_triggers!$1:$1,0)+1,FALSE)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2" s="130" t="str">
        <f ca="1">VLOOKUP($F132,OFFSET(enemy_skill_triggers!$A$1,0,0,COUNTA(enemy_skill_triggers!$A:$A),MATCH(M$1,enemy_skill_triggers!$1:$1,0)-MATCH($F$1,enemy_skill_triggers!$1:$1,0)+1),MATCH(M$1,enemy_skill_triggers!$1:$1,0)-MATCH($F$1,enemy_skill_triggers!$1:$1,0)+1,FALSE)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2" s="130">
        <f ca="1">VLOOKUP($F132,OFFSET(enemy_skill_triggers!$A$1,0,0,COUNTA(enemy_skill_triggers!$A:$A),MATCH(N$1,enemy_skill_triggers!$1:$1,0)-MATCH($F$1,enemy_skill_triggers!$1:$1,0)+1),MATCH(N$1,enemy_skill_triggers!$1:$1,0)-MATCH($F$1,enemy_skill_triggers!$1:$1,0)+1,FALSE)</f>
        <v>236</v>
      </c>
      <c r="O132" s="130">
        <f ca="1">VLOOKUP($F132,OFFSET(enemy_skill_triggers!$A$1,0,0,COUNTA(enemy_skill_triggers!$A:$A),MATCH(O$1,enemy_skill_triggers!$1:$1,0)-MATCH($F$1,enemy_skill_triggers!$1:$1,0)+1),MATCH(O$1,enemy_skill_triggers!$1:$1,0)-MATCH($F$1,enemy_skill_triggers!$1:$1,0)+1,FALSE)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2" s="128"/>
      <c r="Q132" s="128"/>
      <c r="R132" s="128"/>
    </row>
    <row r="133" spans="1:18" s="131" customFormat="1" ht="31" customHeight="1" x14ac:dyDescent="0.15">
      <c r="A133" s="127" t="str">
        <f t="shared" si="21"/>
        <v>47015270_47015285</v>
      </c>
      <c r="B133" s="199">
        <v>47015270</v>
      </c>
      <c r="C133" s="178">
        <v>47015285</v>
      </c>
      <c r="D133" s="129" t="str">
        <f ca="1">VLOOKUP($C133,OFFSET(enemy_skills!$A$1,0,0,COUNTA(enemy_skills!$A:$A),MATCH(D$1,enemy_skills!$1:$1,0)-MATCH("enemy_skill_id",enemy_skills!$1:$1,0)+1),MATCH(D$1,enemy_skills!$1:$1,0)-MATCH("enemy_skill_id",enemy_skills!$1:$1,0)+1,FALSE)</f>
        <v>”じゅーんぶらいど”_x000D_とても素敵なお祭りでしたね</v>
      </c>
      <c r="E133" s="129" t="str">
        <f ca="1">VLOOKUP($C133,OFFSET(enemy_skills!$A$1,0,0,COUNTA(enemy_skills!$A:$A),MATCH(E$1,enemy_skills!$1:$1,0)-MATCH("enemy_skill_id",enemy_skills!$1:$1,0)+1),MATCH(E$1,enemy_skills!$1:$1,0)-MATCH("enemy_skill_id",enemy_skills!$1:$1,0)+1,FALSE)</f>
        <v>しかし、他の参加者に_x000D_あまり会えなかったのはなぜでしょう…？</v>
      </c>
      <c r="F133" s="178">
        <v>47015285</v>
      </c>
      <c r="G133" s="130">
        <f ca="1">VLOOKUP($F133,OFFSET(enemy_skill_triggers!$A$1,0,0,COUNTA(enemy_skill_triggers!$A:$A),MATCH(G$1,enemy_skill_triggers!$1:$1,0)-MATCH($F$1,enemy_skill_triggers!$1:$1,0)+1),MATCH(G$1,enemy_skill_triggers!$1:$1,0)-MATCH($F$1,enemy_skill_triggers!$1:$1,0)+1,FALSE)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3" s="130">
        <f ca="1">VLOOKUP($F133,OFFSET(enemy_skill_triggers!$A$1,0,0,COUNTA(enemy_skill_triggers!$A:$A),MATCH(H$1,enemy_skill_triggers!$1:$1,0)-MATCH($F$1,enemy_skill_triggers!$1:$1,0)+1),MATCH(H$1,enemy_skill_triggers!$1:$1,0)-MATCH($F$1,enemy_skill_triggers!$1:$1,0)+1,FALSE)</f>
        <v>113</v>
      </c>
      <c r="I133" s="130">
        <f ca="1">VLOOKUP($F133,OFFSET(enemy_skill_triggers!$A$1,0,0,COUNTA(enemy_skill_triggers!$A:$A),MATCH(I$1,enemy_skill_triggers!$1:$1,0)-MATCH($F$1,enemy_skill_triggers!$1:$1,0)+1),MATCH(I$1,enemy_skill_triggers!$1:$1,0)-MATCH($F$1,enemy_skill_triggers!$1:$1,0)+1,FALSE)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3" s="130" t="str">
        <f ca="1">VLOOKUP($F133,OFFSET(enemy_skill_triggers!$A$1,0,0,COUNTA(enemy_skill_triggers!$A:$A),MATCH(J$1,enemy_skill_triggers!$1:$1,0)-MATCH($F$1,enemy_skill_triggers!$1:$1,0)+1),MATCH(J$1,enemy_skill_triggers!$1:$1,0)-MATCH($F$1,enemy_skill_triggers!$1:$1,0)+1,FALSE)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3" s="130" t="str">
        <f ca="1">VLOOKUP($F133,OFFSET(enemy_skill_triggers!$A$1,0,0,COUNTA(enemy_skill_triggers!$A:$A),MATCH(K$1,enemy_skill_triggers!$1:$1,0)-MATCH($F$1,enemy_skill_triggers!$1:$1,0)+1),MATCH(K$1,enemy_skill_triggers!$1:$1,0)-MATCH($F$1,enemy_skill_triggers!$1:$1,0)+1,FALSE)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3" s="130">
        <f ca="1">VLOOKUP($F133,OFFSET(enemy_skill_triggers!$A$1,0,0,COUNTA(enemy_skill_triggers!$A:$A),MATCH(L$1,enemy_skill_triggers!$1:$1,0)-MATCH($F$1,enemy_skill_triggers!$1:$1,0)+1),MATCH(L$1,enemy_skill_triggers!$1:$1,0)-MATCH($F$1,enemy_skill_triggers!$1:$1,0)+1,FALSE)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3" s="130" t="str">
        <f ca="1">VLOOKUP($F133,OFFSET(enemy_skill_triggers!$A$1,0,0,COUNTA(enemy_skill_triggers!$A:$A),MATCH(M$1,enemy_skill_triggers!$1:$1,0)-MATCH($F$1,enemy_skill_triggers!$1:$1,0)+1),MATCH(M$1,enemy_skill_triggers!$1:$1,0)-MATCH($F$1,enemy_skill_triggers!$1:$1,0)+1,FALSE)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3" s="130">
        <f ca="1">VLOOKUP($F133,OFFSET(enemy_skill_triggers!$A$1,0,0,COUNTA(enemy_skill_triggers!$A:$A),MATCH(N$1,enemy_skill_triggers!$1:$1,0)-MATCH($F$1,enemy_skill_triggers!$1:$1,0)+1),MATCH(N$1,enemy_skill_triggers!$1:$1,0)-MATCH($F$1,enemy_skill_triggers!$1:$1,0)+1,FALSE)</f>
        <v>237</v>
      </c>
      <c r="O133" s="130">
        <f ca="1">VLOOKUP($F133,OFFSET(enemy_skill_triggers!$A$1,0,0,COUNTA(enemy_skill_triggers!$A:$A),MATCH(O$1,enemy_skill_triggers!$1:$1,0)-MATCH($F$1,enemy_skill_triggers!$1:$1,0)+1),MATCH(O$1,enemy_skill_triggers!$1:$1,0)-MATCH($F$1,enemy_skill_triggers!$1:$1,0)+1,FALSE)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3" s="128"/>
      <c r="Q133" s="128"/>
      <c r="R133" s="128"/>
    </row>
    <row r="134" spans="1:18" s="131" customFormat="1" ht="31" customHeight="1" x14ac:dyDescent="0.15">
      <c r="A134" s="127" t="str">
        <f t="shared" si="21"/>
        <v>47015270_47015286</v>
      </c>
      <c r="B134" s="199">
        <v>47015270</v>
      </c>
      <c r="C134" s="179">
        <v>47015286</v>
      </c>
      <c r="D134" s="129" t="str">
        <f ca="1">VLOOKUP($C134,OFFSET(enemy_skills!$A$1,0,0,COUNTA(enemy_skills!$A:$A),MATCH(D$1,enemy_skills!$1:$1,0)-MATCH("enemy_skill_id",enemy_skills!$1:$1,0)+1),MATCH(D$1,enemy_skills!$1:$1,0)-MATCH("enemy_skill_id",enemy_skills!$1:$1,0)+1,FALSE)</f>
        <v>”じゅーんぶらいど”_x000D_とても素敵なお祭りでしたね</v>
      </c>
      <c r="E134" s="129" t="str">
        <f ca="1">VLOOKUP($C134,OFFSET(enemy_skills!$A$1,0,0,COUNTA(enemy_skills!$A:$A),MATCH(E$1,enemy_skills!$1:$1,0)-MATCH("enemy_skill_id",enemy_skills!$1:$1,0)+1),MATCH(E$1,enemy_skills!$1:$1,0)-MATCH("enemy_skill_id",enemy_skills!$1:$1,0)+1,FALSE)</f>
        <v>しかし、他の参加者に_x000D_あまり会えなかったのはなぜでしょう…？</v>
      </c>
      <c r="F134" s="179">
        <v>47015286</v>
      </c>
      <c r="G134" s="130">
        <f ca="1">VLOOKUP($F134,OFFSET(enemy_skill_triggers!$A$1,0,0,COUNTA(enemy_skill_triggers!$A:$A),MATCH(G$1,enemy_skill_triggers!$1:$1,0)-MATCH($F$1,enemy_skill_triggers!$1:$1,0)+1),MATCH(G$1,enemy_skill_triggers!$1:$1,0)-MATCH($F$1,enemy_skill_triggers!$1:$1,0)+1,FALSE)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4" s="130">
        <f ca="1">VLOOKUP($F134,OFFSET(enemy_skill_triggers!$A$1,0,0,COUNTA(enemy_skill_triggers!$A:$A),MATCH(H$1,enemy_skill_triggers!$1:$1,0)-MATCH($F$1,enemy_skill_triggers!$1:$1,0)+1),MATCH(H$1,enemy_skill_triggers!$1:$1,0)-MATCH($F$1,enemy_skill_triggers!$1:$1,0)+1,FALSE)</f>
        <v>112</v>
      </c>
      <c r="I134" s="130">
        <f ca="1">VLOOKUP($F134,OFFSET(enemy_skill_triggers!$A$1,0,0,COUNTA(enemy_skill_triggers!$A:$A),MATCH(I$1,enemy_skill_triggers!$1:$1,0)-MATCH($F$1,enemy_skill_triggers!$1:$1,0)+1),MATCH(I$1,enemy_skill_triggers!$1:$1,0)-MATCH($F$1,enemy_skill_triggers!$1:$1,0)+1,FALSE)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4" s="130" t="str">
        <f ca="1">VLOOKUP($F134,OFFSET(enemy_skill_triggers!$A$1,0,0,COUNTA(enemy_skill_triggers!$A:$A),MATCH(J$1,enemy_skill_triggers!$1:$1,0)-MATCH($F$1,enemy_skill_triggers!$1:$1,0)+1),MATCH(J$1,enemy_skill_triggers!$1:$1,0)-MATCH($F$1,enemy_skill_triggers!$1:$1,0)+1,FALSE)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4" s="130" t="str">
        <f ca="1">VLOOKUP($F134,OFFSET(enemy_skill_triggers!$A$1,0,0,COUNTA(enemy_skill_triggers!$A:$A),MATCH(K$1,enemy_skill_triggers!$1:$1,0)-MATCH($F$1,enemy_skill_triggers!$1:$1,0)+1),MATCH(K$1,enemy_skill_triggers!$1:$1,0)-MATCH($F$1,enemy_skill_triggers!$1:$1,0)+1,FALSE)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4" s="130">
        <f ca="1">VLOOKUP($F134,OFFSET(enemy_skill_triggers!$A$1,0,0,COUNTA(enemy_skill_triggers!$A:$A),MATCH(L$1,enemy_skill_triggers!$1:$1,0)-MATCH($F$1,enemy_skill_triggers!$1:$1,0)+1),MATCH(L$1,enemy_skill_triggers!$1:$1,0)-MATCH($F$1,enemy_skill_triggers!$1:$1,0)+1,FALSE)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4" s="130" t="str">
        <f ca="1">VLOOKUP($F134,OFFSET(enemy_skill_triggers!$A$1,0,0,COUNTA(enemy_skill_triggers!$A:$A),MATCH(M$1,enemy_skill_triggers!$1:$1,0)-MATCH($F$1,enemy_skill_triggers!$1:$1,0)+1),MATCH(M$1,enemy_skill_triggers!$1:$1,0)-MATCH($F$1,enemy_skill_triggers!$1:$1,0)+1,FALSE)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4" s="130">
        <f ca="1">VLOOKUP($F134,OFFSET(enemy_skill_triggers!$A$1,0,0,COUNTA(enemy_skill_triggers!$A:$A),MATCH(N$1,enemy_skill_triggers!$1:$1,0)-MATCH($F$1,enemy_skill_triggers!$1:$1,0)+1),MATCH(N$1,enemy_skill_triggers!$1:$1,0)-MATCH($F$1,enemy_skill_triggers!$1:$1,0)+1,FALSE)</f>
        <v>808</v>
      </c>
      <c r="O134" s="130">
        <f ca="1">VLOOKUP($F134,OFFSET(enemy_skill_triggers!$A$1,0,0,COUNTA(enemy_skill_triggers!$A:$A),MATCH(O$1,enemy_skill_triggers!$1:$1,0)-MATCH($F$1,enemy_skill_triggers!$1:$1,0)+1),MATCH(O$1,enemy_skill_triggers!$1:$1,0)-MATCH($F$1,enemy_skill_triggers!$1:$1,0)+1,FALSE)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4" s="128"/>
      <c r="Q134" s="128"/>
      <c r="R134" s="128"/>
    </row>
    <row r="135" spans="1:18" s="131" customFormat="1" ht="31" customHeight="1" x14ac:dyDescent="0.15">
      <c r="A135" s="127" t="str">
        <f t="shared" si="21"/>
        <v>47015270_47015287</v>
      </c>
      <c r="B135" s="199">
        <v>47015270</v>
      </c>
      <c r="C135" s="178">
        <v>47015287</v>
      </c>
      <c r="D135" s="129" t="str">
        <f ca="1">VLOOKUP($C135,OFFSET(enemy_skills!$A$1,0,0,COUNTA(enemy_skills!$A:$A),MATCH(D$1,enemy_skills!$1:$1,0)-MATCH("enemy_skill_id",enemy_skills!$1:$1,0)+1),MATCH(D$1,enemy_skills!$1:$1,0)-MATCH("enemy_skill_id",enemy_skills!$1:$1,0)+1,FALSE)</f>
        <v>”じゅーんぶらいど”_x000D_とても素敵なお祭りでしたね</v>
      </c>
      <c r="E135" s="129" t="str">
        <f ca="1">VLOOKUP($C135,OFFSET(enemy_skills!$A$1,0,0,COUNTA(enemy_skills!$A:$A),MATCH(E$1,enemy_skills!$1:$1,0)-MATCH("enemy_skill_id",enemy_skills!$1:$1,0)+1),MATCH(E$1,enemy_skills!$1:$1,0)-MATCH("enemy_skill_id",enemy_skills!$1:$1,0)+1,FALSE)</f>
        <v>しかし、他の参加者に_x000D_あまり会えなかったのはなぜでしょう…？</v>
      </c>
      <c r="F135" s="178">
        <v>47015287</v>
      </c>
      <c r="G135" s="130">
        <f ca="1">VLOOKUP($F135,OFFSET(enemy_skill_triggers!$A$1,0,0,COUNTA(enemy_skill_triggers!$A:$A),MATCH(G$1,enemy_skill_triggers!$1:$1,0)-MATCH($F$1,enemy_skill_triggers!$1:$1,0)+1),MATCH(G$1,enemy_skill_triggers!$1:$1,0)-MATCH($F$1,enemy_skill_triggers!$1:$1,0)+1,FALSE)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5" s="130">
        <f ca="1">VLOOKUP($F135,OFFSET(enemy_skill_triggers!$A$1,0,0,COUNTA(enemy_skill_triggers!$A:$A),MATCH(H$1,enemy_skill_triggers!$1:$1,0)-MATCH($F$1,enemy_skill_triggers!$1:$1,0)+1),MATCH(H$1,enemy_skill_triggers!$1:$1,0)-MATCH($F$1,enemy_skill_triggers!$1:$1,0)+1,FALSE)</f>
        <v>111</v>
      </c>
      <c r="I135" s="130">
        <f ca="1">VLOOKUP($F135,OFFSET(enemy_skill_triggers!$A$1,0,0,COUNTA(enemy_skill_triggers!$A:$A),MATCH(I$1,enemy_skill_triggers!$1:$1,0)-MATCH($F$1,enemy_skill_triggers!$1:$1,0)+1),MATCH(I$1,enemy_skill_triggers!$1:$1,0)-MATCH($F$1,enemy_skill_triggers!$1:$1,0)+1,FALSE)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5" s="130" t="str">
        <f ca="1">VLOOKUP($F135,OFFSET(enemy_skill_triggers!$A$1,0,0,COUNTA(enemy_skill_triggers!$A:$A),MATCH(J$1,enemy_skill_triggers!$1:$1,0)-MATCH($F$1,enemy_skill_triggers!$1:$1,0)+1),MATCH(J$1,enemy_skill_triggers!$1:$1,0)-MATCH($F$1,enemy_skill_triggers!$1:$1,0)+1,FALSE)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5" s="130" t="str">
        <f ca="1">VLOOKUP($F135,OFFSET(enemy_skill_triggers!$A$1,0,0,COUNTA(enemy_skill_triggers!$A:$A),MATCH(K$1,enemy_skill_triggers!$1:$1,0)-MATCH($F$1,enemy_skill_triggers!$1:$1,0)+1),MATCH(K$1,enemy_skill_triggers!$1:$1,0)-MATCH($F$1,enemy_skill_triggers!$1:$1,0)+1,FALSE)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5" s="130">
        <f ca="1">VLOOKUP($F135,OFFSET(enemy_skill_triggers!$A$1,0,0,COUNTA(enemy_skill_triggers!$A:$A),MATCH(L$1,enemy_skill_triggers!$1:$1,0)-MATCH($F$1,enemy_skill_triggers!$1:$1,0)+1),MATCH(L$1,enemy_skill_triggers!$1:$1,0)-MATCH($F$1,enemy_skill_triggers!$1:$1,0)+1,FALSE)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5" s="130" t="str">
        <f ca="1">VLOOKUP($F135,OFFSET(enemy_skill_triggers!$A$1,0,0,COUNTA(enemy_skill_triggers!$A:$A),MATCH(M$1,enemy_skill_triggers!$1:$1,0)-MATCH($F$1,enemy_skill_triggers!$1:$1,0)+1),MATCH(M$1,enemy_skill_triggers!$1:$1,0)-MATCH($F$1,enemy_skill_triggers!$1:$1,0)+1,FALSE)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5" s="130">
        <f ca="1">VLOOKUP($F135,OFFSET(enemy_skill_triggers!$A$1,0,0,COUNTA(enemy_skill_triggers!$A:$A),MATCH(N$1,enemy_skill_triggers!$1:$1,0)-MATCH($F$1,enemy_skill_triggers!$1:$1,0)+1),MATCH(N$1,enemy_skill_triggers!$1:$1,0)-MATCH($F$1,enemy_skill_triggers!$1:$1,0)+1,FALSE)</f>
        <v>1058</v>
      </c>
      <c r="O135" s="130">
        <f ca="1">VLOOKUP($F135,OFFSET(enemy_skill_triggers!$A$1,0,0,COUNTA(enemy_skill_triggers!$A:$A),MATCH(O$1,enemy_skill_triggers!$1:$1,0)-MATCH($F$1,enemy_skill_triggers!$1:$1,0)+1),MATCH(O$1,enemy_skill_triggers!$1:$1,0)-MATCH($F$1,enemy_skill_triggers!$1:$1,0)+1,FALSE)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5" s="128"/>
      <c r="Q135" s="128"/>
      <c r="R135" s="128"/>
    </row>
    <row r="136" spans="1:18" s="131" customFormat="1" ht="31" customHeight="1" x14ac:dyDescent="0.15">
      <c r="A136" s="127" t="str">
        <f t="shared" si="21"/>
        <v>47015270_47015288</v>
      </c>
      <c r="B136" s="199">
        <v>47015270</v>
      </c>
      <c r="C136" s="178">
        <v>47015288</v>
      </c>
      <c r="D136" s="129" t="str">
        <f ca="1">VLOOKUP($C136,OFFSET(enemy_skills!$A$1,0,0,COUNTA(enemy_skills!$A:$A),MATCH(D$1,enemy_skills!$1:$1,0)-MATCH("enemy_skill_id",enemy_skills!$1:$1,0)+1),MATCH(D$1,enemy_skills!$1:$1,0)-MATCH("enemy_skill_id",enemy_skills!$1:$1,0)+1,FALSE)</f>
        <v>”じゅーんぶらいど”_x000D_とても素敵なお祭りでしたね</v>
      </c>
      <c r="E136" s="129" t="str">
        <f ca="1">VLOOKUP($C136,OFFSET(enemy_skills!$A$1,0,0,COUNTA(enemy_skills!$A:$A),MATCH(E$1,enemy_skills!$1:$1,0)-MATCH("enemy_skill_id",enemy_skills!$1:$1,0)+1),MATCH(E$1,enemy_skills!$1:$1,0)-MATCH("enemy_skill_id",enemy_skills!$1:$1,0)+1,FALSE)</f>
        <v>しかし、他の参加者に_x000D_あまり会えなかったのはなぜでしょう…？</v>
      </c>
      <c r="F136" s="178">
        <v>47015288</v>
      </c>
      <c r="G136" s="130">
        <f ca="1">VLOOKUP($F136,OFFSET(enemy_skill_triggers!$A$1,0,0,COUNTA(enemy_skill_triggers!$A:$A),MATCH(G$1,enemy_skill_triggers!$1:$1,0)-MATCH($F$1,enemy_skill_triggers!$1:$1,0)+1),MATCH(G$1,enemy_skill_triggers!$1:$1,0)-MATCH($F$1,enemy_skill_triggers!$1:$1,0)+1,FALSE)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6" s="130">
        <f ca="1">VLOOKUP($F136,OFFSET(enemy_skill_triggers!$A$1,0,0,COUNTA(enemy_skill_triggers!$A:$A),MATCH(H$1,enemy_skill_triggers!$1:$1,0)-MATCH($F$1,enemy_skill_triggers!$1:$1,0)+1),MATCH(H$1,enemy_skill_triggers!$1:$1,0)-MATCH($F$1,enemy_skill_triggers!$1:$1,0)+1,FALSE)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36" s="130">
        <f ca="1">VLOOKUP($F136,OFFSET(enemy_skill_triggers!$A$1,0,0,COUNTA(enemy_skill_triggers!$A:$A),MATCH(I$1,enemy_skill_triggers!$1:$1,0)-MATCH($F$1,enemy_skill_triggers!$1:$1,0)+1),MATCH(I$1,enemy_skill_triggers!$1:$1,0)-MATCH($F$1,enemy_skill_triggers!$1:$1,0)+1,FALSE)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6" s="130" t="str">
        <f ca="1">VLOOKUP($F136,OFFSET(enemy_skill_triggers!$A$1,0,0,COUNTA(enemy_skill_triggers!$A:$A),MATCH(J$1,enemy_skill_triggers!$1:$1,0)-MATCH($F$1,enemy_skill_triggers!$1:$1,0)+1),MATCH(J$1,enemy_skill_triggers!$1:$1,0)-MATCH($F$1,enemy_skill_triggers!$1:$1,0)+1,FALSE)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6" s="130" t="str">
        <f ca="1">VLOOKUP($F136,OFFSET(enemy_skill_triggers!$A$1,0,0,COUNTA(enemy_skill_triggers!$A:$A),MATCH(K$1,enemy_skill_triggers!$1:$1,0)-MATCH($F$1,enemy_skill_triggers!$1:$1,0)+1),MATCH(K$1,enemy_skill_triggers!$1:$1,0)-MATCH($F$1,enemy_skill_triggers!$1:$1,0)+1,FALSE)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6" s="130">
        <f ca="1">VLOOKUP($F136,OFFSET(enemy_skill_triggers!$A$1,0,0,COUNTA(enemy_skill_triggers!$A:$A),MATCH(L$1,enemy_skill_triggers!$1:$1,0)-MATCH($F$1,enemy_skill_triggers!$1:$1,0)+1),MATCH(L$1,enemy_skill_triggers!$1:$1,0)-MATCH($F$1,enemy_skill_triggers!$1:$1,0)+1,FALSE)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6" s="130" t="str">
        <f ca="1">VLOOKUP($F136,OFFSET(enemy_skill_triggers!$A$1,0,0,COUNTA(enemy_skill_triggers!$A:$A),MATCH(M$1,enemy_skill_triggers!$1:$1,0)-MATCH($F$1,enemy_skill_triggers!$1:$1,0)+1),MATCH(M$1,enemy_skill_triggers!$1:$1,0)-MATCH($F$1,enemy_skill_triggers!$1:$1,0)+1,FALSE)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6" s="130">
        <f ca="1">VLOOKUP($F136,OFFSET(enemy_skill_triggers!$A$1,0,0,COUNTA(enemy_skill_triggers!$A:$A),MATCH(N$1,enemy_skill_triggers!$1:$1,0)-MATCH($F$1,enemy_skill_triggers!$1:$1,0)+1),MATCH(N$1,enemy_skill_triggers!$1:$1,0)-MATCH($F$1,enemy_skill_triggers!$1:$1,0)+1,FALSE)</f>
        <v>1336</v>
      </c>
      <c r="O136" s="130">
        <f ca="1">VLOOKUP($F136,OFFSET(enemy_skill_triggers!$A$1,0,0,COUNTA(enemy_skill_triggers!$A:$A),MATCH(O$1,enemy_skill_triggers!$1:$1,0)-MATCH($F$1,enemy_skill_triggers!$1:$1,0)+1),MATCH(O$1,enemy_skill_triggers!$1:$1,0)-MATCH($F$1,enemy_skill_triggers!$1:$1,0)+1,FALSE)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6" s="128"/>
      <c r="Q136" s="128"/>
      <c r="R136" s="128"/>
    </row>
    <row r="137" spans="1:18" s="131" customFormat="1" ht="31" customHeight="1" x14ac:dyDescent="0.15">
      <c r="A137" s="127" t="str">
        <f t="shared" ref="A137:A204" si="24">B137&amp;"_"&amp;C137</f>
        <v>47015270_47015289</v>
      </c>
      <c r="B137" s="199">
        <v>47015270</v>
      </c>
      <c r="C137" s="179">
        <v>47015289</v>
      </c>
      <c r="D137" s="129" t="str">
        <f ca="1">VLOOKUP($C137,OFFSET(enemy_skills!$A$1,0,0,COUNTA(enemy_skills!$A:$A),MATCH(D$1,enemy_skills!$1:$1,0)-MATCH("enemy_skill_id",enemy_skills!$1:$1,0)+1),MATCH(D$1,enemy_skills!$1:$1,0)-MATCH("enemy_skill_id",enemy_skills!$1:$1,0)+1,FALSE)</f>
        <v>”じゅーんぶらいど”_x000D_とても素敵なお祭りでしたね</v>
      </c>
      <c r="E137" s="129" t="str">
        <f ca="1">VLOOKUP($C137,OFFSET(enemy_skills!$A$1,0,0,COUNTA(enemy_skills!$A:$A),MATCH(E$1,enemy_skills!$1:$1,0)-MATCH("enemy_skill_id",enemy_skills!$1:$1,0)+1),MATCH(E$1,enemy_skills!$1:$1,0)-MATCH("enemy_skill_id",enemy_skills!$1:$1,0)+1,FALSE)</f>
        <v>しかし、他の参加者に_x000D_あまり会えなかったのはなぜでしょう…？</v>
      </c>
      <c r="F137" s="179">
        <v>47015289</v>
      </c>
      <c r="G137" s="130">
        <f ca="1">VLOOKUP($F137,OFFSET(enemy_skill_triggers!$A$1,0,0,COUNTA(enemy_skill_triggers!$A:$A),MATCH(G$1,enemy_skill_triggers!$1:$1,0)-MATCH($F$1,enemy_skill_triggers!$1:$1,0)+1),MATCH(G$1,enemy_skill_triggers!$1:$1,0)-MATCH($F$1,enemy_skill_triggers!$1:$1,0)+1,FALSE)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7" s="130">
        <f ca="1">VLOOKUP($F137,OFFSET(enemy_skill_triggers!$A$1,0,0,COUNTA(enemy_skill_triggers!$A:$A),MATCH(H$1,enemy_skill_triggers!$1:$1,0)-MATCH($F$1,enemy_skill_triggers!$1:$1,0)+1),MATCH(H$1,enemy_skill_triggers!$1:$1,0)-MATCH($F$1,enemy_skill_triggers!$1:$1,0)+1,FALSE)</f>
        <v>109</v>
      </c>
      <c r="I137" s="130">
        <f ca="1">VLOOKUP($F137,OFFSET(enemy_skill_triggers!$A$1,0,0,COUNTA(enemy_skill_triggers!$A:$A),MATCH(I$1,enemy_skill_triggers!$1:$1,0)-MATCH($F$1,enemy_skill_triggers!$1:$1,0)+1),MATCH(I$1,enemy_skill_triggers!$1:$1,0)-MATCH($F$1,enemy_skill_triggers!$1:$1,0)+1,FALSE)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7" s="130" t="str">
        <f ca="1">VLOOKUP($F137,OFFSET(enemy_skill_triggers!$A$1,0,0,COUNTA(enemy_skill_triggers!$A:$A),MATCH(J$1,enemy_skill_triggers!$1:$1,0)-MATCH($F$1,enemy_skill_triggers!$1:$1,0)+1),MATCH(J$1,enemy_skill_triggers!$1:$1,0)-MATCH($F$1,enemy_skill_triggers!$1:$1,0)+1,FALSE)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7" s="130" t="str">
        <f ca="1">VLOOKUP($F137,OFFSET(enemy_skill_triggers!$A$1,0,0,COUNTA(enemy_skill_triggers!$A:$A),MATCH(K$1,enemy_skill_triggers!$1:$1,0)-MATCH($F$1,enemy_skill_triggers!$1:$1,0)+1),MATCH(K$1,enemy_skill_triggers!$1:$1,0)-MATCH($F$1,enemy_skill_triggers!$1:$1,0)+1,FALSE)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7" s="130">
        <f ca="1">VLOOKUP($F137,OFFSET(enemy_skill_triggers!$A$1,0,0,COUNTA(enemy_skill_triggers!$A:$A),MATCH(L$1,enemy_skill_triggers!$1:$1,0)-MATCH($F$1,enemy_skill_triggers!$1:$1,0)+1),MATCH(L$1,enemy_skill_triggers!$1:$1,0)-MATCH($F$1,enemy_skill_triggers!$1:$1,0)+1,FALSE)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7" s="130" t="str">
        <f ca="1">VLOOKUP($F137,OFFSET(enemy_skill_triggers!$A$1,0,0,COUNTA(enemy_skill_triggers!$A:$A),MATCH(M$1,enemy_skill_triggers!$1:$1,0)-MATCH($F$1,enemy_skill_triggers!$1:$1,0)+1),MATCH(M$1,enemy_skill_triggers!$1:$1,0)-MATCH($F$1,enemy_skill_triggers!$1:$1,0)+1,FALSE)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7" s="130">
        <f ca="1">VLOOKUP($F137,OFFSET(enemy_skill_triggers!$A$1,0,0,COUNTA(enemy_skill_triggers!$A:$A),MATCH(N$1,enemy_skill_triggers!$1:$1,0)-MATCH($F$1,enemy_skill_triggers!$1:$1,0)+1),MATCH(N$1,enemy_skill_triggers!$1:$1,0)-MATCH($F$1,enemy_skill_triggers!$1:$1,0)+1,FALSE)</f>
        <v>1337</v>
      </c>
      <c r="O137" s="130">
        <f ca="1">VLOOKUP($F137,OFFSET(enemy_skill_triggers!$A$1,0,0,COUNTA(enemy_skill_triggers!$A:$A),MATCH(O$1,enemy_skill_triggers!$1:$1,0)-MATCH($F$1,enemy_skill_triggers!$1:$1,0)+1),MATCH(O$1,enemy_skill_triggers!$1:$1,0)-MATCH($F$1,enemy_skill_triggers!$1:$1,0)+1,FALSE)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7" s="128"/>
      <c r="Q137" s="128"/>
      <c r="R137" s="128"/>
    </row>
    <row r="138" spans="1:18" s="131" customFormat="1" ht="31" customHeight="1" x14ac:dyDescent="0.15">
      <c r="A138" s="127" t="str">
        <f t="shared" si="24"/>
        <v>47015270_47015290</v>
      </c>
      <c r="B138" s="199">
        <v>47015270</v>
      </c>
      <c r="C138" s="178">
        <v>47015290</v>
      </c>
      <c r="D138" s="129" t="str">
        <f ca="1">VLOOKUP($C138,OFFSET(enemy_skills!$A$1,0,0,COUNTA(enemy_skills!$A:$A),MATCH(D$1,enemy_skills!$1:$1,0)-MATCH("enemy_skill_id",enemy_skills!$1:$1,0)+1),MATCH(D$1,enemy_skills!$1:$1,0)-MATCH("enemy_skill_id",enemy_skills!$1:$1,0)+1,FALSE)</f>
        <v>貴方達も楽しめましたか？</v>
      </c>
      <c r="E138" s="129" t="str">
        <f ca="1">VLOOKUP($C138,OFFSET(enemy_skills!$A$1,0,0,COUNTA(enemy_skills!$A:$A),MATCH(E$1,enemy_skills!$1:$1,0)-MATCH("enemy_skill_id",enemy_skills!$1:$1,0)+1),MATCH(E$1,enemy_skills!$1:$1,0)-MATCH("enemy_skill_id",enemy_skills!$1:$1,0)+1,FALSE)</f>
        <v>少々羽目を外しすぎてしまいましたね</v>
      </c>
      <c r="F138" s="178">
        <v>47015290</v>
      </c>
      <c r="G138" s="130">
        <f ca="1">VLOOKUP($F138,OFFSET(enemy_skill_triggers!$A$1,0,0,COUNTA(enemy_skill_triggers!$A:$A),MATCH(G$1,enemy_skill_triggers!$1:$1,0)-MATCH($F$1,enemy_skill_triggers!$1:$1,0)+1),MATCH(G$1,enemy_skill_triggers!$1:$1,0)-MATCH($F$1,enemy_skill_triggers!$1:$1,0)+1,FALSE)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8" s="130">
        <f ca="1">VLOOKUP($F138,OFFSET(enemy_skill_triggers!$A$1,0,0,COUNTA(enemy_skill_triggers!$A:$A),MATCH(H$1,enemy_skill_triggers!$1:$1,0)-MATCH($F$1,enemy_skill_triggers!$1:$1,0)+1),MATCH(H$1,enemy_skill_triggers!$1:$1,0)-MATCH($F$1,enemy_skill_triggers!$1:$1,0)+1,FALSE)</f>
        <v>108</v>
      </c>
      <c r="I138" s="130">
        <f ca="1">VLOOKUP($F138,OFFSET(enemy_skill_triggers!$A$1,0,0,COUNTA(enemy_skill_triggers!$A:$A),MATCH(I$1,enemy_skill_triggers!$1:$1,0)-MATCH($F$1,enemy_skill_triggers!$1:$1,0)+1),MATCH(I$1,enemy_skill_triggers!$1:$1,0)-MATCH($F$1,enemy_skill_triggers!$1:$1,0)+1,FALSE)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8" s="130" t="str">
        <f ca="1">VLOOKUP($F138,OFFSET(enemy_skill_triggers!$A$1,0,0,COUNTA(enemy_skill_triggers!$A:$A),MATCH(J$1,enemy_skill_triggers!$1:$1,0)-MATCH($F$1,enemy_skill_triggers!$1:$1,0)+1),MATCH(J$1,enemy_skill_triggers!$1:$1,0)-MATCH($F$1,enemy_skill_triggers!$1:$1,0)+1,FALSE)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8" s="130" t="str">
        <f ca="1">VLOOKUP($F138,OFFSET(enemy_skill_triggers!$A$1,0,0,COUNTA(enemy_skill_triggers!$A:$A),MATCH(K$1,enemy_skill_triggers!$1:$1,0)-MATCH($F$1,enemy_skill_triggers!$1:$1,0)+1),MATCH(K$1,enemy_skill_triggers!$1:$1,0)-MATCH($F$1,enemy_skill_triggers!$1:$1,0)+1,FALSE)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8" s="130">
        <f ca="1">VLOOKUP($F138,OFFSET(enemy_skill_triggers!$A$1,0,0,COUNTA(enemy_skill_triggers!$A:$A),MATCH(L$1,enemy_skill_triggers!$1:$1,0)-MATCH($F$1,enemy_skill_triggers!$1:$1,0)+1),MATCH(L$1,enemy_skill_triggers!$1:$1,0)-MATCH($F$1,enemy_skill_triggers!$1:$1,0)+1,FALSE)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8" s="130" t="str">
        <f ca="1">VLOOKUP($F138,OFFSET(enemy_skill_triggers!$A$1,0,0,COUNTA(enemy_skill_triggers!$A:$A),MATCH(M$1,enemy_skill_triggers!$1:$1,0)-MATCH($F$1,enemy_skill_triggers!$1:$1,0)+1),MATCH(M$1,enemy_skill_triggers!$1:$1,0)-MATCH($F$1,enemy_skill_triggers!$1:$1,0)+1,FALSE)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8" s="130">
        <f ca="1">VLOOKUP($F138,OFFSET(enemy_skill_triggers!$A$1,0,0,COUNTA(enemy_skill_triggers!$A:$A),MATCH(N$1,enemy_skill_triggers!$1:$1,0)-MATCH($F$1,enemy_skill_triggers!$1:$1,0)+1),MATCH(N$1,enemy_skill_triggers!$1:$1,0)-MATCH($F$1,enemy_skill_triggers!$1:$1,0)+1,FALSE)</f>
        <v>1330</v>
      </c>
      <c r="O138" s="130">
        <f ca="1">VLOOKUP($F138,OFFSET(enemy_skill_triggers!$A$1,0,0,COUNTA(enemy_skill_triggers!$A:$A),MATCH(O$1,enemy_skill_triggers!$1:$1,0)-MATCH($F$1,enemy_skill_triggers!$1:$1,0)+1),MATCH(O$1,enemy_skill_triggers!$1:$1,0)-MATCH($F$1,enemy_skill_triggers!$1:$1,0)+1,FALSE)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8" s="128"/>
      <c r="Q138" s="128"/>
      <c r="R138" s="128"/>
    </row>
    <row r="139" spans="1:18" s="131" customFormat="1" ht="31" customHeight="1" x14ac:dyDescent="0.15">
      <c r="A139" s="127" t="str">
        <f t="shared" si="24"/>
        <v>47015270_47015291</v>
      </c>
      <c r="B139" s="199">
        <v>47015270</v>
      </c>
      <c r="C139" s="179">
        <v>47015291</v>
      </c>
      <c r="D139" s="129" t="str">
        <f ca="1">VLOOKUP($C139,OFFSET(enemy_skills!$A$1,0,0,COUNTA(enemy_skills!$A:$A),MATCH(D$1,enemy_skills!$1:$1,0)-MATCH("enemy_skill_id",enemy_skills!$1:$1,0)+1),MATCH(D$1,enemy_skills!$1:$1,0)-MATCH("enemy_skill_id",enemy_skills!$1:$1,0)+1,FALSE)</f>
        <v>貴方達も楽しめましたか？</v>
      </c>
      <c r="E139" s="129" t="str">
        <f ca="1">VLOOKUP($C139,OFFSET(enemy_skills!$A$1,0,0,COUNTA(enemy_skills!$A:$A),MATCH(E$1,enemy_skills!$1:$1,0)-MATCH("enemy_skill_id",enemy_skills!$1:$1,0)+1),MATCH(E$1,enemy_skills!$1:$1,0)-MATCH("enemy_skill_id",enemy_skills!$1:$1,0)+1,FALSE)</f>
        <v>少々羽目を外しすぎてしまいましたね</v>
      </c>
      <c r="F139" s="179">
        <v>47015291</v>
      </c>
      <c r="G139" s="130">
        <f ca="1">VLOOKUP($F139,OFFSET(enemy_skill_triggers!$A$1,0,0,COUNTA(enemy_skill_triggers!$A:$A),MATCH(G$1,enemy_skill_triggers!$1:$1,0)-MATCH($F$1,enemy_skill_triggers!$1:$1,0)+1),MATCH(G$1,enemy_skill_triggers!$1:$1,0)-MATCH($F$1,enemy_skill_triggers!$1:$1,0)+1,FALSE)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9" s="130">
        <f ca="1">VLOOKUP($F139,OFFSET(enemy_skill_triggers!$A$1,0,0,COUNTA(enemy_skill_triggers!$A:$A),MATCH(H$1,enemy_skill_triggers!$1:$1,0)-MATCH($F$1,enemy_skill_triggers!$1:$1,0)+1),MATCH(H$1,enemy_skill_triggers!$1:$1,0)-MATCH($F$1,enemy_skill_triggers!$1:$1,0)+1,FALSE)</f>
        <v>107</v>
      </c>
      <c r="I139" s="130">
        <f ca="1">VLOOKUP($F139,OFFSET(enemy_skill_triggers!$A$1,0,0,COUNTA(enemy_skill_triggers!$A:$A),MATCH(I$1,enemy_skill_triggers!$1:$1,0)-MATCH($F$1,enemy_skill_triggers!$1:$1,0)+1),MATCH(I$1,enemy_skill_triggers!$1:$1,0)-MATCH($F$1,enemy_skill_triggers!$1:$1,0)+1,FALSE)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9" s="130" t="str">
        <f ca="1">VLOOKUP($F139,OFFSET(enemy_skill_triggers!$A$1,0,0,COUNTA(enemy_skill_triggers!$A:$A),MATCH(J$1,enemy_skill_triggers!$1:$1,0)-MATCH($F$1,enemy_skill_triggers!$1:$1,0)+1),MATCH(J$1,enemy_skill_triggers!$1:$1,0)-MATCH($F$1,enemy_skill_triggers!$1:$1,0)+1,FALSE)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9" s="130" t="str">
        <f ca="1">VLOOKUP($F139,OFFSET(enemy_skill_triggers!$A$1,0,0,COUNTA(enemy_skill_triggers!$A:$A),MATCH(K$1,enemy_skill_triggers!$1:$1,0)-MATCH($F$1,enemy_skill_triggers!$1:$1,0)+1),MATCH(K$1,enemy_skill_triggers!$1:$1,0)-MATCH($F$1,enemy_skill_triggers!$1:$1,0)+1,FALSE)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9" s="130">
        <f ca="1">VLOOKUP($F139,OFFSET(enemy_skill_triggers!$A$1,0,0,COUNTA(enemy_skill_triggers!$A:$A),MATCH(L$1,enemy_skill_triggers!$1:$1,0)-MATCH($F$1,enemy_skill_triggers!$1:$1,0)+1),MATCH(L$1,enemy_skill_triggers!$1:$1,0)-MATCH($F$1,enemy_skill_triggers!$1:$1,0)+1,FALSE)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9" s="130" t="str">
        <f ca="1">VLOOKUP($F139,OFFSET(enemy_skill_triggers!$A$1,0,0,COUNTA(enemy_skill_triggers!$A:$A),MATCH(M$1,enemy_skill_triggers!$1:$1,0)-MATCH($F$1,enemy_skill_triggers!$1:$1,0)+1),MATCH(M$1,enemy_skill_triggers!$1:$1,0)-MATCH($F$1,enemy_skill_triggers!$1:$1,0)+1,FALSE)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9" s="130">
        <f ca="1">VLOOKUP($F139,OFFSET(enemy_skill_triggers!$A$1,0,0,COUNTA(enemy_skill_triggers!$A:$A),MATCH(N$1,enemy_skill_triggers!$1:$1,0)-MATCH($F$1,enemy_skill_triggers!$1:$1,0)+1),MATCH(N$1,enemy_skill_triggers!$1:$1,0)-MATCH($F$1,enemy_skill_triggers!$1:$1,0)+1,FALSE)</f>
        <v>1331</v>
      </c>
      <c r="O139" s="130">
        <f ca="1">VLOOKUP($F139,OFFSET(enemy_skill_triggers!$A$1,0,0,COUNTA(enemy_skill_triggers!$A:$A),MATCH(O$1,enemy_skill_triggers!$1:$1,0)-MATCH($F$1,enemy_skill_triggers!$1:$1,0)+1),MATCH(O$1,enemy_skill_triggers!$1:$1,0)-MATCH($F$1,enemy_skill_triggers!$1:$1,0)+1,FALSE)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9" s="128"/>
      <c r="Q139" s="128"/>
      <c r="R139" s="128"/>
    </row>
    <row r="140" spans="1:18" s="131" customFormat="1" ht="31" customHeight="1" x14ac:dyDescent="0.15">
      <c r="A140" s="127" t="str">
        <f t="shared" ref="A140:A141" si="25">B140&amp;"_"&amp;C140</f>
        <v>47015270_47015292</v>
      </c>
      <c r="B140" s="199">
        <v>47015270</v>
      </c>
      <c r="C140" s="178">
        <v>47015292</v>
      </c>
      <c r="D140" s="129" t="str">
        <f ca="1">VLOOKUP($C140,OFFSET(enemy_skills!$A$1,0,0,COUNTA(enemy_skills!$A:$A),MATCH(D$1,enemy_skills!$1:$1,0)-MATCH("enemy_skill_id",enemy_skills!$1:$1,0)+1),MATCH(D$1,enemy_skills!$1:$1,0)-MATCH("enemy_skill_id",enemy_skills!$1:$1,0)+1,FALSE)</f>
        <v>貴方達も楽しめましたか？</v>
      </c>
      <c r="E140" s="129" t="str">
        <f ca="1">VLOOKUP($C140,OFFSET(enemy_skills!$A$1,0,0,COUNTA(enemy_skills!$A:$A),MATCH(E$1,enemy_skills!$1:$1,0)-MATCH("enemy_skill_id",enemy_skills!$1:$1,0)+1),MATCH(E$1,enemy_skills!$1:$1,0)-MATCH("enemy_skill_id",enemy_skills!$1:$1,0)+1,FALSE)</f>
        <v>少々羽目を外しすぎてしまいましたね</v>
      </c>
      <c r="F140" s="178">
        <v>47015292</v>
      </c>
      <c r="G140" s="130">
        <f ca="1">VLOOKUP($F140,OFFSET(enemy_skill_triggers!$A$1,0,0,COUNTA(enemy_skill_triggers!$A:$A),MATCH(G$1,enemy_skill_triggers!$1:$1,0)-MATCH($F$1,enemy_skill_triggers!$1:$1,0)+1),MATCH(G$1,enemy_skill_triggers!$1:$1,0)-MATCH($F$1,enemy_skill_triggers!$1:$1,0)+1,FALSE)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0" s="130">
        <f ca="1">VLOOKUP($F140,OFFSET(enemy_skill_triggers!$A$1,0,0,COUNTA(enemy_skill_triggers!$A:$A),MATCH(H$1,enemy_skill_triggers!$1:$1,0)-MATCH($F$1,enemy_skill_triggers!$1:$1,0)+1),MATCH(H$1,enemy_skill_triggers!$1:$1,0)-MATCH($F$1,enemy_skill_triggers!$1:$1,0)+1,FALSE)</f>
        <v>106</v>
      </c>
      <c r="I140" s="130">
        <f ca="1">VLOOKUP($F140,OFFSET(enemy_skill_triggers!$A$1,0,0,COUNTA(enemy_skill_triggers!$A:$A),MATCH(I$1,enemy_skill_triggers!$1:$1,0)-MATCH($F$1,enemy_skill_triggers!$1:$1,0)+1),MATCH(I$1,enemy_skill_triggers!$1:$1,0)-MATCH($F$1,enemy_skill_triggers!$1:$1,0)+1,FALSE)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0" s="130" t="str">
        <f ca="1">VLOOKUP($F140,OFFSET(enemy_skill_triggers!$A$1,0,0,COUNTA(enemy_skill_triggers!$A:$A),MATCH(J$1,enemy_skill_triggers!$1:$1,0)-MATCH($F$1,enemy_skill_triggers!$1:$1,0)+1),MATCH(J$1,enemy_skill_triggers!$1:$1,0)-MATCH($F$1,enemy_skill_triggers!$1:$1,0)+1,FALSE)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0" s="130" t="str">
        <f ca="1">VLOOKUP($F140,OFFSET(enemy_skill_triggers!$A$1,0,0,COUNTA(enemy_skill_triggers!$A:$A),MATCH(K$1,enemy_skill_triggers!$1:$1,0)-MATCH($F$1,enemy_skill_triggers!$1:$1,0)+1),MATCH(K$1,enemy_skill_triggers!$1:$1,0)-MATCH($F$1,enemy_skill_triggers!$1:$1,0)+1,FALSE)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0" s="130">
        <f ca="1">VLOOKUP($F140,OFFSET(enemy_skill_triggers!$A$1,0,0,COUNTA(enemy_skill_triggers!$A:$A),MATCH(L$1,enemy_skill_triggers!$1:$1,0)-MATCH($F$1,enemy_skill_triggers!$1:$1,0)+1),MATCH(L$1,enemy_skill_triggers!$1:$1,0)-MATCH($F$1,enemy_skill_triggers!$1:$1,0)+1,FALSE)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0" s="130" t="str">
        <f ca="1">VLOOKUP($F140,OFFSET(enemy_skill_triggers!$A$1,0,0,COUNTA(enemy_skill_triggers!$A:$A),MATCH(M$1,enemy_skill_triggers!$1:$1,0)-MATCH($F$1,enemy_skill_triggers!$1:$1,0)+1),MATCH(M$1,enemy_skill_triggers!$1:$1,0)-MATCH($F$1,enemy_skill_triggers!$1:$1,0)+1,FALSE)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0" s="130">
        <f ca="1">VLOOKUP($F140,OFFSET(enemy_skill_triggers!$A$1,0,0,COUNTA(enemy_skill_triggers!$A:$A),MATCH(N$1,enemy_skill_triggers!$1:$1,0)-MATCH($F$1,enemy_skill_triggers!$1:$1,0)+1),MATCH(N$1,enemy_skill_triggers!$1:$1,0)-MATCH($F$1,enemy_skill_triggers!$1:$1,0)+1,FALSE)</f>
        <v>756</v>
      </c>
      <c r="O140" s="130">
        <f ca="1">VLOOKUP($F140,OFFSET(enemy_skill_triggers!$A$1,0,0,COUNTA(enemy_skill_triggers!$A:$A),MATCH(O$1,enemy_skill_triggers!$1:$1,0)-MATCH($F$1,enemy_skill_triggers!$1:$1,0)+1),MATCH(O$1,enemy_skill_triggers!$1:$1,0)-MATCH($F$1,enemy_skill_triggers!$1:$1,0)+1,FALSE)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0" s="128"/>
      <c r="Q140" s="128"/>
      <c r="R140" s="128"/>
    </row>
    <row r="141" spans="1:18" s="131" customFormat="1" ht="31" customHeight="1" thickBot="1" x14ac:dyDescent="0.2">
      <c r="A141" s="127" t="str">
        <f t="shared" si="25"/>
        <v>47015270_47015293</v>
      </c>
      <c r="B141" s="199">
        <v>47015270</v>
      </c>
      <c r="C141" s="179">
        <v>47015293</v>
      </c>
      <c r="D141" s="129" t="str">
        <f ca="1">VLOOKUP($C141,OFFSET(enemy_skills!$A$1,0,0,COUNTA(enemy_skills!$A:$A),MATCH(D$1,enemy_skills!$1:$1,0)-MATCH("enemy_skill_id",enemy_skills!$1:$1,0)+1),MATCH(D$1,enemy_skills!$1:$1,0)-MATCH("enemy_skill_id",enemy_skills!$1:$1,0)+1,FALSE)</f>
        <v>貴方達も楽しめましたか？</v>
      </c>
      <c r="E141" s="129" t="str">
        <f ca="1">VLOOKUP($C141,OFFSET(enemy_skills!$A$1,0,0,COUNTA(enemy_skills!$A:$A),MATCH(E$1,enemy_skills!$1:$1,0)-MATCH("enemy_skill_id",enemy_skills!$1:$1,0)+1),MATCH(E$1,enemy_skills!$1:$1,0)-MATCH("enemy_skill_id",enemy_skills!$1:$1,0)+1,FALSE)</f>
        <v>少々羽目を外しすぎてしまいましたね</v>
      </c>
      <c r="F141" s="179">
        <v>47015293</v>
      </c>
      <c r="G141" s="130">
        <f ca="1">VLOOKUP($F141,OFFSET(enemy_skill_triggers!$A$1,0,0,COUNTA(enemy_skill_triggers!$A:$A),MATCH(G$1,enemy_skill_triggers!$1:$1,0)-MATCH($F$1,enemy_skill_triggers!$1:$1,0)+1),MATCH(G$1,enemy_skill_triggers!$1:$1,0)-MATCH($F$1,enemy_skill_triggers!$1:$1,0)+1,FALSE)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1" s="130">
        <f ca="1">VLOOKUP($F141,OFFSET(enemy_skill_triggers!$A$1,0,0,COUNTA(enemy_skill_triggers!$A:$A),MATCH(H$1,enemy_skill_triggers!$1:$1,0)-MATCH($F$1,enemy_skill_triggers!$1:$1,0)+1),MATCH(H$1,enemy_skill_triggers!$1:$1,0)-MATCH($F$1,enemy_skill_triggers!$1:$1,0)+1,FALSE)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141" s="130">
        <f ca="1">VLOOKUP($F141,OFFSET(enemy_skill_triggers!$A$1,0,0,COUNTA(enemy_skill_triggers!$A:$A),MATCH(I$1,enemy_skill_triggers!$1:$1,0)-MATCH($F$1,enemy_skill_triggers!$1:$1,0)+1),MATCH(I$1,enemy_skill_triggers!$1:$1,0)-MATCH($F$1,enemy_skill_triggers!$1:$1,0)+1,FALSE)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1" s="130" t="str">
        <f ca="1">VLOOKUP($F141,OFFSET(enemy_skill_triggers!$A$1,0,0,COUNTA(enemy_skill_triggers!$A:$A),MATCH(J$1,enemy_skill_triggers!$1:$1,0)-MATCH($F$1,enemy_skill_triggers!$1:$1,0)+1),MATCH(J$1,enemy_skill_triggers!$1:$1,0)-MATCH($F$1,enemy_skill_triggers!$1:$1,0)+1,FALSE)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1" s="130" t="str">
        <f ca="1">VLOOKUP($F141,OFFSET(enemy_skill_triggers!$A$1,0,0,COUNTA(enemy_skill_triggers!$A:$A),MATCH(K$1,enemy_skill_triggers!$1:$1,0)-MATCH($F$1,enemy_skill_triggers!$1:$1,0)+1),MATCH(K$1,enemy_skill_triggers!$1:$1,0)-MATCH($F$1,enemy_skill_triggers!$1:$1,0)+1,FALSE)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1" s="130">
        <f ca="1">VLOOKUP($F141,OFFSET(enemy_skill_triggers!$A$1,0,0,COUNTA(enemy_skill_triggers!$A:$A),MATCH(L$1,enemy_skill_triggers!$1:$1,0)-MATCH($F$1,enemy_skill_triggers!$1:$1,0)+1),MATCH(L$1,enemy_skill_triggers!$1:$1,0)-MATCH($F$1,enemy_skill_triggers!$1:$1,0)+1,FALSE)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1" s="130" t="str">
        <f ca="1">VLOOKUP($F141,OFFSET(enemy_skill_triggers!$A$1,0,0,COUNTA(enemy_skill_triggers!$A:$A),MATCH(M$1,enemy_skill_triggers!$1:$1,0)-MATCH($F$1,enemy_skill_triggers!$1:$1,0)+1),MATCH(M$1,enemy_skill_triggers!$1:$1,0)-MATCH($F$1,enemy_skill_triggers!$1:$1,0)+1,FALSE)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1" s="130">
        <f ca="1">VLOOKUP($F141,OFFSET(enemy_skill_triggers!$A$1,0,0,COUNTA(enemy_skill_triggers!$A:$A),MATCH(N$1,enemy_skill_triggers!$1:$1,0)-MATCH($F$1,enemy_skill_triggers!$1:$1,0)+1),MATCH(N$1,enemy_skill_triggers!$1:$1,0)-MATCH($F$1,enemy_skill_triggers!$1:$1,0)+1,FALSE)</f>
        <v>757</v>
      </c>
      <c r="O141" s="130">
        <f ca="1">VLOOKUP($F141,OFFSET(enemy_skill_triggers!$A$1,0,0,COUNTA(enemy_skill_triggers!$A:$A),MATCH(O$1,enemy_skill_triggers!$1:$1,0)-MATCH($F$1,enemy_skill_triggers!$1:$1,0)+1),MATCH(O$1,enemy_skill_triggers!$1:$1,0)-MATCH($F$1,enemy_skill_triggers!$1:$1,0)+1,FALSE)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1" s="128"/>
      <c r="Q141" s="128"/>
      <c r="R141" s="128"/>
    </row>
    <row r="142" spans="1:18" ht="31" customHeight="1" thickTop="1" x14ac:dyDescent="0.15">
      <c r="A142" s="103" t="str">
        <f t="shared" si="24"/>
        <v>47015300_47015300</v>
      </c>
      <c r="B142" s="108">
        <v>47015300</v>
      </c>
      <c r="C142" s="208">
        <v>47015300</v>
      </c>
      <c r="D142" s="39" t="str">
        <f ca="1">VLOOKUP($C142,OFFSET(enemy_skills!$A$1,0,0,COUNTA(enemy_skills!$A:$A),MATCH(D$1,enemy_skills!$1:$1,0)-MATCH("enemy_skill_id",enemy_skills!$1:$1,0)+1),MATCH(D$1,enemy_skills!$1:$1,0)-MATCH("enemy_skill_id",enemy_skills!$1:$1,0)+1,FALSE)</f>
        <v>彼女とビジュアル勝負？_x000D_ごめんね、今日はダメよ</v>
      </c>
      <c r="E142" s="39" t="str">
        <f ca="1">VLOOKUP($C142,OFFSET(enemy_skills!$A$1,0,0,COUNTA(enemy_skills!$A:$A),MATCH(E$1,enemy_skills!$1:$1,0)-MATCH("enemy_skill_id",enemy_skills!$1:$1,0)+1),MATCH(E$1,enemy_skills!$1:$1,0)-MATCH("enemy_skill_id",enemy_skills!$1:$1,0)+1,FALSE)</f>
        <v>全ユニットのスキルターンを2ターン短縮</v>
      </c>
      <c r="F142" s="208">
        <v>47015300</v>
      </c>
      <c r="G142" s="41">
        <f ca="1">VLOOKUP($F142,OFFSET(enemy_skill_triggers!$A$1,0,0,COUNTA(enemy_skill_triggers!$A:$A),MATCH(G$1,enemy_skill_triggers!$1:$1,0)-MATCH($F$1,enemy_skill_triggers!$1:$1,0)+1),MATCH(G$1,enemy_skill_triggers!$1:$1,0)-MATCH($F$1,enemy_skill_triggers!$1:$1,0)+1,FALSE)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2" s="41">
        <f ca="1">VLOOKUP($F142,OFFSET(enemy_skill_triggers!$A$1,0,0,COUNTA(enemy_skill_triggers!$A:$A),MATCH(H$1,enemy_skill_triggers!$1:$1,0)-MATCH($F$1,enemy_skill_triggers!$1:$1,0)+1),MATCH(H$1,enemy_skill_triggers!$1:$1,0)-MATCH($F$1,enemy_skill_triggers!$1:$1,0)+1,FALSE)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142" s="41">
        <f ca="1">VLOOKUP($F142,OFFSET(enemy_skill_triggers!$A$1,0,0,COUNTA(enemy_skill_triggers!$A:$A),MATCH(I$1,enemy_skill_triggers!$1:$1,0)-MATCH($F$1,enemy_skill_triggers!$1:$1,0)+1),MATCH(I$1,enemy_skill_triggers!$1:$1,0)-MATCH($F$1,enemy_skill_triggers!$1:$1,0)+1,FALSE)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142" s="41" t="str">
        <f ca="1">VLOOKUP($F142,OFFSET(enemy_skill_triggers!$A$1,0,0,COUNTA(enemy_skill_triggers!$A:$A),MATCH(J$1,enemy_skill_triggers!$1:$1,0)-MATCH($F$1,enemy_skill_triggers!$1:$1,0)+1),MATCH(J$1,enemy_skill_triggers!$1:$1,0)-MATCH($F$1,enemy_skill_triggers!$1:$1,0)+1,FALSE)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2" s="41" t="str">
        <f ca="1">VLOOKUP($F142,OFFSET(enemy_skill_triggers!$A$1,0,0,COUNTA(enemy_skill_triggers!$A:$A),MATCH(K$1,enemy_skill_triggers!$1:$1,0)-MATCH($F$1,enemy_skill_triggers!$1:$1,0)+1),MATCH(K$1,enemy_skill_triggers!$1:$1,0)-MATCH($F$1,enemy_skill_triggers!$1:$1,0)+1,FALSE)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2" s="41">
        <f ca="1">VLOOKUP($F142,OFFSET(enemy_skill_triggers!$A$1,0,0,COUNTA(enemy_skill_triggers!$A:$A),MATCH(L$1,enemy_skill_triggers!$1:$1,0)-MATCH($F$1,enemy_skill_triggers!$1:$1,0)+1),MATCH(L$1,enemy_skill_triggers!$1:$1,0)-MATCH($F$1,enemy_skill_triggers!$1:$1,0)+1,FALSE)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2" s="41" t="str">
        <f ca="1">VLOOKUP($F142,OFFSET(enemy_skill_triggers!$A$1,0,0,COUNTA(enemy_skill_triggers!$A:$A),MATCH(M$1,enemy_skill_triggers!$1:$1,0)-MATCH($F$1,enemy_skill_triggers!$1:$1,0)+1),MATCH(M$1,enemy_skill_triggers!$1:$1,0)-MATCH($F$1,enemy_skill_triggers!$1:$1,0)+1,FALSE)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2" s="41">
        <f ca="1">VLOOKUP($F142,OFFSET(enemy_skill_triggers!$A$1,0,0,COUNTA(enemy_skill_triggers!$A:$A),MATCH(N$1,enemy_skill_triggers!$1:$1,0)-MATCH($F$1,enemy_skill_triggers!$1:$1,0)+1),MATCH(N$1,enemy_skill_triggers!$1:$1,0)-MATCH($F$1,enemy_skill_triggers!$1:$1,0)+1,FALSE)</f>
        <v>1703</v>
      </c>
      <c r="O142" s="41">
        <f ca="1">VLOOKUP($F142,OFFSET(enemy_skill_triggers!$A$1,0,0,COUNTA(enemy_skill_triggers!$A:$A),MATCH(O$1,enemy_skill_triggers!$1:$1,0)-MATCH($F$1,enemy_skill_triggers!$1:$1,0)+1),MATCH(O$1,enemy_skill_triggers!$1:$1,0)-MATCH($F$1,enemy_skill_triggers!$1:$1,0)+1,FALSE)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142" s="40"/>
      <c r="Q142" s="40"/>
      <c r="R142" s="40"/>
    </row>
    <row r="143" spans="1:18" ht="31" customHeight="1" x14ac:dyDescent="0.15">
      <c r="A143" s="103" t="str">
        <f t="shared" si="24"/>
        <v>47015300_47015301</v>
      </c>
      <c r="B143" s="108">
        <v>47015300</v>
      </c>
      <c r="C143" s="212">
        <v>47015301</v>
      </c>
      <c r="D143" s="39" t="str">
        <f ca="1">VLOOKUP($C143,OFFSET(enemy_skills!$A$1,0,0,COUNTA(enemy_skills!$A:$A),MATCH(D$1,enemy_skills!$1:$1,0)-MATCH("enemy_skill_id",enemy_skills!$1:$1,0)+1),MATCH(D$1,enemy_skills!$1:$1,0)-MATCH("enemy_skill_id",enemy_skills!$1:$1,0)+1,FALSE)</f>
        <v>彼女とビジュアル勝負？_x000D_ごめんね、今日はダメよ</v>
      </c>
      <c r="E143" s="39" t="str">
        <f ca="1">VLOOKUP($C143,OFFSET(enemy_skills!$A$1,0,0,COUNTA(enemy_skills!$A:$A),MATCH(E$1,enemy_skills!$1:$1,0)-MATCH("enemy_skill_id",enemy_skills!$1:$1,0)+1),MATCH(E$1,enemy_skills!$1:$1,0)-MATCH("enemy_skill_id",enemy_skills!$1:$1,0)+1,FALSE)</f>
        <v>全ユニットのスキルターンを2ターン短縮</v>
      </c>
      <c r="F143" s="212">
        <v>47015301</v>
      </c>
      <c r="G143" s="41">
        <f ca="1">VLOOKUP($F143,OFFSET(enemy_skill_triggers!$A$1,0,0,COUNTA(enemy_skill_triggers!$A:$A),MATCH(G$1,enemy_skill_triggers!$1:$1,0)-MATCH($F$1,enemy_skill_triggers!$1:$1,0)+1),MATCH(G$1,enemy_skill_triggers!$1:$1,0)-MATCH($F$1,enemy_skill_triggers!$1:$1,0)+1,FALSE)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3" s="41">
        <f ca="1">VLOOKUP($F143,OFFSET(enemy_skill_triggers!$A$1,0,0,COUNTA(enemy_skill_triggers!$A:$A),MATCH(H$1,enemy_skill_triggers!$1:$1,0)-MATCH($F$1,enemy_skill_triggers!$1:$1,0)+1),MATCH(H$1,enemy_skill_triggers!$1:$1,0)-MATCH($F$1,enemy_skill_triggers!$1:$1,0)+1,FALSE)</f>
        <v>106</v>
      </c>
      <c r="I143" s="41">
        <f ca="1">VLOOKUP($F143,OFFSET(enemy_skill_triggers!$A$1,0,0,COUNTA(enemy_skill_triggers!$A:$A),MATCH(I$1,enemy_skill_triggers!$1:$1,0)-MATCH($F$1,enemy_skill_triggers!$1:$1,0)+1),MATCH(I$1,enemy_skill_triggers!$1:$1,0)-MATCH($F$1,enemy_skill_triggers!$1:$1,0)+1,FALSE)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143" s="41" t="str">
        <f ca="1">VLOOKUP($F143,OFFSET(enemy_skill_triggers!$A$1,0,0,COUNTA(enemy_skill_triggers!$A:$A),MATCH(J$1,enemy_skill_triggers!$1:$1,0)-MATCH($F$1,enemy_skill_triggers!$1:$1,0)+1),MATCH(J$1,enemy_skill_triggers!$1:$1,0)-MATCH($F$1,enemy_skill_triggers!$1:$1,0)+1,FALSE)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3" s="41" t="str">
        <f ca="1">VLOOKUP($F143,OFFSET(enemy_skill_triggers!$A$1,0,0,COUNTA(enemy_skill_triggers!$A:$A),MATCH(K$1,enemy_skill_triggers!$1:$1,0)-MATCH($F$1,enemy_skill_triggers!$1:$1,0)+1),MATCH(K$1,enemy_skill_triggers!$1:$1,0)-MATCH($F$1,enemy_skill_triggers!$1:$1,0)+1,FALSE)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3" s="41">
        <f ca="1">VLOOKUP($F143,OFFSET(enemy_skill_triggers!$A$1,0,0,COUNTA(enemy_skill_triggers!$A:$A),MATCH(L$1,enemy_skill_triggers!$1:$1,0)-MATCH($F$1,enemy_skill_triggers!$1:$1,0)+1),MATCH(L$1,enemy_skill_triggers!$1:$1,0)-MATCH($F$1,enemy_skill_triggers!$1:$1,0)+1,FALSE)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3" s="41" t="str">
        <f ca="1">VLOOKUP($F143,OFFSET(enemy_skill_triggers!$A$1,0,0,COUNTA(enemy_skill_triggers!$A:$A),MATCH(M$1,enemy_skill_triggers!$1:$1,0)-MATCH($F$1,enemy_skill_triggers!$1:$1,0)+1),MATCH(M$1,enemy_skill_triggers!$1:$1,0)-MATCH($F$1,enemy_skill_triggers!$1:$1,0)+1,FALSE)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3" s="41">
        <f ca="1">VLOOKUP($F143,OFFSET(enemy_skill_triggers!$A$1,0,0,COUNTA(enemy_skill_triggers!$A:$A),MATCH(N$1,enemy_skill_triggers!$1:$1,0)-MATCH($F$1,enemy_skill_triggers!$1:$1,0)+1),MATCH(N$1,enemy_skill_triggers!$1:$1,0)-MATCH($F$1,enemy_skill_triggers!$1:$1,0)+1,FALSE)</f>
        <v>1704</v>
      </c>
      <c r="O143" s="41">
        <f ca="1">VLOOKUP($F143,OFFSET(enemy_skill_triggers!$A$1,0,0,COUNTA(enemy_skill_triggers!$A:$A),MATCH(O$1,enemy_skill_triggers!$1:$1,0)-MATCH($F$1,enemy_skill_triggers!$1:$1,0)+1),MATCH(O$1,enemy_skill_triggers!$1:$1,0)-MATCH($F$1,enemy_skill_triggers!$1:$1,0)+1,FALSE)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143" s="40"/>
      <c r="Q143" s="40"/>
      <c r="R143" s="40"/>
    </row>
    <row r="144" spans="1:18" ht="31" customHeight="1" x14ac:dyDescent="0.15">
      <c r="A144" s="103" t="str">
        <f t="shared" si="24"/>
        <v>47015300_47015302</v>
      </c>
      <c r="B144" s="108">
        <v>47015300</v>
      </c>
      <c r="C144" s="209">
        <v>47015302</v>
      </c>
      <c r="D144" s="39" t="str">
        <f ca="1">VLOOKUP($C144,OFFSET(enemy_skills!$A$1,0,0,COUNTA(enemy_skills!$A:$A),MATCH(D$1,enemy_skills!$1:$1,0)-MATCH("enemy_skill_id",enemy_skills!$1:$1,0)+1),MATCH(D$1,enemy_skills!$1:$1,0)-MATCH("enemy_skill_id",enemy_skills!$1:$1,0)+1,FALSE)</f>
        <v>彼女に会いたいのなら！</v>
      </c>
      <c r="E144" s="39" t="str">
        <f ca="1">VLOOKUP($C144,OFFSET(enemy_skills!$A$1,0,0,COUNTA(enemy_skills!$A:$A),MATCH(E$1,enemy_skills!$1:$1,0)-MATCH("enemy_skill_id",enemy_skills!$1:$1,0)+1),MATCH(E$1,enemy_skills!$1:$1,0)-MATCH("enemy_skill_id",enemy_skills!$1:$1,0)+1,FALSE)</f>
        <v>5ターン全ユニットの回復力20%DOWN</v>
      </c>
      <c r="F144" s="209">
        <v>47015302</v>
      </c>
      <c r="G144" s="41">
        <f ca="1">VLOOKUP($F144,OFFSET(enemy_skill_triggers!$A$1,0,0,COUNTA(enemy_skill_triggers!$A:$A),MATCH(G$1,enemy_skill_triggers!$1:$1,0)-MATCH($F$1,enemy_skill_triggers!$1:$1,0)+1),MATCH(G$1,enemy_skill_triggers!$1:$1,0)-MATCH($F$1,enemy_skill_triggers!$1:$1,0)+1,FALSE)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4" s="41">
        <f ca="1">VLOOKUP($F144,OFFSET(enemy_skill_triggers!$A$1,0,0,COUNTA(enemy_skill_triggers!$A:$A),MATCH(H$1,enemy_skill_triggers!$1:$1,0)-MATCH($F$1,enemy_skill_triggers!$1:$1,0)+1),MATCH(H$1,enemy_skill_triggers!$1:$1,0)-MATCH($F$1,enemy_skill_triggers!$1:$1,0)+1,FALSE)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44" s="41">
        <f ca="1">VLOOKUP($F144,OFFSET(enemy_skill_triggers!$A$1,0,0,COUNTA(enemy_skill_triggers!$A:$A),MATCH(I$1,enemy_skill_triggers!$1:$1,0)-MATCH($F$1,enemy_skill_triggers!$1:$1,0)+1),MATCH(I$1,enemy_skill_triggers!$1:$1,0)-MATCH($F$1,enemy_skill_triggers!$1:$1,0)+1,FALSE)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4" s="41" t="str">
        <f ca="1">VLOOKUP($F144,OFFSET(enemy_skill_triggers!$A$1,0,0,COUNTA(enemy_skill_triggers!$A:$A),MATCH(J$1,enemy_skill_triggers!$1:$1,0)-MATCH($F$1,enemy_skill_triggers!$1:$1,0)+1),MATCH(J$1,enemy_skill_triggers!$1:$1,0)-MATCH($F$1,enemy_skill_triggers!$1:$1,0)+1,FALSE)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4" s="41" t="str">
        <f ca="1">VLOOKUP($F144,OFFSET(enemy_skill_triggers!$A$1,0,0,COUNTA(enemy_skill_triggers!$A:$A),MATCH(K$1,enemy_skill_triggers!$1:$1,0)-MATCH($F$1,enemy_skill_triggers!$1:$1,0)+1),MATCH(K$1,enemy_skill_triggers!$1:$1,0)-MATCH($F$1,enemy_skill_triggers!$1:$1,0)+1,FALSE)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4" s="41">
        <f ca="1">VLOOKUP($F144,OFFSET(enemy_skill_triggers!$A$1,0,0,COUNTA(enemy_skill_triggers!$A:$A),MATCH(L$1,enemy_skill_triggers!$1:$1,0)-MATCH($F$1,enemy_skill_triggers!$1:$1,0)+1),MATCH(L$1,enemy_skill_triggers!$1:$1,0)-MATCH($F$1,enemy_skill_triggers!$1:$1,0)+1,FALSE)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4" s="41" t="str">
        <f ca="1">VLOOKUP($F144,OFFSET(enemy_skill_triggers!$A$1,0,0,COUNTA(enemy_skill_triggers!$A:$A),MATCH(M$1,enemy_skill_triggers!$1:$1,0)-MATCH($F$1,enemy_skill_triggers!$1:$1,0)+1),MATCH(M$1,enemy_skill_triggers!$1:$1,0)-MATCH($F$1,enemy_skill_triggers!$1:$1,0)+1,FALSE)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4" s="41" t="str">
        <f ca="1">VLOOKUP($F144,OFFSET(enemy_skill_triggers!$A$1,0,0,COUNTA(enemy_skill_triggers!$A:$A),MATCH(N$1,enemy_skill_triggers!$1:$1,0)-MATCH($F$1,enemy_skill_triggers!$1:$1,0)+1),MATCH(N$1,enemy_skill_triggers!$1:$1,0)-MATCH($F$1,enemy_skill_triggers!$1:$1,0)+1,FALSE)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4" s="41">
        <f ca="1">VLOOKUP($F144,OFFSET(enemy_skill_triggers!$A$1,0,0,COUNTA(enemy_skill_triggers!$A:$A),MATCH(O$1,enemy_skill_triggers!$1:$1,0)-MATCH($F$1,enemy_skill_triggers!$1:$1,0)+1),MATCH(O$1,enemy_skill_triggers!$1:$1,0)-MATCH($F$1,enemy_skill_triggers!$1:$1,0)+1,FALSE)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4" s="40"/>
      <c r="Q144" s="40"/>
      <c r="R144" s="40"/>
    </row>
    <row r="145" spans="1:18" s="105" customFormat="1" ht="31" customHeight="1" thickBot="1" x14ac:dyDescent="0.2">
      <c r="A145" s="104" t="str">
        <f t="shared" si="24"/>
        <v>47015300_47015303</v>
      </c>
      <c r="B145" s="108">
        <v>47015300</v>
      </c>
      <c r="C145" s="212">
        <v>47015303</v>
      </c>
      <c r="D145" s="99" t="str">
        <f ca="1">VLOOKUP($C145,OFFSET(enemy_skills!$A$1,0,0,COUNTA(enemy_skills!$A:$A),MATCH(D$1,enemy_skills!$1:$1,0)-MATCH("enemy_skill_id",enemy_skills!$1:$1,0)+1),MATCH(D$1,enemy_skills!$1:$1,0)-MATCH("enemy_skill_id",enemy_skills!$1:$1,0)+1,FALSE)</f>
        <v>これで…！</v>
      </c>
      <c r="E145" s="99" t="str">
        <f ca="1">VLOOKUP($C145,OFFSET(enemy_skills!$A$1,0,0,COUNTA(enemy_skills!$A:$A),MATCH(E$1,enemy_skills!$1:$1,0)-MATCH("enemy_skill_id",enemy_skills!$1:$1,0)+1),MATCH(E$1,enemy_skills!$1:$1,0)-MATCH("enemy_skill_id",enemy_skills!$1:$1,0)+1,FALSE)</f>
        <v>種族ゴッドのユニットに大ダメージ</v>
      </c>
      <c r="F145" s="212">
        <v>47015303</v>
      </c>
      <c r="G145" s="100">
        <f ca="1">VLOOKUP($F145,OFFSET(enemy_skill_triggers!$A$1,0,0,COUNTA(enemy_skill_triggers!$A:$A),MATCH(G$1,enemy_skill_triggers!$1:$1,0)-MATCH($F$1,enemy_skill_triggers!$1:$1,0)+1),MATCH(G$1,enemy_skill_triggers!$1:$1,0)-MATCH($F$1,enemy_skill_triggers!$1:$1,0)+1,FALSE)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5" s="100">
        <f ca="1">VLOOKUP($F145,OFFSET(enemy_skill_triggers!$A$1,0,0,COUNTA(enemy_skill_triggers!$A:$A),MATCH(H$1,enemy_skill_triggers!$1:$1,0)-MATCH($F$1,enemy_skill_triggers!$1:$1,0)+1),MATCH(H$1,enemy_skill_triggers!$1:$1,0)-MATCH($F$1,enemy_skill_triggers!$1:$1,0)+1,FALSE)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45" s="100">
        <f ca="1">VLOOKUP($F145,OFFSET(enemy_skill_triggers!$A$1,0,0,COUNTA(enemy_skill_triggers!$A:$A),MATCH(I$1,enemy_skill_triggers!$1:$1,0)-MATCH($F$1,enemy_skill_triggers!$1:$1,0)+1),MATCH(I$1,enemy_skill_triggers!$1:$1,0)-MATCH($F$1,enemy_skill_triggers!$1:$1,0)+1,FALSE)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145" s="100" t="str">
        <f ca="1">VLOOKUP($F145,OFFSET(enemy_skill_triggers!$A$1,0,0,COUNTA(enemy_skill_triggers!$A:$A),MATCH(J$1,enemy_skill_triggers!$1:$1,0)-MATCH($F$1,enemy_skill_triggers!$1:$1,0)+1),MATCH(J$1,enemy_skill_triggers!$1:$1,0)-MATCH($F$1,enemy_skill_triggers!$1:$1,0)+1,FALSE)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5" s="100" t="str">
        <f ca="1">VLOOKUP($F145,OFFSET(enemy_skill_triggers!$A$1,0,0,COUNTA(enemy_skill_triggers!$A:$A),MATCH(K$1,enemy_skill_triggers!$1:$1,0)-MATCH($F$1,enemy_skill_triggers!$1:$1,0)+1),MATCH(K$1,enemy_skill_triggers!$1:$1,0)-MATCH($F$1,enemy_skill_triggers!$1:$1,0)+1,FALSE)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5" s="100" t="str">
        <f ca="1">VLOOKUP($F145,OFFSET(enemy_skill_triggers!$A$1,0,0,COUNTA(enemy_skill_triggers!$A:$A),MATCH(L$1,enemy_skill_triggers!$1:$1,0)-MATCH($F$1,enemy_skill_triggers!$1:$1,0)+1),MATCH(L$1,enemy_skill_triggers!$1:$1,0)-MATCH($F$1,enemy_skill_triggers!$1:$1,0)+1,FALSE)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5" s="100" t="str">
        <f ca="1">VLOOKUP($F145,OFFSET(enemy_skill_triggers!$A$1,0,0,COUNTA(enemy_skill_triggers!$A:$A),MATCH(M$1,enemy_skill_triggers!$1:$1,0)-MATCH($F$1,enemy_skill_triggers!$1:$1,0)+1),MATCH(M$1,enemy_skill_triggers!$1:$1,0)-MATCH($F$1,enemy_skill_triggers!$1:$1,0)+1,FALSE)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5" s="100" t="str">
        <f ca="1">VLOOKUP($F145,OFFSET(enemy_skill_triggers!$A$1,0,0,COUNTA(enemy_skill_triggers!$A:$A),MATCH(N$1,enemy_skill_triggers!$1:$1,0)-MATCH($F$1,enemy_skill_triggers!$1:$1,0)+1),MATCH(N$1,enemy_skill_triggers!$1:$1,0)-MATCH($F$1,enemy_skill_triggers!$1:$1,0)+1,FALSE)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5" s="100">
        <f ca="1">VLOOKUP($F145,OFFSET(enemy_skill_triggers!$A$1,0,0,COUNTA(enemy_skill_triggers!$A:$A),MATCH(O$1,enemy_skill_triggers!$1:$1,0)-MATCH($F$1,enemy_skill_triggers!$1:$1,0)+1),MATCH(O$1,enemy_skill_triggers!$1:$1,0)-MATCH($F$1,enemy_skill_triggers!$1:$1,0)+1,FALSE)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145" s="98"/>
      <c r="Q145" s="98"/>
      <c r="R145" s="98"/>
    </row>
    <row r="146" spans="1:18" s="105" customFormat="1" ht="31" customHeight="1" thickBot="1" x14ac:dyDescent="0.2">
      <c r="A146" s="104" t="str">
        <f t="shared" si="24"/>
        <v>47015300_47015304</v>
      </c>
      <c r="B146" s="108">
        <v>47015300</v>
      </c>
      <c r="C146" s="209">
        <v>47015304</v>
      </c>
      <c r="D146" s="99" t="str">
        <f ca="1">VLOOKUP($C146,OFFSET(enemy_skills!$A$1,0,0,COUNTA(enemy_skills!$A:$A),MATCH(D$1,enemy_skills!$1:$1,0)-MATCH("enemy_skill_id",enemy_skills!$1:$1,0)+1),MATCH(D$1,enemy_skills!$1:$1,0)-MATCH("enemy_skill_id",enemy_skills!$1:$1,0)+1,FALSE)</f>
        <v>お引取りを！</v>
      </c>
      <c r="E146" s="99" t="str">
        <f ca="1">VLOOKUP($C146,OFFSET(enemy_skills!$A$1,0,0,COUNTA(enemy_skills!$A:$A),MATCH(E$1,enemy_skills!$1:$1,0)-MATCH("enemy_skill_id",enemy_skills!$1:$1,0)+1),MATCH(E$1,enemy_skills!$1:$1,0)-MATCH("enemy_skill_id",enemy_skills!$1:$1,0)+1,FALSE)</f>
        <v>2ターン青属性のユニットの攻撃力20%DOWN+単体攻撃</v>
      </c>
      <c r="F146" s="209">
        <v>47015304</v>
      </c>
      <c r="G146" s="100">
        <f ca="1">VLOOKUP($F146,OFFSET(enemy_skill_triggers!$A$1,0,0,COUNTA(enemy_skill_triggers!$A:$A),MATCH(G$1,enemy_skill_triggers!$1:$1,0)-MATCH($F$1,enemy_skill_triggers!$1:$1,0)+1),MATCH(G$1,enemy_skill_triggers!$1:$1,0)-MATCH($F$1,enemy_skill_triggers!$1:$1,0)+1,FALSE)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6" s="100">
        <f ca="1">VLOOKUP($F146,OFFSET(enemy_skill_triggers!$A$1,0,0,COUNTA(enemy_skill_triggers!$A:$A),MATCH(H$1,enemy_skill_triggers!$1:$1,0)-MATCH($F$1,enemy_skill_triggers!$1:$1,0)+1),MATCH(H$1,enemy_skill_triggers!$1:$1,0)-MATCH($F$1,enemy_skill_triggers!$1:$1,0)+1,FALSE)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46" s="100">
        <f ca="1">VLOOKUP($F146,OFFSET(enemy_skill_triggers!$A$1,0,0,COUNTA(enemy_skill_triggers!$A:$A),MATCH(I$1,enemy_skill_triggers!$1:$1,0)-MATCH($F$1,enemy_skill_triggers!$1:$1,0)+1),MATCH(I$1,enemy_skill_triggers!$1:$1,0)-MATCH($F$1,enemy_skill_triggers!$1:$1,0)+1,FALSE)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146" s="100" t="str">
        <f ca="1">VLOOKUP($F146,OFFSET(enemy_skill_triggers!$A$1,0,0,COUNTA(enemy_skill_triggers!$A:$A),MATCH(J$1,enemy_skill_triggers!$1:$1,0)-MATCH($F$1,enemy_skill_triggers!$1:$1,0)+1),MATCH(J$1,enemy_skill_triggers!$1:$1,0)-MATCH($F$1,enemy_skill_triggers!$1:$1,0)+1,FALSE)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6" s="100" t="str">
        <f ca="1">VLOOKUP($F146,OFFSET(enemy_skill_triggers!$A$1,0,0,COUNTA(enemy_skill_triggers!$A:$A),MATCH(K$1,enemy_skill_triggers!$1:$1,0)-MATCH($F$1,enemy_skill_triggers!$1:$1,0)+1),MATCH(K$1,enemy_skill_triggers!$1:$1,0)-MATCH($F$1,enemy_skill_triggers!$1:$1,0)+1,FALSE)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6" s="100" t="str">
        <f ca="1">VLOOKUP($F146,OFFSET(enemy_skill_triggers!$A$1,0,0,COUNTA(enemy_skill_triggers!$A:$A),MATCH(L$1,enemy_skill_triggers!$1:$1,0)-MATCH($F$1,enemy_skill_triggers!$1:$1,0)+1),MATCH(L$1,enemy_skill_triggers!$1:$1,0)-MATCH($F$1,enemy_skill_triggers!$1:$1,0)+1,FALSE)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6" s="100" t="str">
        <f ca="1">VLOOKUP($F146,OFFSET(enemy_skill_triggers!$A$1,0,0,COUNTA(enemy_skill_triggers!$A:$A),MATCH(M$1,enemy_skill_triggers!$1:$1,0)-MATCH($F$1,enemy_skill_triggers!$1:$1,0)+1),MATCH(M$1,enemy_skill_triggers!$1:$1,0)-MATCH($F$1,enemy_skill_triggers!$1:$1,0)+1,FALSE)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6" s="100" t="str">
        <f ca="1">VLOOKUP($F146,OFFSET(enemy_skill_triggers!$A$1,0,0,COUNTA(enemy_skill_triggers!$A:$A),MATCH(N$1,enemy_skill_triggers!$1:$1,0)-MATCH($F$1,enemy_skill_triggers!$1:$1,0)+1),MATCH(N$1,enemy_skill_triggers!$1:$1,0)-MATCH($F$1,enemy_skill_triggers!$1:$1,0)+1,FALSE)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6" s="100">
        <f ca="1">VLOOKUP($F146,OFFSET(enemy_skill_triggers!$A$1,0,0,COUNTA(enemy_skill_triggers!$A:$A),MATCH(O$1,enemy_skill_triggers!$1:$1,0)-MATCH($F$1,enemy_skill_triggers!$1:$1,0)+1),MATCH(O$1,enemy_skill_triggers!$1:$1,0)-MATCH($F$1,enemy_skill_triggers!$1:$1,0)+1,FALSE)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146" s="98"/>
      <c r="Q146" s="98"/>
      <c r="R146" s="98"/>
    </row>
    <row r="147" spans="1:18" ht="31" customHeight="1" thickBot="1" x14ac:dyDescent="0.2">
      <c r="A147" s="103" t="str">
        <f>B147&amp;"_"&amp;C147</f>
        <v>47015300_47015305</v>
      </c>
      <c r="B147" s="108">
        <v>47015300</v>
      </c>
      <c r="C147" s="209">
        <v>47015305</v>
      </c>
      <c r="D147" s="39" t="str">
        <f ca="1">VLOOKUP($C147,OFFSET(enemy_skills!$A$1,0,0,COUNTA(enemy_skills!$A:$A),MATCH(D$1,enemy_skills!$1:$1,0)-MATCH("enemy_skill_id",enemy_skills!$1:$1,0)+1),MATCH(D$1,enemy_skills!$1:$1,0)-MATCH("enemy_skill_id",enemy_skills!$1:$1,0)+1,FALSE)</f>
        <v>帰っていただけませんのね</v>
      </c>
      <c r="E147" s="39" t="str">
        <f ca="1">VLOOKUP($C147,OFFSET(enemy_skills!$A$1,0,0,COUNTA(enemy_skills!$A:$A),MATCH(E$1,enemy_skills!$1:$1,0)-MATCH("enemy_skill_id",enemy_skills!$1:$1,0)+1),MATCH(E$1,enemy_skills!$1:$1,0)-MATCH("enemy_skill_id",enemy_skills!$1:$1,0)+1,FALSE)</f>
        <v>3ターン敵全体の攻撃力UP</v>
      </c>
      <c r="F147" s="209">
        <v>47015305</v>
      </c>
      <c r="G147" s="41">
        <f ca="1">VLOOKUP($F147,OFFSET(enemy_skill_triggers!$A$1,0,0,COUNTA(enemy_skill_triggers!$A:$A),MATCH(G$1,enemy_skill_triggers!$1:$1,0)-MATCH($F$1,enemy_skill_triggers!$1:$1,0)+1),MATCH(G$1,enemy_skill_triggers!$1:$1,0)-MATCH($F$1,enemy_skill_triggers!$1:$1,0)+1,FALSE)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7" s="41">
        <f ca="1">VLOOKUP($F147,OFFSET(enemy_skill_triggers!$A$1,0,0,COUNTA(enemy_skill_triggers!$A:$A),MATCH(H$1,enemy_skill_triggers!$1:$1,0)-MATCH($F$1,enemy_skill_triggers!$1:$1,0)+1),MATCH(H$1,enemy_skill_triggers!$1:$1,0)-MATCH($F$1,enemy_skill_triggers!$1:$1,0)+1,FALSE)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147" s="41">
        <f ca="1">VLOOKUP($F147,OFFSET(enemy_skill_triggers!$A$1,0,0,COUNTA(enemy_skill_triggers!$A:$A),MATCH(I$1,enemy_skill_triggers!$1:$1,0)-MATCH($F$1,enemy_skill_triggers!$1:$1,0)+1),MATCH(I$1,enemy_skill_triggers!$1:$1,0)-MATCH($F$1,enemy_skill_triggers!$1:$1,0)+1,FALSE)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7" s="41">
        <f ca="1">VLOOKUP($F147,OFFSET(enemy_skill_triggers!$A$1,0,0,COUNTA(enemy_skill_triggers!$A:$A),MATCH(J$1,enemy_skill_triggers!$1:$1,0)-MATCH($F$1,enemy_skill_triggers!$1:$1,0)+1),MATCH(J$1,enemy_skill_triggers!$1:$1,0)-MATCH($F$1,enemy_skill_triggers!$1:$1,0)+1,FALSE)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47" s="41" t="str">
        <f ca="1">VLOOKUP($F147,OFFSET(enemy_skill_triggers!$A$1,0,0,COUNTA(enemy_skill_triggers!$A:$A),MATCH(K$1,enemy_skill_triggers!$1:$1,0)-MATCH($F$1,enemy_skill_triggers!$1:$1,0)+1),MATCH(K$1,enemy_skill_triggers!$1:$1,0)-MATCH($F$1,enemy_skill_triggers!$1:$1,0)+1,FALSE)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7" s="41">
        <f ca="1">VLOOKUP($F147,OFFSET(enemy_skill_triggers!$A$1,0,0,COUNTA(enemy_skill_triggers!$A:$A),MATCH(L$1,enemy_skill_triggers!$1:$1,0)-MATCH($F$1,enemy_skill_triggers!$1:$1,0)+1),MATCH(L$1,enemy_skill_triggers!$1:$1,0)-MATCH($F$1,enemy_skill_triggers!$1:$1,0)+1,FALSE)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7" s="41" t="str">
        <f ca="1">VLOOKUP($F147,OFFSET(enemy_skill_triggers!$A$1,0,0,COUNTA(enemy_skill_triggers!$A:$A),MATCH(M$1,enemy_skill_triggers!$1:$1,0)-MATCH($F$1,enemy_skill_triggers!$1:$1,0)+1),MATCH(M$1,enemy_skill_triggers!$1:$1,0)-MATCH($F$1,enemy_skill_triggers!$1:$1,0)+1,FALSE)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7" s="41" t="str">
        <f ca="1">VLOOKUP($F147,OFFSET(enemy_skill_triggers!$A$1,0,0,COUNTA(enemy_skill_triggers!$A:$A),MATCH(N$1,enemy_skill_triggers!$1:$1,0)-MATCH($F$1,enemy_skill_triggers!$1:$1,0)+1),MATCH(N$1,enemy_skill_triggers!$1:$1,0)-MATCH($F$1,enemy_skill_triggers!$1:$1,0)+1,FALSE)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7" s="41">
        <f ca="1">VLOOKUP($F147,OFFSET(enemy_skill_triggers!$A$1,0,0,COUNTA(enemy_skill_triggers!$A:$A),MATCH(O$1,enemy_skill_triggers!$1:$1,0)-MATCH($F$1,enemy_skill_triggers!$1:$1,0)+1),MATCH(O$1,enemy_skill_triggers!$1:$1,0)-MATCH($F$1,enemy_skill_triggers!$1:$1,0)+1,FALSE)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7" s="40"/>
      <c r="Q147" s="40"/>
      <c r="R147" s="40"/>
    </row>
    <row r="148" spans="1:18" s="115" customFormat="1" ht="31" customHeight="1" thickBot="1" x14ac:dyDescent="0.2">
      <c r="A148" s="111" t="str">
        <f t="shared" si="24"/>
        <v>47015310_47015310</v>
      </c>
      <c r="B148" s="116">
        <v>47015310</v>
      </c>
      <c r="C148" s="213">
        <v>47015310</v>
      </c>
      <c r="D148" s="96" t="str">
        <f ca="1">VLOOKUP($C148,OFFSET(enemy_skills!$A$1,0,0,COUNTA(enemy_skills!$A:$A),MATCH(D$1,enemy_skills!$1:$1,0)-MATCH("enemy_skill_id",enemy_skills!$1:$1,0)+1),MATCH(D$1,enemy_skills!$1:$1,0)-MATCH("enemy_skill_id",enemy_skills!$1:$1,0)+1,FALSE)</f>
        <v>あら、可愛いお嬢さん_x000D_ここから先は行っちゃダメよ</v>
      </c>
      <c r="E148" s="96" t="str">
        <f ca="1">VLOOKUP($C148,OFFSET(enemy_skills!$A$1,0,0,COUNTA(enemy_skills!$A:$A),MATCH(E$1,enemy_skills!$1:$1,0)-MATCH("enemy_skill_id",enemy_skills!$1:$1,0)+1),MATCH(E$1,enemy_skills!$1:$1,0)-MATCH("enemy_skill_id",enemy_skills!$1:$1,0)+1,FALSE)</f>
        <v>10ターン全ユニットにウィルス+_x000D_緑パネルを赤パネルに変換</v>
      </c>
      <c r="F148" s="213">
        <v>47015310</v>
      </c>
      <c r="G148" s="97">
        <f ca="1">VLOOKUP($F148,OFFSET(enemy_skill_triggers!$A$1,0,0,COUNTA(enemy_skill_triggers!$A:$A),MATCH(G$1,enemy_skill_triggers!$1:$1,0)-MATCH($F$1,enemy_skill_triggers!$1:$1,0)+1),MATCH(G$1,enemy_skill_triggers!$1:$1,0)-MATCH($F$1,enemy_skill_triggers!$1:$1,0)+1,FALSE)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8" s="97">
        <f ca="1">VLOOKUP($F148,OFFSET(enemy_skill_triggers!$A$1,0,0,COUNTA(enemy_skill_triggers!$A:$A),MATCH(H$1,enemy_skill_triggers!$1:$1,0)-MATCH($F$1,enemy_skill_triggers!$1:$1,0)+1),MATCH(H$1,enemy_skill_triggers!$1:$1,0)-MATCH($F$1,enemy_skill_triggers!$1:$1,0)+1,FALSE)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148" s="97">
        <f ca="1">VLOOKUP($F148,OFFSET(enemy_skill_triggers!$A$1,0,0,COUNTA(enemy_skill_triggers!$A:$A),MATCH(I$1,enemy_skill_triggers!$1:$1,0)-MATCH($F$1,enemy_skill_triggers!$1:$1,0)+1),MATCH(I$1,enemy_skill_triggers!$1:$1,0)-MATCH($F$1,enemy_skill_triggers!$1:$1,0)+1,FALSE)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148" s="97" t="str">
        <f ca="1">VLOOKUP($F148,OFFSET(enemy_skill_triggers!$A$1,0,0,COUNTA(enemy_skill_triggers!$A:$A),MATCH(J$1,enemy_skill_triggers!$1:$1,0)-MATCH($F$1,enemy_skill_triggers!$1:$1,0)+1),MATCH(J$1,enemy_skill_triggers!$1:$1,0)-MATCH($F$1,enemy_skill_triggers!$1:$1,0)+1,FALSE)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8" s="97" t="str">
        <f ca="1">VLOOKUP($F148,OFFSET(enemy_skill_triggers!$A$1,0,0,COUNTA(enemy_skill_triggers!$A:$A),MATCH(K$1,enemy_skill_triggers!$1:$1,0)-MATCH($F$1,enemy_skill_triggers!$1:$1,0)+1),MATCH(K$1,enemy_skill_triggers!$1:$1,0)-MATCH($F$1,enemy_skill_triggers!$1:$1,0)+1,FALSE)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8" s="97">
        <f ca="1">VLOOKUP($F148,OFFSET(enemy_skill_triggers!$A$1,0,0,COUNTA(enemy_skill_triggers!$A:$A),MATCH(L$1,enemy_skill_triggers!$1:$1,0)-MATCH($F$1,enemy_skill_triggers!$1:$1,0)+1),MATCH(L$1,enemy_skill_triggers!$1:$1,0)-MATCH($F$1,enemy_skill_triggers!$1:$1,0)+1,FALSE)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8" s="97" t="str">
        <f ca="1">VLOOKUP($F148,OFFSET(enemy_skill_triggers!$A$1,0,0,COUNTA(enemy_skill_triggers!$A:$A),MATCH(M$1,enemy_skill_triggers!$1:$1,0)-MATCH($F$1,enemy_skill_triggers!$1:$1,0)+1),MATCH(M$1,enemy_skill_triggers!$1:$1,0)-MATCH($F$1,enemy_skill_triggers!$1:$1,0)+1,FALSE)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8" s="97">
        <f ca="1">VLOOKUP($F148,OFFSET(enemy_skill_triggers!$A$1,0,0,COUNTA(enemy_skill_triggers!$A:$A),MATCH(N$1,enemy_skill_triggers!$1:$1,0)-MATCH($F$1,enemy_skill_triggers!$1:$1,0)+1),MATCH(N$1,enemy_skill_triggers!$1:$1,0)-MATCH($F$1,enemy_skill_triggers!$1:$1,0)+1,FALSE)</f>
        <v>1703</v>
      </c>
      <c r="O148" s="97">
        <f ca="1">VLOOKUP($F148,OFFSET(enemy_skill_triggers!$A$1,0,0,COUNTA(enemy_skill_triggers!$A:$A),MATCH(O$1,enemy_skill_triggers!$1:$1,0)-MATCH($F$1,enemy_skill_triggers!$1:$1,0)+1),MATCH(O$1,enemy_skill_triggers!$1:$1,0)-MATCH($F$1,enemy_skill_triggers!$1:$1,0)+1,FALSE)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148" s="95"/>
      <c r="Q148" s="95"/>
      <c r="R148" s="95"/>
    </row>
    <row r="149" spans="1:18" ht="31" customHeight="1" thickBot="1" x14ac:dyDescent="0.2">
      <c r="A149" s="103" t="str">
        <f t="shared" si="24"/>
        <v>47015310_47015311</v>
      </c>
      <c r="B149" s="116">
        <v>47015310</v>
      </c>
      <c r="C149" s="213">
        <v>47015311</v>
      </c>
      <c r="D149" s="39" t="str">
        <f ca="1">VLOOKUP($C149,OFFSET(enemy_skills!$A$1,0,0,COUNTA(enemy_skills!$A:$A),MATCH(D$1,enemy_skills!$1:$1,0)-MATCH("enemy_skill_id",enemy_skills!$1:$1,0)+1),MATCH(D$1,enemy_skills!$1:$1,0)-MATCH("enemy_skill_id",enemy_skills!$1:$1,0)+1,FALSE)</f>
        <v>あら、可愛いお嬢さん_x000D_ここから先は行っちゃダメよ</v>
      </c>
      <c r="E149" s="39" t="str">
        <f ca="1">VLOOKUP($C149,OFFSET(enemy_skills!$A$1,0,0,COUNTA(enemy_skills!$A:$A),MATCH(E$1,enemy_skills!$1:$1,0)-MATCH("enemy_skill_id",enemy_skills!$1:$1,0)+1),MATCH(E$1,enemy_skills!$1:$1,0)-MATCH("enemy_skill_id",enemy_skills!$1:$1,0)+1,FALSE)</f>
        <v>10ターン全ユニットにウィルス+_x000D_緑パネルを赤パネルに変換</v>
      </c>
      <c r="F149" s="213">
        <v>47015311</v>
      </c>
      <c r="G149" s="41">
        <f ca="1">VLOOKUP($F149,OFFSET(enemy_skill_triggers!$A$1,0,0,COUNTA(enemy_skill_triggers!$A:$A),MATCH(G$1,enemy_skill_triggers!$1:$1,0)-MATCH($F$1,enemy_skill_triggers!$1:$1,0)+1),MATCH(G$1,enemy_skill_triggers!$1:$1,0)-MATCH($F$1,enemy_skill_triggers!$1:$1,0)+1,FALSE)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9" s="41">
        <f ca="1">VLOOKUP($F149,OFFSET(enemy_skill_triggers!$A$1,0,0,COUNTA(enemy_skill_triggers!$A:$A),MATCH(H$1,enemy_skill_triggers!$1:$1,0)-MATCH($F$1,enemy_skill_triggers!$1:$1,0)+1),MATCH(H$1,enemy_skill_triggers!$1:$1,0)-MATCH($F$1,enemy_skill_triggers!$1:$1,0)+1,FALSE)</f>
        <v>106</v>
      </c>
      <c r="I149" s="41">
        <f ca="1">VLOOKUP($F149,OFFSET(enemy_skill_triggers!$A$1,0,0,COUNTA(enemy_skill_triggers!$A:$A),MATCH(I$1,enemy_skill_triggers!$1:$1,0)-MATCH($F$1,enemy_skill_triggers!$1:$1,0)+1),MATCH(I$1,enemy_skill_triggers!$1:$1,0)-MATCH($F$1,enemy_skill_triggers!$1:$1,0)+1,FALSE)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149" s="41" t="str">
        <f ca="1">VLOOKUP($F149,OFFSET(enemy_skill_triggers!$A$1,0,0,COUNTA(enemy_skill_triggers!$A:$A),MATCH(J$1,enemy_skill_triggers!$1:$1,0)-MATCH($F$1,enemy_skill_triggers!$1:$1,0)+1),MATCH(J$1,enemy_skill_triggers!$1:$1,0)-MATCH($F$1,enemy_skill_triggers!$1:$1,0)+1,FALSE)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9" s="41" t="str">
        <f ca="1">VLOOKUP($F149,OFFSET(enemy_skill_triggers!$A$1,0,0,COUNTA(enemy_skill_triggers!$A:$A),MATCH(K$1,enemy_skill_triggers!$1:$1,0)-MATCH($F$1,enemy_skill_triggers!$1:$1,0)+1),MATCH(K$1,enemy_skill_triggers!$1:$1,0)-MATCH($F$1,enemy_skill_triggers!$1:$1,0)+1,FALSE)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9" s="41">
        <f ca="1">VLOOKUP($F149,OFFSET(enemy_skill_triggers!$A$1,0,0,COUNTA(enemy_skill_triggers!$A:$A),MATCH(L$1,enemy_skill_triggers!$1:$1,0)-MATCH($F$1,enemy_skill_triggers!$1:$1,0)+1),MATCH(L$1,enemy_skill_triggers!$1:$1,0)-MATCH($F$1,enemy_skill_triggers!$1:$1,0)+1,FALSE)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9" s="41" t="str">
        <f ca="1">VLOOKUP($F149,OFFSET(enemy_skill_triggers!$A$1,0,0,COUNTA(enemy_skill_triggers!$A:$A),MATCH(M$1,enemy_skill_triggers!$1:$1,0)-MATCH($F$1,enemy_skill_triggers!$1:$1,0)+1),MATCH(M$1,enemy_skill_triggers!$1:$1,0)-MATCH($F$1,enemy_skill_triggers!$1:$1,0)+1,FALSE)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9" s="41">
        <f ca="1">VLOOKUP($F149,OFFSET(enemy_skill_triggers!$A$1,0,0,COUNTA(enemy_skill_triggers!$A:$A),MATCH(N$1,enemy_skill_triggers!$1:$1,0)-MATCH($F$1,enemy_skill_triggers!$1:$1,0)+1),MATCH(N$1,enemy_skill_triggers!$1:$1,0)-MATCH($F$1,enemy_skill_triggers!$1:$1,0)+1,FALSE)</f>
        <v>1704</v>
      </c>
      <c r="O149" s="41">
        <f ca="1">VLOOKUP($F149,OFFSET(enemy_skill_triggers!$A$1,0,0,COUNTA(enemy_skill_triggers!$A:$A),MATCH(O$1,enemy_skill_triggers!$1:$1,0)-MATCH($F$1,enemy_skill_triggers!$1:$1,0)+1),MATCH(O$1,enemy_skill_triggers!$1:$1,0)-MATCH($F$1,enemy_skill_triggers!$1:$1,0)+1,FALSE)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149" s="40"/>
      <c r="Q149" s="40"/>
      <c r="R149" s="40"/>
    </row>
    <row r="150" spans="1:18" s="105" customFormat="1" ht="31" customHeight="1" thickBot="1" x14ac:dyDescent="0.2">
      <c r="A150" s="104" t="str">
        <f t="shared" si="24"/>
        <v>47015310_47015312</v>
      </c>
      <c r="B150" s="116">
        <v>47015310</v>
      </c>
      <c r="C150" s="213">
        <v>47015312</v>
      </c>
      <c r="D150" s="99" t="str">
        <f ca="1">VLOOKUP($C150,OFFSET(enemy_skills!$A$1,0,0,COUNTA(enemy_skills!$A:$A),MATCH(D$1,enemy_skills!$1:$1,0)-MATCH("enemy_skill_id",enemy_skills!$1:$1,0)+1),MATCH(D$1,enemy_skills!$1:$1,0)-MATCH("enemy_skill_id",enemy_skills!$1:$1,0)+1,FALSE)</f>
        <v>私達を倒してみなさい！！</v>
      </c>
      <c r="E150" s="99" t="str">
        <f ca="1">VLOOKUP($C150,OFFSET(enemy_skills!$A$1,0,0,COUNTA(enemy_skills!$A:$A),MATCH(E$1,enemy_skills!$1:$1,0)-MATCH("enemy_skill_id",enemy_skills!$1:$1,0)+1),MATCH(E$1,enemy_skills!$1:$1,0)-MATCH("enemy_skill_id",enemy_skills!$1:$1,0)+1,FALSE)</f>
        <v>10ターン全ユニットにウィルス</v>
      </c>
      <c r="F150" s="213">
        <v>47015312</v>
      </c>
      <c r="G150" s="100">
        <f ca="1">VLOOKUP($F150,OFFSET(enemy_skill_triggers!$A$1,0,0,COUNTA(enemy_skill_triggers!$A:$A),MATCH(G$1,enemy_skill_triggers!$1:$1,0)-MATCH($F$1,enemy_skill_triggers!$1:$1,0)+1),MATCH(G$1,enemy_skill_triggers!$1:$1,0)-MATCH($F$1,enemy_skill_triggers!$1:$1,0)+1,FALSE)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0" s="100">
        <f ca="1">VLOOKUP($F150,OFFSET(enemy_skill_triggers!$A$1,0,0,COUNTA(enemy_skill_triggers!$A:$A),MATCH(H$1,enemy_skill_triggers!$1:$1,0)-MATCH($F$1,enemy_skill_triggers!$1:$1,0)+1),MATCH(H$1,enemy_skill_triggers!$1:$1,0)-MATCH($F$1,enemy_skill_triggers!$1:$1,0)+1,FALSE)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50" s="100">
        <f ca="1">VLOOKUP($F150,OFFSET(enemy_skill_triggers!$A$1,0,0,COUNTA(enemy_skill_triggers!$A:$A),MATCH(I$1,enemy_skill_triggers!$1:$1,0)-MATCH($F$1,enemy_skill_triggers!$1:$1,0)+1),MATCH(I$1,enemy_skill_triggers!$1:$1,0)-MATCH($F$1,enemy_skill_triggers!$1:$1,0)+1,FALSE)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0" s="100" t="str">
        <f ca="1">VLOOKUP($F150,OFFSET(enemy_skill_triggers!$A$1,0,0,COUNTA(enemy_skill_triggers!$A:$A),MATCH(J$1,enemy_skill_triggers!$1:$1,0)-MATCH($F$1,enemy_skill_triggers!$1:$1,0)+1),MATCH(J$1,enemy_skill_triggers!$1:$1,0)-MATCH($F$1,enemy_skill_triggers!$1:$1,0)+1,FALSE)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0" s="100" t="str">
        <f ca="1">VLOOKUP($F150,OFFSET(enemy_skill_triggers!$A$1,0,0,COUNTA(enemy_skill_triggers!$A:$A),MATCH(K$1,enemy_skill_triggers!$1:$1,0)-MATCH($F$1,enemy_skill_triggers!$1:$1,0)+1),MATCH(K$1,enemy_skill_triggers!$1:$1,0)-MATCH($F$1,enemy_skill_triggers!$1:$1,0)+1,FALSE)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0" s="100">
        <f ca="1">VLOOKUP($F150,OFFSET(enemy_skill_triggers!$A$1,0,0,COUNTA(enemy_skill_triggers!$A:$A),MATCH(L$1,enemy_skill_triggers!$1:$1,0)-MATCH($F$1,enemy_skill_triggers!$1:$1,0)+1),MATCH(L$1,enemy_skill_triggers!$1:$1,0)-MATCH($F$1,enemy_skill_triggers!$1:$1,0)+1,FALSE)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0" s="100" t="str">
        <f ca="1">VLOOKUP($F150,OFFSET(enemy_skill_triggers!$A$1,0,0,COUNTA(enemy_skill_triggers!$A:$A),MATCH(M$1,enemy_skill_triggers!$1:$1,0)-MATCH($F$1,enemy_skill_triggers!$1:$1,0)+1),MATCH(M$1,enemy_skill_triggers!$1:$1,0)-MATCH($F$1,enemy_skill_triggers!$1:$1,0)+1,FALSE)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0" s="100" t="str">
        <f ca="1">VLOOKUP($F150,OFFSET(enemy_skill_triggers!$A$1,0,0,COUNTA(enemy_skill_triggers!$A:$A),MATCH(N$1,enemy_skill_triggers!$1:$1,0)-MATCH($F$1,enemy_skill_triggers!$1:$1,0)+1),MATCH(N$1,enemy_skill_triggers!$1:$1,0)-MATCH($F$1,enemy_skill_triggers!$1:$1,0)+1,FALSE)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0" s="100">
        <f ca="1">VLOOKUP($F150,OFFSET(enemy_skill_triggers!$A$1,0,0,COUNTA(enemy_skill_triggers!$A:$A),MATCH(O$1,enemy_skill_triggers!$1:$1,0)-MATCH($F$1,enemy_skill_triggers!$1:$1,0)+1),MATCH(O$1,enemy_skill_triggers!$1:$1,0)-MATCH($F$1,enemy_skill_triggers!$1:$1,0)+1,FALSE)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0" s="98"/>
      <c r="Q150" s="98"/>
      <c r="R150" s="98"/>
    </row>
    <row r="151" spans="1:18" s="105" customFormat="1" ht="31" customHeight="1" thickBot="1" x14ac:dyDescent="0.2">
      <c r="A151" s="104" t="str">
        <f t="shared" si="24"/>
        <v>47015310_47015313</v>
      </c>
      <c r="B151" s="116">
        <v>47015310</v>
      </c>
      <c r="C151" s="213">
        <v>47015313</v>
      </c>
      <c r="D151" s="99" t="str">
        <f ca="1">VLOOKUP($C151,OFFSET(enemy_skills!$A$1,0,0,COUNTA(enemy_skills!$A:$A),MATCH(D$1,enemy_skills!$1:$1,0)-MATCH("enemy_skill_id",enemy_skills!$1:$1,0)+1),MATCH(D$1,enemy_skills!$1:$1,0)-MATCH("enemy_skill_id",enemy_skills!$1:$1,0)+1,FALSE)</f>
        <v>行かせません！</v>
      </c>
      <c r="E151" s="99" t="str">
        <f ca="1">VLOOKUP($C151,OFFSET(enemy_skills!$A$1,0,0,COUNTA(enemy_skills!$A:$A),MATCH(E$1,enemy_skills!$1:$1,0)-MATCH("enemy_skill_id",enemy_skills!$1:$1,0)+1),MATCH(E$1,enemy_skills!$1:$1,0)-MATCH("enemy_skill_id",enemy_skills!$1:$1,0)+1,FALSE)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ウィルス状態のユニットに大ダメージの全体攻撃</v>
      </c>
      <c r="F151" s="213">
        <v>47015313</v>
      </c>
      <c r="G151" s="100">
        <f ca="1">VLOOKUP($F151,OFFSET(enemy_skill_triggers!$A$1,0,0,COUNTA(enemy_skill_triggers!$A:$A),MATCH(G$1,enemy_skill_triggers!$1:$1,0)-MATCH($F$1,enemy_skill_triggers!$1:$1,0)+1),MATCH(G$1,enemy_skill_triggers!$1:$1,0)-MATCH($F$1,enemy_skill_triggers!$1:$1,0)+1,FALSE)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1" s="100" t="str">
        <f ca="1">VLOOKUP($F151,OFFSET(enemy_skill_triggers!$A$1,0,0,COUNTA(enemy_skill_triggers!$A:$A),MATCH(H$1,enemy_skill_triggers!$1:$1,0)-MATCH($F$1,enemy_skill_triggers!$1:$1,0)+1),MATCH(H$1,enemy_skill_triggers!$1:$1,0)-MATCH($F$1,enemy_skill_triggers!$1:$1,0)+1,FALSE)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1" s="100">
        <f ca="1">VLOOKUP($F151,OFFSET(enemy_skill_triggers!$A$1,0,0,COUNTA(enemy_skill_triggers!$A:$A),MATCH(I$1,enemy_skill_triggers!$1:$1,0)-MATCH($F$1,enemy_skill_triggers!$1:$1,0)+1),MATCH(I$1,enemy_skill_triggers!$1:$1,0)-MATCH($F$1,enemy_skill_triggers!$1:$1,0)+1,FALSE)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151" s="100" t="str">
        <f ca="1">VLOOKUP($F151,OFFSET(enemy_skill_triggers!$A$1,0,0,COUNTA(enemy_skill_triggers!$A:$A),MATCH(J$1,enemy_skill_triggers!$1:$1,0)-MATCH($F$1,enemy_skill_triggers!$1:$1,0)+1),MATCH(J$1,enemy_skill_triggers!$1:$1,0)-MATCH($F$1,enemy_skill_triggers!$1:$1,0)+1,FALSE)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1" s="100" t="str">
        <f ca="1">VLOOKUP($F151,OFFSET(enemy_skill_triggers!$A$1,0,0,COUNTA(enemy_skill_triggers!$A:$A),MATCH(K$1,enemy_skill_triggers!$1:$1,0)-MATCH($F$1,enemy_skill_triggers!$1:$1,0)+1),MATCH(K$1,enemy_skill_triggers!$1:$1,0)-MATCH($F$1,enemy_skill_triggers!$1:$1,0)+1,FALSE)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1" s="100" t="str">
        <f ca="1">VLOOKUP($F151,OFFSET(enemy_skill_triggers!$A$1,0,0,COUNTA(enemy_skill_triggers!$A:$A),MATCH(L$1,enemy_skill_triggers!$1:$1,0)-MATCH($F$1,enemy_skill_triggers!$1:$1,0)+1),MATCH(L$1,enemy_skill_triggers!$1:$1,0)-MATCH($F$1,enemy_skill_triggers!$1:$1,0)+1,FALSE)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1" s="100" t="str">
        <f ca="1">VLOOKUP($F151,OFFSET(enemy_skill_triggers!$A$1,0,0,COUNTA(enemy_skill_triggers!$A:$A),MATCH(M$1,enemy_skill_triggers!$1:$1,0)-MATCH($F$1,enemy_skill_triggers!$1:$1,0)+1),MATCH(M$1,enemy_skill_triggers!$1:$1,0)-MATCH($F$1,enemy_skill_triggers!$1:$1,0)+1,FALSE)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1" s="100" t="str">
        <f ca="1">VLOOKUP($F151,OFFSET(enemy_skill_triggers!$A$1,0,0,COUNTA(enemy_skill_triggers!$A:$A),MATCH(N$1,enemy_skill_triggers!$1:$1,0)-MATCH($F$1,enemy_skill_triggers!$1:$1,0)+1),MATCH(N$1,enemy_skill_triggers!$1:$1,0)-MATCH($F$1,enemy_skill_triggers!$1:$1,0)+1,FALSE)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1" s="100">
        <f ca="1">VLOOKUP($F151,OFFSET(enemy_skill_triggers!$A$1,0,0,COUNTA(enemy_skill_triggers!$A:$A),MATCH(O$1,enemy_skill_triggers!$1:$1,0)-MATCH($F$1,enemy_skill_triggers!$1:$1,0)+1),MATCH(O$1,enemy_skill_triggers!$1:$1,0)-MATCH($F$1,enemy_skill_triggers!$1:$1,0)+1,FALSE)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151" s="98"/>
      <c r="Q151" s="98"/>
      <c r="R151" s="98"/>
    </row>
    <row r="152" spans="1:18" ht="31" customHeight="1" thickBot="1" x14ac:dyDescent="0.2">
      <c r="A152" s="103" t="str">
        <f>B152&amp;"_"&amp;C152</f>
        <v>47015310_47015314</v>
      </c>
      <c r="B152" s="116">
        <v>47015310</v>
      </c>
      <c r="C152" s="213">
        <v>47015314</v>
      </c>
      <c r="D152" s="39" t="str">
        <f ca="1">VLOOKUP($C152,OFFSET(enemy_skills!$A$1,0,0,COUNTA(enemy_skills!$A:$A),MATCH(D$1,enemy_skills!$1:$1,0)-MATCH("enemy_skill_id",enemy_skills!$1:$1,0)+1),MATCH(D$1,enemy_skills!$1:$1,0)-MATCH("enemy_skill_id",enemy_skills!$1:$1,0)+1,FALSE)</f>
        <v>野次馬は通しません！</v>
      </c>
      <c r="E152" s="39" t="str">
        <f ca="1">VLOOKUP($C152,OFFSET(enemy_skills!$A$1,0,0,COUNTA(enemy_skills!$A:$A),MATCH(E$1,enemy_skills!$1:$1,0)-MATCH("enemy_skill_id",enemy_skills!$1:$1,0)+1),MATCH(E$1,enemy_skills!$1:$1,0)-MATCH("enemy_skill_id",enemy_skills!$1:$1,0)+1,FALSE)</f>
        <v>全体攻撃+_x000D_属性パネルを赤のダメージパネルに2個変換</v>
      </c>
      <c r="F152" s="213">
        <v>47015314</v>
      </c>
      <c r="G152" s="41">
        <f ca="1">VLOOKUP($F152,OFFSET(enemy_skill_triggers!$A$1,0,0,COUNTA(enemy_skill_triggers!$A:$A),MATCH(G$1,enemy_skill_triggers!$1:$1,0)-MATCH($F$1,enemy_skill_triggers!$1:$1,0)+1),MATCH(G$1,enemy_skill_triggers!$1:$1,0)-MATCH($F$1,enemy_skill_triggers!$1:$1,0)+1,FALSE)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2" s="41">
        <f ca="1">VLOOKUP($F152,OFFSET(enemy_skill_triggers!$A$1,0,0,COUNTA(enemy_skill_triggers!$A:$A),MATCH(H$1,enemy_skill_triggers!$1:$1,0)-MATCH($F$1,enemy_skill_triggers!$1:$1,0)+1),MATCH(H$1,enemy_skill_triggers!$1:$1,0)-MATCH($F$1,enemy_skill_triggers!$1:$1,0)+1,FALSE)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152" s="41">
        <f ca="1">VLOOKUP($F152,OFFSET(enemy_skill_triggers!$A$1,0,0,COUNTA(enemy_skill_triggers!$A:$A),MATCH(I$1,enemy_skill_triggers!$1:$1,0)-MATCH($F$1,enemy_skill_triggers!$1:$1,0)+1),MATCH(I$1,enemy_skill_triggers!$1:$1,0)-MATCH($F$1,enemy_skill_triggers!$1:$1,0)+1,FALSE)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2" s="41">
        <f ca="1">VLOOKUP($F152,OFFSET(enemy_skill_triggers!$A$1,0,0,COUNTA(enemy_skill_triggers!$A:$A),MATCH(J$1,enemy_skill_triggers!$1:$1,0)-MATCH($F$1,enemy_skill_triggers!$1:$1,0)+1),MATCH(J$1,enemy_skill_triggers!$1:$1,0)-MATCH($F$1,enemy_skill_triggers!$1:$1,0)+1,FALSE)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52" s="41" t="str">
        <f ca="1">VLOOKUP($F152,OFFSET(enemy_skill_triggers!$A$1,0,0,COUNTA(enemy_skill_triggers!$A:$A),MATCH(K$1,enemy_skill_triggers!$1:$1,0)-MATCH($F$1,enemy_skill_triggers!$1:$1,0)+1),MATCH(K$1,enemy_skill_triggers!$1:$1,0)-MATCH($F$1,enemy_skill_triggers!$1:$1,0)+1,FALSE)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2" s="41">
        <f ca="1">VLOOKUP($F152,OFFSET(enemy_skill_triggers!$A$1,0,0,COUNTA(enemy_skill_triggers!$A:$A),MATCH(L$1,enemy_skill_triggers!$1:$1,0)-MATCH($F$1,enemy_skill_triggers!$1:$1,0)+1),MATCH(L$1,enemy_skill_triggers!$1:$1,0)-MATCH($F$1,enemy_skill_triggers!$1:$1,0)+1,FALSE)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2" s="41" t="str">
        <f ca="1">VLOOKUP($F152,OFFSET(enemy_skill_triggers!$A$1,0,0,COUNTA(enemy_skill_triggers!$A:$A),MATCH(M$1,enemy_skill_triggers!$1:$1,0)-MATCH($F$1,enemy_skill_triggers!$1:$1,0)+1),MATCH(M$1,enemy_skill_triggers!$1:$1,0)-MATCH($F$1,enemy_skill_triggers!$1:$1,0)+1,FALSE)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2" s="41" t="str">
        <f ca="1">VLOOKUP($F152,OFFSET(enemy_skill_triggers!$A$1,0,0,COUNTA(enemy_skill_triggers!$A:$A),MATCH(N$1,enemy_skill_triggers!$1:$1,0)-MATCH($F$1,enemy_skill_triggers!$1:$1,0)+1),MATCH(N$1,enemy_skill_triggers!$1:$1,0)-MATCH($F$1,enemy_skill_triggers!$1:$1,0)+1,FALSE)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2" s="41">
        <f ca="1">VLOOKUP($F152,OFFSET(enemy_skill_triggers!$A$1,0,0,COUNTA(enemy_skill_triggers!$A:$A),MATCH(O$1,enemy_skill_triggers!$1:$1,0)-MATCH($F$1,enemy_skill_triggers!$1:$1,0)+1),MATCH(O$1,enemy_skill_triggers!$1:$1,0)-MATCH($F$1,enemy_skill_triggers!$1:$1,0)+1,FALSE)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2" s="40"/>
      <c r="Q152" s="40"/>
      <c r="R152" s="40"/>
    </row>
    <row r="153" spans="1:18" s="115" customFormat="1" ht="31" customHeight="1" thickBot="1" x14ac:dyDescent="0.2">
      <c r="A153" s="111" t="str">
        <f t="shared" si="24"/>
        <v>47015320_47015320</v>
      </c>
      <c r="B153" s="116">
        <v>47015320</v>
      </c>
      <c r="C153" s="214">
        <v>47015320</v>
      </c>
      <c r="D153" s="96" t="str">
        <f ca="1">VLOOKUP($C153,OFFSET(enemy_skills!$A$1,0,0,COUNTA(enemy_skills!$A:$A),MATCH(D$1,enemy_skills!$1:$1,0)-MATCH("enemy_skill_id",enemy_skills!$1:$1,0)+1),MATCH(D$1,enemy_skills!$1:$1,0)-MATCH("enemy_skill_id",enemy_skills!$1:$1,0)+1,FALSE)</f>
        <v>おねえさまの所へは行かせないよ！</v>
      </c>
      <c r="E153" s="96" t="str">
        <f ca="1">VLOOKUP($C153,OFFSET(enemy_skills!$A$1,0,0,COUNTA(enemy_skills!$A:$A),MATCH(E$1,enemy_skills!$1:$1,0)-MATCH("enemy_skill_id",enemy_skills!$1:$1,0)+1),MATCH(E$1,enemy_skills!$1:$1,0)-MATCH("enemy_skill_id",enemy_skills!$1:$1,0)+1,FALSE)</f>
        <v>状態異常耐性+2ターン攻撃力UP+_x000D_2ターン全属性の攻撃をカウンター</v>
      </c>
      <c r="F153" s="214">
        <v>47015320</v>
      </c>
      <c r="G153" s="97">
        <f ca="1">VLOOKUP($F153,OFFSET(enemy_skill_triggers!$A$1,0,0,COUNTA(enemy_skill_triggers!$A:$A),MATCH(G$1,enemy_skill_triggers!$1:$1,0)-MATCH($F$1,enemy_skill_triggers!$1:$1,0)+1),MATCH(G$1,enemy_skill_triggers!$1:$1,0)-MATCH($F$1,enemy_skill_triggers!$1:$1,0)+1,FALSE)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3" s="97">
        <f ca="1">VLOOKUP($F153,OFFSET(enemy_skill_triggers!$A$1,0,0,COUNTA(enemy_skill_triggers!$A:$A),MATCH(H$1,enemy_skill_triggers!$1:$1,0)-MATCH($F$1,enemy_skill_triggers!$1:$1,0)+1),MATCH(H$1,enemy_skill_triggers!$1:$1,0)-MATCH($F$1,enemy_skill_triggers!$1:$1,0)+1,FALSE)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53" s="97">
        <f ca="1">VLOOKUP($F153,OFFSET(enemy_skill_triggers!$A$1,0,0,COUNTA(enemy_skill_triggers!$A:$A),MATCH(I$1,enemy_skill_triggers!$1:$1,0)-MATCH($F$1,enemy_skill_triggers!$1:$1,0)+1),MATCH(I$1,enemy_skill_triggers!$1:$1,0)-MATCH($F$1,enemy_skill_triggers!$1:$1,0)+1,FALSE)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3" s="97" t="str">
        <f ca="1">VLOOKUP($F153,OFFSET(enemy_skill_triggers!$A$1,0,0,COUNTA(enemy_skill_triggers!$A:$A),MATCH(J$1,enemy_skill_triggers!$1:$1,0)-MATCH($F$1,enemy_skill_triggers!$1:$1,0)+1),MATCH(J$1,enemy_skill_triggers!$1:$1,0)-MATCH($F$1,enemy_skill_triggers!$1:$1,0)+1,FALSE)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3" s="97" t="str">
        <f ca="1">VLOOKUP($F153,OFFSET(enemy_skill_triggers!$A$1,0,0,COUNTA(enemy_skill_triggers!$A:$A),MATCH(K$1,enemy_skill_triggers!$1:$1,0)-MATCH($F$1,enemy_skill_triggers!$1:$1,0)+1),MATCH(K$1,enemy_skill_triggers!$1:$1,0)-MATCH($F$1,enemy_skill_triggers!$1:$1,0)+1,FALSE)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3" s="97">
        <f ca="1">VLOOKUP($F153,OFFSET(enemy_skill_triggers!$A$1,0,0,COUNTA(enemy_skill_triggers!$A:$A),MATCH(L$1,enemy_skill_triggers!$1:$1,0)-MATCH($F$1,enemy_skill_triggers!$1:$1,0)+1),MATCH(L$1,enemy_skill_triggers!$1:$1,0)-MATCH($F$1,enemy_skill_triggers!$1:$1,0)+1,FALSE)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3" s="97" t="str">
        <f ca="1">VLOOKUP($F153,OFFSET(enemy_skill_triggers!$A$1,0,0,COUNTA(enemy_skill_triggers!$A:$A),MATCH(M$1,enemy_skill_triggers!$1:$1,0)-MATCH($F$1,enemy_skill_triggers!$1:$1,0)+1),MATCH(M$1,enemy_skill_triggers!$1:$1,0)-MATCH($F$1,enemy_skill_triggers!$1:$1,0)+1,FALSE)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3" s="97" t="str">
        <f ca="1">VLOOKUP($F153,OFFSET(enemy_skill_triggers!$A$1,0,0,COUNTA(enemy_skill_triggers!$A:$A),MATCH(N$1,enemy_skill_triggers!$1:$1,0)-MATCH($F$1,enemy_skill_triggers!$1:$1,0)+1),MATCH(N$1,enemy_skill_triggers!$1:$1,0)-MATCH($F$1,enemy_skill_triggers!$1:$1,0)+1,FALSE)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3" s="97">
        <f ca="1">VLOOKUP($F153,OFFSET(enemy_skill_triggers!$A$1,0,0,COUNTA(enemy_skill_triggers!$A:$A),MATCH(O$1,enemy_skill_triggers!$1:$1,0)-MATCH($F$1,enemy_skill_triggers!$1:$1,0)+1),MATCH(O$1,enemy_skill_triggers!$1:$1,0)-MATCH($F$1,enemy_skill_triggers!$1:$1,0)+1,FALSE)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3" s="95"/>
      <c r="Q153" s="95"/>
      <c r="R153" s="95"/>
    </row>
    <row r="154" spans="1:18" ht="31" customHeight="1" thickBot="1" x14ac:dyDescent="0.2">
      <c r="A154" s="103" t="str">
        <f t="shared" si="24"/>
        <v>47015320_47015321</v>
      </c>
      <c r="B154" s="116">
        <v>47015320</v>
      </c>
      <c r="C154" s="212">
        <v>47015321</v>
      </c>
      <c r="D154" s="39" t="str">
        <f ca="1">VLOOKUP($C154,OFFSET(enemy_skills!$A$1,0,0,COUNTA(enemy_skills!$A:$A),MATCH(D$1,enemy_skills!$1:$1,0)-MATCH("enemy_skill_id",enemy_skills!$1:$1,0)+1),MATCH(D$1,enemy_skills!$1:$1,0)-MATCH("enemy_skill_id",enemy_skills!$1:$1,0)+1,FALSE)</f>
        <v>見ちゃダメ！</v>
      </c>
      <c r="E154" s="39" t="str">
        <f ca="1">VLOOKUP($C154,OFFSET(enemy_skills!$A$1,0,0,COUNTA(enemy_skills!$A:$A),MATCH(E$1,enemy_skills!$1:$1,0)-MATCH("enemy_skill_id",enemy_skills!$1:$1,0)+1),MATCH(E$1,enemy_skills!$1:$1,0)-MATCH("enemy_skill_id",enemy_skills!$1:$1,0)+1,FALSE)</f>
        <v>2ターン暗闇</v>
      </c>
      <c r="F154" s="212">
        <v>47015321</v>
      </c>
      <c r="G154" s="41">
        <f ca="1">VLOOKUP($F154,OFFSET(enemy_skill_triggers!$A$1,0,0,COUNTA(enemy_skill_triggers!$A:$A),MATCH(G$1,enemy_skill_triggers!$1:$1,0)-MATCH($F$1,enemy_skill_triggers!$1:$1,0)+1),MATCH(G$1,enemy_skill_triggers!$1:$1,0)-MATCH($F$1,enemy_skill_triggers!$1:$1,0)+1,FALSE)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4" s="41" t="str">
        <f ca="1">VLOOKUP($F154,OFFSET(enemy_skill_triggers!$A$1,0,0,COUNTA(enemy_skill_triggers!$A:$A),MATCH(H$1,enemy_skill_triggers!$1:$1,0)-MATCH($F$1,enemy_skill_triggers!$1:$1,0)+1),MATCH(H$1,enemy_skill_triggers!$1:$1,0)-MATCH($F$1,enemy_skill_triggers!$1:$1,0)+1,FALSE)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4" s="41">
        <f ca="1">VLOOKUP($F154,OFFSET(enemy_skill_triggers!$A$1,0,0,COUNTA(enemy_skill_triggers!$A:$A),MATCH(I$1,enemy_skill_triggers!$1:$1,0)-MATCH($F$1,enemy_skill_triggers!$1:$1,0)+1),MATCH(I$1,enemy_skill_triggers!$1:$1,0)-MATCH($F$1,enemy_skill_triggers!$1:$1,0)+1,FALSE)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54" s="41" t="str">
        <f ca="1">VLOOKUP($F154,OFFSET(enemy_skill_triggers!$A$1,0,0,COUNTA(enemy_skill_triggers!$A:$A),MATCH(J$1,enemy_skill_triggers!$1:$1,0)-MATCH($F$1,enemy_skill_triggers!$1:$1,0)+1),MATCH(J$1,enemy_skill_triggers!$1:$1,0)-MATCH($F$1,enemy_skill_triggers!$1:$1,0)+1,FALSE)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4" s="41" t="str">
        <f ca="1">VLOOKUP($F154,OFFSET(enemy_skill_triggers!$A$1,0,0,COUNTA(enemy_skill_triggers!$A:$A),MATCH(K$1,enemy_skill_triggers!$1:$1,0)-MATCH($F$1,enemy_skill_triggers!$1:$1,0)+1),MATCH(K$1,enemy_skill_triggers!$1:$1,0)-MATCH($F$1,enemy_skill_triggers!$1:$1,0)+1,FALSE)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4" s="41">
        <f ca="1">VLOOKUP($F154,OFFSET(enemy_skill_triggers!$A$1,0,0,COUNTA(enemy_skill_triggers!$A:$A),MATCH(L$1,enemy_skill_triggers!$1:$1,0)-MATCH($F$1,enemy_skill_triggers!$1:$1,0)+1),MATCH(L$1,enemy_skill_triggers!$1:$1,0)-MATCH($F$1,enemy_skill_triggers!$1:$1,0)+1,FALSE)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54" s="41" t="str">
        <f ca="1">VLOOKUP($F154,OFFSET(enemy_skill_triggers!$A$1,0,0,COUNTA(enemy_skill_triggers!$A:$A),MATCH(M$1,enemy_skill_triggers!$1:$1,0)-MATCH($F$1,enemy_skill_triggers!$1:$1,0)+1),MATCH(M$1,enemy_skill_triggers!$1:$1,0)-MATCH($F$1,enemy_skill_triggers!$1:$1,0)+1,FALSE)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4" s="41" t="str">
        <f ca="1">VLOOKUP($F154,OFFSET(enemy_skill_triggers!$A$1,0,0,COUNTA(enemy_skill_triggers!$A:$A),MATCH(N$1,enemy_skill_triggers!$1:$1,0)-MATCH($F$1,enemy_skill_triggers!$1:$1,0)+1),MATCH(N$1,enemy_skill_triggers!$1:$1,0)-MATCH($F$1,enemy_skill_triggers!$1:$1,0)+1,FALSE)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4" s="41">
        <f ca="1">VLOOKUP($F154,OFFSET(enemy_skill_triggers!$A$1,0,0,COUNTA(enemy_skill_triggers!$A:$A),MATCH(O$1,enemy_skill_triggers!$1:$1,0)-MATCH($F$1,enemy_skill_triggers!$1:$1,0)+1),MATCH(O$1,enemy_skill_triggers!$1:$1,0)-MATCH($F$1,enemy_skill_triggers!$1:$1,0)+1,FALSE)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54" s="40"/>
      <c r="Q154" s="40"/>
      <c r="R154" s="40"/>
    </row>
    <row r="155" spans="1:18" ht="31" customHeight="1" thickBot="1" x14ac:dyDescent="0.2">
      <c r="A155" s="103" t="str">
        <f t="shared" si="24"/>
        <v>47015320_47015322</v>
      </c>
      <c r="B155" s="116">
        <v>47015320</v>
      </c>
      <c r="C155" s="214">
        <v>47015322</v>
      </c>
      <c r="D155" s="39" t="str">
        <f ca="1">VLOOKUP($C155,OFFSET(enemy_skills!$A$1,0,0,COUNTA(enemy_skills!$A:$A),MATCH(D$1,enemy_skills!$1:$1,0)-MATCH("enemy_skill_id",enemy_skills!$1:$1,0)+1),MATCH(D$1,enemy_skills!$1:$1,0)-MATCH("enemy_skill_id",enemy_skills!$1:$1,0)+1,FALSE)</f>
        <v>ダメだよ！</v>
      </c>
      <c r="E155" s="39" t="str">
        <f ca="1">VLOOKUP($C155,OFFSET(enemy_skills!$A$1,0,0,COUNTA(enemy_skills!$A:$A),MATCH(E$1,enemy_skills!$1:$1,0)-MATCH("enemy_skill_id",enemy_skills!$1:$1,0)+1),MATCH(E$1,enemy_skills!$1:$1,0)-MATCH("enemy_skill_id",enemy_skills!$1:$1,0)+1,FALSE)</f>
        <v>1ターン全ユニットにスキルバインド+_x000D_青パネルを緑のダメージパネルに2個変換</v>
      </c>
      <c r="F155" s="214">
        <v>47015322</v>
      </c>
      <c r="G155" s="41">
        <f ca="1">VLOOKUP($F155,OFFSET(enemy_skill_triggers!$A$1,0,0,COUNTA(enemy_skill_triggers!$A:$A),MATCH(G$1,enemy_skill_triggers!$1:$1,0)-MATCH($F$1,enemy_skill_triggers!$1:$1,0)+1),MATCH(G$1,enemy_skill_triggers!$1:$1,0)-MATCH($F$1,enemy_skill_triggers!$1:$1,0)+1,FALSE)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5" s="41" t="str">
        <f ca="1">VLOOKUP($F155,OFFSET(enemy_skill_triggers!$A$1,0,0,COUNTA(enemy_skill_triggers!$A:$A),MATCH(H$1,enemy_skill_triggers!$1:$1,0)-MATCH($F$1,enemy_skill_triggers!$1:$1,0)+1),MATCH(H$1,enemy_skill_triggers!$1:$1,0)-MATCH($F$1,enemy_skill_triggers!$1:$1,0)+1,FALSE)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5" s="41">
        <f ca="1">VLOOKUP($F155,OFFSET(enemy_skill_triggers!$A$1,0,0,COUNTA(enemy_skill_triggers!$A:$A),MATCH(I$1,enemy_skill_triggers!$1:$1,0)-MATCH($F$1,enemy_skill_triggers!$1:$1,0)+1),MATCH(I$1,enemy_skill_triggers!$1:$1,0)-MATCH($F$1,enemy_skill_triggers!$1:$1,0)+1,FALSE)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55" s="41" t="str">
        <f ca="1">VLOOKUP($F155,OFFSET(enemy_skill_triggers!$A$1,0,0,COUNTA(enemy_skill_triggers!$A:$A),MATCH(J$1,enemy_skill_triggers!$1:$1,0)-MATCH($F$1,enemy_skill_triggers!$1:$1,0)+1),MATCH(J$1,enemy_skill_triggers!$1:$1,0)-MATCH($F$1,enemy_skill_triggers!$1:$1,0)+1,FALSE)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5" s="41" t="str">
        <f ca="1">VLOOKUP($F155,OFFSET(enemy_skill_triggers!$A$1,0,0,COUNTA(enemy_skill_triggers!$A:$A),MATCH(K$1,enemy_skill_triggers!$1:$1,0)-MATCH($F$1,enemy_skill_triggers!$1:$1,0)+1),MATCH(K$1,enemy_skill_triggers!$1:$1,0)-MATCH($F$1,enemy_skill_triggers!$1:$1,0)+1,FALSE)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5" s="41">
        <f ca="1">VLOOKUP($F155,OFFSET(enemy_skill_triggers!$A$1,0,0,COUNTA(enemy_skill_triggers!$A:$A),MATCH(L$1,enemy_skill_triggers!$1:$1,0)-MATCH($F$1,enemy_skill_triggers!$1:$1,0)+1),MATCH(L$1,enemy_skill_triggers!$1:$1,0)-MATCH($F$1,enemy_skill_triggers!$1:$1,0)+1,FALSE)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55" s="41" t="str">
        <f ca="1">VLOOKUP($F155,OFFSET(enemy_skill_triggers!$A$1,0,0,COUNTA(enemy_skill_triggers!$A:$A),MATCH(M$1,enemy_skill_triggers!$1:$1,0)-MATCH($F$1,enemy_skill_triggers!$1:$1,0)+1),MATCH(M$1,enemy_skill_triggers!$1:$1,0)-MATCH($F$1,enemy_skill_triggers!$1:$1,0)+1,FALSE)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5" s="41" t="str">
        <f ca="1">VLOOKUP($F155,OFFSET(enemy_skill_triggers!$A$1,0,0,COUNTA(enemy_skill_triggers!$A:$A),MATCH(N$1,enemy_skill_triggers!$1:$1,0)-MATCH($F$1,enemy_skill_triggers!$1:$1,0)+1),MATCH(N$1,enemy_skill_triggers!$1:$1,0)-MATCH($F$1,enemy_skill_triggers!$1:$1,0)+1,FALSE)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5" s="41">
        <f ca="1">VLOOKUP($F155,OFFSET(enemy_skill_triggers!$A$1,0,0,COUNTA(enemy_skill_triggers!$A:$A),MATCH(O$1,enemy_skill_triggers!$1:$1,0)-MATCH($F$1,enemy_skill_triggers!$1:$1,0)+1),MATCH(O$1,enemy_skill_triggers!$1:$1,0)-MATCH($F$1,enemy_skill_triggers!$1:$1,0)+1,FALSE)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55" s="40"/>
      <c r="Q155" s="40"/>
      <c r="R155" s="40"/>
    </row>
    <row r="156" spans="1:18" ht="31" customHeight="1" thickBot="1" x14ac:dyDescent="0.2">
      <c r="A156" s="103" t="str">
        <f t="shared" si="24"/>
        <v>47015320_47015323</v>
      </c>
      <c r="B156" s="116">
        <v>47015320</v>
      </c>
      <c r="C156" s="212">
        <v>47015323</v>
      </c>
      <c r="D156" s="39" t="str">
        <f ca="1">VLOOKUP($C156,OFFSET(enemy_skills!$A$1,0,0,COUNTA(enemy_skills!$A:$A),MATCH(D$1,enemy_skills!$1:$1,0)-MATCH("enemy_skill_id",enemy_skills!$1:$1,0)+1),MATCH(D$1,enemy_skills!$1:$1,0)-MATCH("enemy_skill_id",enemy_skills!$1:$1,0)+1,FALSE)</f>
        <v>もー</v>
      </c>
      <c r="E156" s="39" t="str">
        <f ca="1">VLOOKUP($C156,OFFSET(enemy_skills!$A$1,0,0,COUNTA(enemy_skills!$A:$A),MATCH(E$1,enemy_skills!$1:$1,0)-MATCH("enemy_skill_id",enemy_skills!$1:$1,0)+1),MATCH(E$1,enemy_skills!$1:$1,0)-MATCH("enemy_skill_id",enemy_skills!$1:$1,0)+1,FALSE)</f>
        <v>ハートパネルを緑のダメージパネルに2個変換+全体攻撃</v>
      </c>
      <c r="F156" s="212">
        <v>47015323</v>
      </c>
      <c r="G156" s="41">
        <f ca="1">VLOOKUP($F156,OFFSET(enemy_skill_triggers!$A$1,0,0,COUNTA(enemy_skill_triggers!$A:$A),MATCH(G$1,enemy_skill_triggers!$1:$1,0)-MATCH($F$1,enemy_skill_triggers!$1:$1,0)+1),MATCH(G$1,enemy_skill_triggers!$1:$1,0)-MATCH($F$1,enemy_skill_triggers!$1:$1,0)+1,FALSE)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6" s="41" t="str">
        <f ca="1">VLOOKUP($F156,OFFSET(enemy_skill_triggers!$A$1,0,0,COUNTA(enemy_skill_triggers!$A:$A),MATCH(H$1,enemy_skill_triggers!$1:$1,0)-MATCH($F$1,enemy_skill_triggers!$1:$1,0)+1),MATCH(H$1,enemy_skill_triggers!$1:$1,0)-MATCH($F$1,enemy_skill_triggers!$1:$1,0)+1,FALSE)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6" s="41">
        <f ca="1">VLOOKUP($F156,OFFSET(enemy_skill_triggers!$A$1,0,0,COUNTA(enemy_skill_triggers!$A:$A),MATCH(I$1,enemy_skill_triggers!$1:$1,0)-MATCH($F$1,enemy_skill_triggers!$1:$1,0)+1),MATCH(I$1,enemy_skill_triggers!$1:$1,0)-MATCH($F$1,enemy_skill_triggers!$1:$1,0)+1,FALSE)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56" s="41" t="str">
        <f ca="1">VLOOKUP($F156,OFFSET(enemy_skill_triggers!$A$1,0,0,COUNTA(enemy_skill_triggers!$A:$A),MATCH(J$1,enemy_skill_triggers!$1:$1,0)-MATCH($F$1,enemy_skill_triggers!$1:$1,0)+1),MATCH(J$1,enemy_skill_triggers!$1:$1,0)-MATCH($F$1,enemy_skill_triggers!$1:$1,0)+1,FALSE)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6" s="41" t="str">
        <f ca="1">VLOOKUP($F156,OFFSET(enemy_skill_triggers!$A$1,0,0,COUNTA(enemy_skill_triggers!$A:$A),MATCH(K$1,enemy_skill_triggers!$1:$1,0)-MATCH($F$1,enemy_skill_triggers!$1:$1,0)+1),MATCH(K$1,enemy_skill_triggers!$1:$1,0)-MATCH($F$1,enemy_skill_triggers!$1:$1,0)+1,FALSE)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6" s="41" t="str">
        <f ca="1">VLOOKUP($F156,OFFSET(enemy_skill_triggers!$A$1,0,0,COUNTA(enemy_skill_triggers!$A:$A),MATCH(L$1,enemy_skill_triggers!$1:$1,0)-MATCH($F$1,enemy_skill_triggers!$1:$1,0)+1),MATCH(L$1,enemy_skill_triggers!$1:$1,0)-MATCH($F$1,enemy_skill_triggers!$1:$1,0)+1,FALSE)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6" s="41" t="str">
        <f ca="1">VLOOKUP($F156,OFFSET(enemy_skill_triggers!$A$1,0,0,COUNTA(enemy_skill_triggers!$A:$A),MATCH(M$1,enemy_skill_triggers!$1:$1,0)-MATCH($F$1,enemy_skill_triggers!$1:$1,0)+1),MATCH(M$1,enemy_skill_triggers!$1:$1,0)-MATCH($F$1,enemy_skill_triggers!$1:$1,0)+1,FALSE)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6" s="41" t="str">
        <f ca="1">VLOOKUP($F156,OFFSET(enemy_skill_triggers!$A$1,0,0,COUNTA(enemy_skill_triggers!$A:$A),MATCH(N$1,enemy_skill_triggers!$1:$1,0)-MATCH($F$1,enemy_skill_triggers!$1:$1,0)+1),MATCH(N$1,enemy_skill_triggers!$1:$1,0)-MATCH($F$1,enemy_skill_triggers!$1:$1,0)+1,FALSE)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6" s="41">
        <f ca="1">VLOOKUP($F156,OFFSET(enemy_skill_triggers!$A$1,0,0,COUNTA(enemy_skill_triggers!$A:$A),MATCH(O$1,enemy_skill_triggers!$1:$1,0)-MATCH($F$1,enemy_skill_triggers!$1:$1,0)+1),MATCH(O$1,enemy_skill_triggers!$1:$1,0)-MATCH($F$1,enemy_skill_triggers!$1:$1,0)+1,FALSE)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56" s="40"/>
      <c r="Q156" s="40"/>
      <c r="R156" s="40"/>
    </row>
    <row r="157" spans="1:18" s="105" customFormat="1" ht="31" customHeight="1" thickBot="1" x14ac:dyDescent="0.2">
      <c r="A157" s="104" t="str">
        <f t="shared" si="24"/>
        <v>47015320_47015324</v>
      </c>
      <c r="B157" s="116">
        <v>47015320</v>
      </c>
      <c r="C157" s="214">
        <v>47015324</v>
      </c>
      <c r="D157" s="99" t="str">
        <f ca="1">VLOOKUP($C157,OFFSET(enemy_skills!$A$1,0,0,COUNTA(enemy_skills!$A:$A),MATCH(D$1,enemy_skills!$1:$1,0)-MATCH("enemy_skill_id",enemy_skills!$1:$1,0)+1),MATCH(D$1,enemy_skills!$1:$1,0)-MATCH("enemy_skill_id",enemy_skills!$1:$1,0)+1,FALSE)</f>
        <v>ダメだって言ってるの！！</v>
      </c>
      <c r="E157" s="99" t="str">
        <f ca="1">VLOOKUP($C157,OFFSET(enemy_skills!$A$1,0,0,COUNTA(enemy_skills!$A:$A),MATCH(E$1,enemy_skills!$1:$1,0)-MATCH("enemy_skill_id",enemy_skills!$1:$1,0)+1),MATCH(E$1,enemy_skills!$1:$1,0)-MATCH("enemy_skill_id",enemy_skills!$1:$1,0)+1,FALSE)</f>
        <v>残りHPの20%ダメージ！+_x000D_属性パネルを緑のダメージパネルに3個変換</v>
      </c>
      <c r="F157" s="214">
        <v>47015324</v>
      </c>
      <c r="G157" s="100">
        <f ca="1">VLOOKUP($F157,OFFSET(enemy_skill_triggers!$A$1,0,0,COUNTA(enemy_skill_triggers!$A:$A),MATCH(G$1,enemy_skill_triggers!$1:$1,0)-MATCH($F$1,enemy_skill_triggers!$1:$1,0)+1),MATCH(G$1,enemy_skill_triggers!$1:$1,0)-MATCH($F$1,enemy_skill_triggers!$1:$1,0)+1,FALSE)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7" s="100">
        <f ca="1">VLOOKUP($F157,OFFSET(enemy_skill_triggers!$A$1,0,0,COUNTA(enemy_skill_triggers!$A:$A),MATCH(H$1,enemy_skill_triggers!$1:$1,0)-MATCH($F$1,enemy_skill_triggers!$1:$1,0)+1),MATCH(H$1,enemy_skill_triggers!$1:$1,0)-MATCH($F$1,enemy_skill_triggers!$1:$1,0)+1,FALSE)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57" s="100">
        <f ca="1">VLOOKUP($F157,OFFSET(enemy_skill_triggers!$A$1,0,0,COUNTA(enemy_skill_triggers!$A:$A),MATCH(I$1,enemy_skill_triggers!$1:$1,0)-MATCH($F$1,enemy_skill_triggers!$1:$1,0)+1),MATCH(I$1,enemy_skill_triggers!$1:$1,0)-MATCH($F$1,enemy_skill_triggers!$1:$1,0)+1,FALSE)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7" s="100">
        <f ca="1">VLOOKUP($F157,OFFSET(enemy_skill_triggers!$A$1,0,0,COUNTA(enemy_skill_triggers!$A:$A),MATCH(J$1,enemy_skill_triggers!$1:$1,0)-MATCH($F$1,enemy_skill_triggers!$1:$1,0)+1),MATCH(J$1,enemy_skill_triggers!$1:$1,0)-MATCH($F$1,enemy_skill_triggers!$1:$1,0)+1,FALSE)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57" s="100" t="str">
        <f ca="1">VLOOKUP($F157,OFFSET(enemy_skill_triggers!$A$1,0,0,COUNTA(enemy_skill_triggers!$A:$A),MATCH(K$1,enemy_skill_triggers!$1:$1,0)-MATCH($F$1,enemy_skill_triggers!$1:$1,0)+1),MATCH(K$1,enemy_skill_triggers!$1:$1,0)-MATCH($F$1,enemy_skill_triggers!$1:$1,0)+1,FALSE)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7" s="100">
        <f ca="1">VLOOKUP($F157,OFFSET(enemy_skill_triggers!$A$1,0,0,COUNTA(enemy_skill_triggers!$A:$A),MATCH(L$1,enemy_skill_triggers!$1:$1,0)-MATCH($F$1,enemy_skill_triggers!$1:$1,0)+1),MATCH(L$1,enemy_skill_triggers!$1:$1,0)-MATCH($F$1,enemy_skill_triggers!$1:$1,0)+1,FALSE)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7" s="100" t="str">
        <f ca="1">VLOOKUP($F157,OFFSET(enemy_skill_triggers!$A$1,0,0,COUNTA(enemy_skill_triggers!$A:$A),MATCH(M$1,enemy_skill_triggers!$1:$1,0)-MATCH($F$1,enemy_skill_triggers!$1:$1,0)+1),MATCH(M$1,enemy_skill_triggers!$1:$1,0)-MATCH($F$1,enemy_skill_triggers!$1:$1,0)+1,FALSE)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7" s="100" t="str">
        <f ca="1">VLOOKUP($F157,OFFSET(enemy_skill_triggers!$A$1,0,0,COUNTA(enemy_skill_triggers!$A:$A),MATCH(N$1,enemy_skill_triggers!$1:$1,0)-MATCH($F$1,enemy_skill_triggers!$1:$1,0)+1),MATCH(N$1,enemy_skill_triggers!$1:$1,0)-MATCH($F$1,enemy_skill_triggers!$1:$1,0)+1,FALSE)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7" s="100">
        <f ca="1">VLOOKUP($F157,OFFSET(enemy_skill_triggers!$A$1,0,0,COUNTA(enemy_skill_triggers!$A:$A),MATCH(O$1,enemy_skill_triggers!$1:$1,0)-MATCH($F$1,enemy_skill_triggers!$1:$1,0)+1),MATCH(O$1,enemy_skill_triggers!$1:$1,0)-MATCH($F$1,enemy_skill_triggers!$1:$1,0)+1,FALSE)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7" s="98"/>
      <c r="Q157" s="98"/>
      <c r="R157" s="98"/>
    </row>
    <row r="158" spans="1:18" s="115" customFormat="1" ht="31" customHeight="1" thickBot="1" x14ac:dyDescent="0.2">
      <c r="A158" s="111" t="str">
        <f t="shared" si="24"/>
        <v>47015330_47015330</v>
      </c>
      <c r="B158" s="106">
        <v>47015330</v>
      </c>
      <c r="C158" s="213">
        <v>47015330</v>
      </c>
      <c r="D158" s="96" t="str">
        <f ca="1">VLOOKUP($C158,OFFSET(enemy_skills!$A$1,0,0,COUNTA(enemy_skills!$A:$A),MATCH(D$1,enemy_skills!$1:$1,0)-MATCH("enemy_skill_id",enemy_skills!$1:$1,0)+1),MATCH(D$1,enemy_skills!$1:$1,0)-MATCH("enemy_skill_id",enemy_skills!$1:$1,0)+1,FALSE)</f>
        <v>今のおねえさまの姿を見たら…</v>
      </c>
      <c r="E158" s="96" t="str">
        <f ca="1">VLOOKUP($C158,OFFSET(enemy_skills!$A$1,0,0,COUNTA(enemy_skills!$A:$A),MATCH(E$1,enemy_skills!$1:$1,0)-MATCH("enemy_skill_id",enemy_skills!$1:$1,0)+1),MATCH(E$1,enemy_skills!$1:$1,0)-MATCH("enemy_skill_id",enemy_skills!$1:$1,0)+1,FALSE)</f>
        <v>ぜったい好きになっちゃうよ！_x000D_【状態異常耐性+残りHPの20%ダメージ！】</v>
      </c>
      <c r="F158" s="213">
        <v>47015330</v>
      </c>
      <c r="G158" s="97">
        <f ca="1">VLOOKUP($F158,OFFSET(enemy_skill_triggers!$A$1,0,0,COUNTA(enemy_skill_triggers!$A:$A),MATCH(G$1,enemy_skill_triggers!$1:$1,0)-MATCH($F$1,enemy_skill_triggers!$1:$1,0)+1),MATCH(G$1,enemy_skill_triggers!$1:$1,0)-MATCH($F$1,enemy_skill_triggers!$1:$1,0)+1,FALSE)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8" s="97">
        <f ca="1">VLOOKUP($F158,OFFSET(enemy_skill_triggers!$A$1,0,0,COUNTA(enemy_skill_triggers!$A:$A),MATCH(H$1,enemy_skill_triggers!$1:$1,0)-MATCH($F$1,enemy_skill_triggers!$1:$1,0)+1),MATCH(H$1,enemy_skill_triggers!$1:$1,0)-MATCH($F$1,enemy_skill_triggers!$1:$1,0)+1,FALSE)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58" s="97">
        <f ca="1">VLOOKUP($F158,OFFSET(enemy_skill_triggers!$A$1,0,0,COUNTA(enemy_skill_triggers!$A:$A),MATCH(I$1,enemy_skill_triggers!$1:$1,0)-MATCH($F$1,enemy_skill_triggers!$1:$1,0)+1),MATCH(I$1,enemy_skill_triggers!$1:$1,0)-MATCH($F$1,enemy_skill_triggers!$1:$1,0)+1,FALSE)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8" s="97" t="str">
        <f ca="1">VLOOKUP($F158,OFFSET(enemy_skill_triggers!$A$1,0,0,COUNTA(enemy_skill_triggers!$A:$A),MATCH(J$1,enemy_skill_triggers!$1:$1,0)-MATCH($F$1,enemy_skill_triggers!$1:$1,0)+1),MATCH(J$1,enemy_skill_triggers!$1:$1,0)-MATCH($F$1,enemy_skill_triggers!$1:$1,0)+1,FALSE)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8" s="97" t="str">
        <f ca="1">VLOOKUP($F158,OFFSET(enemy_skill_triggers!$A$1,0,0,COUNTA(enemy_skill_triggers!$A:$A),MATCH(K$1,enemy_skill_triggers!$1:$1,0)-MATCH($F$1,enemy_skill_triggers!$1:$1,0)+1),MATCH(K$1,enemy_skill_triggers!$1:$1,0)-MATCH($F$1,enemy_skill_triggers!$1:$1,0)+1,FALSE)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8" s="97">
        <f ca="1">VLOOKUP($F158,OFFSET(enemy_skill_triggers!$A$1,0,0,COUNTA(enemy_skill_triggers!$A:$A),MATCH(L$1,enemy_skill_triggers!$1:$1,0)-MATCH($F$1,enemy_skill_triggers!$1:$1,0)+1),MATCH(L$1,enemy_skill_triggers!$1:$1,0)-MATCH($F$1,enemy_skill_triggers!$1:$1,0)+1,FALSE)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8" s="97" t="str">
        <f ca="1">VLOOKUP($F158,OFFSET(enemy_skill_triggers!$A$1,0,0,COUNTA(enemy_skill_triggers!$A:$A),MATCH(M$1,enemy_skill_triggers!$1:$1,0)-MATCH($F$1,enemy_skill_triggers!$1:$1,0)+1),MATCH(M$1,enemy_skill_triggers!$1:$1,0)-MATCH($F$1,enemy_skill_triggers!$1:$1,0)+1,FALSE)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8" s="97" t="str">
        <f ca="1">VLOOKUP($F158,OFFSET(enemy_skill_triggers!$A$1,0,0,COUNTA(enemy_skill_triggers!$A:$A),MATCH(N$1,enemy_skill_triggers!$1:$1,0)-MATCH($F$1,enemy_skill_triggers!$1:$1,0)+1),MATCH(N$1,enemy_skill_triggers!$1:$1,0)-MATCH($F$1,enemy_skill_triggers!$1:$1,0)+1,FALSE)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8" s="97">
        <f ca="1">VLOOKUP($F158,OFFSET(enemy_skill_triggers!$A$1,0,0,COUNTA(enemy_skill_triggers!$A:$A),MATCH(O$1,enemy_skill_triggers!$1:$1,0)-MATCH($F$1,enemy_skill_triggers!$1:$1,0)+1),MATCH(O$1,enemy_skill_triggers!$1:$1,0)-MATCH($F$1,enemy_skill_triggers!$1:$1,0)+1,FALSE)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8" s="95"/>
      <c r="Q158" s="95"/>
      <c r="R158" s="95"/>
    </row>
    <row r="159" spans="1:18" ht="31" customHeight="1" thickBot="1" x14ac:dyDescent="0.2">
      <c r="A159" s="103" t="str">
        <f t="shared" si="24"/>
        <v>47015330_47015331</v>
      </c>
      <c r="B159" s="106">
        <v>47015330</v>
      </c>
      <c r="C159" s="213">
        <v>47015331</v>
      </c>
      <c r="D159" s="39" t="str">
        <f ca="1">VLOOKUP($C159,OFFSET(enemy_skills!$A$1,0,0,COUNTA(enemy_skills!$A:$A),MATCH(D$1,enemy_skills!$1:$1,0)-MATCH("enemy_skill_id",enemy_skills!$1:$1,0)+1),MATCH(D$1,enemy_skills!$1:$1,0)-MATCH("enemy_skill_id",enemy_skills!$1:$1,0)+1,FALSE)</f>
        <v>てい！</v>
      </c>
      <c r="E159" s="39" t="str">
        <f ca="1">VLOOKUP($C159,OFFSET(enemy_skills!$A$1,0,0,COUNTA(enemy_skills!$A:$A),MATCH(E$1,enemy_skills!$1:$1,0)-MATCH("enemy_skill_id",enemy_skills!$1:$1,0)+1),MATCH(E$1,enemy_skills!$1:$1,0)-MATCH("enemy_skill_id",enemy_skills!$1:$1,0)+1,FALSE)</f>
        <v>青パネルを吸収して攻撃</v>
      </c>
      <c r="F159" s="213">
        <v>47015331</v>
      </c>
      <c r="G159" s="41">
        <f ca="1">VLOOKUP($F159,OFFSET(enemy_skill_triggers!$A$1,0,0,COUNTA(enemy_skill_triggers!$A:$A),MATCH(G$1,enemy_skill_triggers!$1:$1,0)-MATCH($F$1,enemy_skill_triggers!$1:$1,0)+1),MATCH(G$1,enemy_skill_triggers!$1:$1,0)-MATCH($F$1,enemy_skill_triggers!$1:$1,0)+1,FALSE)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9" s="41" t="str">
        <f ca="1">VLOOKUP($F159,OFFSET(enemy_skill_triggers!$A$1,0,0,COUNTA(enemy_skill_triggers!$A:$A),MATCH(H$1,enemy_skill_triggers!$1:$1,0)-MATCH($F$1,enemy_skill_triggers!$1:$1,0)+1),MATCH(H$1,enemy_skill_triggers!$1:$1,0)-MATCH($F$1,enemy_skill_triggers!$1:$1,0)+1,FALSE)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9" s="41">
        <f ca="1">VLOOKUP($F159,OFFSET(enemy_skill_triggers!$A$1,0,0,COUNTA(enemy_skill_triggers!$A:$A),MATCH(I$1,enemy_skill_triggers!$1:$1,0)-MATCH($F$1,enemy_skill_triggers!$1:$1,0)+1),MATCH(I$1,enemy_skill_triggers!$1:$1,0)-MATCH($F$1,enemy_skill_triggers!$1:$1,0)+1,FALSE)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59" s="41" t="str">
        <f ca="1">VLOOKUP($F159,OFFSET(enemy_skill_triggers!$A$1,0,0,COUNTA(enemy_skill_triggers!$A:$A),MATCH(J$1,enemy_skill_triggers!$1:$1,0)-MATCH($F$1,enemy_skill_triggers!$1:$1,0)+1),MATCH(J$1,enemy_skill_triggers!$1:$1,0)-MATCH($F$1,enemy_skill_triggers!$1:$1,0)+1,FALSE)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9" s="41" t="str">
        <f ca="1">VLOOKUP($F159,OFFSET(enemy_skill_triggers!$A$1,0,0,COUNTA(enemy_skill_triggers!$A:$A),MATCH(K$1,enemy_skill_triggers!$1:$1,0)-MATCH($F$1,enemy_skill_triggers!$1:$1,0)+1),MATCH(K$1,enemy_skill_triggers!$1:$1,0)-MATCH($F$1,enemy_skill_triggers!$1:$1,0)+1,FALSE)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9" s="41" t="str">
        <f ca="1">VLOOKUP($F159,OFFSET(enemy_skill_triggers!$A$1,0,0,COUNTA(enemy_skill_triggers!$A:$A),MATCH(L$1,enemy_skill_triggers!$1:$1,0)-MATCH($F$1,enemy_skill_triggers!$1:$1,0)+1),MATCH(L$1,enemy_skill_triggers!$1:$1,0)-MATCH($F$1,enemy_skill_triggers!$1:$1,0)+1,FALSE)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9" s="41" t="str">
        <f ca="1">VLOOKUP($F159,OFFSET(enemy_skill_triggers!$A$1,0,0,COUNTA(enemy_skill_triggers!$A:$A),MATCH(M$1,enemy_skill_triggers!$1:$1,0)-MATCH($F$1,enemy_skill_triggers!$1:$1,0)+1),MATCH(M$1,enemy_skill_triggers!$1:$1,0)-MATCH($F$1,enemy_skill_triggers!$1:$1,0)+1,FALSE)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9" s="41" t="str">
        <f ca="1">VLOOKUP($F159,OFFSET(enemy_skill_triggers!$A$1,0,0,COUNTA(enemy_skill_triggers!$A:$A),MATCH(N$1,enemy_skill_triggers!$1:$1,0)-MATCH($F$1,enemy_skill_triggers!$1:$1,0)+1),MATCH(N$1,enemy_skill_triggers!$1:$1,0)-MATCH($F$1,enemy_skill_triggers!$1:$1,0)+1,FALSE)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9" s="41">
        <f ca="1">VLOOKUP($F159,OFFSET(enemy_skill_triggers!$A$1,0,0,COUNTA(enemy_skill_triggers!$A:$A),MATCH(O$1,enemy_skill_triggers!$1:$1,0)-MATCH($F$1,enemy_skill_triggers!$1:$1,0)+1),MATCH(O$1,enemy_skill_triggers!$1:$1,0)-MATCH($F$1,enemy_skill_triggers!$1:$1,0)+1,FALSE)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59" s="40"/>
      <c r="Q159" s="40"/>
      <c r="R159" s="40"/>
    </row>
    <row r="160" spans="1:18" ht="31" customHeight="1" thickBot="1" x14ac:dyDescent="0.2">
      <c r="A160" s="103" t="str">
        <f t="shared" si="24"/>
        <v>47015330_47015332</v>
      </c>
      <c r="B160" s="106">
        <v>47015330</v>
      </c>
      <c r="C160" s="213">
        <v>47015332</v>
      </c>
      <c r="D160" s="39" t="str">
        <f ca="1">VLOOKUP($C160,OFFSET(enemy_skills!$A$1,0,0,COUNTA(enemy_skills!$A:$A),MATCH(D$1,enemy_skills!$1:$1,0)-MATCH("enemy_skill_id",enemy_skills!$1:$1,0)+1),MATCH(D$1,enemy_skills!$1:$1,0)-MATCH("enemy_skill_id",enemy_skills!$1:$1,0)+1,FALSE)</f>
        <v>帰ってよぉ</v>
      </c>
      <c r="E160" s="39" t="str">
        <f ca="1">VLOOKUP($C160,OFFSET(enemy_skills!$A$1,0,0,COUNTA(enemy_skills!$A:$A),MATCH(E$1,enemy_skills!$1:$1,0)-MATCH("enemy_skill_id",enemy_skills!$1:$1,0)+1),MATCH(E$1,enemy_skills!$1:$1,0)-MATCH("enemy_skill_id",enemy_skills!$1:$1,0)+1,FALSE)</f>
        <v>単体攻撃+特定エリアを緑パネルに変換</v>
      </c>
      <c r="F160" s="213">
        <v>47015332</v>
      </c>
      <c r="G160" s="41">
        <f ca="1">VLOOKUP($F160,OFFSET(enemy_skill_triggers!$A$1,0,0,COUNTA(enemy_skill_triggers!$A:$A),MATCH(G$1,enemy_skill_triggers!$1:$1,0)-MATCH($F$1,enemy_skill_triggers!$1:$1,0)+1),MATCH(G$1,enemy_skill_triggers!$1:$1,0)-MATCH($F$1,enemy_skill_triggers!$1:$1,0)+1,FALSE)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0" s="41" t="str">
        <f ca="1">VLOOKUP($F160,OFFSET(enemy_skill_triggers!$A$1,0,0,COUNTA(enemy_skill_triggers!$A:$A),MATCH(H$1,enemy_skill_triggers!$1:$1,0)-MATCH($F$1,enemy_skill_triggers!$1:$1,0)+1),MATCH(H$1,enemy_skill_triggers!$1:$1,0)-MATCH($F$1,enemy_skill_triggers!$1:$1,0)+1,FALSE)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0" s="41">
        <f ca="1">VLOOKUP($F160,OFFSET(enemy_skill_triggers!$A$1,0,0,COUNTA(enemy_skill_triggers!$A:$A),MATCH(I$1,enemy_skill_triggers!$1:$1,0)-MATCH($F$1,enemy_skill_triggers!$1:$1,0)+1),MATCH(I$1,enemy_skill_triggers!$1:$1,0)-MATCH($F$1,enemy_skill_triggers!$1:$1,0)+1,FALSE)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60" s="41" t="str">
        <f ca="1">VLOOKUP($F160,OFFSET(enemy_skill_triggers!$A$1,0,0,COUNTA(enemy_skill_triggers!$A:$A),MATCH(J$1,enemy_skill_triggers!$1:$1,0)-MATCH($F$1,enemy_skill_triggers!$1:$1,0)+1),MATCH(J$1,enemy_skill_triggers!$1:$1,0)-MATCH($F$1,enemy_skill_triggers!$1:$1,0)+1,FALSE)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0" s="41" t="str">
        <f ca="1">VLOOKUP($F160,OFFSET(enemy_skill_triggers!$A$1,0,0,COUNTA(enemy_skill_triggers!$A:$A),MATCH(K$1,enemy_skill_triggers!$1:$1,0)-MATCH($F$1,enemy_skill_triggers!$1:$1,0)+1),MATCH(K$1,enemy_skill_triggers!$1:$1,0)-MATCH($F$1,enemy_skill_triggers!$1:$1,0)+1,FALSE)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0" s="41" t="str">
        <f ca="1">VLOOKUP($F160,OFFSET(enemy_skill_triggers!$A$1,0,0,COUNTA(enemy_skill_triggers!$A:$A),MATCH(L$1,enemy_skill_triggers!$1:$1,0)-MATCH($F$1,enemy_skill_triggers!$1:$1,0)+1),MATCH(L$1,enemy_skill_triggers!$1:$1,0)-MATCH($F$1,enemy_skill_triggers!$1:$1,0)+1,FALSE)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0" s="41" t="str">
        <f ca="1">VLOOKUP($F160,OFFSET(enemy_skill_triggers!$A$1,0,0,COUNTA(enemy_skill_triggers!$A:$A),MATCH(M$1,enemy_skill_triggers!$1:$1,0)-MATCH($F$1,enemy_skill_triggers!$1:$1,0)+1),MATCH(M$1,enemy_skill_triggers!$1:$1,0)-MATCH($F$1,enemy_skill_triggers!$1:$1,0)+1,FALSE)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0" s="41" t="str">
        <f ca="1">VLOOKUP($F160,OFFSET(enemy_skill_triggers!$A$1,0,0,COUNTA(enemy_skill_triggers!$A:$A),MATCH(N$1,enemy_skill_triggers!$1:$1,0)-MATCH($F$1,enemy_skill_triggers!$1:$1,0)+1),MATCH(N$1,enemy_skill_triggers!$1:$1,0)-MATCH($F$1,enemy_skill_triggers!$1:$1,0)+1,FALSE)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0" s="41">
        <f ca="1">VLOOKUP($F160,OFFSET(enemy_skill_triggers!$A$1,0,0,COUNTA(enemy_skill_triggers!$A:$A),MATCH(O$1,enemy_skill_triggers!$1:$1,0)-MATCH($F$1,enemy_skill_triggers!$1:$1,0)+1),MATCH(O$1,enemy_skill_triggers!$1:$1,0)-MATCH($F$1,enemy_skill_triggers!$1:$1,0)+1,FALSE)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60" s="40"/>
      <c r="Q160" s="40"/>
      <c r="R160" s="40"/>
    </row>
    <row r="161" spans="1:18" ht="31" customHeight="1" thickBot="1" x14ac:dyDescent="0.2">
      <c r="A161" s="103" t="str">
        <f t="shared" si="24"/>
        <v>47015330_47015333</v>
      </c>
      <c r="B161" s="106">
        <v>47015330</v>
      </c>
      <c r="C161" s="213">
        <v>47015333</v>
      </c>
      <c r="D161" s="39" t="str">
        <f ca="1">VLOOKUP($C161,OFFSET(enemy_skills!$A$1,0,0,COUNTA(enemy_skills!$A:$A),MATCH(D$1,enemy_skills!$1:$1,0)-MATCH("enemy_skill_id",enemy_skills!$1:$1,0)+1),MATCH(D$1,enemy_skills!$1:$1,0)-MATCH("enemy_skill_id",enemy_skills!$1:$1,0)+1,FALSE)</f>
        <v>どーしても帰らないなら！</v>
      </c>
      <c r="E161" s="39" t="str">
        <f ca="1">VLOOKUP($C161,OFFSET(enemy_skills!$A$1,0,0,COUNTA(enemy_skills!$A:$A),MATCH(E$1,enemy_skills!$1:$1,0)-MATCH("enemy_skill_id",enemy_skills!$1:$1,0)+1),MATCH(E$1,enemy_skills!$1:$1,0)-MATCH("enemy_skill_id",enemy_skills!$1:$1,0)+1,FALSE)</f>
        <v>属性パネルを緑のダメージパネルに5個変換</v>
      </c>
      <c r="F161" s="213">
        <v>47015333</v>
      </c>
      <c r="G161" s="41">
        <f ca="1">VLOOKUP($F161,OFFSET(enemy_skill_triggers!$A$1,0,0,COUNTA(enemy_skill_triggers!$A:$A),MATCH(G$1,enemy_skill_triggers!$1:$1,0)-MATCH($F$1,enemy_skill_triggers!$1:$1,0)+1),MATCH(G$1,enemy_skill_triggers!$1:$1,0)-MATCH($F$1,enemy_skill_triggers!$1:$1,0)+1,FALSE)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1" s="41">
        <f ca="1">VLOOKUP($F161,OFFSET(enemy_skill_triggers!$A$1,0,0,COUNTA(enemy_skill_triggers!$A:$A),MATCH(H$1,enemy_skill_triggers!$1:$1,0)-MATCH($F$1,enemy_skill_triggers!$1:$1,0)+1),MATCH(H$1,enemy_skill_triggers!$1:$1,0)-MATCH($F$1,enemy_skill_triggers!$1:$1,0)+1,FALSE)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61" s="41">
        <f ca="1">VLOOKUP($F161,OFFSET(enemy_skill_triggers!$A$1,0,0,COUNTA(enemy_skill_triggers!$A:$A),MATCH(I$1,enemy_skill_triggers!$1:$1,0)-MATCH($F$1,enemy_skill_triggers!$1:$1,0)+1),MATCH(I$1,enemy_skill_triggers!$1:$1,0)-MATCH($F$1,enemy_skill_triggers!$1:$1,0)+1,FALSE)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1" s="41" t="str">
        <f ca="1">VLOOKUP($F161,OFFSET(enemy_skill_triggers!$A$1,0,0,COUNTA(enemy_skill_triggers!$A:$A),MATCH(J$1,enemy_skill_triggers!$1:$1,0)-MATCH($F$1,enemy_skill_triggers!$1:$1,0)+1),MATCH(J$1,enemy_skill_triggers!$1:$1,0)-MATCH($F$1,enemy_skill_triggers!$1:$1,0)+1,FALSE)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1" s="41" t="str">
        <f ca="1">VLOOKUP($F161,OFFSET(enemy_skill_triggers!$A$1,0,0,COUNTA(enemy_skill_triggers!$A:$A),MATCH(K$1,enemy_skill_triggers!$1:$1,0)-MATCH($F$1,enemy_skill_triggers!$1:$1,0)+1),MATCH(K$1,enemy_skill_triggers!$1:$1,0)-MATCH($F$1,enemy_skill_triggers!$1:$1,0)+1,FALSE)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1" s="41">
        <f ca="1">VLOOKUP($F161,OFFSET(enemy_skill_triggers!$A$1,0,0,COUNTA(enemy_skill_triggers!$A:$A),MATCH(L$1,enemy_skill_triggers!$1:$1,0)-MATCH($F$1,enemy_skill_triggers!$1:$1,0)+1),MATCH(L$1,enemy_skill_triggers!$1:$1,0)-MATCH($F$1,enemy_skill_triggers!$1:$1,0)+1,FALSE)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1" s="41">
        <f ca="1">VLOOKUP($F161,OFFSET(enemy_skill_triggers!$A$1,0,0,COUNTA(enemy_skill_triggers!$A:$A),MATCH(M$1,enemy_skill_triggers!$1:$1,0)-MATCH($F$1,enemy_skill_triggers!$1:$1,0)+1),MATCH(M$1,enemy_skill_triggers!$1:$1,0)-MATCH($F$1,enemy_skill_triggers!$1:$1,0)+1,FALSE)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61" s="41" t="str">
        <f ca="1">VLOOKUP($F161,OFFSET(enemy_skill_triggers!$A$1,0,0,COUNTA(enemy_skill_triggers!$A:$A),MATCH(N$1,enemy_skill_triggers!$1:$1,0)-MATCH($F$1,enemy_skill_triggers!$1:$1,0)+1),MATCH(N$1,enemy_skill_triggers!$1:$1,0)-MATCH($F$1,enemy_skill_triggers!$1:$1,0)+1,FALSE)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1" s="41">
        <f ca="1">VLOOKUP($F161,OFFSET(enemy_skill_triggers!$A$1,0,0,COUNTA(enemy_skill_triggers!$A:$A),MATCH(O$1,enemy_skill_triggers!$1:$1,0)-MATCH($F$1,enemy_skill_triggers!$1:$1,0)+1),MATCH(O$1,enemy_skill_triggers!$1:$1,0)-MATCH($F$1,enemy_skill_triggers!$1:$1,0)+1,FALSE)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1" s="40"/>
      <c r="Q161" s="40"/>
      <c r="R161" s="40"/>
    </row>
    <row r="162" spans="1:18" s="105" customFormat="1" ht="31" customHeight="1" thickBot="1" x14ac:dyDescent="0.2">
      <c r="A162" s="104" t="str">
        <f t="shared" si="24"/>
        <v>47015330_47015334</v>
      </c>
      <c r="B162" s="106">
        <v>47015330</v>
      </c>
      <c r="C162" s="213">
        <v>47015334</v>
      </c>
      <c r="D162" s="99" t="str">
        <f ca="1">VLOOKUP($C162,OFFSET(enemy_skills!$A$1,0,0,COUNTA(enemy_skills!$A:$A),MATCH(D$1,enemy_skills!$1:$1,0)-MATCH("enemy_skill_id",enemy_skills!$1:$1,0)+1),MATCH(D$1,enemy_skills!$1:$1,0)-MATCH("enemy_skill_id",enemy_skills!$1:$1,0)+1,FALSE)</f>
        <v>怒ったよ！</v>
      </c>
      <c r="E162" s="99" t="str">
        <f ca="1">VLOOKUP($C162,OFFSET(enemy_skills!$A$1,0,0,COUNTA(enemy_skills!$A:$A),MATCH(E$1,enemy_skills!$1:$1,0)-MATCH("enemy_skill_id",enemy_skills!$1:$1,0)+1),MATCH(E$1,enemy_skills!$1:$1,0)-MATCH("enemy_skill_id",enemy_skills!$1:$1,0)+1,FALSE)</f>
        <v>行動頻度UP+_x000D_5ターン確率でCパネルがドロップ</v>
      </c>
      <c r="F162" s="213">
        <v>47015334</v>
      </c>
      <c r="G162" s="100">
        <f ca="1">VLOOKUP($F162,OFFSET(enemy_skill_triggers!$A$1,0,0,COUNTA(enemy_skill_triggers!$A:$A),MATCH(G$1,enemy_skill_triggers!$1:$1,0)-MATCH($F$1,enemy_skill_triggers!$1:$1,0)+1),MATCH(G$1,enemy_skill_triggers!$1:$1,0)-MATCH($F$1,enemy_skill_triggers!$1:$1,0)+1,FALSE)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2" s="100">
        <f ca="1">VLOOKUP($F162,OFFSET(enemy_skill_triggers!$A$1,0,0,COUNTA(enemy_skill_triggers!$A:$A),MATCH(H$1,enemy_skill_triggers!$1:$1,0)-MATCH($F$1,enemy_skill_triggers!$1:$1,0)+1),MATCH(H$1,enemy_skill_triggers!$1:$1,0)-MATCH($F$1,enemy_skill_triggers!$1:$1,0)+1,FALSE)</f>
        <v>115</v>
      </c>
      <c r="I162" s="100">
        <f ca="1">VLOOKUP($F162,OFFSET(enemy_skill_triggers!$A$1,0,0,COUNTA(enemy_skill_triggers!$A:$A),MATCH(I$1,enemy_skill_triggers!$1:$1,0)-MATCH($F$1,enemy_skill_triggers!$1:$1,0)+1),MATCH(I$1,enemy_skill_triggers!$1:$1,0)-MATCH($F$1,enemy_skill_triggers!$1:$1,0)+1,FALSE)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2" s="100">
        <f ca="1">VLOOKUP($F162,OFFSET(enemy_skill_triggers!$A$1,0,0,COUNTA(enemy_skill_triggers!$A:$A),MATCH(J$1,enemy_skill_triggers!$1:$1,0)-MATCH($F$1,enemy_skill_triggers!$1:$1,0)+1),MATCH(J$1,enemy_skill_triggers!$1:$1,0)-MATCH($F$1,enemy_skill_triggers!$1:$1,0)+1,FALSE)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62" s="100" t="str">
        <f ca="1">VLOOKUP($F162,OFFSET(enemy_skill_triggers!$A$1,0,0,COUNTA(enemy_skill_triggers!$A:$A),MATCH(K$1,enemy_skill_triggers!$1:$1,0)-MATCH($F$1,enemy_skill_triggers!$1:$1,0)+1),MATCH(K$1,enemy_skill_triggers!$1:$1,0)-MATCH($F$1,enemy_skill_triggers!$1:$1,0)+1,FALSE)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2" s="100">
        <f ca="1">VLOOKUP($F162,OFFSET(enemy_skill_triggers!$A$1,0,0,COUNTA(enemy_skill_triggers!$A:$A),MATCH(L$1,enemy_skill_triggers!$1:$1,0)-MATCH($F$1,enemy_skill_triggers!$1:$1,0)+1),MATCH(L$1,enemy_skill_triggers!$1:$1,0)-MATCH($F$1,enemy_skill_triggers!$1:$1,0)+1,FALSE)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2" s="100" t="str">
        <f ca="1">VLOOKUP($F162,OFFSET(enemy_skill_triggers!$A$1,0,0,COUNTA(enemy_skill_triggers!$A:$A),MATCH(M$1,enemy_skill_triggers!$1:$1,0)-MATCH($F$1,enemy_skill_triggers!$1:$1,0)+1),MATCH(M$1,enemy_skill_triggers!$1:$1,0)-MATCH($F$1,enemy_skill_triggers!$1:$1,0)+1,FALSE)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2" s="100" t="str">
        <f ca="1">VLOOKUP($F162,OFFSET(enemy_skill_triggers!$A$1,0,0,COUNTA(enemy_skill_triggers!$A:$A),MATCH(N$1,enemy_skill_triggers!$1:$1,0)-MATCH($F$1,enemy_skill_triggers!$1:$1,0)+1),MATCH(N$1,enemy_skill_triggers!$1:$1,0)-MATCH($F$1,enemy_skill_triggers!$1:$1,0)+1,FALSE)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2" s="100">
        <f ca="1">VLOOKUP($F162,OFFSET(enemy_skill_triggers!$A$1,0,0,COUNTA(enemy_skill_triggers!$A:$A),MATCH(O$1,enemy_skill_triggers!$1:$1,0)-MATCH($F$1,enemy_skill_triggers!$1:$1,0)+1),MATCH(O$1,enemy_skill_triggers!$1:$1,0)-MATCH($F$1,enemy_skill_triggers!$1:$1,0)+1,FALSE)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2" s="98"/>
      <c r="Q162" s="98"/>
      <c r="R162" s="98"/>
    </row>
    <row r="163" spans="1:18" s="115" customFormat="1" ht="31" customHeight="1" thickBot="1" x14ac:dyDescent="0.2">
      <c r="A163" s="111" t="str">
        <f t="shared" si="24"/>
        <v>47015340_47015340</v>
      </c>
      <c r="B163" s="106">
        <v>47015340</v>
      </c>
      <c r="C163" s="212">
        <v>47015340</v>
      </c>
      <c r="D163" s="96" t="str">
        <f ca="1">VLOOKUP($C163,OFFSET(enemy_skills!$A$1,0,0,COUNTA(enemy_skills!$A:$A),MATCH(D$1,enemy_skills!$1:$1,0)-MATCH("enemy_skill_id",enemy_skills!$1:$1,0)+1),MATCH(D$1,enemy_skills!$1:$1,0)-MATCH("enemy_skill_id",enemy_skills!$1:$1,0)+1,FALSE)</f>
        <v>誰ですか？_x000D_興を削がれてしまったのですが。</v>
      </c>
      <c r="E163" s="96" t="str">
        <f ca="1">VLOOKUP($C163,OFFSET(enemy_skills!$A$1,0,0,COUNTA(enemy_skills!$A:$A),MATCH(E$1,enemy_skills!$1:$1,0)-MATCH("enemy_skill_id",enemy_skills!$1:$1,0)+1),MATCH(E$1,enemy_skills!$1:$1,0)-MATCH("enemy_skill_id",enemy_skills!$1:$1,0)+1,FALSE)</f>
        <v>《とても怒っている…》_x000D_【状態異常耐性+6ターン攻撃力大UP+_x000D_全ユニットの攻撃力50%DOWN】</v>
      </c>
      <c r="F163" s="212">
        <v>47015340</v>
      </c>
      <c r="G163" s="97">
        <f ca="1">VLOOKUP($F163,OFFSET(enemy_skill_triggers!$A$1,0,0,COUNTA(enemy_skill_triggers!$A:$A),MATCH(G$1,enemy_skill_triggers!$1:$1,0)-MATCH($F$1,enemy_skill_triggers!$1:$1,0)+1),MATCH(G$1,enemy_skill_triggers!$1:$1,0)-MATCH($F$1,enemy_skill_triggers!$1:$1,0)+1,FALSE)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3" s="97">
        <f ca="1">VLOOKUP($F163,OFFSET(enemy_skill_triggers!$A$1,0,0,COUNTA(enemy_skill_triggers!$A:$A),MATCH(H$1,enemy_skill_triggers!$1:$1,0)-MATCH($F$1,enemy_skill_triggers!$1:$1,0)+1),MATCH(H$1,enemy_skill_triggers!$1:$1,0)-MATCH($F$1,enemy_skill_triggers!$1:$1,0)+1,FALSE)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63" s="97">
        <f ca="1">VLOOKUP($F163,OFFSET(enemy_skill_triggers!$A$1,0,0,COUNTA(enemy_skill_triggers!$A:$A),MATCH(I$1,enemy_skill_triggers!$1:$1,0)-MATCH($F$1,enemy_skill_triggers!$1:$1,0)+1),MATCH(I$1,enemy_skill_triggers!$1:$1,0)-MATCH($F$1,enemy_skill_triggers!$1:$1,0)+1,FALSE)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3" s="97" t="str">
        <f ca="1">VLOOKUP($F163,OFFSET(enemy_skill_triggers!$A$1,0,0,COUNTA(enemy_skill_triggers!$A:$A),MATCH(J$1,enemy_skill_triggers!$1:$1,0)-MATCH($F$1,enemy_skill_triggers!$1:$1,0)+1),MATCH(J$1,enemy_skill_triggers!$1:$1,0)-MATCH($F$1,enemy_skill_triggers!$1:$1,0)+1,FALSE)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3" s="97" t="str">
        <f ca="1">VLOOKUP($F163,OFFSET(enemy_skill_triggers!$A$1,0,0,COUNTA(enemy_skill_triggers!$A:$A),MATCH(K$1,enemy_skill_triggers!$1:$1,0)-MATCH($F$1,enemy_skill_triggers!$1:$1,0)+1),MATCH(K$1,enemy_skill_triggers!$1:$1,0)-MATCH($F$1,enemy_skill_triggers!$1:$1,0)+1,FALSE)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3" s="97">
        <f ca="1">VLOOKUP($F163,OFFSET(enemy_skill_triggers!$A$1,0,0,COUNTA(enemy_skill_triggers!$A:$A),MATCH(L$1,enemy_skill_triggers!$1:$1,0)-MATCH($F$1,enemy_skill_triggers!$1:$1,0)+1),MATCH(L$1,enemy_skill_triggers!$1:$1,0)-MATCH($F$1,enemy_skill_triggers!$1:$1,0)+1,FALSE)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3" s="97" t="str">
        <f ca="1">VLOOKUP($F163,OFFSET(enemy_skill_triggers!$A$1,0,0,COUNTA(enemy_skill_triggers!$A:$A),MATCH(M$1,enemy_skill_triggers!$1:$1,0)-MATCH($F$1,enemy_skill_triggers!$1:$1,0)+1),MATCH(M$1,enemy_skill_triggers!$1:$1,0)-MATCH($F$1,enemy_skill_triggers!$1:$1,0)+1,FALSE)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3" s="97" t="str">
        <f ca="1">VLOOKUP($F163,OFFSET(enemy_skill_triggers!$A$1,0,0,COUNTA(enemy_skill_triggers!$A:$A),MATCH(N$1,enemy_skill_triggers!$1:$1,0)-MATCH($F$1,enemy_skill_triggers!$1:$1,0)+1),MATCH(N$1,enemy_skill_triggers!$1:$1,0)-MATCH($F$1,enemy_skill_triggers!$1:$1,0)+1,FALSE)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3" s="97">
        <f ca="1">VLOOKUP($F163,OFFSET(enemy_skill_triggers!$A$1,0,0,COUNTA(enemy_skill_triggers!$A:$A),MATCH(O$1,enemy_skill_triggers!$1:$1,0)-MATCH($F$1,enemy_skill_triggers!$1:$1,0)+1),MATCH(O$1,enemy_skill_triggers!$1:$1,0)-MATCH($F$1,enemy_skill_triggers!$1:$1,0)+1,FALSE)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3" s="95"/>
      <c r="Q163" s="95"/>
      <c r="R163" s="95"/>
    </row>
    <row r="164" spans="1:18" ht="31" customHeight="1" thickBot="1" x14ac:dyDescent="0.2">
      <c r="A164" s="103" t="str">
        <f t="shared" si="24"/>
        <v>47015340_47015341</v>
      </c>
      <c r="B164" s="106">
        <v>47015340</v>
      </c>
      <c r="C164" s="212">
        <v>47015341</v>
      </c>
      <c r="D164" s="39" t="str">
        <f ca="1">VLOOKUP($C164,OFFSET(enemy_skills!$A$1,0,0,COUNTA(enemy_skills!$A:$A),MATCH(D$1,enemy_skills!$1:$1,0)-MATCH("enemy_skill_id",enemy_skills!$1:$1,0)+1),MATCH(D$1,enemy_skills!$1:$1,0)-MATCH("enemy_skill_id",enemy_skills!$1:$1,0)+1,FALSE)</f>
        <v>深山の芽吹き</v>
      </c>
      <c r="E164" s="39" t="str">
        <f ca="1">VLOOKUP($C164,OFFSET(enemy_skills!$A$1,0,0,COUNTA(enemy_skills!$A:$A),MATCH(E$1,enemy_skills!$1:$1,0)-MATCH("enemy_skill_id",enemy_skills!$1:$1,0)+1),MATCH(E$1,enemy_skills!$1:$1,0)-MATCH("enemy_skill_id",enemy_skills!$1:$1,0)+1,FALSE)</f>
        <v>緑パネルを吸収して攻撃+自己回復</v>
      </c>
      <c r="F164" s="212">
        <v>47015341</v>
      </c>
      <c r="G164" s="41">
        <f ca="1">VLOOKUP($F164,OFFSET(enemy_skill_triggers!$A$1,0,0,COUNTA(enemy_skill_triggers!$A:$A),MATCH(G$1,enemy_skill_triggers!$1:$1,0)-MATCH($F$1,enemy_skill_triggers!$1:$1,0)+1),MATCH(G$1,enemy_skill_triggers!$1:$1,0)-MATCH($F$1,enemy_skill_triggers!$1:$1,0)+1,FALSE)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4" s="41" t="str">
        <f ca="1">VLOOKUP($F164,OFFSET(enemy_skill_triggers!$A$1,0,0,COUNTA(enemy_skill_triggers!$A:$A),MATCH(H$1,enemy_skill_triggers!$1:$1,0)-MATCH($F$1,enemy_skill_triggers!$1:$1,0)+1),MATCH(H$1,enemy_skill_triggers!$1:$1,0)-MATCH($F$1,enemy_skill_triggers!$1:$1,0)+1,FALSE)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4" s="41">
        <f ca="1">VLOOKUP($F164,OFFSET(enemy_skill_triggers!$A$1,0,0,COUNTA(enemy_skill_triggers!$A:$A),MATCH(I$1,enemy_skill_triggers!$1:$1,0)-MATCH($F$1,enemy_skill_triggers!$1:$1,0)+1),MATCH(I$1,enemy_skill_triggers!$1:$1,0)-MATCH($F$1,enemy_skill_triggers!$1:$1,0)+1,FALSE)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64" s="41" t="str">
        <f ca="1">VLOOKUP($F164,OFFSET(enemy_skill_triggers!$A$1,0,0,COUNTA(enemy_skill_triggers!$A:$A),MATCH(J$1,enemy_skill_triggers!$1:$1,0)-MATCH($F$1,enemy_skill_triggers!$1:$1,0)+1),MATCH(J$1,enemy_skill_triggers!$1:$1,0)-MATCH($F$1,enemy_skill_triggers!$1:$1,0)+1,FALSE)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4" s="41" t="str">
        <f ca="1">VLOOKUP($F164,OFFSET(enemy_skill_triggers!$A$1,0,0,COUNTA(enemy_skill_triggers!$A:$A),MATCH(K$1,enemy_skill_triggers!$1:$1,0)-MATCH($F$1,enemy_skill_triggers!$1:$1,0)+1),MATCH(K$1,enemy_skill_triggers!$1:$1,0)-MATCH($F$1,enemy_skill_triggers!$1:$1,0)+1,FALSE)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4" s="41" t="str">
        <f ca="1">VLOOKUP($F164,OFFSET(enemy_skill_triggers!$A$1,0,0,COUNTA(enemy_skill_triggers!$A:$A),MATCH(L$1,enemy_skill_triggers!$1:$1,0)-MATCH($F$1,enemy_skill_triggers!$1:$1,0)+1),MATCH(L$1,enemy_skill_triggers!$1:$1,0)-MATCH($F$1,enemy_skill_triggers!$1:$1,0)+1,FALSE)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4" s="41" t="str">
        <f ca="1">VLOOKUP($F164,OFFSET(enemy_skill_triggers!$A$1,0,0,COUNTA(enemy_skill_triggers!$A:$A),MATCH(M$1,enemy_skill_triggers!$1:$1,0)-MATCH($F$1,enemy_skill_triggers!$1:$1,0)+1),MATCH(M$1,enemy_skill_triggers!$1:$1,0)-MATCH($F$1,enemy_skill_triggers!$1:$1,0)+1,FALSE)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4" s="41" t="str">
        <f ca="1">VLOOKUP($F164,OFFSET(enemy_skill_triggers!$A$1,0,0,COUNTA(enemy_skill_triggers!$A:$A),MATCH(N$1,enemy_skill_triggers!$1:$1,0)-MATCH($F$1,enemy_skill_triggers!$1:$1,0)+1),MATCH(N$1,enemy_skill_triggers!$1:$1,0)-MATCH($F$1,enemy_skill_triggers!$1:$1,0)+1,FALSE)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4" s="41">
        <f ca="1">VLOOKUP($F164,OFFSET(enemy_skill_triggers!$A$1,0,0,COUNTA(enemy_skill_triggers!$A:$A),MATCH(O$1,enemy_skill_triggers!$1:$1,0)-MATCH($F$1,enemy_skill_triggers!$1:$1,0)+1),MATCH(O$1,enemy_skill_triggers!$1:$1,0)-MATCH($F$1,enemy_skill_triggers!$1:$1,0)+1,FALSE)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64" s="40"/>
      <c r="Q164" s="40"/>
      <c r="R164" s="40"/>
    </row>
    <row r="165" spans="1:18" ht="31" customHeight="1" thickBot="1" x14ac:dyDescent="0.2">
      <c r="A165" s="103" t="str">
        <f t="shared" si="24"/>
        <v>47015340_47015342</v>
      </c>
      <c r="B165" s="106">
        <v>47015340</v>
      </c>
      <c r="C165" s="212">
        <v>47015342</v>
      </c>
      <c r="D165" s="39" t="str">
        <f ca="1">VLOOKUP($C165,OFFSET(enemy_skills!$A$1,0,0,COUNTA(enemy_skills!$A:$A),MATCH(D$1,enemy_skills!$1:$1,0)-MATCH("enemy_skill_id",enemy_skills!$1:$1,0)+1),MATCH(D$1,enemy_skills!$1:$1,0)-MATCH("enemy_skill_id",enemy_skills!$1:$1,0)+1,FALSE)</f>
        <v>私に本気を出させてみなさい</v>
      </c>
      <c r="E165" s="39" t="str">
        <f ca="1">VLOOKUP($C165,OFFSET(enemy_skills!$A$1,0,0,COUNTA(enemy_skills!$A:$A),MATCH(E$1,enemy_skills!$1:$1,0)-MATCH("enemy_skill_id",enemy_skills!$1:$1,0)+1),MATCH(E$1,enemy_skills!$1:$1,0)-MATCH("enemy_skill_id",enemy_skills!$1:$1,0)+1,FALSE)</f>
        <v>全体攻撃+2ターン全ユニットにウィルス</v>
      </c>
      <c r="F165" s="212">
        <v>47015342</v>
      </c>
      <c r="G165" s="41">
        <f ca="1">VLOOKUP($F165,OFFSET(enemy_skill_triggers!$A$1,0,0,COUNTA(enemy_skill_triggers!$A:$A),MATCH(G$1,enemy_skill_triggers!$1:$1,0)-MATCH($F$1,enemy_skill_triggers!$1:$1,0)+1),MATCH(G$1,enemy_skill_triggers!$1:$1,0)-MATCH($F$1,enemy_skill_triggers!$1:$1,0)+1,FALSE)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5" s="41" t="str">
        <f ca="1">VLOOKUP($F165,OFFSET(enemy_skill_triggers!$A$1,0,0,COUNTA(enemy_skill_triggers!$A:$A),MATCH(H$1,enemy_skill_triggers!$1:$1,0)-MATCH($F$1,enemy_skill_triggers!$1:$1,0)+1),MATCH(H$1,enemy_skill_triggers!$1:$1,0)-MATCH($F$1,enemy_skill_triggers!$1:$1,0)+1,FALSE)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5" s="41">
        <f ca="1">VLOOKUP($F165,OFFSET(enemy_skill_triggers!$A$1,0,0,COUNTA(enemy_skill_triggers!$A:$A),MATCH(I$1,enemy_skill_triggers!$1:$1,0)-MATCH($F$1,enemy_skill_triggers!$1:$1,0)+1),MATCH(I$1,enemy_skill_triggers!$1:$1,0)-MATCH($F$1,enemy_skill_triggers!$1:$1,0)+1,FALSE)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65" s="41" t="str">
        <f ca="1">VLOOKUP($F165,OFFSET(enemy_skill_triggers!$A$1,0,0,COUNTA(enemy_skill_triggers!$A:$A),MATCH(J$1,enemy_skill_triggers!$1:$1,0)-MATCH($F$1,enemy_skill_triggers!$1:$1,0)+1),MATCH(J$1,enemy_skill_triggers!$1:$1,0)-MATCH($F$1,enemy_skill_triggers!$1:$1,0)+1,FALSE)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5" s="41" t="str">
        <f ca="1">VLOOKUP($F165,OFFSET(enemy_skill_triggers!$A$1,0,0,COUNTA(enemy_skill_triggers!$A:$A),MATCH(K$1,enemy_skill_triggers!$1:$1,0)-MATCH($F$1,enemy_skill_triggers!$1:$1,0)+1),MATCH(K$1,enemy_skill_triggers!$1:$1,0)-MATCH($F$1,enemy_skill_triggers!$1:$1,0)+1,FALSE)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5" s="41">
        <f ca="1">VLOOKUP($F165,OFFSET(enemy_skill_triggers!$A$1,0,0,COUNTA(enemy_skill_triggers!$A:$A),MATCH(L$1,enemy_skill_triggers!$1:$1,0)-MATCH($F$1,enemy_skill_triggers!$1:$1,0)+1),MATCH(L$1,enemy_skill_triggers!$1:$1,0)-MATCH($F$1,enemy_skill_triggers!$1:$1,0)+1,FALSE)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5" s="41" t="str">
        <f ca="1">VLOOKUP($F165,OFFSET(enemy_skill_triggers!$A$1,0,0,COUNTA(enemy_skill_triggers!$A:$A),MATCH(M$1,enemy_skill_triggers!$1:$1,0)-MATCH($F$1,enemy_skill_triggers!$1:$1,0)+1),MATCH(M$1,enemy_skill_triggers!$1:$1,0)-MATCH($F$1,enemy_skill_triggers!$1:$1,0)+1,FALSE)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5" s="41" t="str">
        <f ca="1">VLOOKUP($F165,OFFSET(enemy_skill_triggers!$A$1,0,0,COUNTA(enemy_skill_triggers!$A:$A),MATCH(N$1,enemy_skill_triggers!$1:$1,0)-MATCH($F$1,enemy_skill_triggers!$1:$1,0)+1),MATCH(N$1,enemy_skill_triggers!$1:$1,0)-MATCH($F$1,enemy_skill_triggers!$1:$1,0)+1,FALSE)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5" s="41">
        <f ca="1">VLOOKUP($F165,OFFSET(enemy_skill_triggers!$A$1,0,0,COUNTA(enemy_skill_triggers!$A:$A),MATCH(O$1,enemy_skill_triggers!$1:$1,0)-MATCH($F$1,enemy_skill_triggers!$1:$1,0)+1),MATCH(O$1,enemy_skill_triggers!$1:$1,0)-MATCH($F$1,enemy_skill_triggers!$1:$1,0)+1,FALSE)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65" s="40"/>
      <c r="Q165" s="40"/>
      <c r="R165" s="40"/>
    </row>
    <row r="166" spans="1:18" s="122" customFormat="1" ht="31" customHeight="1" thickBot="1" x14ac:dyDescent="0.2">
      <c r="A166" s="118" t="str">
        <f t="shared" si="24"/>
        <v>47015340_47015343</v>
      </c>
      <c r="B166" s="106">
        <v>47015340</v>
      </c>
      <c r="C166" s="212">
        <v>47015343</v>
      </c>
      <c r="D166" s="120" t="str">
        <f ca="1">VLOOKUP($C166,OFFSET(enemy_skills!$A$1,0,0,COUNTA(enemy_skills!$A:$A),MATCH(D$1,enemy_skills!$1:$1,0)-MATCH("enemy_skill_id",enemy_skills!$1:$1,0)+1),MATCH(D$1,enemy_skills!$1:$1,0)-MATCH("enemy_skill_id",enemy_skills!$1:$1,0)+1,FALSE)</f>
        <v>ふふ、命知らずですね</v>
      </c>
      <c r="E166" s="120" t="str">
        <f ca="1">VLOOKUP($C166,OFFSET(enemy_skills!$A$1,0,0,COUNTA(enemy_skills!$A:$A),MATCH(E$1,enemy_skills!$1:$1,0)-MATCH("enemy_skill_id",enemy_skills!$1:$1,0)+1),MATCH(E$1,enemy_skills!$1:$1,0)-MATCH("enemy_skill_id",enemy_skills!$1:$1,0)+1,FALSE)</f>
        <v>行動頻度UP+_x000D_属性パネルを緑のダメージパネルに2個変換</v>
      </c>
      <c r="F166" s="212">
        <v>47015343</v>
      </c>
      <c r="G166" s="121">
        <f ca="1">VLOOKUP($F166,OFFSET(enemy_skill_triggers!$A$1,0,0,COUNTA(enemy_skill_triggers!$A:$A),MATCH(G$1,enemy_skill_triggers!$1:$1,0)-MATCH($F$1,enemy_skill_triggers!$1:$1,0)+1),MATCH(G$1,enemy_skill_triggers!$1:$1,0)-MATCH($F$1,enemy_skill_triggers!$1:$1,0)+1,FALSE)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6" s="121">
        <f ca="1">VLOOKUP($F166,OFFSET(enemy_skill_triggers!$A$1,0,0,COUNTA(enemy_skill_triggers!$A:$A),MATCH(H$1,enemy_skill_triggers!$1:$1,0)-MATCH($F$1,enemy_skill_triggers!$1:$1,0)+1),MATCH(H$1,enemy_skill_triggers!$1:$1,0)-MATCH($F$1,enemy_skill_triggers!$1:$1,0)+1,FALSE)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166" s="121">
        <f ca="1">VLOOKUP($F166,OFFSET(enemy_skill_triggers!$A$1,0,0,COUNTA(enemy_skill_triggers!$A:$A),MATCH(I$1,enemy_skill_triggers!$1:$1,0)-MATCH($F$1,enemy_skill_triggers!$1:$1,0)+1),MATCH(I$1,enemy_skill_triggers!$1:$1,0)-MATCH($F$1,enemy_skill_triggers!$1:$1,0)+1,FALSE)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6" s="121">
        <f ca="1">VLOOKUP($F166,OFFSET(enemy_skill_triggers!$A$1,0,0,COUNTA(enemy_skill_triggers!$A:$A),MATCH(J$1,enemy_skill_triggers!$1:$1,0)-MATCH($F$1,enemy_skill_triggers!$1:$1,0)+1),MATCH(J$1,enemy_skill_triggers!$1:$1,0)-MATCH($F$1,enemy_skill_triggers!$1:$1,0)+1,FALSE)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66" s="121" t="str">
        <f ca="1">VLOOKUP($F166,OFFSET(enemy_skill_triggers!$A$1,0,0,COUNTA(enemy_skill_triggers!$A:$A),MATCH(K$1,enemy_skill_triggers!$1:$1,0)-MATCH($F$1,enemy_skill_triggers!$1:$1,0)+1),MATCH(K$1,enemy_skill_triggers!$1:$1,0)-MATCH($F$1,enemy_skill_triggers!$1:$1,0)+1,FALSE)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6" s="121">
        <f ca="1">VLOOKUP($F166,OFFSET(enemy_skill_triggers!$A$1,0,0,COUNTA(enemy_skill_triggers!$A:$A),MATCH(L$1,enemy_skill_triggers!$1:$1,0)-MATCH($F$1,enemy_skill_triggers!$1:$1,0)+1),MATCH(L$1,enemy_skill_triggers!$1:$1,0)-MATCH($F$1,enemy_skill_triggers!$1:$1,0)+1,FALSE)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6" s="121" t="str">
        <f ca="1">VLOOKUP($F166,OFFSET(enemy_skill_triggers!$A$1,0,0,COUNTA(enemy_skill_triggers!$A:$A),MATCH(M$1,enemy_skill_triggers!$1:$1,0)-MATCH($F$1,enemy_skill_triggers!$1:$1,0)+1),MATCH(M$1,enemy_skill_triggers!$1:$1,0)-MATCH($F$1,enemy_skill_triggers!$1:$1,0)+1,FALSE)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6" s="121" t="str">
        <f ca="1">VLOOKUP($F166,OFFSET(enemy_skill_triggers!$A$1,0,0,COUNTA(enemy_skill_triggers!$A:$A),MATCH(N$1,enemy_skill_triggers!$1:$1,0)-MATCH($F$1,enemy_skill_triggers!$1:$1,0)+1),MATCH(N$1,enemy_skill_triggers!$1:$1,0)-MATCH($F$1,enemy_skill_triggers!$1:$1,0)+1,FALSE)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6" s="121">
        <f ca="1">VLOOKUP($F166,OFFSET(enemy_skill_triggers!$A$1,0,0,COUNTA(enemy_skill_triggers!$A:$A),MATCH(O$1,enemy_skill_triggers!$1:$1,0)-MATCH($F$1,enemy_skill_triggers!$1:$1,0)+1),MATCH(O$1,enemy_skill_triggers!$1:$1,0)-MATCH($F$1,enemy_skill_triggers!$1:$1,0)+1,FALSE)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6" s="119"/>
      <c r="Q166" s="119"/>
      <c r="R166" s="119"/>
    </row>
    <row r="167" spans="1:18" s="115" customFormat="1" ht="31" customHeight="1" thickBot="1" x14ac:dyDescent="0.2">
      <c r="A167" s="111" t="str">
        <f t="shared" si="24"/>
        <v>47015340_47015344</v>
      </c>
      <c r="B167" s="195">
        <v>47015340</v>
      </c>
      <c r="C167" s="212">
        <v>47015344</v>
      </c>
      <c r="D167" s="96" t="str">
        <f ca="1">VLOOKUP($C167,OFFSET(enemy_skills!$A$1,0,0,COUNTA(enemy_skills!$A:$A),MATCH(D$1,enemy_skills!$1:$1,0)-MATCH("enemy_skill_id",enemy_skills!$1:$1,0)+1),MATCH(D$1,enemy_skills!$1:$1,0)-MATCH("enemy_skill_id",enemy_skills!$1:$1,0)+1,FALSE)</f>
        <v>貴方も中々の美貌ですね</v>
      </c>
      <c r="E167" s="96" t="str">
        <f ca="1">VLOOKUP($C167,OFFSET(enemy_skills!$A$1,0,0,COUNTA(enemy_skills!$A:$A),MATCH(E$1,enemy_skills!$1:$1,0)-MATCH("enemy_skill_id",enemy_skills!$1:$1,0)+1),MATCH(E$1,enemy_skills!$1:$1,0)-MATCH("enemy_skill_id",enemy_skills!$1:$1,0)+1,FALSE)</f>
        <v>では、勝負といきましょう！_x000D_【状態異常耐性+6ターン攻撃力大UP+_x000D_全ユニットの攻撃力50%DOWN】</v>
      </c>
      <c r="F167" s="212">
        <v>47015344</v>
      </c>
      <c r="G167" s="97">
        <f ca="1">VLOOKUP($F167,OFFSET(enemy_skill_triggers!$A$1,0,0,COUNTA(enemy_skill_triggers!$A:$A),MATCH(G$1,enemy_skill_triggers!$1:$1,0)-MATCH($F$1,enemy_skill_triggers!$1:$1,0)+1),MATCH(G$1,enemy_skill_triggers!$1:$1,0)-MATCH($F$1,enemy_skill_triggers!$1:$1,0)+1,FALSE)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7" s="97">
        <f ca="1">VLOOKUP($F167,OFFSET(enemy_skill_triggers!$A$1,0,0,COUNTA(enemy_skill_triggers!$A:$A),MATCH(H$1,enemy_skill_triggers!$1:$1,0)-MATCH($F$1,enemy_skill_triggers!$1:$1,0)+1),MATCH(H$1,enemy_skill_triggers!$1:$1,0)-MATCH($F$1,enemy_skill_triggers!$1:$1,0)+1,FALSE)</f>
        <v>119</v>
      </c>
      <c r="I167" s="97">
        <f ca="1">VLOOKUP($F167,OFFSET(enemy_skill_triggers!$A$1,0,0,COUNTA(enemy_skill_triggers!$A:$A),MATCH(I$1,enemy_skill_triggers!$1:$1,0)-MATCH($F$1,enemy_skill_triggers!$1:$1,0)+1),MATCH(I$1,enemy_skill_triggers!$1:$1,0)-MATCH($F$1,enemy_skill_triggers!$1:$1,0)+1,FALSE)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7" s="97" t="str">
        <f ca="1">VLOOKUP($F167,OFFSET(enemy_skill_triggers!$A$1,0,0,COUNTA(enemy_skill_triggers!$A:$A),MATCH(J$1,enemy_skill_triggers!$1:$1,0)-MATCH($F$1,enemy_skill_triggers!$1:$1,0)+1),MATCH(J$1,enemy_skill_triggers!$1:$1,0)-MATCH($F$1,enemy_skill_triggers!$1:$1,0)+1,FALSE)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7" s="97" t="str">
        <f ca="1">VLOOKUP($F167,OFFSET(enemy_skill_triggers!$A$1,0,0,COUNTA(enemy_skill_triggers!$A:$A),MATCH(K$1,enemy_skill_triggers!$1:$1,0)-MATCH($F$1,enemy_skill_triggers!$1:$1,0)+1),MATCH(K$1,enemy_skill_triggers!$1:$1,0)-MATCH($F$1,enemy_skill_triggers!$1:$1,0)+1,FALSE)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7" s="97">
        <f ca="1">VLOOKUP($F167,OFFSET(enemy_skill_triggers!$A$1,0,0,COUNTA(enemy_skill_triggers!$A:$A),MATCH(L$1,enemy_skill_triggers!$1:$1,0)-MATCH($F$1,enemy_skill_triggers!$1:$1,0)+1),MATCH(L$1,enemy_skill_triggers!$1:$1,0)-MATCH($F$1,enemy_skill_triggers!$1:$1,0)+1,FALSE)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7" s="97" t="str">
        <f ca="1">VLOOKUP($F167,OFFSET(enemy_skill_triggers!$A$1,0,0,COUNTA(enemy_skill_triggers!$A:$A),MATCH(M$1,enemy_skill_triggers!$1:$1,0)-MATCH($F$1,enemy_skill_triggers!$1:$1,0)+1),MATCH(M$1,enemy_skill_triggers!$1:$1,0)-MATCH($F$1,enemy_skill_triggers!$1:$1,0)+1,FALSE)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7" s="97">
        <f ca="1">VLOOKUP($F167,OFFSET(enemy_skill_triggers!$A$1,0,0,COUNTA(enemy_skill_triggers!$A:$A),MATCH(N$1,enemy_skill_triggers!$1:$1,0)-MATCH($F$1,enemy_skill_triggers!$1:$1,0)+1),MATCH(N$1,enemy_skill_triggers!$1:$1,0)-MATCH($F$1,enemy_skill_triggers!$1:$1,0)+1,FALSE)</f>
        <v>1703</v>
      </c>
      <c r="O167" s="97">
        <f ca="1">VLOOKUP($F167,OFFSET(enemy_skill_triggers!$A$1,0,0,COUNTA(enemy_skill_triggers!$A:$A),MATCH(O$1,enemy_skill_triggers!$1:$1,0)-MATCH($F$1,enemy_skill_triggers!$1:$1,0)+1),MATCH(O$1,enemy_skill_triggers!$1:$1,0)-MATCH($F$1,enemy_skill_triggers!$1:$1,0)+1,FALSE)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7" s="95"/>
      <c r="Q167" s="95"/>
      <c r="R167" s="95"/>
    </row>
    <row r="168" spans="1:18" s="115" customFormat="1" ht="31" customHeight="1" thickBot="1" x14ac:dyDescent="0.2">
      <c r="A168" s="111" t="str">
        <f t="shared" si="24"/>
        <v>47015340_47015345</v>
      </c>
      <c r="B168" s="195">
        <v>47015340</v>
      </c>
      <c r="C168" s="212">
        <v>47015345</v>
      </c>
      <c r="D168" s="96" t="str">
        <f ca="1">VLOOKUP($C168,OFFSET(enemy_skills!$A$1,0,0,COUNTA(enemy_skills!$A:$A),MATCH(D$1,enemy_skills!$1:$1,0)-MATCH("enemy_skill_id",enemy_skills!$1:$1,0)+1),MATCH(D$1,enemy_skills!$1:$1,0)-MATCH("enemy_skill_id",enemy_skills!$1:$1,0)+1,FALSE)</f>
        <v>貴方も中々の美貌ですね</v>
      </c>
      <c r="E168" s="96" t="str">
        <f ca="1">VLOOKUP($C168,OFFSET(enemy_skills!$A$1,0,0,COUNTA(enemy_skills!$A:$A),MATCH(E$1,enemy_skills!$1:$1,0)-MATCH("enemy_skill_id",enemy_skills!$1:$1,0)+1),MATCH(E$1,enemy_skills!$1:$1,0)-MATCH("enemy_skill_id",enemy_skills!$1:$1,0)+1,FALSE)</f>
        <v>では、勝負といきましょう！_x000D_【状態異常耐性+6ターン攻撃力大UP+_x000D_全ユニットの攻撃力50%DOWN】</v>
      </c>
      <c r="F168" s="212">
        <v>47015345</v>
      </c>
      <c r="G168" s="97">
        <f ca="1">VLOOKUP($F168,OFFSET(enemy_skill_triggers!$A$1,0,0,COUNTA(enemy_skill_triggers!$A:$A),MATCH(G$1,enemy_skill_triggers!$1:$1,0)-MATCH($F$1,enemy_skill_triggers!$1:$1,0)+1),MATCH(G$1,enemy_skill_triggers!$1:$1,0)-MATCH($F$1,enemy_skill_triggers!$1:$1,0)+1,FALSE)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8" s="97">
        <f ca="1">VLOOKUP($F168,OFFSET(enemy_skill_triggers!$A$1,0,0,COUNTA(enemy_skill_triggers!$A:$A),MATCH(H$1,enemy_skill_triggers!$1:$1,0)-MATCH($F$1,enemy_skill_triggers!$1:$1,0)+1),MATCH(H$1,enemy_skill_triggers!$1:$1,0)-MATCH($F$1,enemy_skill_triggers!$1:$1,0)+1,FALSE)</f>
        <v>118</v>
      </c>
      <c r="I168" s="97">
        <f ca="1">VLOOKUP($F168,OFFSET(enemy_skill_triggers!$A$1,0,0,COUNTA(enemy_skill_triggers!$A:$A),MATCH(I$1,enemy_skill_triggers!$1:$1,0)-MATCH($F$1,enemy_skill_triggers!$1:$1,0)+1),MATCH(I$1,enemy_skill_triggers!$1:$1,0)-MATCH($F$1,enemy_skill_triggers!$1:$1,0)+1,FALSE)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8" s="97" t="str">
        <f ca="1">VLOOKUP($F168,OFFSET(enemy_skill_triggers!$A$1,0,0,COUNTA(enemy_skill_triggers!$A:$A),MATCH(J$1,enemy_skill_triggers!$1:$1,0)-MATCH($F$1,enemy_skill_triggers!$1:$1,0)+1),MATCH(J$1,enemy_skill_triggers!$1:$1,0)-MATCH($F$1,enemy_skill_triggers!$1:$1,0)+1,FALSE)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8" s="97" t="str">
        <f ca="1">VLOOKUP($F168,OFFSET(enemy_skill_triggers!$A$1,0,0,COUNTA(enemy_skill_triggers!$A:$A),MATCH(K$1,enemy_skill_triggers!$1:$1,0)-MATCH($F$1,enemy_skill_triggers!$1:$1,0)+1),MATCH(K$1,enemy_skill_triggers!$1:$1,0)-MATCH($F$1,enemy_skill_triggers!$1:$1,0)+1,FALSE)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8" s="97">
        <f ca="1">VLOOKUP($F168,OFFSET(enemy_skill_triggers!$A$1,0,0,COUNTA(enemy_skill_triggers!$A:$A),MATCH(L$1,enemy_skill_triggers!$1:$1,0)-MATCH($F$1,enemy_skill_triggers!$1:$1,0)+1),MATCH(L$1,enemy_skill_triggers!$1:$1,0)-MATCH($F$1,enemy_skill_triggers!$1:$1,0)+1,FALSE)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8" s="97" t="str">
        <f ca="1">VLOOKUP($F168,OFFSET(enemy_skill_triggers!$A$1,0,0,COUNTA(enemy_skill_triggers!$A:$A),MATCH(M$1,enemy_skill_triggers!$1:$1,0)-MATCH($F$1,enemy_skill_triggers!$1:$1,0)+1),MATCH(M$1,enemy_skill_triggers!$1:$1,0)-MATCH($F$1,enemy_skill_triggers!$1:$1,0)+1,FALSE)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8" s="97">
        <f ca="1">VLOOKUP($F168,OFFSET(enemy_skill_triggers!$A$1,0,0,COUNTA(enemy_skill_triggers!$A:$A),MATCH(N$1,enemy_skill_triggers!$1:$1,0)-MATCH($F$1,enemy_skill_triggers!$1:$1,0)+1),MATCH(N$1,enemy_skill_triggers!$1:$1,0)-MATCH($F$1,enemy_skill_triggers!$1:$1,0)+1,FALSE)</f>
        <v>1704</v>
      </c>
      <c r="O168" s="97">
        <f ca="1">VLOOKUP($F168,OFFSET(enemy_skill_triggers!$A$1,0,0,COUNTA(enemy_skill_triggers!$A:$A),MATCH(O$1,enemy_skill_triggers!$1:$1,0)-MATCH($F$1,enemy_skill_triggers!$1:$1,0)+1),MATCH(O$1,enemy_skill_triggers!$1:$1,0)-MATCH($F$1,enemy_skill_triggers!$1:$1,0)+1,FALSE)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8" s="95"/>
      <c r="Q168" s="95"/>
      <c r="R168" s="95"/>
    </row>
    <row r="169" spans="1:18" s="115" customFormat="1" ht="31" customHeight="1" thickBot="1" x14ac:dyDescent="0.2">
      <c r="A169" s="111" t="str">
        <f t="shared" si="24"/>
        <v>47015340_47015346</v>
      </c>
      <c r="B169" s="195">
        <v>47015340</v>
      </c>
      <c r="C169" s="212">
        <v>47015346</v>
      </c>
      <c r="D169" s="96" t="str">
        <f ca="1">VLOOKUP($C169,OFFSET(enemy_skills!$A$1,0,0,COUNTA(enemy_skills!$A:$A),MATCH(D$1,enemy_skills!$1:$1,0)-MATCH("enemy_skill_id",enemy_skills!$1:$1,0)+1),MATCH(D$1,enemy_skills!$1:$1,0)-MATCH("enemy_skill_id",enemy_skills!$1:$1,0)+1,FALSE)</f>
        <v>姉の晴れ着姿はどうです？</v>
      </c>
      <c r="E169" s="96" t="str">
        <f ca="1">VLOOKUP($C169,OFFSET(enemy_skills!$A$1,0,0,COUNTA(enemy_skills!$A:$A),MATCH(E$1,enemy_skills!$1:$1,0)-MATCH("enemy_skill_id",enemy_skills!$1:$1,0)+1),MATCH(E$1,enemy_skills!$1:$1,0)-MATCH("enemy_skill_id",enemy_skills!$1:$1,0)+1,FALSE)</f>
        <v>「美しすぎます！おねえさま！」_x000D_【状態異常耐性+6ターン攻撃力大UP+_x000D_全ユニットの攻撃力50%DOWN】</v>
      </c>
      <c r="F169" s="212">
        <v>47015346</v>
      </c>
      <c r="G169" s="97">
        <f ca="1">VLOOKUP($F169,OFFSET(enemy_skill_triggers!$A$1,0,0,COUNTA(enemy_skill_triggers!$A:$A),MATCH(G$1,enemy_skill_triggers!$1:$1,0)-MATCH($F$1,enemy_skill_triggers!$1:$1,0)+1),MATCH(G$1,enemy_skill_triggers!$1:$1,0)-MATCH($F$1,enemy_skill_triggers!$1:$1,0)+1,FALSE)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9" s="97">
        <f ca="1">VLOOKUP($F169,OFFSET(enemy_skill_triggers!$A$1,0,0,COUNTA(enemy_skill_triggers!$A:$A),MATCH(H$1,enemy_skill_triggers!$1:$1,0)-MATCH($F$1,enemy_skill_triggers!$1:$1,0)+1),MATCH(H$1,enemy_skill_triggers!$1:$1,0)-MATCH($F$1,enemy_skill_triggers!$1:$1,0)+1,FALSE)</f>
        <v>117</v>
      </c>
      <c r="I169" s="97">
        <f ca="1">VLOOKUP($F169,OFFSET(enemy_skill_triggers!$A$1,0,0,COUNTA(enemy_skill_triggers!$A:$A),MATCH(I$1,enemy_skill_triggers!$1:$1,0)-MATCH($F$1,enemy_skill_triggers!$1:$1,0)+1),MATCH(I$1,enemy_skill_triggers!$1:$1,0)-MATCH($F$1,enemy_skill_triggers!$1:$1,0)+1,FALSE)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9" s="97" t="str">
        <f ca="1">VLOOKUP($F169,OFFSET(enemy_skill_triggers!$A$1,0,0,COUNTA(enemy_skill_triggers!$A:$A),MATCH(J$1,enemy_skill_triggers!$1:$1,0)-MATCH($F$1,enemy_skill_triggers!$1:$1,0)+1),MATCH(J$1,enemy_skill_triggers!$1:$1,0)-MATCH($F$1,enemy_skill_triggers!$1:$1,0)+1,FALSE)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9" s="97" t="str">
        <f ca="1">VLOOKUP($F169,OFFSET(enemy_skill_triggers!$A$1,0,0,COUNTA(enemy_skill_triggers!$A:$A),MATCH(K$1,enemy_skill_triggers!$1:$1,0)-MATCH($F$1,enemy_skill_triggers!$1:$1,0)+1),MATCH(K$1,enemy_skill_triggers!$1:$1,0)-MATCH($F$1,enemy_skill_triggers!$1:$1,0)+1,FALSE)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9" s="97">
        <f ca="1">VLOOKUP($F169,OFFSET(enemy_skill_triggers!$A$1,0,0,COUNTA(enemy_skill_triggers!$A:$A),MATCH(L$1,enemy_skill_triggers!$1:$1,0)-MATCH($F$1,enemy_skill_triggers!$1:$1,0)+1),MATCH(L$1,enemy_skill_triggers!$1:$1,0)-MATCH($F$1,enemy_skill_triggers!$1:$1,0)+1,FALSE)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9" s="97" t="str">
        <f ca="1">VLOOKUP($F169,OFFSET(enemy_skill_triggers!$A$1,0,0,COUNTA(enemy_skill_triggers!$A:$A),MATCH(M$1,enemy_skill_triggers!$1:$1,0)-MATCH($F$1,enemy_skill_triggers!$1:$1,0)+1),MATCH(M$1,enemy_skill_triggers!$1:$1,0)-MATCH($F$1,enemy_skill_triggers!$1:$1,0)+1,FALSE)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9" s="97">
        <f ca="1">VLOOKUP($F169,OFFSET(enemy_skill_triggers!$A$1,0,0,COUNTA(enemy_skill_triggers!$A:$A),MATCH(N$1,enemy_skill_triggers!$1:$1,0)-MATCH($F$1,enemy_skill_triggers!$1:$1,0)+1),MATCH(N$1,enemy_skill_triggers!$1:$1,0)-MATCH($F$1,enemy_skill_triggers!$1:$1,0)+1,FALSE)</f>
        <v>1326</v>
      </c>
      <c r="O169" s="97">
        <f ca="1">VLOOKUP($F169,OFFSET(enemy_skill_triggers!$A$1,0,0,COUNTA(enemy_skill_triggers!$A:$A),MATCH(O$1,enemy_skill_triggers!$1:$1,0)-MATCH($F$1,enemy_skill_triggers!$1:$1,0)+1),MATCH(O$1,enemy_skill_triggers!$1:$1,0)-MATCH($F$1,enemy_skill_triggers!$1:$1,0)+1,FALSE)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9" s="95"/>
      <c r="Q169" s="95"/>
      <c r="R169" s="95"/>
    </row>
    <row r="170" spans="1:18" s="115" customFormat="1" ht="31" customHeight="1" thickBot="1" x14ac:dyDescent="0.2">
      <c r="A170" s="111" t="str">
        <f t="shared" si="24"/>
        <v>47015340_47015347</v>
      </c>
      <c r="B170" s="195">
        <v>47015340</v>
      </c>
      <c r="C170" s="212">
        <v>47015347</v>
      </c>
      <c r="D170" s="96" t="str">
        <f ca="1">VLOOKUP($C170,OFFSET(enemy_skills!$A$1,0,0,COUNTA(enemy_skills!$A:$A),MATCH(D$1,enemy_skills!$1:$1,0)-MATCH("enemy_skill_id",enemy_skills!$1:$1,0)+1),MATCH(D$1,enemy_skills!$1:$1,0)-MATCH("enemy_skill_id",enemy_skills!$1:$1,0)+1,FALSE)</f>
        <v>姉の晴れ着姿はどうです？</v>
      </c>
      <c r="E170" s="96" t="str">
        <f ca="1">VLOOKUP($C170,OFFSET(enemy_skills!$A$1,0,0,COUNTA(enemy_skills!$A:$A),MATCH(E$1,enemy_skills!$1:$1,0)-MATCH("enemy_skill_id",enemy_skills!$1:$1,0)+1),MATCH(E$1,enemy_skills!$1:$1,0)-MATCH("enemy_skill_id",enemy_skills!$1:$1,0)+1,FALSE)</f>
        <v>「美しすぎます！おねえさま！」_x000D_【状態異常耐性+6ターン攻撃力大UP+_x000D_全ユニットの攻撃力50%DOWN】</v>
      </c>
      <c r="F170" s="212">
        <v>47015347</v>
      </c>
      <c r="G170" s="97">
        <f ca="1">VLOOKUP($F170,OFFSET(enemy_skill_triggers!$A$1,0,0,COUNTA(enemy_skill_triggers!$A:$A),MATCH(G$1,enemy_skill_triggers!$1:$1,0)-MATCH($F$1,enemy_skill_triggers!$1:$1,0)+1),MATCH(G$1,enemy_skill_triggers!$1:$1,0)-MATCH($F$1,enemy_skill_triggers!$1:$1,0)+1,FALSE)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0" s="97">
        <f ca="1">VLOOKUP($F170,OFFSET(enemy_skill_triggers!$A$1,0,0,COUNTA(enemy_skill_triggers!$A:$A),MATCH(H$1,enemy_skill_triggers!$1:$1,0)-MATCH($F$1,enemy_skill_triggers!$1:$1,0)+1),MATCH(H$1,enemy_skill_triggers!$1:$1,0)-MATCH($F$1,enemy_skill_triggers!$1:$1,0)+1,FALSE)</f>
        <v>116</v>
      </c>
      <c r="I170" s="97">
        <f ca="1">VLOOKUP($F170,OFFSET(enemy_skill_triggers!$A$1,0,0,COUNTA(enemy_skill_triggers!$A:$A),MATCH(I$1,enemy_skill_triggers!$1:$1,0)-MATCH($F$1,enemy_skill_triggers!$1:$1,0)+1),MATCH(I$1,enemy_skill_triggers!$1:$1,0)-MATCH($F$1,enemy_skill_triggers!$1:$1,0)+1,FALSE)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0" s="97" t="str">
        <f ca="1">VLOOKUP($F170,OFFSET(enemy_skill_triggers!$A$1,0,0,COUNTA(enemy_skill_triggers!$A:$A),MATCH(J$1,enemy_skill_triggers!$1:$1,0)-MATCH($F$1,enemy_skill_triggers!$1:$1,0)+1),MATCH(J$1,enemy_skill_triggers!$1:$1,0)-MATCH($F$1,enemy_skill_triggers!$1:$1,0)+1,FALSE)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0" s="97" t="str">
        <f ca="1">VLOOKUP($F170,OFFSET(enemy_skill_triggers!$A$1,0,0,COUNTA(enemy_skill_triggers!$A:$A),MATCH(K$1,enemy_skill_triggers!$1:$1,0)-MATCH($F$1,enemy_skill_triggers!$1:$1,0)+1),MATCH(K$1,enemy_skill_triggers!$1:$1,0)-MATCH($F$1,enemy_skill_triggers!$1:$1,0)+1,FALSE)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0" s="97">
        <f ca="1">VLOOKUP($F170,OFFSET(enemy_skill_triggers!$A$1,0,0,COUNTA(enemy_skill_triggers!$A:$A),MATCH(L$1,enemy_skill_triggers!$1:$1,0)-MATCH($F$1,enemy_skill_triggers!$1:$1,0)+1),MATCH(L$1,enemy_skill_triggers!$1:$1,0)-MATCH($F$1,enemy_skill_triggers!$1:$1,0)+1,FALSE)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0" s="97" t="str">
        <f ca="1">VLOOKUP($F170,OFFSET(enemy_skill_triggers!$A$1,0,0,COUNTA(enemy_skill_triggers!$A:$A),MATCH(M$1,enemy_skill_triggers!$1:$1,0)-MATCH($F$1,enemy_skill_triggers!$1:$1,0)+1),MATCH(M$1,enemy_skill_triggers!$1:$1,0)-MATCH($F$1,enemy_skill_triggers!$1:$1,0)+1,FALSE)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0" s="97">
        <f ca="1">VLOOKUP($F170,OFFSET(enemy_skill_triggers!$A$1,0,0,COUNTA(enemy_skill_triggers!$A:$A),MATCH(N$1,enemy_skill_triggers!$1:$1,0)-MATCH($F$1,enemy_skill_triggers!$1:$1,0)+1),MATCH(N$1,enemy_skill_triggers!$1:$1,0)-MATCH($F$1,enemy_skill_triggers!$1:$1,0)+1,FALSE)</f>
        <v>1327</v>
      </c>
      <c r="O170" s="97">
        <f ca="1">VLOOKUP($F170,OFFSET(enemy_skill_triggers!$A$1,0,0,COUNTA(enemy_skill_triggers!$A:$A),MATCH(O$1,enemy_skill_triggers!$1:$1,0)-MATCH($F$1,enemy_skill_triggers!$1:$1,0)+1),MATCH(O$1,enemy_skill_triggers!$1:$1,0)-MATCH($F$1,enemy_skill_triggers!$1:$1,0)+1,FALSE)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0" s="95"/>
      <c r="Q170" s="95"/>
      <c r="R170" s="95"/>
    </row>
    <row r="171" spans="1:18" s="115" customFormat="1" ht="31" customHeight="1" thickBot="1" x14ac:dyDescent="0.2">
      <c r="A171" s="111" t="str">
        <f t="shared" si="24"/>
        <v>47015340_47015348</v>
      </c>
      <c r="B171" s="195">
        <v>47015340</v>
      </c>
      <c r="C171" s="212">
        <v>47015348</v>
      </c>
      <c r="D171" s="96" t="str">
        <f ca="1">VLOOKUP($C171,OFFSET(enemy_skills!$A$1,0,0,COUNTA(enemy_skills!$A:$A),MATCH(D$1,enemy_skills!$1:$1,0)-MATCH("enemy_skill_id",enemy_skills!$1:$1,0)+1),MATCH(D$1,enemy_skills!$1:$1,0)-MATCH("enemy_skill_id",enemy_skills!$1:$1,0)+1,FALSE)</f>
        <v>”じゅーんぶらいど”という行事らしいですよ！</v>
      </c>
      <c r="E171" s="96" t="str">
        <f ca="1">VLOOKUP($C171,OFFSET(enemy_skills!$A$1,0,0,COUNTA(enemy_skills!$A:$A),MATCH(E$1,enemy_skills!$1:$1,0)-MATCH("enemy_skill_id",enemy_skills!$1:$1,0)+1),MATCH(E$1,enemy_skills!$1:$1,0)-MATCH("enemy_skill_id",enemy_skills!$1:$1,0)+1,FALSE)</f>
        <v>この衣装似合っていますか？_x000D_【状態異常耐性+6ターン攻撃力大UP+ _x000D_全ユニットの攻撃力50%DOWN】</v>
      </c>
      <c r="F171" s="212">
        <v>47015348</v>
      </c>
      <c r="G171" s="97">
        <f ca="1">VLOOKUP($F171,OFFSET(enemy_skill_triggers!$A$1,0,0,COUNTA(enemy_skill_triggers!$A:$A),MATCH(G$1,enemy_skill_triggers!$1:$1,0)-MATCH($F$1,enemy_skill_triggers!$1:$1,0)+1),MATCH(G$1,enemy_skill_triggers!$1:$1,0)-MATCH($F$1,enemy_skill_triggers!$1:$1,0)+1,FALSE)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1" s="97">
        <f ca="1">VLOOKUP($F171,OFFSET(enemy_skill_triggers!$A$1,0,0,COUNTA(enemy_skill_triggers!$A:$A),MATCH(H$1,enemy_skill_triggers!$1:$1,0)-MATCH($F$1,enemy_skill_triggers!$1:$1,0)+1),MATCH(H$1,enemy_skill_triggers!$1:$1,0)-MATCH($F$1,enemy_skill_triggers!$1:$1,0)+1,FALSE)</f>
        <v>115</v>
      </c>
      <c r="I171" s="97">
        <f ca="1">VLOOKUP($F171,OFFSET(enemy_skill_triggers!$A$1,0,0,COUNTA(enemy_skill_triggers!$A:$A),MATCH(I$1,enemy_skill_triggers!$1:$1,0)-MATCH($F$1,enemy_skill_triggers!$1:$1,0)+1),MATCH(I$1,enemy_skill_triggers!$1:$1,0)-MATCH($F$1,enemy_skill_triggers!$1:$1,0)+1,FALSE)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1" s="97" t="str">
        <f ca="1">VLOOKUP($F171,OFFSET(enemy_skill_triggers!$A$1,0,0,COUNTA(enemy_skill_triggers!$A:$A),MATCH(J$1,enemy_skill_triggers!$1:$1,0)-MATCH($F$1,enemy_skill_triggers!$1:$1,0)+1),MATCH(J$1,enemy_skill_triggers!$1:$1,0)-MATCH($F$1,enemy_skill_triggers!$1:$1,0)+1,FALSE)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1" s="97" t="str">
        <f ca="1">VLOOKUP($F171,OFFSET(enemy_skill_triggers!$A$1,0,0,COUNTA(enemy_skill_triggers!$A:$A),MATCH(K$1,enemy_skill_triggers!$1:$1,0)-MATCH($F$1,enemy_skill_triggers!$1:$1,0)+1),MATCH(K$1,enemy_skill_triggers!$1:$1,0)-MATCH($F$1,enemy_skill_triggers!$1:$1,0)+1,FALSE)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1" s="97">
        <f ca="1">VLOOKUP($F171,OFFSET(enemy_skill_triggers!$A$1,0,0,COUNTA(enemy_skill_triggers!$A:$A),MATCH(L$1,enemy_skill_triggers!$1:$1,0)-MATCH($F$1,enemy_skill_triggers!$1:$1,0)+1),MATCH(L$1,enemy_skill_triggers!$1:$1,0)-MATCH($F$1,enemy_skill_triggers!$1:$1,0)+1,FALSE)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1" s="97" t="str">
        <f ca="1">VLOOKUP($F171,OFFSET(enemy_skill_triggers!$A$1,0,0,COUNTA(enemy_skill_triggers!$A:$A),MATCH(M$1,enemy_skill_triggers!$1:$1,0)-MATCH($F$1,enemy_skill_triggers!$1:$1,0)+1),MATCH(M$1,enemy_skill_triggers!$1:$1,0)-MATCH($F$1,enemy_skill_triggers!$1:$1,0)+1,FALSE)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1" s="97">
        <f ca="1">VLOOKUP($F171,OFFSET(enemy_skill_triggers!$A$1,0,0,COUNTA(enemy_skill_triggers!$A:$A),MATCH(N$1,enemy_skill_triggers!$1:$1,0)-MATCH($F$1,enemy_skill_triggers!$1:$1,0)+1),MATCH(N$1,enemy_skill_triggers!$1:$1,0)-MATCH($F$1,enemy_skill_triggers!$1:$1,0)+1,FALSE)</f>
        <v>235</v>
      </c>
      <c r="O171" s="97">
        <f ca="1">VLOOKUP($F171,OFFSET(enemy_skill_triggers!$A$1,0,0,COUNTA(enemy_skill_triggers!$A:$A),MATCH(O$1,enemy_skill_triggers!$1:$1,0)-MATCH($F$1,enemy_skill_triggers!$1:$1,0)+1),MATCH(O$1,enemy_skill_triggers!$1:$1,0)-MATCH($F$1,enemy_skill_triggers!$1:$1,0)+1,FALSE)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1" s="95"/>
      <c r="Q171" s="95"/>
      <c r="R171" s="95"/>
    </row>
    <row r="172" spans="1:18" s="115" customFormat="1" ht="31" customHeight="1" thickBot="1" x14ac:dyDescent="0.2">
      <c r="A172" s="111" t="str">
        <f t="shared" si="24"/>
        <v>47015340_47015349</v>
      </c>
      <c r="B172" s="195">
        <v>47015340</v>
      </c>
      <c r="C172" s="212">
        <v>47015349</v>
      </c>
      <c r="D172" s="96" t="str">
        <f ca="1">VLOOKUP($C172,OFFSET(enemy_skills!$A$1,0,0,COUNTA(enemy_skills!$A:$A),MATCH(D$1,enemy_skills!$1:$1,0)-MATCH("enemy_skill_id",enemy_skills!$1:$1,0)+1),MATCH(D$1,enemy_skills!$1:$1,0)-MATCH("enemy_skill_id",enemy_skills!$1:$1,0)+1,FALSE)</f>
        <v>”じゅーんぶらいど”という行事らしいですよ！</v>
      </c>
      <c r="E172" s="96" t="str">
        <f ca="1">VLOOKUP($C172,OFFSET(enemy_skills!$A$1,0,0,COUNTA(enemy_skills!$A:$A),MATCH(E$1,enemy_skills!$1:$1,0)-MATCH("enemy_skill_id",enemy_skills!$1:$1,0)+1),MATCH(E$1,enemy_skills!$1:$1,0)-MATCH("enemy_skill_id",enemy_skills!$1:$1,0)+1,FALSE)</f>
        <v>この衣装似合っていますか？_x000D_【状態異常耐性+6ターン攻撃力大UP+_x000D_全ユニットの攻撃力50%DOWN】</v>
      </c>
      <c r="F172" s="212">
        <v>47015349</v>
      </c>
      <c r="G172" s="97">
        <f ca="1">VLOOKUP($F172,OFFSET(enemy_skill_triggers!$A$1,0,0,COUNTA(enemy_skill_triggers!$A:$A),MATCH(G$1,enemy_skill_triggers!$1:$1,0)-MATCH($F$1,enemy_skill_triggers!$1:$1,0)+1),MATCH(G$1,enemy_skill_triggers!$1:$1,0)-MATCH($F$1,enemy_skill_triggers!$1:$1,0)+1,FALSE)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2" s="97">
        <f ca="1">VLOOKUP($F172,OFFSET(enemy_skill_triggers!$A$1,0,0,COUNTA(enemy_skill_triggers!$A:$A),MATCH(H$1,enemy_skill_triggers!$1:$1,0)-MATCH($F$1,enemy_skill_triggers!$1:$1,0)+1),MATCH(H$1,enemy_skill_triggers!$1:$1,0)-MATCH($F$1,enemy_skill_triggers!$1:$1,0)+1,FALSE)</f>
        <v>114</v>
      </c>
      <c r="I172" s="97">
        <f ca="1">VLOOKUP($F172,OFFSET(enemy_skill_triggers!$A$1,0,0,COUNTA(enemy_skill_triggers!$A:$A),MATCH(I$1,enemy_skill_triggers!$1:$1,0)-MATCH($F$1,enemy_skill_triggers!$1:$1,0)+1),MATCH(I$1,enemy_skill_triggers!$1:$1,0)-MATCH($F$1,enemy_skill_triggers!$1:$1,0)+1,FALSE)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2" s="97" t="str">
        <f ca="1">VLOOKUP($F172,OFFSET(enemy_skill_triggers!$A$1,0,0,COUNTA(enemy_skill_triggers!$A:$A),MATCH(J$1,enemy_skill_triggers!$1:$1,0)-MATCH($F$1,enemy_skill_triggers!$1:$1,0)+1),MATCH(J$1,enemy_skill_triggers!$1:$1,0)-MATCH($F$1,enemy_skill_triggers!$1:$1,0)+1,FALSE)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2" s="97" t="str">
        <f ca="1">VLOOKUP($F172,OFFSET(enemy_skill_triggers!$A$1,0,0,COUNTA(enemy_skill_triggers!$A:$A),MATCH(K$1,enemy_skill_triggers!$1:$1,0)-MATCH($F$1,enemy_skill_triggers!$1:$1,0)+1),MATCH(K$1,enemy_skill_triggers!$1:$1,0)-MATCH($F$1,enemy_skill_triggers!$1:$1,0)+1,FALSE)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2" s="97">
        <f ca="1">VLOOKUP($F172,OFFSET(enemy_skill_triggers!$A$1,0,0,COUNTA(enemy_skill_triggers!$A:$A),MATCH(L$1,enemy_skill_triggers!$1:$1,0)-MATCH($F$1,enemy_skill_triggers!$1:$1,0)+1),MATCH(L$1,enemy_skill_triggers!$1:$1,0)-MATCH($F$1,enemy_skill_triggers!$1:$1,0)+1,FALSE)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2" s="97" t="str">
        <f ca="1">VLOOKUP($F172,OFFSET(enemy_skill_triggers!$A$1,0,0,COUNTA(enemy_skill_triggers!$A:$A),MATCH(M$1,enemy_skill_triggers!$1:$1,0)-MATCH($F$1,enemy_skill_triggers!$1:$1,0)+1),MATCH(M$1,enemy_skill_triggers!$1:$1,0)-MATCH($F$1,enemy_skill_triggers!$1:$1,0)+1,FALSE)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2" s="97">
        <f ca="1">VLOOKUP($F172,OFFSET(enemy_skill_triggers!$A$1,0,0,COUNTA(enemy_skill_triggers!$A:$A),MATCH(N$1,enemy_skill_triggers!$1:$1,0)-MATCH($F$1,enemy_skill_triggers!$1:$1,0)+1),MATCH(N$1,enemy_skill_triggers!$1:$1,0)-MATCH($F$1,enemy_skill_triggers!$1:$1,0)+1,FALSE)</f>
        <v>236</v>
      </c>
      <c r="O172" s="97">
        <f ca="1">VLOOKUP($F172,OFFSET(enemy_skill_triggers!$A$1,0,0,COUNTA(enemy_skill_triggers!$A:$A),MATCH(O$1,enemy_skill_triggers!$1:$1,0)-MATCH($F$1,enemy_skill_triggers!$1:$1,0)+1),MATCH(O$1,enemy_skill_triggers!$1:$1,0)-MATCH($F$1,enemy_skill_triggers!$1:$1,0)+1,FALSE)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2" s="95"/>
      <c r="Q172" s="95"/>
      <c r="R172" s="95"/>
    </row>
    <row r="173" spans="1:18" s="115" customFormat="1" ht="31" customHeight="1" thickBot="1" x14ac:dyDescent="0.2">
      <c r="A173" s="111" t="str">
        <f t="shared" si="24"/>
        <v>47015340_47015350</v>
      </c>
      <c r="B173" s="195">
        <v>47015340</v>
      </c>
      <c r="C173" s="212">
        <v>47015350</v>
      </c>
      <c r="D173" s="96" t="str">
        <f ca="1">VLOOKUP($C173,OFFSET(enemy_skills!$A$1,0,0,COUNTA(enemy_skills!$A:$A),MATCH(D$1,enemy_skills!$1:$1,0)-MATCH("enemy_skill_id",enemy_skills!$1:$1,0)+1),MATCH(D$1,enemy_skills!$1:$1,0)-MATCH("enemy_skill_id",enemy_skills!$1:$1,0)+1,FALSE)</f>
        <v>”じゅーんぶらいど”という行事らしいですよ！</v>
      </c>
      <c r="E173" s="96" t="str">
        <f ca="1">VLOOKUP($C173,OFFSET(enemy_skills!$A$1,0,0,COUNTA(enemy_skills!$A:$A),MATCH(E$1,enemy_skills!$1:$1,0)-MATCH("enemy_skill_id",enemy_skills!$1:$1,0)+1),MATCH(E$1,enemy_skills!$1:$1,0)-MATCH("enemy_skill_id",enemy_skills!$1:$1,0)+1,FALSE)</f>
        <v>この衣装似合っていますか？_x000D_【状態異常耐性+6ターン攻撃力大UP+_x000D_全ユニットの攻撃力50%DOWN】</v>
      </c>
      <c r="F173" s="212">
        <v>47015350</v>
      </c>
      <c r="G173" s="97">
        <f ca="1">VLOOKUP($F173,OFFSET(enemy_skill_triggers!$A$1,0,0,COUNTA(enemy_skill_triggers!$A:$A),MATCH(G$1,enemy_skill_triggers!$1:$1,0)-MATCH($F$1,enemy_skill_triggers!$1:$1,0)+1),MATCH(G$1,enemy_skill_triggers!$1:$1,0)-MATCH($F$1,enemy_skill_triggers!$1:$1,0)+1,FALSE)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3" s="97">
        <f ca="1">VLOOKUP($F173,OFFSET(enemy_skill_triggers!$A$1,0,0,COUNTA(enemy_skill_triggers!$A:$A),MATCH(H$1,enemy_skill_triggers!$1:$1,0)-MATCH($F$1,enemy_skill_triggers!$1:$1,0)+1),MATCH(H$1,enemy_skill_triggers!$1:$1,0)-MATCH($F$1,enemy_skill_triggers!$1:$1,0)+1,FALSE)</f>
        <v>113</v>
      </c>
      <c r="I173" s="97">
        <f ca="1">VLOOKUP($F173,OFFSET(enemy_skill_triggers!$A$1,0,0,COUNTA(enemy_skill_triggers!$A:$A),MATCH(I$1,enemy_skill_triggers!$1:$1,0)-MATCH($F$1,enemy_skill_triggers!$1:$1,0)+1),MATCH(I$1,enemy_skill_triggers!$1:$1,0)-MATCH($F$1,enemy_skill_triggers!$1:$1,0)+1,FALSE)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3" s="97" t="str">
        <f ca="1">VLOOKUP($F173,OFFSET(enemy_skill_triggers!$A$1,0,0,COUNTA(enemy_skill_triggers!$A:$A),MATCH(J$1,enemy_skill_triggers!$1:$1,0)-MATCH($F$1,enemy_skill_triggers!$1:$1,0)+1),MATCH(J$1,enemy_skill_triggers!$1:$1,0)-MATCH($F$1,enemy_skill_triggers!$1:$1,0)+1,FALSE)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3" s="97" t="str">
        <f ca="1">VLOOKUP($F173,OFFSET(enemy_skill_triggers!$A$1,0,0,COUNTA(enemy_skill_triggers!$A:$A),MATCH(K$1,enemy_skill_triggers!$1:$1,0)-MATCH($F$1,enemy_skill_triggers!$1:$1,0)+1),MATCH(K$1,enemy_skill_triggers!$1:$1,0)-MATCH($F$1,enemy_skill_triggers!$1:$1,0)+1,FALSE)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3" s="97">
        <f ca="1">VLOOKUP($F173,OFFSET(enemy_skill_triggers!$A$1,0,0,COUNTA(enemy_skill_triggers!$A:$A),MATCH(L$1,enemy_skill_triggers!$1:$1,0)-MATCH($F$1,enemy_skill_triggers!$1:$1,0)+1),MATCH(L$1,enemy_skill_triggers!$1:$1,0)-MATCH($F$1,enemy_skill_triggers!$1:$1,0)+1,FALSE)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3" s="97" t="str">
        <f ca="1">VLOOKUP($F173,OFFSET(enemy_skill_triggers!$A$1,0,0,COUNTA(enemy_skill_triggers!$A:$A),MATCH(M$1,enemy_skill_triggers!$1:$1,0)-MATCH($F$1,enemy_skill_triggers!$1:$1,0)+1),MATCH(M$1,enemy_skill_triggers!$1:$1,0)-MATCH($F$1,enemy_skill_triggers!$1:$1,0)+1,FALSE)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3" s="97">
        <f ca="1">VLOOKUP($F173,OFFSET(enemy_skill_triggers!$A$1,0,0,COUNTA(enemy_skill_triggers!$A:$A),MATCH(N$1,enemy_skill_triggers!$1:$1,0)-MATCH($F$1,enemy_skill_triggers!$1:$1,0)+1),MATCH(N$1,enemy_skill_triggers!$1:$1,0)-MATCH($F$1,enemy_skill_triggers!$1:$1,0)+1,FALSE)</f>
        <v>237</v>
      </c>
      <c r="O173" s="97">
        <f ca="1">VLOOKUP($F173,OFFSET(enemy_skill_triggers!$A$1,0,0,COUNTA(enemy_skill_triggers!$A:$A),MATCH(O$1,enemy_skill_triggers!$1:$1,0)-MATCH($F$1,enemy_skill_triggers!$1:$1,0)+1),MATCH(O$1,enemy_skill_triggers!$1:$1,0)-MATCH($F$1,enemy_skill_triggers!$1:$1,0)+1,FALSE)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3" s="95"/>
      <c r="Q173" s="95"/>
      <c r="R173" s="95"/>
    </row>
    <row r="174" spans="1:18" s="115" customFormat="1" ht="31" customHeight="1" thickBot="1" x14ac:dyDescent="0.2">
      <c r="A174" s="111" t="str">
        <f t="shared" si="24"/>
        <v>47015340_47015351</v>
      </c>
      <c r="B174" s="195">
        <v>47015340</v>
      </c>
      <c r="C174" s="212">
        <v>47015351</v>
      </c>
      <c r="D174" s="96" t="str">
        <f ca="1">VLOOKUP($C174,OFFSET(enemy_skills!$A$1,0,0,COUNTA(enemy_skills!$A:$A),MATCH(D$1,enemy_skills!$1:$1,0)-MATCH("enemy_skill_id",enemy_skills!$1:$1,0)+1),MATCH(D$1,enemy_skills!$1:$1,0)-MATCH("enemy_skill_id",enemy_skills!$1:$1,0)+1,FALSE)</f>
        <v>”じゅーんぶらいど”という行事らしいですよ！</v>
      </c>
      <c r="E174" s="96" t="str">
        <f ca="1">VLOOKUP($C174,OFFSET(enemy_skills!$A$1,0,0,COUNTA(enemy_skills!$A:$A),MATCH(E$1,enemy_skills!$1:$1,0)-MATCH("enemy_skill_id",enemy_skills!$1:$1,0)+1),MATCH(E$1,enemy_skills!$1:$1,0)-MATCH("enemy_skill_id",enemy_skills!$1:$1,0)+1,FALSE)</f>
        <v>この衣装似合っていますか？_x000D_【状態異常耐性+6ターン攻撃力大UP+_x000D_全ユニットの攻撃力50%DOWN】</v>
      </c>
      <c r="F174" s="212">
        <v>47015351</v>
      </c>
      <c r="G174" s="97">
        <f ca="1">VLOOKUP($F174,OFFSET(enemy_skill_triggers!$A$1,0,0,COUNTA(enemy_skill_triggers!$A:$A),MATCH(G$1,enemy_skill_triggers!$1:$1,0)-MATCH($F$1,enemy_skill_triggers!$1:$1,0)+1),MATCH(G$1,enemy_skill_triggers!$1:$1,0)-MATCH($F$1,enemy_skill_triggers!$1:$1,0)+1,FALSE)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4" s="97">
        <f ca="1">VLOOKUP($F174,OFFSET(enemy_skill_triggers!$A$1,0,0,COUNTA(enemy_skill_triggers!$A:$A),MATCH(H$1,enemy_skill_triggers!$1:$1,0)-MATCH($F$1,enemy_skill_triggers!$1:$1,0)+1),MATCH(H$1,enemy_skill_triggers!$1:$1,0)-MATCH($F$1,enemy_skill_triggers!$1:$1,0)+1,FALSE)</f>
        <v>112</v>
      </c>
      <c r="I174" s="97">
        <f ca="1">VLOOKUP($F174,OFFSET(enemy_skill_triggers!$A$1,0,0,COUNTA(enemy_skill_triggers!$A:$A),MATCH(I$1,enemy_skill_triggers!$1:$1,0)-MATCH($F$1,enemy_skill_triggers!$1:$1,0)+1),MATCH(I$1,enemy_skill_triggers!$1:$1,0)-MATCH($F$1,enemy_skill_triggers!$1:$1,0)+1,FALSE)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4" s="97" t="str">
        <f ca="1">VLOOKUP($F174,OFFSET(enemy_skill_triggers!$A$1,0,0,COUNTA(enemy_skill_triggers!$A:$A),MATCH(J$1,enemy_skill_triggers!$1:$1,0)-MATCH($F$1,enemy_skill_triggers!$1:$1,0)+1),MATCH(J$1,enemy_skill_triggers!$1:$1,0)-MATCH($F$1,enemy_skill_triggers!$1:$1,0)+1,FALSE)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4" s="97" t="str">
        <f ca="1">VLOOKUP($F174,OFFSET(enemy_skill_triggers!$A$1,0,0,COUNTA(enemy_skill_triggers!$A:$A),MATCH(K$1,enemy_skill_triggers!$1:$1,0)-MATCH($F$1,enemy_skill_triggers!$1:$1,0)+1),MATCH(K$1,enemy_skill_triggers!$1:$1,0)-MATCH($F$1,enemy_skill_triggers!$1:$1,0)+1,FALSE)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4" s="97">
        <f ca="1">VLOOKUP($F174,OFFSET(enemy_skill_triggers!$A$1,0,0,COUNTA(enemy_skill_triggers!$A:$A),MATCH(L$1,enemy_skill_triggers!$1:$1,0)-MATCH($F$1,enemy_skill_triggers!$1:$1,0)+1),MATCH(L$1,enemy_skill_triggers!$1:$1,0)-MATCH($F$1,enemy_skill_triggers!$1:$1,0)+1,FALSE)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4" s="97" t="str">
        <f ca="1">VLOOKUP($F174,OFFSET(enemy_skill_triggers!$A$1,0,0,COUNTA(enemy_skill_triggers!$A:$A),MATCH(M$1,enemy_skill_triggers!$1:$1,0)-MATCH($F$1,enemy_skill_triggers!$1:$1,0)+1),MATCH(M$1,enemy_skill_triggers!$1:$1,0)-MATCH($F$1,enemy_skill_triggers!$1:$1,0)+1,FALSE)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4" s="97">
        <f ca="1">VLOOKUP($F174,OFFSET(enemy_skill_triggers!$A$1,0,0,COUNTA(enemy_skill_triggers!$A:$A),MATCH(N$1,enemy_skill_triggers!$1:$1,0)-MATCH($F$1,enemy_skill_triggers!$1:$1,0)+1),MATCH(N$1,enemy_skill_triggers!$1:$1,0)-MATCH($F$1,enemy_skill_triggers!$1:$1,0)+1,FALSE)</f>
        <v>808</v>
      </c>
      <c r="O174" s="97">
        <f ca="1">VLOOKUP($F174,OFFSET(enemy_skill_triggers!$A$1,0,0,COUNTA(enemy_skill_triggers!$A:$A),MATCH(O$1,enemy_skill_triggers!$1:$1,0)-MATCH($F$1,enemy_skill_triggers!$1:$1,0)+1),MATCH(O$1,enemy_skill_triggers!$1:$1,0)-MATCH($F$1,enemy_skill_triggers!$1:$1,0)+1,FALSE)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4" s="95"/>
      <c r="Q174" s="95"/>
      <c r="R174" s="95"/>
    </row>
    <row r="175" spans="1:18" s="115" customFormat="1" ht="31" customHeight="1" thickBot="1" x14ac:dyDescent="0.2">
      <c r="A175" s="111" t="str">
        <f t="shared" si="24"/>
        <v>47015340_47015352</v>
      </c>
      <c r="B175" s="195">
        <v>47015340</v>
      </c>
      <c r="C175" s="212">
        <v>47015352</v>
      </c>
      <c r="D175" s="96" t="str">
        <f ca="1">VLOOKUP($C175,OFFSET(enemy_skills!$A$1,0,0,COUNTA(enemy_skills!$A:$A),MATCH(D$1,enemy_skills!$1:$1,0)-MATCH("enemy_skill_id",enemy_skills!$1:$1,0)+1),MATCH(D$1,enemy_skills!$1:$1,0)-MATCH("enemy_skill_id",enemy_skills!$1:$1,0)+1,FALSE)</f>
        <v>”じゅーんぶらいど”という行事らしいですよ！</v>
      </c>
      <c r="E175" s="96" t="str">
        <f ca="1">VLOOKUP($C175,OFFSET(enemy_skills!$A$1,0,0,COUNTA(enemy_skills!$A:$A),MATCH(E$1,enemy_skills!$1:$1,0)-MATCH("enemy_skill_id",enemy_skills!$1:$1,0)+1),MATCH(E$1,enemy_skills!$1:$1,0)-MATCH("enemy_skill_id",enemy_skills!$1:$1,0)+1,FALSE)</f>
        <v>この衣装似合っていますか？_x000D_【状態異常耐性+6ターン攻撃力大UP+_x000D_全ユニットの攻撃力50%DOWN】</v>
      </c>
      <c r="F175" s="212">
        <v>47015352</v>
      </c>
      <c r="G175" s="97">
        <f ca="1">VLOOKUP($F175,OFFSET(enemy_skill_triggers!$A$1,0,0,COUNTA(enemy_skill_triggers!$A:$A),MATCH(G$1,enemy_skill_triggers!$1:$1,0)-MATCH($F$1,enemy_skill_triggers!$1:$1,0)+1),MATCH(G$1,enemy_skill_triggers!$1:$1,0)-MATCH($F$1,enemy_skill_triggers!$1:$1,0)+1,FALSE)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5" s="97">
        <f ca="1">VLOOKUP($F175,OFFSET(enemy_skill_triggers!$A$1,0,0,COUNTA(enemy_skill_triggers!$A:$A),MATCH(H$1,enemy_skill_triggers!$1:$1,0)-MATCH($F$1,enemy_skill_triggers!$1:$1,0)+1),MATCH(H$1,enemy_skill_triggers!$1:$1,0)-MATCH($F$1,enemy_skill_triggers!$1:$1,0)+1,FALSE)</f>
        <v>111</v>
      </c>
      <c r="I175" s="97">
        <f ca="1">VLOOKUP($F175,OFFSET(enemy_skill_triggers!$A$1,0,0,COUNTA(enemy_skill_triggers!$A:$A),MATCH(I$1,enemy_skill_triggers!$1:$1,0)-MATCH($F$1,enemy_skill_triggers!$1:$1,0)+1),MATCH(I$1,enemy_skill_triggers!$1:$1,0)-MATCH($F$1,enemy_skill_triggers!$1:$1,0)+1,FALSE)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5" s="97" t="str">
        <f ca="1">VLOOKUP($F175,OFFSET(enemy_skill_triggers!$A$1,0,0,COUNTA(enemy_skill_triggers!$A:$A),MATCH(J$1,enemy_skill_triggers!$1:$1,0)-MATCH($F$1,enemy_skill_triggers!$1:$1,0)+1),MATCH(J$1,enemy_skill_triggers!$1:$1,0)-MATCH($F$1,enemy_skill_triggers!$1:$1,0)+1,FALSE)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5" s="97" t="str">
        <f ca="1">VLOOKUP($F175,OFFSET(enemy_skill_triggers!$A$1,0,0,COUNTA(enemy_skill_triggers!$A:$A),MATCH(K$1,enemy_skill_triggers!$1:$1,0)-MATCH($F$1,enemy_skill_triggers!$1:$1,0)+1),MATCH(K$1,enemy_skill_triggers!$1:$1,0)-MATCH($F$1,enemy_skill_triggers!$1:$1,0)+1,FALSE)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5" s="97">
        <f ca="1">VLOOKUP($F175,OFFSET(enemy_skill_triggers!$A$1,0,0,COUNTA(enemy_skill_triggers!$A:$A),MATCH(L$1,enemy_skill_triggers!$1:$1,0)-MATCH($F$1,enemy_skill_triggers!$1:$1,0)+1),MATCH(L$1,enemy_skill_triggers!$1:$1,0)-MATCH($F$1,enemy_skill_triggers!$1:$1,0)+1,FALSE)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5" s="97" t="str">
        <f ca="1">VLOOKUP($F175,OFFSET(enemy_skill_triggers!$A$1,0,0,COUNTA(enemy_skill_triggers!$A:$A),MATCH(M$1,enemy_skill_triggers!$1:$1,0)-MATCH($F$1,enemy_skill_triggers!$1:$1,0)+1),MATCH(M$1,enemy_skill_triggers!$1:$1,0)-MATCH($F$1,enemy_skill_triggers!$1:$1,0)+1,FALSE)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5" s="97">
        <f ca="1">VLOOKUP($F175,OFFSET(enemy_skill_triggers!$A$1,0,0,COUNTA(enemy_skill_triggers!$A:$A),MATCH(N$1,enemy_skill_triggers!$1:$1,0)-MATCH($F$1,enemy_skill_triggers!$1:$1,0)+1),MATCH(N$1,enemy_skill_triggers!$1:$1,0)-MATCH($F$1,enemy_skill_triggers!$1:$1,0)+1,FALSE)</f>
        <v>1058</v>
      </c>
      <c r="O175" s="97">
        <f ca="1">VLOOKUP($F175,OFFSET(enemy_skill_triggers!$A$1,0,0,COUNTA(enemy_skill_triggers!$A:$A),MATCH(O$1,enemy_skill_triggers!$1:$1,0)-MATCH($F$1,enemy_skill_triggers!$1:$1,0)+1),MATCH(O$1,enemy_skill_triggers!$1:$1,0)-MATCH($F$1,enemy_skill_triggers!$1:$1,0)+1,FALSE)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5" s="95"/>
      <c r="Q175" s="95"/>
      <c r="R175" s="95"/>
    </row>
    <row r="176" spans="1:18" s="115" customFormat="1" ht="31" customHeight="1" thickBot="1" x14ac:dyDescent="0.2">
      <c r="A176" s="111" t="str">
        <f t="shared" si="24"/>
        <v>47015340_47015353</v>
      </c>
      <c r="B176" s="195">
        <v>47015340</v>
      </c>
      <c r="C176" s="212">
        <v>47015353</v>
      </c>
      <c r="D176" s="96" t="str">
        <f ca="1">VLOOKUP($C176,OFFSET(enemy_skills!$A$1,0,0,COUNTA(enemy_skills!$A:$A),MATCH(D$1,enemy_skills!$1:$1,0)-MATCH("enemy_skill_id",enemy_skills!$1:$1,0)+1),MATCH(D$1,enemy_skills!$1:$1,0)-MATCH("enemy_skill_id",enemy_skills!$1:$1,0)+1,FALSE)</f>
        <v>”じゅーんぶらいど”という行事らしいですよ！</v>
      </c>
      <c r="E176" s="96" t="str">
        <f ca="1">VLOOKUP($C176,OFFSET(enemy_skills!$A$1,0,0,COUNTA(enemy_skills!$A:$A),MATCH(E$1,enemy_skills!$1:$1,0)-MATCH("enemy_skill_id",enemy_skills!$1:$1,0)+1),MATCH(E$1,enemy_skills!$1:$1,0)-MATCH("enemy_skill_id",enemy_skills!$1:$1,0)+1,FALSE)</f>
        <v>この衣装似合っていますか？_x000D_【状態異常耐性+6ターン攻撃力大UP+_x000D_全ユニットの攻撃力50%DOWN】</v>
      </c>
      <c r="F176" s="212">
        <v>47015353</v>
      </c>
      <c r="G176" s="97">
        <f ca="1">VLOOKUP($F176,OFFSET(enemy_skill_triggers!$A$1,0,0,COUNTA(enemy_skill_triggers!$A:$A),MATCH(G$1,enemy_skill_triggers!$1:$1,0)-MATCH($F$1,enemy_skill_triggers!$1:$1,0)+1),MATCH(G$1,enemy_skill_triggers!$1:$1,0)-MATCH($F$1,enemy_skill_triggers!$1:$1,0)+1,FALSE)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6" s="97">
        <f ca="1">VLOOKUP($F176,OFFSET(enemy_skill_triggers!$A$1,0,0,COUNTA(enemy_skill_triggers!$A:$A),MATCH(H$1,enemy_skill_triggers!$1:$1,0)-MATCH($F$1,enemy_skill_triggers!$1:$1,0)+1),MATCH(H$1,enemy_skill_triggers!$1:$1,0)-MATCH($F$1,enemy_skill_triggers!$1:$1,0)+1,FALSE)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76" s="97">
        <f ca="1">VLOOKUP($F176,OFFSET(enemy_skill_triggers!$A$1,0,0,COUNTA(enemy_skill_triggers!$A:$A),MATCH(I$1,enemy_skill_triggers!$1:$1,0)-MATCH($F$1,enemy_skill_triggers!$1:$1,0)+1),MATCH(I$1,enemy_skill_triggers!$1:$1,0)-MATCH($F$1,enemy_skill_triggers!$1:$1,0)+1,FALSE)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6" s="97" t="str">
        <f ca="1">VLOOKUP($F176,OFFSET(enemy_skill_triggers!$A$1,0,0,COUNTA(enemy_skill_triggers!$A:$A),MATCH(J$1,enemy_skill_triggers!$1:$1,0)-MATCH($F$1,enemy_skill_triggers!$1:$1,0)+1),MATCH(J$1,enemy_skill_triggers!$1:$1,0)-MATCH($F$1,enemy_skill_triggers!$1:$1,0)+1,FALSE)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6" s="97" t="str">
        <f ca="1">VLOOKUP($F176,OFFSET(enemy_skill_triggers!$A$1,0,0,COUNTA(enemy_skill_triggers!$A:$A),MATCH(K$1,enemy_skill_triggers!$1:$1,0)-MATCH($F$1,enemy_skill_triggers!$1:$1,0)+1),MATCH(K$1,enemy_skill_triggers!$1:$1,0)-MATCH($F$1,enemy_skill_triggers!$1:$1,0)+1,FALSE)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6" s="97">
        <f ca="1">VLOOKUP($F176,OFFSET(enemy_skill_triggers!$A$1,0,0,COUNTA(enemy_skill_triggers!$A:$A),MATCH(L$1,enemy_skill_triggers!$1:$1,0)-MATCH($F$1,enemy_skill_triggers!$1:$1,0)+1),MATCH(L$1,enemy_skill_triggers!$1:$1,0)-MATCH($F$1,enemy_skill_triggers!$1:$1,0)+1,FALSE)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6" s="97" t="str">
        <f ca="1">VLOOKUP($F176,OFFSET(enemy_skill_triggers!$A$1,0,0,COUNTA(enemy_skill_triggers!$A:$A),MATCH(M$1,enemy_skill_triggers!$1:$1,0)-MATCH($F$1,enemy_skill_triggers!$1:$1,0)+1),MATCH(M$1,enemy_skill_triggers!$1:$1,0)-MATCH($F$1,enemy_skill_triggers!$1:$1,0)+1,FALSE)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6" s="97">
        <f ca="1">VLOOKUP($F176,OFFSET(enemy_skill_triggers!$A$1,0,0,COUNTA(enemy_skill_triggers!$A:$A),MATCH(N$1,enemy_skill_triggers!$1:$1,0)-MATCH($F$1,enemy_skill_triggers!$1:$1,0)+1),MATCH(N$1,enemy_skill_triggers!$1:$1,0)-MATCH($F$1,enemy_skill_triggers!$1:$1,0)+1,FALSE)</f>
        <v>1336</v>
      </c>
      <c r="O176" s="97">
        <f ca="1">VLOOKUP($F176,OFFSET(enemy_skill_triggers!$A$1,0,0,COUNTA(enemy_skill_triggers!$A:$A),MATCH(O$1,enemy_skill_triggers!$1:$1,0)-MATCH($F$1,enemy_skill_triggers!$1:$1,0)+1),MATCH(O$1,enemy_skill_triggers!$1:$1,0)-MATCH($F$1,enemy_skill_triggers!$1:$1,0)+1,FALSE)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6" s="95"/>
      <c r="Q176" s="95"/>
      <c r="R176" s="95"/>
    </row>
    <row r="177" spans="1:18" s="115" customFormat="1" ht="31" customHeight="1" thickBot="1" x14ac:dyDescent="0.2">
      <c r="A177" s="111" t="str">
        <f t="shared" si="24"/>
        <v>47015340_47015354</v>
      </c>
      <c r="B177" s="195">
        <v>47015340</v>
      </c>
      <c r="C177" s="212">
        <v>47015354</v>
      </c>
      <c r="D177" s="96" t="str">
        <f ca="1">VLOOKUP($C177,OFFSET(enemy_skills!$A$1,0,0,COUNTA(enemy_skills!$A:$A),MATCH(D$1,enemy_skills!$1:$1,0)-MATCH("enemy_skill_id",enemy_skills!$1:$1,0)+1),MATCH(D$1,enemy_skills!$1:$1,0)-MATCH("enemy_skill_id",enemy_skills!$1:$1,0)+1,FALSE)</f>
        <v>”じゅーんぶらいど”という行事らしいですよ！</v>
      </c>
      <c r="E177" s="96" t="str">
        <f ca="1">VLOOKUP($C177,OFFSET(enemy_skills!$A$1,0,0,COUNTA(enemy_skills!$A:$A),MATCH(E$1,enemy_skills!$1:$1,0)-MATCH("enemy_skill_id",enemy_skills!$1:$1,0)+1),MATCH(E$1,enemy_skills!$1:$1,0)-MATCH("enemy_skill_id",enemy_skills!$1:$1,0)+1,FALSE)</f>
        <v>この衣装似合っていますか？_x000D_【状態異常耐性+6ターン攻撃力大UP+_x000D_全ユニットの攻撃力50%DOWN】</v>
      </c>
      <c r="F177" s="212">
        <v>47015354</v>
      </c>
      <c r="G177" s="97">
        <f ca="1">VLOOKUP($F177,OFFSET(enemy_skill_triggers!$A$1,0,0,COUNTA(enemy_skill_triggers!$A:$A),MATCH(G$1,enemy_skill_triggers!$1:$1,0)-MATCH($F$1,enemy_skill_triggers!$1:$1,0)+1),MATCH(G$1,enemy_skill_triggers!$1:$1,0)-MATCH($F$1,enemy_skill_triggers!$1:$1,0)+1,FALSE)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7" s="97">
        <f ca="1">VLOOKUP($F177,OFFSET(enemy_skill_triggers!$A$1,0,0,COUNTA(enemy_skill_triggers!$A:$A),MATCH(H$1,enemy_skill_triggers!$1:$1,0)-MATCH($F$1,enemy_skill_triggers!$1:$1,0)+1),MATCH(H$1,enemy_skill_triggers!$1:$1,0)-MATCH($F$1,enemy_skill_triggers!$1:$1,0)+1,FALSE)</f>
        <v>109</v>
      </c>
      <c r="I177" s="97">
        <f ca="1">VLOOKUP($F177,OFFSET(enemy_skill_triggers!$A$1,0,0,COUNTA(enemy_skill_triggers!$A:$A),MATCH(I$1,enemy_skill_triggers!$1:$1,0)-MATCH($F$1,enemy_skill_triggers!$1:$1,0)+1),MATCH(I$1,enemy_skill_triggers!$1:$1,0)-MATCH($F$1,enemy_skill_triggers!$1:$1,0)+1,FALSE)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7" s="97" t="str">
        <f ca="1">VLOOKUP($F177,OFFSET(enemy_skill_triggers!$A$1,0,0,COUNTA(enemy_skill_triggers!$A:$A),MATCH(J$1,enemy_skill_triggers!$1:$1,0)-MATCH($F$1,enemy_skill_triggers!$1:$1,0)+1),MATCH(J$1,enemy_skill_triggers!$1:$1,0)-MATCH($F$1,enemy_skill_triggers!$1:$1,0)+1,FALSE)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7" s="97" t="str">
        <f ca="1">VLOOKUP($F177,OFFSET(enemy_skill_triggers!$A$1,0,0,COUNTA(enemy_skill_triggers!$A:$A),MATCH(K$1,enemy_skill_triggers!$1:$1,0)-MATCH($F$1,enemy_skill_triggers!$1:$1,0)+1),MATCH(K$1,enemy_skill_triggers!$1:$1,0)-MATCH($F$1,enemy_skill_triggers!$1:$1,0)+1,FALSE)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7" s="97">
        <f ca="1">VLOOKUP($F177,OFFSET(enemy_skill_triggers!$A$1,0,0,COUNTA(enemy_skill_triggers!$A:$A),MATCH(L$1,enemy_skill_triggers!$1:$1,0)-MATCH($F$1,enemy_skill_triggers!$1:$1,0)+1),MATCH(L$1,enemy_skill_triggers!$1:$1,0)-MATCH($F$1,enemy_skill_triggers!$1:$1,0)+1,FALSE)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7" s="97" t="str">
        <f ca="1">VLOOKUP($F177,OFFSET(enemy_skill_triggers!$A$1,0,0,COUNTA(enemy_skill_triggers!$A:$A),MATCH(M$1,enemy_skill_triggers!$1:$1,0)-MATCH($F$1,enemy_skill_triggers!$1:$1,0)+1),MATCH(M$1,enemy_skill_triggers!$1:$1,0)-MATCH($F$1,enemy_skill_triggers!$1:$1,0)+1,FALSE)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7" s="97">
        <f ca="1">VLOOKUP($F177,OFFSET(enemy_skill_triggers!$A$1,0,0,COUNTA(enemy_skill_triggers!$A:$A),MATCH(N$1,enemy_skill_triggers!$1:$1,0)-MATCH($F$1,enemy_skill_triggers!$1:$1,0)+1),MATCH(N$1,enemy_skill_triggers!$1:$1,0)-MATCH($F$1,enemy_skill_triggers!$1:$1,0)+1,FALSE)</f>
        <v>1337</v>
      </c>
      <c r="O177" s="97">
        <f ca="1">VLOOKUP($F177,OFFSET(enemy_skill_triggers!$A$1,0,0,COUNTA(enemy_skill_triggers!$A:$A),MATCH(O$1,enemy_skill_triggers!$1:$1,0)-MATCH($F$1,enemy_skill_triggers!$1:$1,0)+1),MATCH(O$1,enemy_skill_triggers!$1:$1,0)-MATCH($F$1,enemy_skill_triggers!$1:$1,0)+1,FALSE)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7" s="95"/>
      <c r="Q177" s="95"/>
      <c r="R177" s="95"/>
    </row>
    <row r="178" spans="1:18" s="115" customFormat="1" ht="31" customHeight="1" thickBot="1" x14ac:dyDescent="0.2">
      <c r="A178" s="111" t="str">
        <f t="shared" si="24"/>
        <v>47015340_47015355</v>
      </c>
      <c r="B178" s="195">
        <v>47015340</v>
      </c>
      <c r="C178" s="212">
        <v>47015355</v>
      </c>
      <c r="D178" s="96" t="str">
        <f ca="1">VLOOKUP($C178,OFFSET(enemy_skills!$A$1,0,0,COUNTA(enemy_skills!$A:$A),MATCH(D$1,enemy_skills!$1:$1,0)-MATCH("enemy_skill_id",enemy_skills!$1:$1,0)+1),MATCH(D$1,enemy_skills!$1:$1,0)-MATCH("enemy_skill_id",enemy_skills!$1:$1,0)+1,FALSE)</f>
        <v>貴方もこの祭りに参加していたのですね</v>
      </c>
      <c r="E178" s="96" t="str">
        <f ca="1">VLOOKUP($C178,OFFSET(enemy_skills!$A$1,0,0,COUNTA(enemy_skills!$A:$A),MATCH(E$1,enemy_skills!$1:$1,0)-MATCH("enemy_skill_id",enemy_skills!$1:$1,0)+1),MATCH(E$1,enemy_skills!$1:$1,0)-MATCH("enemy_skill_id",enemy_skills!$1:$1,0)+1,FALSE)</f>
        <v>私もたまには羽目を外してもいいですよね？_x000D_【状態異常耐性+6ターン攻撃力大UP+_x000D_全ユニットの攻撃力50%DOWN】</v>
      </c>
      <c r="F178" s="212">
        <v>47015355</v>
      </c>
      <c r="G178" s="97">
        <f ca="1">VLOOKUP($F178,OFFSET(enemy_skill_triggers!$A$1,0,0,COUNTA(enemy_skill_triggers!$A:$A),MATCH(G$1,enemy_skill_triggers!$1:$1,0)-MATCH($F$1,enemy_skill_triggers!$1:$1,0)+1),MATCH(G$1,enemy_skill_triggers!$1:$1,0)-MATCH($F$1,enemy_skill_triggers!$1:$1,0)+1,FALSE)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8" s="97">
        <f ca="1">VLOOKUP($F178,OFFSET(enemy_skill_triggers!$A$1,0,0,COUNTA(enemy_skill_triggers!$A:$A),MATCH(H$1,enemy_skill_triggers!$1:$1,0)-MATCH($F$1,enemy_skill_triggers!$1:$1,0)+1),MATCH(H$1,enemy_skill_triggers!$1:$1,0)-MATCH($F$1,enemy_skill_triggers!$1:$1,0)+1,FALSE)</f>
        <v>108</v>
      </c>
      <c r="I178" s="97">
        <f ca="1">VLOOKUP($F178,OFFSET(enemy_skill_triggers!$A$1,0,0,COUNTA(enemy_skill_triggers!$A:$A),MATCH(I$1,enemy_skill_triggers!$1:$1,0)-MATCH($F$1,enemy_skill_triggers!$1:$1,0)+1),MATCH(I$1,enemy_skill_triggers!$1:$1,0)-MATCH($F$1,enemy_skill_triggers!$1:$1,0)+1,FALSE)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8" s="97" t="str">
        <f ca="1">VLOOKUP($F178,OFFSET(enemy_skill_triggers!$A$1,0,0,COUNTA(enemy_skill_triggers!$A:$A),MATCH(J$1,enemy_skill_triggers!$1:$1,0)-MATCH($F$1,enemy_skill_triggers!$1:$1,0)+1),MATCH(J$1,enemy_skill_triggers!$1:$1,0)-MATCH($F$1,enemy_skill_triggers!$1:$1,0)+1,FALSE)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8" s="97" t="str">
        <f ca="1">VLOOKUP($F178,OFFSET(enemy_skill_triggers!$A$1,0,0,COUNTA(enemy_skill_triggers!$A:$A),MATCH(K$1,enemy_skill_triggers!$1:$1,0)-MATCH($F$1,enemy_skill_triggers!$1:$1,0)+1),MATCH(K$1,enemy_skill_triggers!$1:$1,0)-MATCH($F$1,enemy_skill_triggers!$1:$1,0)+1,FALSE)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8" s="97">
        <f ca="1">VLOOKUP($F178,OFFSET(enemy_skill_triggers!$A$1,0,0,COUNTA(enemy_skill_triggers!$A:$A),MATCH(L$1,enemy_skill_triggers!$1:$1,0)-MATCH($F$1,enemy_skill_triggers!$1:$1,0)+1),MATCH(L$1,enemy_skill_triggers!$1:$1,0)-MATCH($F$1,enemy_skill_triggers!$1:$1,0)+1,FALSE)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8" s="97" t="str">
        <f ca="1">VLOOKUP($F178,OFFSET(enemy_skill_triggers!$A$1,0,0,COUNTA(enemy_skill_triggers!$A:$A),MATCH(M$1,enemy_skill_triggers!$1:$1,0)-MATCH($F$1,enemy_skill_triggers!$1:$1,0)+1),MATCH(M$1,enemy_skill_triggers!$1:$1,0)-MATCH($F$1,enemy_skill_triggers!$1:$1,0)+1,FALSE)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8" s="97">
        <f ca="1">VLOOKUP($F178,OFFSET(enemy_skill_triggers!$A$1,0,0,COUNTA(enemy_skill_triggers!$A:$A),MATCH(N$1,enemy_skill_triggers!$1:$1,0)-MATCH($F$1,enemy_skill_triggers!$1:$1,0)+1),MATCH(N$1,enemy_skill_triggers!$1:$1,0)-MATCH($F$1,enemy_skill_triggers!$1:$1,0)+1,FALSE)</f>
        <v>1330</v>
      </c>
      <c r="O178" s="97">
        <f ca="1">VLOOKUP($F178,OFFSET(enemy_skill_triggers!$A$1,0,0,COUNTA(enemy_skill_triggers!$A:$A),MATCH(O$1,enemy_skill_triggers!$1:$1,0)-MATCH($F$1,enemy_skill_triggers!$1:$1,0)+1),MATCH(O$1,enemy_skill_triggers!$1:$1,0)-MATCH($F$1,enemy_skill_triggers!$1:$1,0)+1,FALSE)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8" s="95"/>
      <c r="Q178" s="95"/>
      <c r="R178" s="95"/>
    </row>
    <row r="179" spans="1:18" s="115" customFormat="1" ht="31" customHeight="1" thickBot="1" x14ac:dyDescent="0.2">
      <c r="A179" s="111" t="str">
        <f t="shared" si="24"/>
        <v>47015340_47015356</v>
      </c>
      <c r="B179" s="195">
        <v>47015340</v>
      </c>
      <c r="C179" s="212">
        <v>47015356</v>
      </c>
      <c r="D179" s="96" t="str">
        <f ca="1">VLOOKUP($C179,OFFSET(enemy_skills!$A$1,0,0,COUNTA(enemy_skills!$A:$A),MATCH(D$1,enemy_skills!$1:$1,0)-MATCH("enemy_skill_id",enemy_skills!$1:$1,0)+1),MATCH(D$1,enemy_skills!$1:$1,0)-MATCH("enemy_skill_id",enemy_skills!$1:$1,0)+1,FALSE)</f>
        <v>貴方もこの祭りに参加していたのですね</v>
      </c>
      <c r="E179" s="96" t="str">
        <f ca="1">VLOOKUP($C179,OFFSET(enemy_skills!$A$1,0,0,COUNTA(enemy_skills!$A:$A),MATCH(E$1,enemy_skills!$1:$1,0)-MATCH("enemy_skill_id",enemy_skills!$1:$1,0)+1),MATCH(E$1,enemy_skills!$1:$1,0)-MATCH("enemy_skill_id",enemy_skills!$1:$1,0)+1,FALSE)</f>
        <v>私もたまには羽目を外してもいいですよね？_x000D_【状態異常耐性+6ターン攻撃力大UP+_x000D_全ユニットの攻撃力50%DOWN】</v>
      </c>
      <c r="F179" s="212">
        <v>47015356</v>
      </c>
      <c r="G179" s="97">
        <f ca="1">VLOOKUP($F179,OFFSET(enemy_skill_triggers!$A$1,0,0,COUNTA(enemy_skill_triggers!$A:$A),MATCH(G$1,enemy_skill_triggers!$1:$1,0)-MATCH($F$1,enemy_skill_triggers!$1:$1,0)+1),MATCH(G$1,enemy_skill_triggers!$1:$1,0)-MATCH($F$1,enemy_skill_triggers!$1:$1,0)+1,FALSE)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9" s="97">
        <f ca="1">VLOOKUP($F179,OFFSET(enemy_skill_triggers!$A$1,0,0,COUNTA(enemy_skill_triggers!$A:$A),MATCH(H$1,enemy_skill_triggers!$1:$1,0)-MATCH($F$1,enemy_skill_triggers!$1:$1,0)+1),MATCH(H$1,enemy_skill_triggers!$1:$1,0)-MATCH($F$1,enemy_skill_triggers!$1:$1,0)+1,FALSE)</f>
        <v>107</v>
      </c>
      <c r="I179" s="97">
        <f ca="1">VLOOKUP($F179,OFFSET(enemy_skill_triggers!$A$1,0,0,COUNTA(enemy_skill_triggers!$A:$A),MATCH(I$1,enemy_skill_triggers!$1:$1,0)-MATCH($F$1,enemy_skill_triggers!$1:$1,0)+1),MATCH(I$1,enemy_skill_triggers!$1:$1,0)-MATCH($F$1,enemy_skill_triggers!$1:$1,0)+1,FALSE)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9" s="97" t="str">
        <f ca="1">VLOOKUP($F179,OFFSET(enemy_skill_triggers!$A$1,0,0,COUNTA(enemy_skill_triggers!$A:$A),MATCH(J$1,enemy_skill_triggers!$1:$1,0)-MATCH($F$1,enemy_skill_triggers!$1:$1,0)+1),MATCH(J$1,enemy_skill_triggers!$1:$1,0)-MATCH($F$1,enemy_skill_triggers!$1:$1,0)+1,FALSE)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9" s="97" t="str">
        <f ca="1">VLOOKUP($F179,OFFSET(enemy_skill_triggers!$A$1,0,0,COUNTA(enemy_skill_triggers!$A:$A),MATCH(K$1,enemy_skill_triggers!$1:$1,0)-MATCH($F$1,enemy_skill_triggers!$1:$1,0)+1),MATCH(K$1,enemy_skill_triggers!$1:$1,0)-MATCH($F$1,enemy_skill_triggers!$1:$1,0)+1,FALSE)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9" s="97">
        <f ca="1">VLOOKUP($F179,OFFSET(enemy_skill_triggers!$A$1,0,0,COUNTA(enemy_skill_triggers!$A:$A),MATCH(L$1,enemy_skill_triggers!$1:$1,0)-MATCH($F$1,enemy_skill_triggers!$1:$1,0)+1),MATCH(L$1,enemy_skill_triggers!$1:$1,0)-MATCH($F$1,enemy_skill_triggers!$1:$1,0)+1,FALSE)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9" s="97" t="str">
        <f ca="1">VLOOKUP($F179,OFFSET(enemy_skill_triggers!$A$1,0,0,COUNTA(enemy_skill_triggers!$A:$A),MATCH(M$1,enemy_skill_triggers!$1:$1,0)-MATCH($F$1,enemy_skill_triggers!$1:$1,0)+1),MATCH(M$1,enemy_skill_triggers!$1:$1,0)-MATCH($F$1,enemy_skill_triggers!$1:$1,0)+1,FALSE)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9" s="97">
        <f ca="1">VLOOKUP($F179,OFFSET(enemy_skill_triggers!$A$1,0,0,COUNTA(enemy_skill_triggers!$A:$A),MATCH(N$1,enemy_skill_triggers!$1:$1,0)-MATCH($F$1,enemy_skill_triggers!$1:$1,0)+1),MATCH(N$1,enemy_skill_triggers!$1:$1,0)-MATCH($F$1,enemy_skill_triggers!$1:$1,0)+1,FALSE)</f>
        <v>1331</v>
      </c>
      <c r="O179" s="97">
        <f ca="1">VLOOKUP($F179,OFFSET(enemy_skill_triggers!$A$1,0,0,COUNTA(enemy_skill_triggers!$A:$A),MATCH(O$1,enemy_skill_triggers!$1:$1,0)-MATCH($F$1,enemy_skill_triggers!$1:$1,0)+1),MATCH(O$1,enemy_skill_triggers!$1:$1,0)-MATCH($F$1,enemy_skill_triggers!$1:$1,0)+1,FALSE)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9" s="95"/>
      <c r="Q179" s="95"/>
      <c r="R179" s="95"/>
    </row>
    <row r="180" spans="1:18" s="115" customFormat="1" ht="31" customHeight="1" thickBot="1" x14ac:dyDescent="0.2">
      <c r="A180" s="111" t="str">
        <f t="shared" ref="A180:A181" si="26">B180&amp;"_"&amp;C180</f>
        <v>47015340_47015357</v>
      </c>
      <c r="B180" s="195">
        <v>47015340</v>
      </c>
      <c r="C180" s="212">
        <v>47015357</v>
      </c>
      <c r="D180" s="96" t="str">
        <f ca="1">VLOOKUP($C180,OFFSET(enemy_skills!$A$1,0,0,COUNTA(enemy_skills!$A:$A),MATCH(D$1,enemy_skills!$1:$1,0)-MATCH("enemy_skill_id",enemy_skills!$1:$1,0)+1),MATCH(D$1,enemy_skills!$1:$1,0)-MATCH("enemy_skill_id",enemy_skills!$1:$1,0)+1,FALSE)</f>
        <v>貴方もこの祭りに参加していたのですね</v>
      </c>
      <c r="E180" s="96" t="str">
        <f ca="1">VLOOKUP($C180,OFFSET(enemy_skills!$A$1,0,0,COUNTA(enemy_skills!$A:$A),MATCH(E$1,enemy_skills!$1:$1,0)-MATCH("enemy_skill_id",enemy_skills!$1:$1,0)+1),MATCH(E$1,enemy_skills!$1:$1,0)-MATCH("enemy_skill_id",enemy_skills!$1:$1,0)+1,FALSE)</f>
        <v>私もたまには羽目を外してもいいですよね？_x000D_【状態異常耐性+6ターン攻撃力大UP+_x000D_全ユニットの攻撃力50%DOWN】</v>
      </c>
      <c r="F180" s="212">
        <v>47015357</v>
      </c>
      <c r="G180" s="97">
        <f ca="1">VLOOKUP($F180,OFFSET(enemy_skill_triggers!$A$1,0,0,COUNTA(enemy_skill_triggers!$A:$A),MATCH(G$1,enemy_skill_triggers!$1:$1,0)-MATCH($F$1,enemy_skill_triggers!$1:$1,0)+1),MATCH(G$1,enemy_skill_triggers!$1:$1,0)-MATCH($F$1,enemy_skill_triggers!$1:$1,0)+1,FALSE)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0" s="97">
        <f ca="1">VLOOKUP($F180,OFFSET(enemy_skill_triggers!$A$1,0,0,COUNTA(enemy_skill_triggers!$A:$A),MATCH(H$1,enemy_skill_triggers!$1:$1,0)-MATCH($F$1,enemy_skill_triggers!$1:$1,0)+1),MATCH(H$1,enemy_skill_triggers!$1:$1,0)-MATCH($F$1,enemy_skill_triggers!$1:$1,0)+1,FALSE)</f>
        <v>106</v>
      </c>
      <c r="I180" s="97">
        <f ca="1">VLOOKUP($F180,OFFSET(enemy_skill_triggers!$A$1,0,0,COUNTA(enemy_skill_triggers!$A:$A),MATCH(I$1,enemy_skill_triggers!$1:$1,0)-MATCH($F$1,enemy_skill_triggers!$1:$1,0)+1),MATCH(I$1,enemy_skill_triggers!$1:$1,0)-MATCH($F$1,enemy_skill_triggers!$1:$1,0)+1,FALSE)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0" s="97" t="str">
        <f ca="1">VLOOKUP($F180,OFFSET(enemy_skill_triggers!$A$1,0,0,COUNTA(enemy_skill_triggers!$A:$A),MATCH(J$1,enemy_skill_triggers!$1:$1,0)-MATCH($F$1,enemy_skill_triggers!$1:$1,0)+1),MATCH(J$1,enemy_skill_triggers!$1:$1,0)-MATCH($F$1,enemy_skill_triggers!$1:$1,0)+1,FALSE)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0" s="97" t="str">
        <f ca="1">VLOOKUP($F180,OFFSET(enemy_skill_triggers!$A$1,0,0,COUNTA(enemy_skill_triggers!$A:$A),MATCH(K$1,enemy_skill_triggers!$1:$1,0)-MATCH($F$1,enemy_skill_triggers!$1:$1,0)+1),MATCH(K$1,enemy_skill_triggers!$1:$1,0)-MATCH($F$1,enemy_skill_triggers!$1:$1,0)+1,FALSE)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0" s="97">
        <f ca="1">VLOOKUP($F180,OFFSET(enemy_skill_triggers!$A$1,0,0,COUNTA(enemy_skill_triggers!$A:$A),MATCH(L$1,enemy_skill_triggers!$1:$1,0)-MATCH($F$1,enemy_skill_triggers!$1:$1,0)+1),MATCH(L$1,enemy_skill_triggers!$1:$1,0)-MATCH($F$1,enemy_skill_triggers!$1:$1,0)+1,FALSE)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0" s="97" t="str">
        <f ca="1">VLOOKUP($F180,OFFSET(enemy_skill_triggers!$A$1,0,0,COUNTA(enemy_skill_triggers!$A:$A),MATCH(M$1,enemy_skill_triggers!$1:$1,0)-MATCH($F$1,enemy_skill_triggers!$1:$1,0)+1),MATCH(M$1,enemy_skill_triggers!$1:$1,0)-MATCH($F$1,enemy_skill_triggers!$1:$1,0)+1,FALSE)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0" s="97">
        <f ca="1">VLOOKUP($F180,OFFSET(enemy_skill_triggers!$A$1,0,0,COUNTA(enemy_skill_triggers!$A:$A),MATCH(N$1,enemy_skill_triggers!$1:$1,0)-MATCH($F$1,enemy_skill_triggers!$1:$1,0)+1),MATCH(N$1,enemy_skill_triggers!$1:$1,0)-MATCH($F$1,enemy_skill_triggers!$1:$1,0)+1,FALSE)</f>
        <v>756</v>
      </c>
      <c r="O180" s="97">
        <f ca="1">VLOOKUP($F180,OFFSET(enemy_skill_triggers!$A$1,0,0,COUNTA(enemy_skill_triggers!$A:$A),MATCH(O$1,enemy_skill_triggers!$1:$1,0)-MATCH($F$1,enemy_skill_triggers!$1:$1,0)+1),MATCH(O$1,enemy_skill_triggers!$1:$1,0)-MATCH($F$1,enemy_skill_triggers!$1:$1,0)+1,FALSE)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0" s="95"/>
      <c r="Q180" s="95"/>
      <c r="R180" s="95"/>
    </row>
    <row r="181" spans="1:18" s="115" customFormat="1" ht="31" customHeight="1" thickBot="1" x14ac:dyDescent="0.2">
      <c r="A181" s="111" t="str">
        <f t="shared" si="26"/>
        <v>47015340_47015358</v>
      </c>
      <c r="B181" s="195">
        <v>47015340</v>
      </c>
      <c r="C181" s="212">
        <v>47015358</v>
      </c>
      <c r="D181" s="96" t="str">
        <f ca="1">VLOOKUP($C181,OFFSET(enemy_skills!$A$1,0,0,COUNTA(enemy_skills!$A:$A),MATCH(D$1,enemy_skills!$1:$1,0)-MATCH("enemy_skill_id",enemy_skills!$1:$1,0)+1),MATCH(D$1,enemy_skills!$1:$1,0)-MATCH("enemy_skill_id",enemy_skills!$1:$1,0)+1,FALSE)</f>
        <v>貴方もこの祭りに参加していたのですね</v>
      </c>
      <c r="E181" s="96" t="str">
        <f ca="1">VLOOKUP($C181,OFFSET(enemy_skills!$A$1,0,0,COUNTA(enemy_skills!$A:$A),MATCH(E$1,enemy_skills!$1:$1,0)-MATCH("enemy_skill_id",enemy_skills!$1:$1,0)+1),MATCH(E$1,enemy_skills!$1:$1,0)-MATCH("enemy_skill_id",enemy_skills!$1:$1,0)+1,FALSE)</f>
        <v>私もたまには羽目を外してもいいですよね？_x000D_【状態異常耐性+6ターン攻撃力大UP+_x000D_全ユニットの攻撃力50%DOWN】</v>
      </c>
      <c r="F181" s="212">
        <v>47015358</v>
      </c>
      <c r="G181" s="97">
        <f ca="1">VLOOKUP($F181,OFFSET(enemy_skill_triggers!$A$1,0,0,COUNTA(enemy_skill_triggers!$A:$A),MATCH(G$1,enemy_skill_triggers!$1:$1,0)-MATCH($F$1,enemy_skill_triggers!$1:$1,0)+1),MATCH(G$1,enemy_skill_triggers!$1:$1,0)-MATCH($F$1,enemy_skill_triggers!$1:$1,0)+1,FALSE)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1" s="97">
        <f ca="1">VLOOKUP($F181,OFFSET(enemy_skill_triggers!$A$1,0,0,COUNTA(enemy_skill_triggers!$A:$A),MATCH(H$1,enemy_skill_triggers!$1:$1,0)-MATCH($F$1,enemy_skill_triggers!$1:$1,0)+1),MATCH(H$1,enemy_skill_triggers!$1:$1,0)-MATCH($F$1,enemy_skill_triggers!$1:$1,0)+1,FALSE)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181" s="97">
        <f ca="1">VLOOKUP($F181,OFFSET(enemy_skill_triggers!$A$1,0,0,COUNTA(enemy_skill_triggers!$A:$A),MATCH(I$1,enemy_skill_triggers!$1:$1,0)-MATCH($F$1,enemy_skill_triggers!$1:$1,0)+1),MATCH(I$1,enemy_skill_triggers!$1:$1,0)-MATCH($F$1,enemy_skill_triggers!$1:$1,0)+1,FALSE)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1" s="97" t="str">
        <f ca="1">VLOOKUP($F181,OFFSET(enemy_skill_triggers!$A$1,0,0,COUNTA(enemy_skill_triggers!$A:$A),MATCH(J$1,enemy_skill_triggers!$1:$1,0)-MATCH($F$1,enemy_skill_triggers!$1:$1,0)+1),MATCH(J$1,enemy_skill_triggers!$1:$1,0)-MATCH($F$1,enemy_skill_triggers!$1:$1,0)+1,FALSE)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1" s="97" t="str">
        <f ca="1">VLOOKUP($F181,OFFSET(enemy_skill_triggers!$A$1,0,0,COUNTA(enemy_skill_triggers!$A:$A),MATCH(K$1,enemy_skill_triggers!$1:$1,0)-MATCH($F$1,enemy_skill_triggers!$1:$1,0)+1),MATCH(K$1,enemy_skill_triggers!$1:$1,0)-MATCH($F$1,enemy_skill_triggers!$1:$1,0)+1,FALSE)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1" s="97">
        <f ca="1">VLOOKUP($F181,OFFSET(enemy_skill_triggers!$A$1,0,0,COUNTA(enemy_skill_triggers!$A:$A),MATCH(L$1,enemy_skill_triggers!$1:$1,0)-MATCH($F$1,enemy_skill_triggers!$1:$1,0)+1),MATCH(L$1,enemy_skill_triggers!$1:$1,0)-MATCH($F$1,enemy_skill_triggers!$1:$1,0)+1,FALSE)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1" s="97" t="str">
        <f ca="1">VLOOKUP($F181,OFFSET(enemy_skill_triggers!$A$1,0,0,COUNTA(enemy_skill_triggers!$A:$A),MATCH(M$1,enemy_skill_triggers!$1:$1,0)-MATCH($F$1,enemy_skill_triggers!$1:$1,0)+1),MATCH(M$1,enemy_skill_triggers!$1:$1,0)-MATCH($F$1,enemy_skill_triggers!$1:$1,0)+1,FALSE)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1" s="97">
        <f ca="1">VLOOKUP($F181,OFFSET(enemy_skill_triggers!$A$1,0,0,COUNTA(enemy_skill_triggers!$A:$A),MATCH(N$1,enemy_skill_triggers!$1:$1,0)-MATCH($F$1,enemy_skill_triggers!$1:$1,0)+1),MATCH(N$1,enemy_skill_triggers!$1:$1,0)-MATCH($F$1,enemy_skill_triggers!$1:$1,0)+1,FALSE)</f>
        <v>757</v>
      </c>
      <c r="O181" s="97">
        <f ca="1">VLOOKUP($F181,OFFSET(enemy_skill_triggers!$A$1,0,0,COUNTA(enemy_skill_triggers!$A:$A),MATCH(O$1,enemy_skill_triggers!$1:$1,0)-MATCH($F$1,enemy_skill_triggers!$1:$1,0)+1),MATCH(O$1,enemy_skill_triggers!$1:$1,0)-MATCH($F$1,enemy_skill_triggers!$1:$1,0)+1,FALSE)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1" s="95"/>
      <c r="Q181" s="95"/>
      <c r="R181" s="95"/>
    </row>
    <row r="182" spans="1:18" s="115" customFormat="1" ht="31" customHeight="1" thickBot="1" x14ac:dyDescent="0.2">
      <c r="A182" s="111" t="str">
        <f t="shared" si="24"/>
        <v>47015360_47015360</v>
      </c>
      <c r="B182" s="106">
        <v>47015360</v>
      </c>
      <c r="C182" s="213">
        <v>47015360</v>
      </c>
      <c r="D182" s="96" t="str">
        <f ca="1">VLOOKUP($C182,OFFSET(enemy_skills!$A$1,0,0,COUNTA(enemy_skills!$A:$A),MATCH(D$1,enemy_skills!$1:$1,0)-MATCH("enemy_skill_id",enemy_skills!$1:$1,0)+1),MATCH(D$1,enemy_skills!$1:$1,0)-MATCH("enemy_skill_id",enemy_skills!$1:$1,0)+1,FALSE)</f>
        <v>少し本気を出しましょうか</v>
      </c>
      <c r="E182" s="96" t="str">
        <f ca="1">VLOOKUP($C182,OFFSET(enemy_skills!$A$1,0,0,COUNTA(enemy_skills!$A:$A),MATCH(E$1,enemy_skills!$1:$1,0)-MATCH("enemy_skill_id",enemy_skills!$1:$1,0)+1),MATCH(E$1,enemy_skills!$1:$1,0)-MATCH("enemy_skill_id",enemy_skills!$1:$1,0)+1,FALSE)</f>
        <v>状態異常耐性+_x000D_5ターン確率でCパネルがドロップ+_x000D_属性パネルを緑のダメージパネルに5個変換</v>
      </c>
      <c r="F182" s="213">
        <v>47015360</v>
      </c>
      <c r="G182" s="97">
        <f ca="1">VLOOKUP($F182,OFFSET(enemy_skill_triggers!$A$1,0,0,COUNTA(enemy_skill_triggers!$A:$A),MATCH(G$1,enemy_skill_triggers!$1:$1,0)-MATCH($F$1,enemy_skill_triggers!$1:$1,0)+1),MATCH(G$1,enemy_skill_triggers!$1:$1,0)-MATCH($F$1,enemy_skill_triggers!$1:$1,0)+1,FALSE)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2" s="97">
        <f ca="1">VLOOKUP($F182,OFFSET(enemy_skill_triggers!$A$1,0,0,COUNTA(enemy_skill_triggers!$A:$A),MATCH(H$1,enemy_skill_triggers!$1:$1,0)-MATCH($F$1,enemy_skill_triggers!$1:$1,0)+1),MATCH(H$1,enemy_skill_triggers!$1:$1,0)-MATCH($F$1,enemy_skill_triggers!$1:$1,0)+1,FALSE)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82" s="97">
        <f ca="1">VLOOKUP($F182,OFFSET(enemy_skill_triggers!$A$1,0,0,COUNTA(enemy_skill_triggers!$A:$A),MATCH(I$1,enemy_skill_triggers!$1:$1,0)-MATCH($F$1,enemy_skill_triggers!$1:$1,0)+1),MATCH(I$1,enemy_skill_triggers!$1:$1,0)-MATCH($F$1,enemy_skill_triggers!$1:$1,0)+1,FALSE)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2" s="97" t="str">
        <f ca="1">VLOOKUP($F182,OFFSET(enemy_skill_triggers!$A$1,0,0,COUNTA(enemy_skill_triggers!$A:$A),MATCH(J$1,enemy_skill_triggers!$1:$1,0)-MATCH($F$1,enemy_skill_triggers!$1:$1,0)+1),MATCH(J$1,enemy_skill_triggers!$1:$1,0)-MATCH($F$1,enemy_skill_triggers!$1:$1,0)+1,FALSE)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2" s="97" t="str">
        <f ca="1">VLOOKUP($F182,OFFSET(enemy_skill_triggers!$A$1,0,0,COUNTA(enemy_skill_triggers!$A:$A),MATCH(K$1,enemy_skill_triggers!$1:$1,0)-MATCH($F$1,enemy_skill_triggers!$1:$1,0)+1),MATCH(K$1,enemy_skill_triggers!$1:$1,0)-MATCH($F$1,enemy_skill_triggers!$1:$1,0)+1,FALSE)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2" s="97">
        <f ca="1">VLOOKUP($F182,OFFSET(enemy_skill_triggers!$A$1,0,0,COUNTA(enemy_skill_triggers!$A:$A),MATCH(L$1,enemy_skill_triggers!$1:$1,0)-MATCH($F$1,enemy_skill_triggers!$1:$1,0)+1),MATCH(L$1,enemy_skill_triggers!$1:$1,0)-MATCH($F$1,enemy_skill_triggers!$1:$1,0)+1,FALSE)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2" s="97" t="str">
        <f ca="1">VLOOKUP($F182,OFFSET(enemy_skill_triggers!$A$1,0,0,COUNTA(enemy_skill_triggers!$A:$A),MATCH(M$1,enemy_skill_triggers!$1:$1,0)-MATCH($F$1,enemy_skill_triggers!$1:$1,0)+1),MATCH(M$1,enemy_skill_triggers!$1:$1,0)-MATCH($F$1,enemy_skill_triggers!$1:$1,0)+1,FALSE)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2" s="97" t="str">
        <f ca="1">VLOOKUP($F182,OFFSET(enemy_skill_triggers!$A$1,0,0,COUNTA(enemy_skill_triggers!$A:$A),MATCH(N$1,enemy_skill_triggers!$1:$1,0)-MATCH($F$1,enemy_skill_triggers!$1:$1,0)+1),MATCH(N$1,enemy_skill_triggers!$1:$1,0)-MATCH($F$1,enemy_skill_triggers!$1:$1,0)+1,FALSE)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2" s="97">
        <f ca="1">VLOOKUP($F182,OFFSET(enemy_skill_triggers!$A$1,0,0,COUNTA(enemy_skill_triggers!$A:$A),MATCH(O$1,enemy_skill_triggers!$1:$1,0)-MATCH($F$1,enemy_skill_triggers!$1:$1,0)+1),MATCH(O$1,enemy_skill_triggers!$1:$1,0)-MATCH($F$1,enemy_skill_triggers!$1:$1,0)+1,FALSE)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2" s="95"/>
      <c r="Q182" s="95"/>
      <c r="R182" s="95"/>
    </row>
    <row r="183" spans="1:18" ht="31" customHeight="1" thickBot="1" x14ac:dyDescent="0.2">
      <c r="A183" s="103" t="str">
        <f t="shared" si="24"/>
        <v>47015360_47015361</v>
      </c>
      <c r="B183" s="106">
        <v>47015360</v>
      </c>
      <c r="C183" s="213">
        <v>47015361</v>
      </c>
      <c r="D183" s="39" t="str">
        <f ca="1">VLOOKUP($C183,OFFSET(enemy_skills!$A$1,0,0,COUNTA(enemy_skills!$A:$A),MATCH(D$1,enemy_skills!$1:$1,0)-MATCH("enemy_skill_id",enemy_skills!$1:$1,0)+1),MATCH(D$1,enemy_skills!$1:$1,0)-MATCH("enemy_skill_id",enemy_skills!$1:$1,0)+1,FALSE)</f>
        <v>花嫁の嗜み</v>
      </c>
      <c r="E183" s="39" t="str">
        <f ca="1">VLOOKUP($C183,OFFSET(enemy_skills!$A$1,0,0,COUNTA(enemy_skills!$A:$A),MATCH(E$1,enemy_skills!$1:$1,0)-MATCH("enemy_skill_id",enemy_skills!$1:$1,0)+1),MATCH(E$1,enemy_skills!$1:$1,0)-MATCH("enemy_skill_id",enemy_skills!$1:$1,0)+1,FALSE)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83" s="213">
        <v>47015361</v>
      </c>
      <c r="G183" s="41">
        <f ca="1">VLOOKUP($F183,OFFSET(enemy_skill_triggers!$A$1,0,0,COUNTA(enemy_skill_triggers!$A:$A),MATCH(G$1,enemy_skill_triggers!$1:$1,0)-MATCH($F$1,enemy_skill_triggers!$1:$1,0)+1),MATCH(G$1,enemy_skill_triggers!$1:$1,0)-MATCH($F$1,enemy_skill_triggers!$1:$1,0)+1,FALSE)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3" s="41">
        <f ca="1">VLOOKUP($F183,OFFSET(enemy_skill_triggers!$A$1,0,0,COUNTA(enemy_skill_triggers!$A:$A),MATCH(H$1,enemy_skill_triggers!$1:$1,0)-MATCH($F$1,enemy_skill_triggers!$1:$1,0)+1),MATCH(H$1,enemy_skill_triggers!$1:$1,0)-MATCH($F$1,enemy_skill_triggers!$1:$1,0)+1,FALSE)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83" s="41">
        <f ca="1">VLOOKUP($F183,OFFSET(enemy_skill_triggers!$A$1,0,0,COUNTA(enemy_skill_triggers!$A:$A),MATCH(I$1,enemy_skill_triggers!$1:$1,0)-MATCH($F$1,enemy_skill_triggers!$1:$1,0)+1),MATCH(I$1,enemy_skill_triggers!$1:$1,0)-MATCH($F$1,enemy_skill_triggers!$1:$1,0)+1,FALSE)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83" s="41" t="str">
        <f ca="1">VLOOKUP($F183,OFFSET(enemy_skill_triggers!$A$1,0,0,COUNTA(enemy_skill_triggers!$A:$A),MATCH(J$1,enemy_skill_triggers!$1:$1,0)-MATCH($F$1,enemy_skill_triggers!$1:$1,0)+1),MATCH(J$1,enemy_skill_triggers!$1:$1,0)-MATCH($F$1,enemy_skill_triggers!$1:$1,0)+1,FALSE)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3" s="41" t="str">
        <f ca="1">VLOOKUP($F183,OFFSET(enemy_skill_triggers!$A$1,0,0,COUNTA(enemy_skill_triggers!$A:$A),MATCH(K$1,enemy_skill_triggers!$1:$1,0)-MATCH($F$1,enemy_skill_triggers!$1:$1,0)+1),MATCH(K$1,enemy_skill_triggers!$1:$1,0)-MATCH($F$1,enemy_skill_triggers!$1:$1,0)+1,FALSE)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3" s="41" t="str">
        <f ca="1">VLOOKUP($F183,OFFSET(enemy_skill_triggers!$A$1,0,0,COUNTA(enemy_skill_triggers!$A:$A),MATCH(L$1,enemy_skill_triggers!$1:$1,0)-MATCH($F$1,enemy_skill_triggers!$1:$1,0)+1),MATCH(L$1,enemy_skill_triggers!$1:$1,0)-MATCH($F$1,enemy_skill_triggers!$1:$1,0)+1,FALSE)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3" s="41" t="str">
        <f ca="1">VLOOKUP($F183,OFFSET(enemy_skill_triggers!$A$1,0,0,COUNTA(enemy_skill_triggers!$A:$A),MATCH(M$1,enemy_skill_triggers!$1:$1,0)-MATCH($F$1,enemy_skill_triggers!$1:$1,0)+1),MATCH(M$1,enemy_skill_triggers!$1:$1,0)-MATCH($F$1,enemy_skill_triggers!$1:$1,0)+1,FALSE)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3" s="41" t="str">
        <f ca="1">VLOOKUP($F183,OFFSET(enemy_skill_triggers!$A$1,0,0,COUNTA(enemy_skill_triggers!$A:$A),MATCH(N$1,enemy_skill_triggers!$1:$1,0)-MATCH($F$1,enemy_skill_triggers!$1:$1,0)+1),MATCH(N$1,enemy_skill_triggers!$1:$1,0)-MATCH($F$1,enemy_skill_triggers!$1:$1,0)+1,FALSE)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3" s="41">
        <f ca="1">VLOOKUP($F183,OFFSET(enemy_skill_triggers!$A$1,0,0,COUNTA(enemy_skill_triggers!$A:$A),MATCH(O$1,enemy_skill_triggers!$1:$1,0)-MATCH($F$1,enemy_skill_triggers!$1:$1,0)+1),MATCH(O$1,enemy_skill_triggers!$1:$1,0)-MATCH($F$1,enemy_skill_triggers!$1:$1,0)+1,FALSE)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83" s="40"/>
      <c r="Q183" s="40"/>
      <c r="R183" s="40"/>
    </row>
    <row r="184" spans="1:18" s="110" customFormat="1" ht="31" customHeight="1" thickBot="1" x14ac:dyDescent="0.2">
      <c r="A184" s="123" t="str">
        <f t="shared" si="24"/>
        <v>47015360_47015362</v>
      </c>
      <c r="B184" s="106">
        <v>47015360</v>
      </c>
      <c r="C184" s="213">
        <v>47015362</v>
      </c>
      <c r="D184" s="39" t="str">
        <f ca="1">VLOOKUP($C184,OFFSET(enemy_skills!$A$1,0,0,COUNTA(enemy_skills!$A:$A),MATCH(D$1,enemy_skills!$1:$1,0)-MATCH("enemy_skill_id",enemy_skills!$1:$1,0)+1),MATCH(D$1,enemy_skills!$1:$1,0)-MATCH("enemy_skill_id",enemy_skills!$1:$1,0)+1,FALSE)</f>
        <v>美しい花には棘があるのですよ</v>
      </c>
      <c r="E184" s="39" t="str">
        <f ca="1">VLOOKUP($C184,OFFSET(enemy_skills!$A$1,0,0,COUNTA(enemy_skills!$A:$A),MATCH(E$1,enemy_skills!$1:$1,0)-MATCH("enemy_skill_id",enemy_skills!$1:$1,0)+1),MATCH(E$1,enemy_skills!$1:$1,0)-MATCH("enemy_skill_id",enemy_skills!$1:$1,0)+1,FALSE)</f>
        <v>Cパネルを吸収して攻撃+_x000D_ランダムで緑のダメージパネルに最大1個変換</v>
      </c>
      <c r="F184" s="213">
        <v>47015362</v>
      </c>
      <c r="G184" s="94">
        <f ca="1">VLOOKUP($F184,OFFSET(enemy_skill_triggers!$A$1,0,0,COUNTA(enemy_skill_triggers!$A:$A),MATCH(G$1,enemy_skill_triggers!$1:$1,0)-MATCH($F$1,enemy_skill_triggers!$1:$1,0)+1),MATCH(G$1,enemy_skill_triggers!$1:$1,0)-MATCH($F$1,enemy_skill_triggers!$1:$1,0)+1,FALSE)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4" s="94">
        <f ca="1">VLOOKUP($F184,OFFSET(enemy_skill_triggers!$A$1,0,0,COUNTA(enemy_skill_triggers!$A:$A),MATCH(H$1,enemy_skill_triggers!$1:$1,0)-MATCH($F$1,enemy_skill_triggers!$1:$1,0)+1),MATCH(H$1,enemy_skill_triggers!$1:$1,0)-MATCH($F$1,enemy_skill_triggers!$1:$1,0)+1,FALSE)</f>
        <v>45</v>
      </c>
      <c r="I184" s="94">
        <f ca="1">VLOOKUP($F184,OFFSET(enemy_skill_triggers!$A$1,0,0,COUNTA(enemy_skill_triggers!$A:$A),MATCH(I$1,enemy_skill_triggers!$1:$1,0)-MATCH($F$1,enemy_skill_triggers!$1:$1,0)+1),MATCH(I$1,enemy_skill_triggers!$1:$1,0)-MATCH($F$1,enemy_skill_triggers!$1:$1,0)+1,FALSE)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84" s="94" t="str">
        <f ca="1">VLOOKUP($F184,OFFSET(enemy_skill_triggers!$A$1,0,0,COUNTA(enemy_skill_triggers!$A:$A),MATCH(J$1,enemy_skill_triggers!$1:$1,0)-MATCH($F$1,enemy_skill_triggers!$1:$1,0)+1),MATCH(J$1,enemy_skill_triggers!$1:$1,0)-MATCH($F$1,enemy_skill_triggers!$1:$1,0)+1,FALSE)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4" s="94" t="str">
        <f ca="1">VLOOKUP($F184,OFFSET(enemy_skill_triggers!$A$1,0,0,COUNTA(enemy_skill_triggers!$A:$A),MATCH(K$1,enemy_skill_triggers!$1:$1,0)-MATCH($F$1,enemy_skill_triggers!$1:$1,0)+1),MATCH(K$1,enemy_skill_triggers!$1:$1,0)-MATCH($F$1,enemy_skill_triggers!$1:$1,0)+1,FALSE)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4" s="94" t="str">
        <f ca="1">VLOOKUP($F184,OFFSET(enemy_skill_triggers!$A$1,0,0,COUNTA(enemy_skill_triggers!$A:$A),MATCH(L$1,enemy_skill_triggers!$1:$1,0)-MATCH($F$1,enemy_skill_triggers!$1:$1,0)+1),MATCH(L$1,enemy_skill_triggers!$1:$1,0)-MATCH($F$1,enemy_skill_triggers!$1:$1,0)+1,FALSE)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4" s="94" t="str">
        <f ca="1">VLOOKUP($F184,OFFSET(enemy_skill_triggers!$A$1,0,0,COUNTA(enemy_skill_triggers!$A:$A),MATCH(M$1,enemy_skill_triggers!$1:$1,0)-MATCH($F$1,enemy_skill_triggers!$1:$1,0)+1),MATCH(M$1,enemy_skill_triggers!$1:$1,0)-MATCH($F$1,enemy_skill_triggers!$1:$1,0)+1,FALSE)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4" s="94" t="str">
        <f ca="1">VLOOKUP($F184,OFFSET(enemy_skill_triggers!$A$1,0,0,COUNTA(enemy_skill_triggers!$A:$A),MATCH(N$1,enemy_skill_triggers!$1:$1,0)-MATCH($F$1,enemy_skill_triggers!$1:$1,0)+1),MATCH(N$1,enemy_skill_triggers!$1:$1,0)-MATCH($F$1,enemy_skill_triggers!$1:$1,0)+1,FALSE)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4" s="94">
        <f ca="1">VLOOKUP($F184,OFFSET(enemy_skill_triggers!$A$1,0,0,COUNTA(enemy_skill_triggers!$A:$A),MATCH(O$1,enemy_skill_triggers!$1:$1,0)-MATCH($F$1,enemy_skill_triggers!$1:$1,0)+1),MATCH(O$1,enemy_skill_triggers!$1:$1,0)-MATCH($F$1,enemy_skill_triggers!$1:$1,0)+1,FALSE)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84" s="92"/>
      <c r="Q184" s="92"/>
      <c r="R184" s="92"/>
    </row>
    <row r="185" spans="1:18" ht="31" customHeight="1" thickBot="1" x14ac:dyDescent="0.2">
      <c r="A185" s="103" t="str">
        <f t="shared" si="24"/>
        <v>47015360_47015363</v>
      </c>
      <c r="B185" s="106">
        <v>47015360</v>
      </c>
      <c r="C185" s="213">
        <v>47015363</v>
      </c>
      <c r="D185" s="39" t="str">
        <f ca="1">VLOOKUP($C185,OFFSET(enemy_skills!$A$1,0,0,COUNTA(enemy_skills!$A:$A),MATCH(D$1,enemy_skills!$1:$1,0)-MATCH("enemy_skill_id",enemy_skills!$1:$1,0)+1),MATCH(D$1,enemy_skills!$1:$1,0)-MATCH("enemy_skill_id",enemy_skills!$1:$1,0)+1,FALSE)</f>
        <v>少し楽しくなってきました</v>
      </c>
      <c r="E185" s="39" t="str">
        <f ca="1">VLOOKUP($C185,OFFSET(enemy_skills!$A$1,0,0,COUNTA(enemy_skills!$A:$A),MATCH(E$1,enemy_skills!$1:$1,0)-MATCH("enemy_skill_id",enemy_skills!$1:$1,0)+1),MATCH(E$1,enemy_skills!$1:$1,0)-MATCH("enemy_skill_id",enemy_skills!$1:$1,0)+1,FALSE)</f>
        <v>ハートパネルを吸収して回復+_x000D_4ターン全ユニットの回復力20％DOWN</v>
      </c>
      <c r="F185" s="213">
        <v>47015363</v>
      </c>
      <c r="G185" s="41">
        <f ca="1">VLOOKUP($F185,OFFSET(enemy_skill_triggers!$A$1,0,0,COUNTA(enemy_skill_triggers!$A:$A),MATCH(G$1,enemy_skill_triggers!$1:$1,0)-MATCH($F$1,enemy_skill_triggers!$1:$1,0)+1),MATCH(G$1,enemy_skill_triggers!$1:$1,0)-MATCH($F$1,enemy_skill_triggers!$1:$1,0)+1,FALSE)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5" s="41">
        <f ca="1">VLOOKUP($F185,OFFSET(enemy_skill_triggers!$A$1,0,0,COUNTA(enemy_skill_triggers!$A:$A),MATCH(H$1,enemy_skill_triggers!$1:$1,0)-MATCH($F$1,enemy_skill_triggers!$1:$1,0)+1),MATCH(H$1,enemy_skill_triggers!$1:$1,0)-MATCH($F$1,enemy_skill_triggers!$1:$1,0)+1,FALSE)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85" s="41">
        <f ca="1">VLOOKUP($F185,OFFSET(enemy_skill_triggers!$A$1,0,0,COUNTA(enemy_skill_triggers!$A:$A),MATCH(I$1,enemy_skill_triggers!$1:$1,0)-MATCH($F$1,enemy_skill_triggers!$1:$1,0)+1),MATCH(I$1,enemy_skill_triggers!$1:$1,0)-MATCH($F$1,enemy_skill_triggers!$1:$1,0)+1,FALSE)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85" s="41" t="str">
        <f ca="1">VLOOKUP($F185,OFFSET(enemy_skill_triggers!$A$1,0,0,COUNTA(enemy_skill_triggers!$A:$A),MATCH(J$1,enemy_skill_triggers!$1:$1,0)-MATCH($F$1,enemy_skill_triggers!$1:$1,0)+1),MATCH(J$1,enemy_skill_triggers!$1:$1,0)-MATCH($F$1,enemy_skill_triggers!$1:$1,0)+1,FALSE)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5" s="41" t="str">
        <f ca="1">VLOOKUP($F185,OFFSET(enemy_skill_triggers!$A$1,0,0,COUNTA(enemy_skill_triggers!$A:$A),MATCH(K$1,enemy_skill_triggers!$1:$1,0)-MATCH($F$1,enemy_skill_triggers!$1:$1,0)+1),MATCH(K$1,enemy_skill_triggers!$1:$1,0)-MATCH($F$1,enemy_skill_triggers!$1:$1,0)+1,FALSE)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5" s="41" t="str">
        <f ca="1">VLOOKUP($F185,OFFSET(enemy_skill_triggers!$A$1,0,0,COUNTA(enemy_skill_triggers!$A:$A),MATCH(L$1,enemy_skill_triggers!$1:$1,0)-MATCH($F$1,enemy_skill_triggers!$1:$1,0)+1),MATCH(L$1,enemy_skill_triggers!$1:$1,0)-MATCH($F$1,enemy_skill_triggers!$1:$1,0)+1,FALSE)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5" s="41" t="str">
        <f ca="1">VLOOKUP($F185,OFFSET(enemy_skill_triggers!$A$1,0,0,COUNTA(enemy_skill_triggers!$A:$A),MATCH(M$1,enemy_skill_triggers!$1:$1,0)-MATCH($F$1,enemy_skill_triggers!$1:$1,0)+1),MATCH(M$1,enemy_skill_triggers!$1:$1,0)-MATCH($F$1,enemy_skill_triggers!$1:$1,0)+1,FALSE)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5" s="41" t="str">
        <f ca="1">VLOOKUP($F185,OFFSET(enemy_skill_triggers!$A$1,0,0,COUNTA(enemy_skill_triggers!$A:$A),MATCH(N$1,enemy_skill_triggers!$1:$1,0)-MATCH($F$1,enemy_skill_triggers!$1:$1,0)+1),MATCH(N$1,enemy_skill_triggers!$1:$1,0)-MATCH($F$1,enemy_skill_triggers!$1:$1,0)+1,FALSE)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5" s="41">
        <f ca="1">VLOOKUP($F185,OFFSET(enemy_skill_triggers!$A$1,0,0,COUNTA(enemy_skill_triggers!$A:$A),MATCH(O$1,enemy_skill_triggers!$1:$1,0)-MATCH($F$1,enemy_skill_triggers!$1:$1,0)+1),MATCH(O$1,enemy_skill_triggers!$1:$1,0)-MATCH($F$1,enemy_skill_triggers!$1:$1,0)+1,FALSE)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85" s="40"/>
      <c r="Q185" s="40"/>
      <c r="R185" s="40"/>
    </row>
    <row r="186" spans="1:18" ht="31" customHeight="1" thickBot="1" x14ac:dyDescent="0.2">
      <c r="A186" s="103" t="str">
        <f t="shared" si="24"/>
        <v>47015360_47015364</v>
      </c>
      <c r="B186" s="106">
        <v>47015360</v>
      </c>
      <c r="C186" s="213">
        <v>47015364</v>
      </c>
      <c r="D186" s="39" t="str">
        <f ca="1">VLOOKUP($C186,OFFSET(enemy_skills!$A$1,0,0,COUNTA(enemy_skills!$A:$A),MATCH(D$1,enemy_skills!$1:$1,0)-MATCH("enemy_skill_id",enemy_skills!$1:$1,0)+1),MATCH(D$1,enemy_skills!$1:$1,0)-MATCH("enemy_skill_id",enemy_skills!$1:$1,0)+1,FALSE)</f>
        <v>花嫁修行</v>
      </c>
      <c r="E186" s="39" t="str">
        <f ca="1">VLOOKUP($C186,OFFSET(enemy_skills!$A$1,0,0,COUNTA(enemy_skills!$A:$A),MATCH(E$1,enemy_skills!$1:$1,0)-MATCH("enemy_skill_id",enemy_skills!$1:$1,0)+1),MATCH(E$1,enemy_skills!$1:$1,0)-MATCH("enemy_skill_id",enemy_skills!$1:$1,0)+1,FALSE)</f>
        <v>1ターン防御力UP+_x000D_1ターン全属性の攻撃をカウンター</v>
      </c>
      <c r="F186" s="213">
        <v>47015364</v>
      </c>
      <c r="G186" s="41">
        <f ca="1">VLOOKUP($F186,OFFSET(enemy_skill_triggers!$A$1,0,0,COUNTA(enemy_skill_triggers!$A:$A),MATCH(G$1,enemy_skill_triggers!$1:$1,0)-MATCH($F$1,enemy_skill_triggers!$1:$1,0)+1),MATCH(G$1,enemy_skill_triggers!$1:$1,0)-MATCH($F$1,enemy_skill_triggers!$1:$1,0)+1,FALSE)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6" s="41">
        <f ca="1">VLOOKUP($F186,OFFSET(enemy_skill_triggers!$A$1,0,0,COUNTA(enemy_skill_triggers!$A:$A),MATCH(H$1,enemy_skill_triggers!$1:$1,0)-MATCH($F$1,enemy_skill_triggers!$1:$1,0)+1),MATCH(H$1,enemy_skill_triggers!$1:$1,0)-MATCH($F$1,enemy_skill_triggers!$1:$1,0)+1,FALSE)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186" s="41">
        <f ca="1">VLOOKUP($F186,OFFSET(enemy_skill_triggers!$A$1,0,0,COUNTA(enemy_skill_triggers!$A:$A),MATCH(I$1,enemy_skill_triggers!$1:$1,0)-MATCH($F$1,enemy_skill_triggers!$1:$1,0)+1),MATCH(I$1,enemy_skill_triggers!$1:$1,0)-MATCH($F$1,enemy_skill_triggers!$1:$1,0)+1,FALSE)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6" s="41" t="str">
        <f ca="1">VLOOKUP($F186,OFFSET(enemy_skill_triggers!$A$1,0,0,COUNTA(enemy_skill_triggers!$A:$A),MATCH(J$1,enemy_skill_triggers!$1:$1,0)-MATCH($F$1,enemy_skill_triggers!$1:$1,0)+1),MATCH(J$1,enemy_skill_triggers!$1:$1,0)-MATCH($F$1,enemy_skill_triggers!$1:$1,0)+1,FALSE)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6" s="41" t="str">
        <f ca="1">VLOOKUP($F186,OFFSET(enemy_skill_triggers!$A$1,0,0,COUNTA(enemy_skill_triggers!$A:$A),MATCH(K$1,enemy_skill_triggers!$1:$1,0)-MATCH($F$1,enemy_skill_triggers!$1:$1,0)+1),MATCH(K$1,enemy_skill_triggers!$1:$1,0)-MATCH($F$1,enemy_skill_triggers!$1:$1,0)+1,FALSE)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6" s="41">
        <f ca="1">VLOOKUP($F186,OFFSET(enemy_skill_triggers!$A$1,0,0,COUNTA(enemy_skill_triggers!$A:$A),MATCH(L$1,enemy_skill_triggers!$1:$1,0)-MATCH($F$1,enemy_skill_triggers!$1:$1,0)+1),MATCH(L$1,enemy_skill_triggers!$1:$1,0)-MATCH($F$1,enemy_skill_triggers!$1:$1,0)+1,FALSE)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6" s="41" t="str">
        <f ca="1">VLOOKUP($F186,OFFSET(enemy_skill_triggers!$A$1,0,0,COUNTA(enemy_skill_triggers!$A:$A),MATCH(M$1,enemy_skill_triggers!$1:$1,0)-MATCH($F$1,enemy_skill_triggers!$1:$1,0)+1),MATCH(M$1,enemy_skill_triggers!$1:$1,0)-MATCH($F$1,enemy_skill_triggers!$1:$1,0)+1,FALSE)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6" s="41" t="str">
        <f ca="1">VLOOKUP($F186,OFFSET(enemy_skill_triggers!$A$1,0,0,COUNTA(enemy_skill_triggers!$A:$A),MATCH(N$1,enemy_skill_triggers!$1:$1,0)-MATCH($F$1,enemy_skill_triggers!$1:$1,0)+1),MATCH(N$1,enemy_skill_triggers!$1:$1,0)-MATCH($F$1,enemy_skill_triggers!$1:$1,0)+1,FALSE)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6" s="41">
        <f ca="1">VLOOKUP($F186,OFFSET(enemy_skill_triggers!$A$1,0,0,COUNTA(enemy_skill_triggers!$A:$A),MATCH(O$1,enemy_skill_triggers!$1:$1,0)-MATCH($F$1,enemy_skill_triggers!$1:$1,0)+1),MATCH(O$1,enemy_skill_triggers!$1:$1,0)-MATCH($F$1,enemy_skill_triggers!$1:$1,0)+1,FALSE)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6" s="40"/>
      <c r="Q186" s="40"/>
      <c r="R186" s="40"/>
    </row>
    <row r="187" spans="1:18" s="122" customFormat="1" ht="31" customHeight="1" thickBot="1" x14ac:dyDescent="0.2">
      <c r="A187" s="118" t="str">
        <f t="shared" si="24"/>
        <v>47015360_47015365</v>
      </c>
      <c r="B187" s="106">
        <v>47015360</v>
      </c>
      <c r="C187" s="213">
        <v>47015365</v>
      </c>
      <c r="D187" s="120" t="str">
        <f ca="1">VLOOKUP($C187,OFFSET(enemy_skills!$A$1,0,0,COUNTA(enemy_skills!$A:$A),MATCH(D$1,enemy_skills!$1:$1,0)-MATCH("enemy_skill_id",enemy_skills!$1:$1,0)+1),MATCH(D$1,enemy_skills!$1:$1,0)-MATCH("enemy_skill_id",enemy_skills!$1:$1,0)+1,FALSE)</f>
        <v>化粧直し</v>
      </c>
      <c r="E187" s="120" t="str">
        <f ca="1">VLOOKUP($C187,OFFSET(enemy_skills!$A$1,0,0,COUNTA(enemy_skills!$A:$A),MATCH(E$1,enemy_skills!$1:$1,0)-MATCH("enemy_skill_id",enemy_skills!$1:$1,0)+1),MATCH(E$1,enemy_skills!$1:$1,0)-MATCH("enemy_skill_id",enemy_skills!$1:$1,0)+1,FALSE)</f>
        <v>2ターン暗闇+10ターンボムの爆風を50%DOWN+_x000D_ランダムで緑のダメージパネルに最大2個変換</v>
      </c>
      <c r="F187" s="213">
        <v>47015365</v>
      </c>
      <c r="G187" s="121">
        <f ca="1">VLOOKUP($F187,OFFSET(enemy_skill_triggers!$A$1,0,0,COUNTA(enemy_skill_triggers!$A:$A),MATCH(G$1,enemy_skill_triggers!$1:$1,0)-MATCH($F$1,enemy_skill_triggers!$1:$1,0)+1),MATCH(G$1,enemy_skill_triggers!$1:$1,0)-MATCH($F$1,enemy_skill_triggers!$1:$1,0)+1,FALSE)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7" s="121">
        <f ca="1">VLOOKUP($F187,OFFSET(enemy_skill_triggers!$A$1,0,0,COUNTA(enemy_skill_triggers!$A:$A),MATCH(H$1,enemy_skill_triggers!$1:$1,0)-MATCH($F$1,enemy_skill_triggers!$1:$1,0)+1),MATCH(H$1,enemy_skill_triggers!$1:$1,0)-MATCH($F$1,enemy_skill_triggers!$1:$1,0)+1,FALSE)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187" s="121">
        <f ca="1">VLOOKUP($F187,OFFSET(enemy_skill_triggers!$A$1,0,0,COUNTA(enemy_skill_triggers!$A:$A),MATCH(I$1,enemy_skill_triggers!$1:$1,0)-MATCH($F$1,enemy_skill_triggers!$1:$1,0)+1),MATCH(I$1,enemy_skill_triggers!$1:$1,0)-MATCH($F$1,enemy_skill_triggers!$1:$1,0)+1,FALSE)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7" s="121">
        <f ca="1">VLOOKUP($F187,OFFSET(enemy_skill_triggers!$A$1,0,0,COUNTA(enemy_skill_triggers!$A:$A),MATCH(J$1,enemy_skill_triggers!$1:$1,0)-MATCH($F$1,enemy_skill_triggers!$1:$1,0)+1),MATCH(J$1,enemy_skill_triggers!$1:$1,0)-MATCH($F$1,enemy_skill_triggers!$1:$1,0)+1,FALSE)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87" s="121" t="str">
        <f ca="1">VLOOKUP($F187,OFFSET(enemy_skill_triggers!$A$1,0,0,COUNTA(enemy_skill_triggers!$A:$A),MATCH(K$1,enemy_skill_triggers!$1:$1,0)-MATCH($F$1,enemy_skill_triggers!$1:$1,0)+1),MATCH(K$1,enemy_skill_triggers!$1:$1,0)-MATCH($F$1,enemy_skill_triggers!$1:$1,0)+1,FALSE)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7" s="121">
        <f ca="1">VLOOKUP($F187,OFFSET(enemy_skill_triggers!$A$1,0,0,COUNTA(enemy_skill_triggers!$A:$A),MATCH(L$1,enemy_skill_triggers!$1:$1,0)-MATCH($F$1,enemy_skill_triggers!$1:$1,0)+1),MATCH(L$1,enemy_skill_triggers!$1:$1,0)-MATCH($F$1,enemy_skill_triggers!$1:$1,0)+1,FALSE)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7" s="121" t="str">
        <f ca="1">VLOOKUP($F187,OFFSET(enemy_skill_triggers!$A$1,0,0,COUNTA(enemy_skill_triggers!$A:$A),MATCH(M$1,enemy_skill_triggers!$1:$1,0)-MATCH($F$1,enemy_skill_triggers!$1:$1,0)+1),MATCH(M$1,enemy_skill_triggers!$1:$1,0)-MATCH($F$1,enemy_skill_triggers!$1:$1,0)+1,FALSE)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7" s="121" t="str">
        <f ca="1">VLOOKUP($F187,OFFSET(enemy_skill_triggers!$A$1,0,0,COUNTA(enemy_skill_triggers!$A:$A),MATCH(N$1,enemy_skill_triggers!$1:$1,0)-MATCH($F$1,enemy_skill_triggers!$1:$1,0)+1),MATCH(N$1,enemy_skill_triggers!$1:$1,0)-MATCH($F$1,enemy_skill_triggers!$1:$1,0)+1,FALSE)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7" s="121">
        <f ca="1">VLOOKUP($F187,OFFSET(enemy_skill_triggers!$A$1,0,0,COUNTA(enemy_skill_triggers!$A:$A),MATCH(O$1,enemy_skill_triggers!$1:$1,0)-MATCH($F$1,enemy_skill_triggers!$1:$1,0)+1),MATCH(O$1,enemy_skill_triggers!$1:$1,0)-MATCH($F$1,enemy_skill_triggers!$1:$1,0)+1,FALSE)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7" s="119"/>
      <c r="Q187" s="119"/>
      <c r="R187" s="119"/>
    </row>
    <row r="188" spans="1:18" s="110" customFormat="1" ht="31" customHeight="1" x14ac:dyDescent="0.15">
      <c r="A188" s="109" t="str">
        <f t="shared" si="24"/>
        <v>47015370_47015370</v>
      </c>
      <c r="B188" s="135">
        <v>47015370</v>
      </c>
      <c r="C188" s="216">
        <v>47015370</v>
      </c>
      <c r="D188" s="93" t="str">
        <f ca="1">VLOOKUP($C188,OFFSET(enemy_skills!$A$1,0,0,COUNTA(enemy_skills!$A:$A),MATCH(D$1,enemy_skills!$1:$1,0)-MATCH("enemy_skill_id",enemy_skills!$1:$1,0)+1),MATCH(D$1,enemy_skills!$1:$1,0)-MATCH("enemy_skill_id",enemy_skills!$1:$1,0)+1,FALSE)</f>
        <v>あら？貴方達だったのですか！_x000D_ごめんね、勘違いしちゃったの</v>
      </c>
      <c r="E188" s="93" t="str">
        <f ca="1">VLOOKUP($C188,OFFSET(enemy_skills!$A$1,0,0,COUNTA(enemy_skills!$A:$A),MATCH(E$1,enemy_skills!$1:$1,0)-MATCH("enemy_skill_id",enemy_skills!$1:$1,0)+1),MATCH(E$1,enemy_skills!$1:$1,0)-MATCH("enemy_skill_id",enemy_skills!$1:$1,0)+1,FALSE)</f>
        <v>全てのマイナス効果を解除+_x000D_特定エリアをハートパネルに変換+_x000D_フィーバーゲージ33%増加_x000D_【HP20%以下で超強力な大ダメージ！】</v>
      </c>
      <c r="F188" s="216">
        <v>47015370</v>
      </c>
      <c r="G188" s="94">
        <f ca="1">VLOOKUP($F188,OFFSET(enemy_skill_triggers!$A$1,0,0,COUNTA(enemy_skill_triggers!$A:$A),MATCH(G$1,enemy_skill_triggers!$1:$1,0)-MATCH($F$1,enemy_skill_triggers!$1:$1,0)+1),MATCH(G$1,enemy_skill_triggers!$1:$1,0)-MATCH($F$1,enemy_skill_triggers!$1:$1,0)+1,FALSE)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8" s="94">
        <f ca="1">VLOOKUP($F188,OFFSET(enemy_skill_triggers!$A$1,0,0,COUNTA(enemy_skill_triggers!$A:$A),MATCH(H$1,enemy_skill_triggers!$1:$1,0)-MATCH($F$1,enemy_skill_triggers!$1:$1,0)+1),MATCH(H$1,enemy_skill_triggers!$1:$1,0)-MATCH($F$1,enemy_skill_triggers!$1:$1,0)+1,FALSE)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88" s="94">
        <f ca="1">VLOOKUP($F188,OFFSET(enemy_skill_triggers!$A$1,0,0,COUNTA(enemy_skill_triggers!$A:$A),MATCH(I$1,enemy_skill_triggers!$1:$1,0)-MATCH($F$1,enemy_skill_triggers!$1:$1,0)+1),MATCH(I$1,enemy_skill_triggers!$1:$1,0)-MATCH($F$1,enemy_skill_triggers!$1:$1,0)+1,FALSE)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8" s="94" t="str">
        <f ca="1">VLOOKUP($F188,OFFSET(enemy_skill_triggers!$A$1,0,0,COUNTA(enemy_skill_triggers!$A:$A),MATCH(J$1,enemy_skill_triggers!$1:$1,0)-MATCH($F$1,enemy_skill_triggers!$1:$1,0)+1),MATCH(J$1,enemy_skill_triggers!$1:$1,0)-MATCH($F$1,enemy_skill_triggers!$1:$1,0)+1,FALSE)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8" s="94" t="str">
        <f ca="1">VLOOKUP($F188,OFFSET(enemy_skill_triggers!$A$1,0,0,COUNTA(enemy_skill_triggers!$A:$A),MATCH(K$1,enemy_skill_triggers!$1:$1,0)-MATCH($F$1,enemy_skill_triggers!$1:$1,0)+1),MATCH(K$1,enemy_skill_triggers!$1:$1,0)-MATCH($F$1,enemy_skill_triggers!$1:$1,0)+1,FALSE)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8" s="94">
        <f ca="1">VLOOKUP($F188,OFFSET(enemy_skill_triggers!$A$1,0,0,COUNTA(enemy_skill_triggers!$A:$A),MATCH(L$1,enemy_skill_triggers!$1:$1,0)-MATCH($F$1,enemy_skill_triggers!$1:$1,0)+1),MATCH(L$1,enemy_skill_triggers!$1:$1,0)-MATCH($F$1,enemy_skill_triggers!$1:$1,0)+1,FALSE)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8" s="94" t="str">
        <f ca="1">VLOOKUP($F188,OFFSET(enemy_skill_triggers!$A$1,0,0,COUNTA(enemy_skill_triggers!$A:$A),MATCH(M$1,enemy_skill_triggers!$1:$1,0)-MATCH($F$1,enemy_skill_triggers!$1:$1,0)+1),MATCH(M$1,enemy_skill_triggers!$1:$1,0)-MATCH($F$1,enemy_skill_triggers!$1:$1,0)+1,FALSE)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8" s="94" t="str">
        <f ca="1">VLOOKUP($F188,OFFSET(enemy_skill_triggers!$A$1,0,0,COUNTA(enemy_skill_triggers!$A:$A),MATCH(N$1,enemy_skill_triggers!$1:$1,0)-MATCH($F$1,enemy_skill_triggers!$1:$1,0)+1),MATCH(N$1,enemy_skill_triggers!$1:$1,0)-MATCH($F$1,enemy_skill_triggers!$1:$1,0)+1,FALSE)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8" s="94">
        <f ca="1">VLOOKUP($F188,OFFSET(enemy_skill_triggers!$A$1,0,0,COUNTA(enemy_skill_triggers!$A:$A),MATCH(O$1,enemy_skill_triggers!$1:$1,0)-MATCH($F$1,enemy_skill_triggers!$1:$1,0)+1),MATCH(O$1,enemy_skill_triggers!$1:$1,0)-MATCH($F$1,enemy_skill_triggers!$1:$1,0)+1,FALSE)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8" s="92"/>
      <c r="Q188" s="92"/>
      <c r="R188" s="92"/>
    </row>
    <row r="189" spans="1:18" ht="31" customHeight="1" x14ac:dyDescent="0.15">
      <c r="A189" s="101" t="str">
        <f t="shared" si="24"/>
        <v>47015370_47015371</v>
      </c>
      <c r="B189" s="135">
        <v>47015370</v>
      </c>
      <c r="C189" s="216">
        <v>47015371</v>
      </c>
      <c r="D189" s="39" t="str">
        <f ca="1">VLOOKUP($C189,OFFSET(enemy_skills!$A$1,0,0,COUNTA(enemy_skills!$A:$A),MATCH(D$1,enemy_skills!$1:$1,0)-MATCH("enemy_skill_id",enemy_skills!$1:$1,0)+1),MATCH(D$1,enemy_skills!$1:$1,0)-MATCH("enemy_skill_id",enemy_skills!$1:$1,0)+1,FALSE)</f>
        <v>私、綺麗ですか？</v>
      </c>
      <c r="E189" s="39" t="str">
        <f ca="1">VLOOKUP($C189,OFFSET(enemy_skills!$A$1,0,0,COUNTA(enemy_skills!$A:$A),MATCH(E$1,enemy_skills!$1:$1,0)-MATCH("enemy_skill_id",enemy_skills!$1:$1,0)+1),MATCH(E$1,enemy_skills!$1:$1,0)-MATCH("enemy_skill_id",enemy_skills!$1:$1,0)+1,FALSE)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189" s="216">
        <v>47015371</v>
      </c>
      <c r="G189" s="41">
        <f ca="1">VLOOKUP($F189,OFFSET(enemy_skill_triggers!$A$1,0,0,COUNTA(enemy_skill_triggers!$A:$A),MATCH(G$1,enemy_skill_triggers!$1:$1,0)-MATCH($F$1,enemy_skill_triggers!$1:$1,0)+1),MATCH(G$1,enemy_skill_triggers!$1:$1,0)-MATCH($F$1,enemy_skill_triggers!$1:$1,0)+1,FALSE)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9" s="41">
        <f ca="1">VLOOKUP($F189,OFFSET(enemy_skill_triggers!$A$1,0,0,COUNTA(enemy_skill_triggers!$A:$A),MATCH(H$1,enemy_skill_triggers!$1:$1,0)-MATCH($F$1,enemy_skill_triggers!$1:$1,0)+1),MATCH(H$1,enemy_skill_triggers!$1:$1,0)-MATCH($F$1,enemy_skill_triggers!$1:$1,0)+1,FALSE)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89" s="41">
        <f ca="1">VLOOKUP($F189,OFFSET(enemy_skill_triggers!$A$1,0,0,COUNTA(enemy_skill_triggers!$A:$A),MATCH(I$1,enemy_skill_triggers!$1:$1,0)-MATCH($F$1,enemy_skill_triggers!$1:$1,0)+1),MATCH(I$1,enemy_skill_triggers!$1:$1,0)-MATCH($F$1,enemy_skill_triggers!$1:$1,0)+1,FALSE)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89" s="41" t="str">
        <f ca="1">VLOOKUP($F189,OFFSET(enemy_skill_triggers!$A$1,0,0,COUNTA(enemy_skill_triggers!$A:$A),MATCH(J$1,enemy_skill_triggers!$1:$1,0)-MATCH($F$1,enemy_skill_triggers!$1:$1,0)+1),MATCH(J$1,enemy_skill_triggers!$1:$1,0)-MATCH($F$1,enemy_skill_triggers!$1:$1,0)+1,FALSE)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9" s="41" t="str">
        <f ca="1">VLOOKUP($F189,OFFSET(enemy_skill_triggers!$A$1,0,0,COUNTA(enemy_skill_triggers!$A:$A),MATCH(K$1,enemy_skill_triggers!$1:$1,0)-MATCH($F$1,enemy_skill_triggers!$1:$1,0)+1),MATCH(K$1,enemy_skill_triggers!$1:$1,0)-MATCH($F$1,enemy_skill_triggers!$1:$1,0)+1,FALSE)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9" s="41" t="str">
        <f ca="1">VLOOKUP($F189,OFFSET(enemy_skill_triggers!$A$1,0,0,COUNTA(enemy_skill_triggers!$A:$A),MATCH(L$1,enemy_skill_triggers!$1:$1,0)-MATCH($F$1,enemy_skill_triggers!$1:$1,0)+1),MATCH(L$1,enemy_skill_triggers!$1:$1,0)-MATCH($F$1,enemy_skill_triggers!$1:$1,0)+1,FALSE)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9" s="41" t="str">
        <f ca="1">VLOOKUP($F189,OFFSET(enemy_skill_triggers!$A$1,0,0,COUNTA(enemy_skill_triggers!$A:$A),MATCH(M$1,enemy_skill_triggers!$1:$1,0)-MATCH($F$1,enemy_skill_triggers!$1:$1,0)+1),MATCH(M$1,enemy_skill_triggers!$1:$1,0)-MATCH($F$1,enemy_skill_triggers!$1:$1,0)+1,FALSE)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9" s="41" t="str">
        <f ca="1">VLOOKUP($F189,OFFSET(enemy_skill_triggers!$A$1,0,0,COUNTA(enemy_skill_triggers!$A:$A),MATCH(N$1,enemy_skill_triggers!$1:$1,0)-MATCH($F$1,enemy_skill_triggers!$1:$1,0)+1),MATCH(N$1,enemy_skill_triggers!$1:$1,0)-MATCH($F$1,enemy_skill_triggers!$1:$1,0)+1,FALSE)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9" s="41">
        <f ca="1">VLOOKUP($F189,OFFSET(enemy_skill_triggers!$A$1,0,0,COUNTA(enemy_skill_triggers!$A:$A),MATCH(O$1,enemy_skill_triggers!$1:$1,0)-MATCH($F$1,enemy_skill_triggers!$1:$1,0)+1),MATCH(O$1,enemy_skill_triggers!$1:$1,0)-MATCH($F$1,enemy_skill_triggers!$1:$1,0)+1,FALSE)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89" s="40"/>
      <c r="Q189" s="40"/>
      <c r="R189" s="40"/>
    </row>
    <row r="190" spans="1:18" s="110" customFormat="1" ht="31" customHeight="1" x14ac:dyDescent="0.15">
      <c r="A190" s="109" t="str">
        <f t="shared" si="24"/>
        <v>47015370_47015372</v>
      </c>
      <c r="B190" s="135">
        <v>47015370</v>
      </c>
      <c r="C190" s="216">
        <v>47015372</v>
      </c>
      <c r="D190" s="93" t="str">
        <f ca="1">VLOOKUP($C190,OFFSET(enemy_skills!$A$1,0,0,COUNTA(enemy_skills!$A:$A),MATCH(D$1,enemy_skills!$1:$1,0)-MATCH("enemy_skill_id",enemy_skills!$1:$1,0)+1),MATCH(D$1,enemy_skills!$1:$1,0)-MATCH("enemy_skill_id",enemy_skills!$1:$1,0)+1,FALSE)</f>
        <v>存分に見て良いのですよ！</v>
      </c>
      <c r="E190" s="93" t="str">
        <f ca="1">VLOOKUP($C190,OFFSET(enemy_skills!$A$1,0,0,COUNTA(enemy_skills!$A:$A),MATCH(E$1,enemy_skills!$1:$1,0)-MATCH("enemy_skill_id",enemy_skills!$1:$1,0)+1),MATCH(E$1,enemy_skills!$1:$1,0)-MATCH("enemy_skill_id",enemy_skills!$1:$1,0)+1,FALSE)</f>
        <v>ランダムで緑のダメージパネルに最大5個変換+_x000D_ランダムでボムパネルに最大1個変換</v>
      </c>
      <c r="F190" s="216">
        <v>47015372</v>
      </c>
      <c r="G190" s="94">
        <f ca="1">VLOOKUP($F190,OFFSET(enemy_skill_triggers!$A$1,0,0,COUNTA(enemy_skill_triggers!$A:$A),MATCH(G$1,enemy_skill_triggers!$1:$1,0)-MATCH($F$1,enemy_skill_triggers!$1:$1,0)+1),MATCH(G$1,enemy_skill_triggers!$1:$1,0)-MATCH($F$1,enemy_skill_triggers!$1:$1,0)+1,FALSE)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0" s="94">
        <f ca="1">VLOOKUP($F190,OFFSET(enemy_skill_triggers!$A$1,0,0,COUNTA(enemy_skill_triggers!$A:$A),MATCH(H$1,enemy_skill_triggers!$1:$1,0)-MATCH($F$1,enemy_skill_triggers!$1:$1,0)+1),MATCH(H$1,enemy_skill_triggers!$1:$1,0)-MATCH($F$1,enemy_skill_triggers!$1:$1,0)+1,FALSE)</f>
        <v>55</v>
      </c>
      <c r="I190" s="94">
        <f ca="1">VLOOKUP($F190,OFFSET(enemy_skill_triggers!$A$1,0,0,COUNTA(enemy_skill_triggers!$A:$A),MATCH(I$1,enemy_skill_triggers!$1:$1,0)-MATCH($F$1,enemy_skill_triggers!$1:$1,0)+1),MATCH(I$1,enemy_skill_triggers!$1:$1,0)-MATCH($F$1,enemy_skill_triggers!$1:$1,0)+1,FALSE)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90" s="94" t="str">
        <f ca="1">VLOOKUP($F190,OFFSET(enemy_skill_triggers!$A$1,0,0,COUNTA(enemy_skill_triggers!$A:$A),MATCH(J$1,enemy_skill_triggers!$1:$1,0)-MATCH($F$1,enemy_skill_triggers!$1:$1,0)+1),MATCH(J$1,enemy_skill_triggers!$1:$1,0)-MATCH($F$1,enemy_skill_triggers!$1:$1,0)+1,FALSE)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0" s="94" t="str">
        <f ca="1">VLOOKUP($F190,OFFSET(enemy_skill_triggers!$A$1,0,0,COUNTA(enemy_skill_triggers!$A:$A),MATCH(K$1,enemy_skill_triggers!$1:$1,0)-MATCH($F$1,enemy_skill_triggers!$1:$1,0)+1),MATCH(K$1,enemy_skill_triggers!$1:$1,0)-MATCH($F$1,enemy_skill_triggers!$1:$1,0)+1,FALSE)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0" s="94">
        <f ca="1">VLOOKUP($F190,OFFSET(enemy_skill_triggers!$A$1,0,0,COUNTA(enemy_skill_triggers!$A:$A),MATCH(L$1,enemy_skill_triggers!$1:$1,0)-MATCH($F$1,enemy_skill_triggers!$1:$1,0)+1),MATCH(L$1,enemy_skill_triggers!$1:$1,0)-MATCH($F$1,enemy_skill_triggers!$1:$1,0)+1,FALSE)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90" s="94" t="str">
        <f ca="1">VLOOKUP($F190,OFFSET(enemy_skill_triggers!$A$1,0,0,COUNTA(enemy_skill_triggers!$A:$A),MATCH(M$1,enemy_skill_triggers!$1:$1,0)-MATCH($F$1,enemy_skill_triggers!$1:$1,0)+1),MATCH(M$1,enemy_skill_triggers!$1:$1,0)-MATCH($F$1,enemy_skill_triggers!$1:$1,0)+1,FALSE)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0" s="94" t="str">
        <f ca="1">VLOOKUP($F190,OFFSET(enemy_skill_triggers!$A$1,0,0,COUNTA(enemy_skill_triggers!$A:$A),MATCH(N$1,enemy_skill_triggers!$1:$1,0)-MATCH($F$1,enemy_skill_triggers!$1:$1,0)+1),MATCH(N$1,enemy_skill_triggers!$1:$1,0)-MATCH($F$1,enemy_skill_triggers!$1:$1,0)+1,FALSE)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0" s="94">
        <f ca="1">VLOOKUP($F190,OFFSET(enemy_skill_triggers!$A$1,0,0,COUNTA(enemy_skill_triggers!$A:$A),MATCH(O$1,enemy_skill_triggers!$1:$1,0)-MATCH($F$1,enemy_skill_triggers!$1:$1,0)+1),MATCH(O$1,enemy_skill_triggers!$1:$1,0)-MATCH($F$1,enemy_skill_triggers!$1:$1,0)+1,FALSE)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90" s="92"/>
      <c r="Q190" s="92"/>
      <c r="R190" s="92"/>
    </row>
    <row r="191" spans="1:18" ht="31" customHeight="1" x14ac:dyDescent="0.15">
      <c r="A191" s="101" t="str">
        <f t="shared" si="24"/>
        <v>47015370_47015373</v>
      </c>
      <c r="B191" s="135">
        <v>47015370</v>
      </c>
      <c r="C191" s="216">
        <v>47015373</v>
      </c>
      <c r="D191" s="39" t="str">
        <f ca="1">VLOOKUP($C191,OFFSET(enemy_skills!$A$1,0,0,COUNTA(enemy_skills!$A:$A),MATCH(D$1,enemy_skills!$1:$1,0)-MATCH("enemy_skill_id",enemy_skills!$1:$1,0)+1),MATCH(D$1,enemy_skills!$1:$1,0)-MATCH("enemy_skill_id",enemy_skills!$1:$1,0)+1,FALSE)</f>
        <v>お触りは禁止ですよ</v>
      </c>
      <c r="E191" s="39" t="str">
        <f ca="1">VLOOKUP($C191,OFFSET(enemy_skills!$A$1,0,0,COUNTA(enemy_skills!$A:$A),MATCH(E$1,enemy_skills!$1:$1,0)-MATCH("enemy_skill_id",enemy_skills!$1:$1,0)+1),MATCH(E$1,enemy_skills!$1:$1,0)-MATCH("enemy_skill_id",enemy_skills!$1:$1,0)+1,FALSE)</f>
        <v>全体攻撃+1ターン全ユニットにスキルバインド</v>
      </c>
      <c r="F191" s="216">
        <v>47015373</v>
      </c>
      <c r="G191" s="41">
        <f ca="1">VLOOKUP($F191,OFFSET(enemy_skill_triggers!$A$1,0,0,COUNTA(enemy_skill_triggers!$A:$A),MATCH(G$1,enemy_skill_triggers!$1:$1,0)-MATCH($F$1,enemy_skill_triggers!$1:$1,0)+1),MATCH(G$1,enemy_skill_triggers!$1:$1,0)-MATCH($F$1,enemy_skill_triggers!$1:$1,0)+1,FALSE)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1" s="41">
        <f ca="1">VLOOKUP($F191,OFFSET(enemy_skill_triggers!$A$1,0,0,COUNTA(enemy_skill_triggers!$A:$A),MATCH(H$1,enemy_skill_triggers!$1:$1,0)-MATCH($F$1,enemy_skill_triggers!$1:$1,0)+1),MATCH(H$1,enemy_skill_triggers!$1:$1,0)-MATCH($F$1,enemy_skill_triggers!$1:$1,0)+1,FALSE)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91" s="41">
        <f ca="1">VLOOKUP($F191,OFFSET(enemy_skill_triggers!$A$1,0,0,COUNTA(enemy_skill_triggers!$A:$A),MATCH(I$1,enemy_skill_triggers!$1:$1,0)-MATCH($F$1,enemy_skill_triggers!$1:$1,0)+1),MATCH(I$1,enemy_skill_triggers!$1:$1,0)-MATCH($F$1,enemy_skill_triggers!$1:$1,0)+1,FALSE)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91" s="41" t="str">
        <f ca="1">VLOOKUP($F191,OFFSET(enemy_skill_triggers!$A$1,0,0,COUNTA(enemy_skill_triggers!$A:$A),MATCH(J$1,enemy_skill_triggers!$1:$1,0)-MATCH($F$1,enemy_skill_triggers!$1:$1,0)+1),MATCH(J$1,enemy_skill_triggers!$1:$1,0)-MATCH($F$1,enemy_skill_triggers!$1:$1,0)+1,FALSE)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1" s="41" t="str">
        <f ca="1">VLOOKUP($F191,OFFSET(enemy_skill_triggers!$A$1,0,0,COUNTA(enemy_skill_triggers!$A:$A),MATCH(K$1,enemy_skill_triggers!$1:$1,0)-MATCH($F$1,enemy_skill_triggers!$1:$1,0)+1),MATCH(K$1,enemy_skill_triggers!$1:$1,0)-MATCH($F$1,enemy_skill_triggers!$1:$1,0)+1,FALSE)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1" s="41">
        <f ca="1">VLOOKUP($F191,OFFSET(enemy_skill_triggers!$A$1,0,0,COUNTA(enemy_skill_triggers!$A:$A),MATCH(L$1,enemy_skill_triggers!$1:$1,0)-MATCH($F$1,enemy_skill_triggers!$1:$1,0)+1),MATCH(L$1,enemy_skill_triggers!$1:$1,0)-MATCH($F$1,enemy_skill_triggers!$1:$1,0)+1,FALSE)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91" s="41" t="str">
        <f ca="1">VLOOKUP($F191,OFFSET(enemy_skill_triggers!$A$1,0,0,COUNTA(enemy_skill_triggers!$A:$A),MATCH(M$1,enemy_skill_triggers!$1:$1,0)-MATCH($F$1,enemy_skill_triggers!$1:$1,0)+1),MATCH(M$1,enemy_skill_triggers!$1:$1,0)-MATCH($F$1,enemy_skill_triggers!$1:$1,0)+1,FALSE)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1" s="41" t="str">
        <f ca="1">VLOOKUP($F191,OFFSET(enemy_skill_triggers!$A$1,0,0,COUNTA(enemy_skill_triggers!$A:$A),MATCH(N$1,enemy_skill_triggers!$1:$1,0)-MATCH($F$1,enemy_skill_triggers!$1:$1,0)+1),MATCH(N$1,enemy_skill_triggers!$1:$1,0)-MATCH($F$1,enemy_skill_triggers!$1:$1,0)+1,FALSE)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1" s="41">
        <f ca="1">VLOOKUP($F191,OFFSET(enemy_skill_triggers!$A$1,0,0,COUNTA(enemy_skill_triggers!$A:$A),MATCH(O$1,enemy_skill_triggers!$1:$1,0)-MATCH($F$1,enemy_skill_triggers!$1:$1,0)+1),MATCH(O$1,enemy_skill_triggers!$1:$1,0)-MATCH($F$1,enemy_skill_triggers!$1:$1,0)+1,FALSE)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91" s="40"/>
      <c r="Q191" s="40"/>
      <c r="R191" s="40"/>
    </row>
    <row r="192" spans="1:18" s="110" customFormat="1" ht="31" customHeight="1" x14ac:dyDescent="0.15">
      <c r="A192" s="109" t="str">
        <f t="shared" si="24"/>
        <v>47015370_47015374</v>
      </c>
      <c r="B192" s="135">
        <v>47015370</v>
      </c>
      <c r="C192" s="216">
        <v>47015374</v>
      </c>
      <c r="D192" s="93" t="str">
        <f ca="1">VLOOKUP($C192,OFFSET(enemy_skills!$A$1,0,0,COUNTA(enemy_skills!$A:$A),MATCH(D$1,enemy_skills!$1:$1,0)-MATCH("enemy_skill_id",enemy_skills!$1:$1,0)+1),MATCH(D$1,enemy_skills!$1:$1,0)-MATCH("enemy_skill_id",enemy_skills!$1:$1,0)+1,FALSE)</f>
        <v>もっと盛り上がりましょう！</v>
      </c>
      <c r="E192" s="93" t="str">
        <f ca="1">VLOOKUP($C192,OFFSET(enemy_skills!$A$1,0,0,COUNTA(enemy_skills!$A:$A),MATCH(E$1,enemy_skills!$1:$1,0)-MATCH("enemy_skill_id",enemy_skills!$1:$1,0)+1),MATCH(E$1,enemy_skills!$1:$1,0)-MATCH("enemy_skill_id",enemy_skills!$1:$1,0)+1,FALSE)</f>
        <v>種族ゴッドのユニットに大ダメージの全体攻撃</v>
      </c>
      <c r="F192" s="216">
        <v>47015374</v>
      </c>
      <c r="G192" s="94">
        <f ca="1">VLOOKUP($F192,OFFSET(enemy_skill_triggers!$A$1,0,0,COUNTA(enemy_skill_triggers!$A:$A),MATCH(G$1,enemy_skill_triggers!$1:$1,0)-MATCH($F$1,enemy_skill_triggers!$1:$1,0)+1),MATCH(G$1,enemy_skill_triggers!$1:$1,0)-MATCH($F$1,enemy_skill_triggers!$1:$1,0)+1,FALSE)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2" s="94">
        <f ca="1">VLOOKUP($F192,OFFSET(enemy_skill_triggers!$A$1,0,0,COUNTA(enemy_skill_triggers!$A:$A),MATCH(H$1,enemy_skill_triggers!$1:$1,0)-MATCH($F$1,enemy_skill_triggers!$1:$1,0)+1),MATCH(H$1,enemy_skill_triggers!$1:$1,0)-MATCH($F$1,enemy_skill_triggers!$1:$1,0)+1,FALSE)</f>
        <v>45</v>
      </c>
      <c r="I192" s="94">
        <f ca="1">VLOOKUP($F192,OFFSET(enemy_skill_triggers!$A$1,0,0,COUNTA(enemy_skill_triggers!$A:$A),MATCH(I$1,enemy_skill_triggers!$1:$1,0)-MATCH($F$1,enemy_skill_triggers!$1:$1,0)+1),MATCH(I$1,enemy_skill_triggers!$1:$1,0)-MATCH($F$1,enemy_skill_triggers!$1:$1,0)+1,FALSE)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92" s="94" t="str">
        <f ca="1">VLOOKUP($F192,OFFSET(enemy_skill_triggers!$A$1,0,0,COUNTA(enemy_skill_triggers!$A:$A),MATCH(J$1,enemy_skill_triggers!$1:$1,0)-MATCH($F$1,enemy_skill_triggers!$1:$1,0)+1),MATCH(J$1,enemy_skill_triggers!$1:$1,0)-MATCH($F$1,enemy_skill_triggers!$1:$1,0)+1,FALSE)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2" s="94" t="str">
        <f ca="1">VLOOKUP($F192,OFFSET(enemy_skill_triggers!$A$1,0,0,COUNTA(enemy_skill_triggers!$A:$A),MATCH(K$1,enemy_skill_triggers!$1:$1,0)-MATCH($F$1,enemy_skill_triggers!$1:$1,0)+1),MATCH(K$1,enemy_skill_triggers!$1:$1,0)-MATCH($F$1,enemy_skill_triggers!$1:$1,0)+1,FALSE)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2" s="94" t="str">
        <f ca="1">VLOOKUP($F192,OFFSET(enemy_skill_triggers!$A$1,0,0,COUNTA(enemy_skill_triggers!$A:$A),MATCH(L$1,enemy_skill_triggers!$1:$1,0)-MATCH($F$1,enemy_skill_triggers!$1:$1,0)+1),MATCH(L$1,enemy_skill_triggers!$1:$1,0)-MATCH($F$1,enemy_skill_triggers!$1:$1,0)+1,FALSE)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2" s="94" t="str">
        <f ca="1">VLOOKUP($F192,OFFSET(enemy_skill_triggers!$A$1,0,0,COUNTA(enemy_skill_triggers!$A:$A),MATCH(M$1,enemy_skill_triggers!$1:$1,0)-MATCH($F$1,enemy_skill_triggers!$1:$1,0)+1),MATCH(M$1,enemy_skill_triggers!$1:$1,0)-MATCH($F$1,enemy_skill_triggers!$1:$1,0)+1,FALSE)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2" s="94" t="str">
        <f ca="1">VLOOKUP($F192,OFFSET(enemy_skill_triggers!$A$1,0,0,COUNTA(enemy_skill_triggers!$A:$A),MATCH(N$1,enemy_skill_triggers!$1:$1,0)-MATCH($F$1,enemy_skill_triggers!$1:$1,0)+1),MATCH(N$1,enemy_skill_triggers!$1:$1,0)-MATCH($F$1,enemy_skill_triggers!$1:$1,0)+1,FALSE)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2" s="94">
        <f ca="1">VLOOKUP($F192,OFFSET(enemy_skill_triggers!$A$1,0,0,COUNTA(enemy_skill_triggers!$A:$A),MATCH(O$1,enemy_skill_triggers!$1:$1,0)-MATCH($F$1,enemy_skill_triggers!$1:$1,0)+1),MATCH(O$1,enemy_skill_triggers!$1:$1,0)-MATCH($F$1,enemy_skill_triggers!$1:$1,0)+1,FALSE)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92" s="92"/>
      <c r="Q192" s="92"/>
      <c r="R192" s="92"/>
    </row>
    <row r="193" spans="1:18" ht="31" customHeight="1" x14ac:dyDescent="0.15">
      <c r="A193" s="101" t="str">
        <f t="shared" si="24"/>
        <v>47015370_47015375</v>
      </c>
      <c r="B193" s="135">
        <v>47015370</v>
      </c>
      <c r="C193" s="216">
        <v>47015375</v>
      </c>
      <c r="D193" s="39" t="str">
        <f ca="1">VLOOKUP($C193,OFFSET(enemy_skills!$A$1,0,0,COUNTA(enemy_skills!$A:$A),MATCH(D$1,enemy_skills!$1:$1,0)-MATCH("enemy_skill_id",enemy_skills!$1:$1,0)+1),MATCH(D$1,enemy_skills!$1:$1,0)-MATCH("enemy_skill_id",enemy_skills!$1:$1,0)+1,FALSE)</f>
        <v>まだ見足りないのではなくて？</v>
      </c>
      <c r="E193" s="39" t="str">
        <f ca="1">VLOOKUP($C193,OFFSET(enemy_skills!$A$1,0,0,COUNTA(enemy_skills!$A:$A),MATCH(E$1,enemy_skills!$1:$1,0)-MATCH("enemy_skill_id",enemy_skills!$1:$1,0)+1),MATCH(E$1,enemy_skills!$1:$1,0)-MATCH("enemy_skill_id",enemy_skills!$1:$1,0)+1,FALSE)</f>
        <v>4ターン防御力UP+_x000D_4ターン全ユニットのタップ回数を1DOWN+_x000D_特定エリアをハートパネルに変換</v>
      </c>
      <c r="F193" s="216">
        <v>47015375</v>
      </c>
      <c r="G193" s="41">
        <f ca="1">VLOOKUP($F193,OFFSET(enemy_skill_triggers!$A$1,0,0,COUNTA(enemy_skill_triggers!$A:$A),MATCH(G$1,enemy_skill_triggers!$1:$1,0)-MATCH($F$1,enemy_skill_triggers!$1:$1,0)+1),MATCH(G$1,enemy_skill_triggers!$1:$1,0)-MATCH($F$1,enemy_skill_triggers!$1:$1,0)+1,FALSE)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3" s="41">
        <f ca="1">VLOOKUP($F193,OFFSET(enemy_skill_triggers!$A$1,0,0,COUNTA(enemy_skill_triggers!$A:$A),MATCH(H$1,enemy_skill_triggers!$1:$1,0)-MATCH($F$1,enemy_skill_triggers!$1:$1,0)+1),MATCH(H$1,enemy_skill_triggers!$1:$1,0)-MATCH($F$1,enemy_skill_triggers!$1:$1,0)+1,FALSE)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193" s="41">
        <f ca="1">VLOOKUP($F193,OFFSET(enemy_skill_triggers!$A$1,0,0,COUNTA(enemy_skill_triggers!$A:$A),MATCH(I$1,enemy_skill_triggers!$1:$1,0)-MATCH($F$1,enemy_skill_triggers!$1:$1,0)+1),MATCH(I$1,enemy_skill_triggers!$1:$1,0)-MATCH($F$1,enemy_skill_triggers!$1:$1,0)+1,FALSE)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3" s="41">
        <f ca="1">VLOOKUP($F193,OFFSET(enemy_skill_triggers!$A$1,0,0,COUNTA(enemy_skill_triggers!$A:$A),MATCH(J$1,enemy_skill_triggers!$1:$1,0)-MATCH($F$1,enemy_skill_triggers!$1:$1,0)+1),MATCH(J$1,enemy_skill_triggers!$1:$1,0)-MATCH($F$1,enemy_skill_triggers!$1:$1,0)+1,FALSE)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193" s="41" t="str">
        <f ca="1">VLOOKUP($F193,OFFSET(enemy_skill_triggers!$A$1,0,0,COUNTA(enemy_skill_triggers!$A:$A),MATCH(K$1,enemy_skill_triggers!$1:$1,0)-MATCH($F$1,enemy_skill_triggers!$1:$1,0)+1),MATCH(K$1,enemy_skill_triggers!$1:$1,0)-MATCH($F$1,enemy_skill_triggers!$1:$1,0)+1,FALSE)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3" s="41">
        <f ca="1">VLOOKUP($F193,OFFSET(enemy_skill_triggers!$A$1,0,0,COUNTA(enemy_skill_triggers!$A:$A),MATCH(L$1,enemy_skill_triggers!$1:$1,0)-MATCH($F$1,enemy_skill_triggers!$1:$1,0)+1),MATCH(L$1,enemy_skill_triggers!$1:$1,0)-MATCH($F$1,enemy_skill_triggers!$1:$1,0)+1,FALSE)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3" s="41">
        <f ca="1">VLOOKUP($F193,OFFSET(enemy_skill_triggers!$A$1,0,0,COUNTA(enemy_skill_triggers!$A:$A),MATCH(M$1,enemy_skill_triggers!$1:$1,0)-MATCH($F$1,enemy_skill_triggers!$1:$1,0)+1),MATCH(M$1,enemy_skill_triggers!$1:$1,0)-MATCH($F$1,enemy_skill_triggers!$1:$1,0)+1,FALSE)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3" s="41" t="str">
        <f ca="1">VLOOKUP($F193,OFFSET(enemy_skill_triggers!$A$1,0,0,COUNTA(enemy_skill_triggers!$A:$A),MATCH(N$1,enemy_skill_triggers!$1:$1,0)-MATCH($F$1,enemy_skill_triggers!$1:$1,0)+1),MATCH(N$1,enemy_skill_triggers!$1:$1,0)-MATCH($F$1,enemy_skill_triggers!$1:$1,0)+1,FALSE)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3" s="41">
        <f ca="1">VLOOKUP($F193,OFFSET(enemy_skill_triggers!$A$1,0,0,COUNTA(enemy_skill_triggers!$A:$A),MATCH(O$1,enemy_skill_triggers!$1:$1,0)-MATCH($F$1,enemy_skill_triggers!$1:$1,0)+1),MATCH(O$1,enemy_skill_triggers!$1:$1,0)-MATCH($F$1,enemy_skill_triggers!$1:$1,0)+1,FALSE)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3" s="40"/>
      <c r="Q193" s="40"/>
      <c r="R193" s="40"/>
    </row>
    <row r="194" spans="1:18" s="110" customFormat="1" ht="31" customHeight="1" x14ac:dyDescent="0.15">
      <c r="A194" s="109" t="str">
        <f t="shared" si="24"/>
        <v>47015370_47015376</v>
      </c>
      <c r="B194" s="135">
        <v>47015370</v>
      </c>
      <c r="C194" s="216">
        <v>47015376</v>
      </c>
      <c r="D194" s="93" t="str">
        <f ca="1">VLOOKUP($C194,OFFSET(enemy_skills!$A$1,0,0,COUNTA(enemy_skills!$A:$A),MATCH(D$1,enemy_skills!$1:$1,0)-MATCH("enemy_skill_id",enemy_skills!$1:$1,0)+1),MATCH(D$1,enemy_skills!$1:$1,0)-MATCH("enemy_skill_id",enemy_skills!$1:$1,0)+1,FALSE)</f>
        <v>ふぃなーれですよ！</v>
      </c>
      <c r="E194" s="93" t="str">
        <f ca="1">VLOOKUP($C194,OFFSET(enemy_skills!$A$1,0,0,COUNTA(enemy_skills!$A:$A),MATCH(E$1,enemy_skills!$1:$1,0)-MATCH("enemy_skill_id",enemy_skills!$1:$1,0)+1),MATCH(E$1,enemy_skills!$1:$1,0)-MATCH("enemy_skill_id",enemy_skills!$1:$1,0)+1,FALSE)</f>
        <v>次のターンに超強力な大ダメージ攻撃+_x000D_フィーバーゲージ33%増加</v>
      </c>
      <c r="F194" s="216">
        <v>47015376</v>
      </c>
      <c r="G194" s="94">
        <f ca="1">VLOOKUP($F194,OFFSET(enemy_skill_triggers!$A$1,0,0,COUNTA(enemy_skill_triggers!$A:$A),MATCH(G$1,enemy_skill_triggers!$1:$1,0)-MATCH($F$1,enemy_skill_triggers!$1:$1,0)+1),MATCH(G$1,enemy_skill_triggers!$1:$1,0)-MATCH($F$1,enemy_skill_triggers!$1:$1,0)+1,FALSE)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4" s="94">
        <f ca="1">VLOOKUP($F194,OFFSET(enemy_skill_triggers!$A$1,0,0,COUNTA(enemy_skill_triggers!$A:$A),MATCH(H$1,enemy_skill_triggers!$1:$1,0)-MATCH($F$1,enemy_skill_triggers!$1:$1,0)+1),MATCH(H$1,enemy_skill_triggers!$1:$1,0)-MATCH($F$1,enemy_skill_triggers!$1:$1,0)+1,FALSE)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94" s="94">
        <f ca="1">VLOOKUP($F194,OFFSET(enemy_skill_triggers!$A$1,0,0,COUNTA(enemy_skill_triggers!$A:$A),MATCH(I$1,enemy_skill_triggers!$1:$1,0)-MATCH($F$1,enemy_skill_triggers!$1:$1,0)+1),MATCH(I$1,enemy_skill_triggers!$1:$1,0)-MATCH($F$1,enemy_skill_triggers!$1:$1,0)+1,FALSE)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4" s="94">
        <f ca="1">VLOOKUP($F194,OFFSET(enemy_skill_triggers!$A$1,0,0,COUNTA(enemy_skill_triggers!$A:$A),MATCH(J$1,enemy_skill_triggers!$1:$1,0)-MATCH($F$1,enemy_skill_triggers!$1:$1,0)+1),MATCH(J$1,enemy_skill_triggers!$1:$1,0)-MATCH($F$1,enemy_skill_triggers!$1:$1,0)+1,FALSE)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194" s="94" t="str">
        <f ca="1">VLOOKUP($F194,OFFSET(enemy_skill_triggers!$A$1,0,0,COUNTA(enemy_skill_triggers!$A:$A),MATCH(K$1,enemy_skill_triggers!$1:$1,0)-MATCH($F$1,enemy_skill_triggers!$1:$1,0)+1),MATCH(K$1,enemy_skill_triggers!$1:$1,0)-MATCH($F$1,enemy_skill_triggers!$1:$1,0)+1,FALSE)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4" s="94">
        <f ca="1">VLOOKUP($F194,OFFSET(enemy_skill_triggers!$A$1,0,0,COUNTA(enemy_skill_triggers!$A:$A),MATCH(L$1,enemy_skill_triggers!$1:$1,0)-MATCH($F$1,enemy_skill_triggers!$1:$1,0)+1),MATCH(L$1,enemy_skill_triggers!$1:$1,0)-MATCH($F$1,enemy_skill_triggers!$1:$1,0)+1,FALSE)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4" s="94">
        <f ca="1">VLOOKUP($F194,OFFSET(enemy_skill_triggers!$A$1,0,0,COUNTA(enemy_skill_triggers!$A:$A),MATCH(M$1,enemy_skill_triggers!$1:$1,0)-MATCH($F$1,enemy_skill_triggers!$1:$1,0)+1),MATCH(M$1,enemy_skill_triggers!$1:$1,0)-MATCH($F$1,enemy_skill_triggers!$1:$1,0)+1,FALSE)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4" s="94" t="str">
        <f ca="1">VLOOKUP($F194,OFFSET(enemy_skill_triggers!$A$1,0,0,COUNTA(enemy_skill_triggers!$A:$A),MATCH(N$1,enemy_skill_triggers!$1:$1,0)-MATCH($F$1,enemy_skill_triggers!$1:$1,0)+1),MATCH(N$1,enemy_skill_triggers!$1:$1,0)-MATCH($F$1,enemy_skill_triggers!$1:$1,0)+1,FALSE)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4" s="94">
        <f ca="1">VLOOKUP($F194,OFFSET(enemy_skill_triggers!$A$1,0,0,COUNTA(enemy_skill_triggers!$A:$A),MATCH(O$1,enemy_skill_triggers!$1:$1,0)-MATCH($F$1,enemy_skill_triggers!$1:$1,0)+1),MATCH(O$1,enemy_skill_triggers!$1:$1,0)-MATCH($F$1,enemy_skill_triggers!$1:$1,0)+1,FALSE)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4" s="92"/>
      <c r="Q194" s="92"/>
      <c r="R194" s="92"/>
    </row>
    <row r="195" spans="1:18" s="131" customFormat="1" ht="31" customHeight="1" x14ac:dyDescent="0.15">
      <c r="A195" s="127" t="str">
        <f t="shared" si="24"/>
        <v>47015370_47015377</v>
      </c>
      <c r="B195" s="135">
        <v>47015370</v>
      </c>
      <c r="C195" s="216">
        <v>47015377</v>
      </c>
      <c r="D195" s="129" t="str">
        <f ca="1">VLOOKUP($C195,OFFSET(enemy_skills!$A$1,0,0,COUNTA(enemy_skills!$A:$A),MATCH(D$1,enemy_skills!$1:$1,0)-MATCH("enemy_skill_id",enemy_skills!$1:$1,0)+1),MATCH(D$1,enemy_skills!$1:$1,0)-MATCH("enemy_skill_id",enemy_skills!$1:$1,0)+1,FALSE)</f>
        <v>アマテラスが花束を大きく振りかぶる</v>
      </c>
      <c r="E195" s="129" t="str">
        <f ca="1">VLOOKUP($C195,OFFSET(enemy_skills!$A$1,0,0,COUNTA(enemy_skills!$A:$A),MATCH(E$1,enemy_skills!$1:$1,0)-MATCH("enemy_skill_id",enemy_skills!$1:$1,0)+1),MATCH(E$1,enemy_skills!$1:$1,0)-MATCH("enemy_skill_id",enemy_skills!$1:$1,0)+1,FALSE)</f>
        <v>”ぶーけとす”って一度やってみたかったの！！_x000D_【超強力な大ダメージ攻撃】</v>
      </c>
      <c r="F195" s="216">
        <v>47015377</v>
      </c>
      <c r="G195" s="130">
        <f ca="1">VLOOKUP($F195,OFFSET(enemy_skill_triggers!$A$1,0,0,COUNTA(enemy_skill_triggers!$A:$A),MATCH(G$1,enemy_skill_triggers!$1:$1,0)-MATCH($F$1,enemy_skill_triggers!$1:$1,0)+1),MATCH(G$1,enemy_skill_triggers!$1:$1,0)-MATCH($F$1,enemy_skill_triggers!$1:$1,0)+1,FALSE)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5" s="130">
        <f ca="1">VLOOKUP($F195,OFFSET(enemy_skill_triggers!$A$1,0,0,COUNTA(enemy_skill_triggers!$A:$A),MATCH(H$1,enemy_skill_triggers!$1:$1,0)-MATCH($F$1,enemy_skill_triggers!$1:$1,0)+1),MATCH(H$1,enemy_skill_triggers!$1:$1,0)-MATCH($F$1,enemy_skill_triggers!$1:$1,0)+1,FALSE)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195" s="130">
        <f ca="1">VLOOKUP($F195,OFFSET(enemy_skill_triggers!$A$1,0,0,COUNTA(enemy_skill_triggers!$A:$A),MATCH(I$1,enemy_skill_triggers!$1:$1,0)-MATCH($F$1,enemy_skill_triggers!$1:$1,0)+1),MATCH(I$1,enemy_skill_triggers!$1:$1,0)-MATCH($F$1,enemy_skill_triggers!$1:$1,0)+1,FALSE)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5" s="130">
        <f ca="1">VLOOKUP($F195,OFFSET(enemy_skill_triggers!$A$1,0,0,COUNTA(enemy_skill_triggers!$A:$A),MATCH(J$1,enemy_skill_triggers!$1:$1,0)-MATCH($F$1,enemy_skill_triggers!$1:$1,0)+1),MATCH(J$1,enemy_skill_triggers!$1:$1,0)-MATCH($F$1,enemy_skill_triggers!$1:$1,0)+1,FALSE)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195" s="130" t="str">
        <f ca="1">VLOOKUP($F195,OFFSET(enemy_skill_triggers!$A$1,0,0,COUNTA(enemy_skill_triggers!$A:$A),MATCH(K$1,enemy_skill_triggers!$1:$1,0)-MATCH($F$1,enemy_skill_triggers!$1:$1,0)+1),MATCH(K$1,enemy_skill_triggers!$1:$1,0)-MATCH($F$1,enemy_skill_triggers!$1:$1,0)+1,FALSE)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5" s="130">
        <f ca="1">VLOOKUP($F195,OFFSET(enemy_skill_triggers!$A$1,0,0,COUNTA(enemy_skill_triggers!$A:$A),MATCH(L$1,enemy_skill_triggers!$1:$1,0)-MATCH($F$1,enemy_skill_triggers!$1:$1,0)+1),MATCH(L$1,enemy_skill_triggers!$1:$1,0)-MATCH($F$1,enemy_skill_triggers!$1:$1,0)+1,FALSE)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5" s="130">
        <f ca="1">VLOOKUP($F195,OFFSET(enemy_skill_triggers!$A$1,0,0,COUNTA(enemy_skill_triggers!$A:$A),MATCH(M$1,enemy_skill_triggers!$1:$1,0)-MATCH($F$1,enemy_skill_triggers!$1:$1,0)+1),MATCH(M$1,enemy_skill_triggers!$1:$1,0)-MATCH($F$1,enemy_skill_triggers!$1:$1,0)+1,FALSE)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5" s="130" t="str">
        <f ca="1">VLOOKUP($F195,OFFSET(enemy_skill_triggers!$A$1,0,0,COUNTA(enemy_skill_triggers!$A:$A),MATCH(N$1,enemy_skill_triggers!$1:$1,0)-MATCH($F$1,enemy_skill_triggers!$1:$1,0)+1),MATCH(N$1,enemy_skill_triggers!$1:$1,0)-MATCH($F$1,enemy_skill_triggers!$1:$1,0)+1,FALSE)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5" s="130">
        <f ca="1">VLOOKUP($F195,OFFSET(enemy_skill_triggers!$A$1,0,0,COUNTA(enemy_skill_triggers!$A:$A),MATCH(O$1,enemy_skill_triggers!$1:$1,0)-MATCH($F$1,enemy_skill_triggers!$1:$1,0)+1),MATCH(O$1,enemy_skill_triggers!$1:$1,0)-MATCH($F$1,enemy_skill_triggers!$1:$1,0)+1,FALSE)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5" s="128"/>
      <c r="Q195" s="128"/>
      <c r="R195" s="128"/>
    </row>
    <row r="196" spans="1:18" s="131" customFormat="1" ht="31" customHeight="1" x14ac:dyDescent="0.15">
      <c r="A196" s="127" t="str">
        <f t="shared" si="24"/>
        <v>47015370_47015378</v>
      </c>
      <c r="B196" s="135">
        <v>47015370</v>
      </c>
      <c r="C196" s="216">
        <v>47015378</v>
      </c>
      <c r="D196" s="129" t="str">
        <f ca="1">VLOOKUP($C196,OFFSET(enemy_skills!$A$1,0,0,COUNTA(enemy_skills!$A:$A),MATCH(D$1,enemy_skills!$1:$1,0)-MATCH("enemy_skill_id",enemy_skills!$1:$1,0)+1),MATCH(D$1,enemy_skills!$1:$1,0)-MATCH("enemy_skill_id",enemy_skills!$1:$1,0)+1,FALSE)</f>
        <v>”じゅーんぶらいど”_x000D_とても素敵なお祭りでしたね</v>
      </c>
      <c r="E196" s="129" t="str">
        <f ca="1">VLOOKUP($C196,OFFSET(enemy_skills!$A$1,0,0,COUNTA(enemy_skills!$A:$A),MATCH(E$1,enemy_skills!$1:$1,0)-MATCH("enemy_skill_id",enemy_skills!$1:$1,0)+1),MATCH(E$1,enemy_skills!$1:$1,0)-MATCH("enemy_skill_id",enemy_skills!$1:$1,0)+1,FALSE)</f>
        <v>あぁ、祭りが終わってしまいます…</v>
      </c>
      <c r="F196" s="216">
        <v>47015378</v>
      </c>
      <c r="G196" s="130">
        <f ca="1">VLOOKUP($F196,OFFSET(enemy_skill_triggers!$A$1,0,0,COUNTA(enemy_skill_triggers!$A:$A),MATCH(G$1,enemy_skill_triggers!$1:$1,0)-MATCH($F$1,enemy_skill_triggers!$1:$1,0)+1),MATCH(G$1,enemy_skill_triggers!$1:$1,0)-MATCH($F$1,enemy_skill_triggers!$1:$1,0)+1,FALSE)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6" s="130">
        <f ca="1">VLOOKUP($F196,OFFSET(enemy_skill_triggers!$A$1,0,0,COUNTA(enemy_skill_triggers!$A:$A),MATCH(H$1,enemy_skill_triggers!$1:$1,0)-MATCH($F$1,enemy_skill_triggers!$1:$1,0)+1),MATCH(H$1,enemy_skill_triggers!$1:$1,0)-MATCH($F$1,enemy_skill_triggers!$1:$1,0)+1,FALSE)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96" s="130">
        <f ca="1">VLOOKUP($F196,OFFSET(enemy_skill_triggers!$A$1,0,0,COUNTA(enemy_skill_triggers!$A:$A),MATCH(I$1,enemy_skill_triggers!$1:$1,0)-MATCH($F$1,enemy_skill_triggers!$1:$1,0)+1),MATCH(I$1,enemy_skill_triggers!$1:$1,0)-MATCH($F$1,enemy_skill_triggers!$1:$1,0)+1,FALSE)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6" s="130" t="str">
        <f ca="1">VLOOKUP($F196,OFFSET(enemy_skill_triggers!$A$1,0,0,COUNTA(enemy_skill_triggers!$A:$A),MATCH(J$1,enemy_skill_triggers!$1:$1,0)-MATCH($F$1,enemy_skill_triggers!$1:$1,0)+1),MATCH(J$1,enemy_skill_triggers!$1:$1,0)-MATCH($F$1,enemy_skill_triggers!$1:$1,0)+1,FALSE)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6" s="130" t="str">
        <f ca="1">VLOOKUP($F196,OFFSET(enemy_skill_triggers!$A$1,0,0,COUNTA(enemy_skill_triggers!$A:$A),MATCH(K$1,enemy_skill_triggers!$1:$1,0)-MATCH($F$1,enemy_skill_triggers!$1:$1,0)+1),MATCH(K$1,enemy_skill_triggers!$1:$1,0)-MATCH($F$1,enemy_skill_triggers!$1:$1,0)+1,FALSE)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6" s="130">
        <f ca="1">VLOOKUP($F196,OFFSET(enemy_skill_triggers!$A$1,0,0,COUNTA(enemy_skill_triggers!$A:$A),MATCH(L$1,enemy_skill_triggers!$1:$1,0)-MATCH($F$1,enemy_skill_triggers!$1:$1,0)+1),MATCH(L$1,enemy_skill_triggers!$1:$1,0)-MATCH($F$1,enemy_skill_triggers!$1:$1,0)+1,FALSE)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96" s="130" t="str">
        <f ca="1">VLOOKUP($F196,OFFSET(enemy_skill_triggers!$A$1,0,0,COUNTA(enemy_skill_triggers!$A:$A),MATCH(M$1,enemy_skill_triggers!$1:$1,0)-MATCH($F$1,enemy_skill_triggers!$1:$1,0)+1),MATCH(M$1,enemy_skill_triggers!$1:$1,0)-MATCH($F$1,enemy_skill_triggers!$1:$1,0)+1,FALSE)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6" s="130">
        <f ca="1">VLOOKUP($F196,OFFSET(enemy_skill_triggers!$A$1,0,0,COUNTA(enemy_skill_triggers!$A:$A),MATCH(N$1,enemy_skill_triggers!$1:$1,0)-MATCH($F$1,enemy_skill_triggers!$1:$1,0)+1),MATCH(N$1,enemy_skill_triggers!$1:$1,0)-MATCH($F$1,enemy_skill_triggers!$1:$1,0)+1,FALSE)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96" s="130">
        <f ca="1">VLOOKUP($F196,OFFSET(enemy_skill_triggers!$A$1,0,0,COUNTA(enemy_skill_triggers!$A:$A),MATCH(O$1,enemy_skill_triggers!$1:$1,0)-MATCH($F$1,enemy_skill_triggers!$1:$1,0)+1),MATCH(O$1,enemy_skill_triggers!$1:$1,0)-MATCH($F$1,enemy_skill_triggers!$1:$1,0)+1,FALSE)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6" s="128"/>
      <c r="Q196" s="128"/>
      <c r="R196" s="128"/>
    </row>
    <row r="197" spans="1:18" s="131" customFormat="1" ht="31" customHeight="1" x14ac:dyDescent="0.15">
      <c r="A197" s="127" t="str">
        <f t="shared" si="24"/>
        <v>47015370_47015379</v>
      </c>
      <c r="B197" s="199">
        <v>47015370</v>
      </c>
      <c r="C197" s="216">
        <v>47015379</v>
      </c>
      <c r="D197" s="129" t="str">
        <f ca="1">VLOOKUP($C197,OFFSET(enemy_skills!$A$1,0,0,COUNTA(enemy_skills!$A:$A),MATCH(D$1,enemy_skills!$1:$1,0)-MATCH("enemy_skill_id",enemy_skills!$1:$1,0)+1),MATCH(D$1,enemy_skills!$1:$1,0)-MATCH("enemy_skill_id",enemy_skills!$1:$1,0)+1,FALSE)</f>
        <v>なんとも楽しい勝負でした</v>
      </c>
      <c r="E197" s="129" t="str">
        <f ca="1">VLOOKUP($C197,OFFSET(enemy_skills!$A$1,0,0,COUNTA(enemy_skills!$A:$A),MATCH(E$1,enemy_skills!$1:$1,0)-MATCH("enemy_skill_id",enemy_skills!$1:$1,0)+1),MATCH(E$1,enemy_skills!$1:$1,0)-MATCH("enemy_skill_id",enemy_skills!$1:$1,0)+1,FALSE)</f>
        <v>ふふふ、楽しいお祭りでしたね</v>
      </c>
      <c r="F197" s="216">
        <v>47015379</v>
      </c>
      <c r="G197" s="130">
        <f ca="1">VLOOKUP($F197,OFFSET(enemy_skill_triggers!$A$1,0,0,COUNTA(enemy_skill_triggers!$A:$A),MATCH(G$1,enemy_skill_triggers!$1:$1,0)-MATCH($F$1,enemy_skill_triggers!$1:$1,0)+1),MATCH(G$1,enemy_skill_triggers!$1:$1,0)-MATCH($F$1,enemy_skill_triggers!$1:$1,0)+1,FALSE)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7" s="130">
        <f ca="1">VLOOKUP($F197,OFFSET(enemy_skill_triggers!$A$1,0,0,COUNTA(enemy_skill_triggers!$A:$A),MATCH(H$1,enemy_skill_triggers!$1:$1,0)-MATCH($F$1,enemy_skill_triggers!$1:$1,0)+1),MATCH(H$1,enemy_skill_triggers!$1:$1,0)-MATCH($F$1,enemy_skill_triggers!$1:$1,0)+1,FALSE)</f>
        <v>119</v>
      </c>
      <c r="I197" s="130">
        <f ca="1">VLOOKUP($F197,OFFSET(enemy_skill_triggers!$A$1,0,0,COUNTA(enemy_skill_triggers!$A:$A),MATCH(I$1,enemy_skill_triggers!$1:$1,0)-MATCH($F$1,enemy_skill_triggers!$1:$1,0)+1),MATCH(I$1,enemy_skill_triggers!$1:$1,0)-MATCH($F$1,enemy_skill_triggers!$1:$1,0)+1,FALSE)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7" s="130" t="str">
        <f ca="1">VLOOKUP($F197,OFFSET(enemy_skill_triggers!$A$1,0,0,COUNTA(enemy_skill_triggers!$A:$A),MATCH(J$1,enemy_skill_triggers!$1:$1,0)-MATCH($F$1,enemy_skill_triggers!$1:$1,0)+1),MATCH(J$1,enemy_skill_triggers!$1:$1,0)-MATCH($F$1,enemy_skill_triggers!$1:$1,0)+1,FALSE)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7" s="130" t="str">
        <f ca="1">VLOOKUP($F197,OFFSET(enemy_skill_triggers!$A$1,0,0,COUNTA(enemy_skill_triggers!$A:$A),MATCH(K$1,enemy_skill_triggers!$1:$1,0)-MATCH($F$1,enemy_skill_triggers!$1:$1,0)+1),MATCH(K$1,enemy_skill_triggers!$1:$1,0)-MATCH($F$1,enemy_skill_triggers!$1:$1,0)+1,FALSE)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7" s="130">
        <f ca="1">VLOOKUP($F197,OFFSET(enemy_skill_triggers!$A$1,0,0,COUNTA(enemy_skill_triggers!$A:$A),MATCH(L$1,enemy_skill_triggers!$1:$1,0)-MATCH($F$1,enemy_skill_triggers!$1:$1,0)+1),MATCH(L$1,enemy_skill_triggers!$1:$1,0)-MATCH($F$1,enemy_skill_triggers!$1:$1,0)+1,FALSE)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97" s="130" t="str">
        <f ca="1">VLOOKUP($F197,OFFSET(enemy_skill_triggers!$A$1,0,0,COUNTA(enemy_skill_triggers!$A:$A),MATCH(M$1,enemy_skill_triggers!$1:$1,0)-MATCH($F$1,enemy_skill_triggers!$1:$1,0)+1),MATCH(M$1,enemy_skill_triggers!$1:$1,0)-MATCH($F$1,enemy_skill_triggers!$1:$1,0)+1,FALSE)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7" s="130">
        <f ca="1">VLOOKUP($F197,OFFSET(enemy_skill_triggers!$A$1,0,0,COUNTA(enemy_skill_triggers!$A:$A),MATCH(N$1,enemy_skill_triggers!$1:$1,0)-MATCH($F$1,enemy_skill_triggers!$1:$1,0)+1),MATCH(N$1,enemy_skill_triggers!$1:$1,0)-MATCH($F$1,enemy_skill_triggers!$1:$1,0)+1,FALSE)</f>
        <v>1703</v>
      </c>
      <c r="O197" s="130">
        <f ca="1">VLOOKUP($F197,OFFSET(enemy_skill_triggers!$A$1,0,0,COUNTA(enemy_skill_triggers!$A:$A),MATCH(O$1,enemy_skill_triggers!$1:$1,0)-MATCH($F$1,enemy_skill_triggers!$1:$1,0)+1),MATCH(O$1,enemy_skill_triggers!$1:$1,0)-MATCH($F$1,enemy_skill_triggers!$1:$1,0)+1,FALSE)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7" s="128"/>
      <c r="Q197" s="128"/>
      <c r="R197" s="128"/>
    </row>
    <row r="198" spans="1:18" s="131" customFormat="1" ht="31" customHeight="1" x14ac:dyDescent="0.15">
      <c r="A198" s="127" t="str">
        <f t="shared" si="24"/>
        <v>47015370_47015380</v>
      </c>
      <c r="B198" s="199">
        <v>47015370</v>
      </c>
      <c r="C198" s="216">
        <v>47015380</v>
      </c>
      <c r="D198" s="129" t="str">
        <f ca="1">VLOOKUP($C198,OFFSET(enemy_skills!$A$1,0,0,COUNTA(enemy_skills!$A:$A),MATCH(D$1,enemy_skills!$1:$1,0)-MATCH("enemy_skill_id",enemy_skills!$1:$1,0)+1),MATCH(D$1,enemy_skills!$1:$1,0)-MATCH("enemy_skill_id",enemy_skills!$1:$1,0)+1,FALSE)</f>
        <v>なんとも楽しい勝負でした</v>
      </c>
      <c r="E198" s="129" t="str">
        <f ca="1">VLOOKUP($C198,OFFSET(enemy_skills!$A$1,0,0,COUNTA(enemy_skills!$A:$A),MATCH(E$1,enemy_skills!$1:$1,0)-MATCH("enemy_skill_id",enemy_skills!$1:$1,0)+1),MATCH(E$1,enemy_skills!$1:$1,0)-MATCH("enemy_skill_id",enemy_skills!$1:$1,0)+1,FALSE)</f>
        <v>ふふふ、楽しいお祭りでしたね</v>
      </c>
      <c r="F198" s="216">
        <v>47015380</v>
      </c>
      <c r="G198" s="130">
        <f ca="1">VLOOKUP($F198,OFFSET(enemy_skill_triggers!$A$1,0,0,COUNTA(enemy_skill_triggers!$A:$A),MATCH(G$1,enemy_skill_triggers!$1:$1,0)-MATCH($F$1,enemy_skill_triggers!$1:$1,0)+1),MATCH(G$1,enemy_skill_triggers!$1:$1,0)-MATCH($F$1,enemy_skill_triggers!$1:$1,0)+1,FALSE)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8" s="130">
        <f ca="1">VLOOKUP($F198,OFFSET(enemy_skill_triggers!$A$1,0,0,COUNTA(enemy_skill_triggers!$A:$A),MATCH(H$1,enemy_skill_triggers!$1:$1,0)-MATCH($F$1,enemy_skill_triggers!$1:$1,0)+1),MATCH(H$1,enemy_skill_triggers!$1:$1,0)-MATCH($F$1,enemy_skill_triggers!$1:$1,0)+1,FALSE)</f>
        <v>118</v>
      </c>
      <c r="I198" s="130">
        <f ca="1">VLOOKUP($F198,OFFSET(enemy_skill_triggers!$A$1,0,0,COUNTA(enemy_skill_triggers!$A:$A),MATCH(I$1,enemy_skill_triggers!$1:$1,0)-MATCH($F$1,enemy_skill_triggers!$1:$1,0)+1),MATCH(I$1,enemy_skill_triggers!$1:$1,0)-MATCH($F$1,enemy_skill_triggers!$1:$1,0)+1,FALSE)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8" s="130" t="str">
        <f ca="1">VLOOKUP($F198,OFFSET(enemy_skill_triggers!$A$1,0,0,COUNTA(enemy_skill_triggers!$A:$A),MATCH(J$1,enemy_skill_triggers!$1:$1,0)-MATCH($F$1,enemy_skill_triggers!$1:$1,0)+1),MATCH(J$1,enemy_skill_triggers!$1:$1,0)-MATCH($F$1,enemy_skill_triggers!$1:$1,0)+1,FALSE)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8" s="130" t="str">
        <f ca="1">VLOOKUP($F198,OFFSET(enemy_skill_triggers!$A$1,0,0,COUNTA(enemy_skill_triggers!$A:$A),MATCH(K$1,enemy_skill_triggers!$1:$1,0)-MATCH($F$1,enemy_skill_triggers!$1:$1,0)+1),MATCH(K$1,enemy_skill_triggers!$1:$1,0)-MATCH($F$1,enemy_skill_triggers!$1:$1,0)+1,FALSE)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8" s="130">
        <f ca="1">VLOOKUP($F198,OFFSET(enemy_skill_triggers!$A$1,0,0,COUNTA(enemy_skill_triggers!$A:$A),MATCH(L$1,enemy_skill_triggers!$1:$1,0)-MATCH($F$1,enemy_skill_triggers!$1:$1,0)+1),MATCH(L$1,enemy_skill_triggers!$1:$1,0)-MATCH($F$1,enemy_skill_triggers!$1:$1,0)+1,FALSE)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98" s="130" t="str">
        <f ca="1">VLOOKUP($F198,OFFSET(enemy_skill_triggers!$A$1,0,0,COUNTA(enemy_skill_triggers!$A:$A),MATCH(M$1,enemy_skill_triggers!$1:$1,0)-MATCH($F$1,enemy_skill_triggers!$1:$1,0)+1),MATCH(M$1,enemy_skill_triggers!$1:$1,0)-MATCH($F$1,enemy_skill_triggers!$1:$1,0)+1,FALSE)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8" s="130">
        <f ca="1">VLOOKUP($F198,OFFSET(enemy_skill_triggers!$A$1,0,0,COUNTA(enemy_skill_triggers!$A:$A),MATCH(N$1,enemy_skill_triggers!$1:$1,0)-MATCH($F$1,enemy_skill_triggers!$1:$1,0)+1),MATCH(N$1,enemy_skill_triggers!$1:$1,0)-MATCH($F$1,enemy_skill_triggers!$1:$1,0)+1,FALSE)</f>
        <v>1704</v>
      </c>
      <c r="O198" s="130">
        <f ca="1">VLOOKUP($F198,OFFSET(enemy_skill_triggers!$A$1,0,0,COUNTA(enemy_skill_triggers!$A:$A),MATCH(O$1,enemy_skill_triggers!$1:$1,0)-MATCH($F$1,enemy_skill_triggers!$1:$1,0)+1),MATCH(O$1,enemy_skill_triggers!$1:$1,0)-MATCH($F$1,enemy_skill_triggers!$1:$1,0)+1,FALSE)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8" s="128"/>
      <c r="Q198" s="128"/>
      <c r="R198" s="128"/>
    </row>
    <row r="199" spans="1:18" s="131" customFormat="1" ht="31" customHeight="1" x14ac:dyDescent="0.15">
      <c r="A199" s="127" t="str">
        <f t="shared" si="24"/>
        <v>47015370_47015381</v>
      </c>
      <c r="B199" s="199">
        <v>47015370</v>
      </c>
      <c r="C199" s="216">
        <v>47015381</v>
      </c>
      <c r="D199" s="129" t="str">
        <f ca="1">VLOOKUP($C199,OFFSET(enemy_skills!$A$1,0,0,COUNTA(enemy_skills!$A:$A),MATCH(D$1,enemy_skills!$1:$1,0)-MATCH("enemy_skill_id",enemy_skills!$1:$1,0)+1),MATCH(D$1,enemy_skills!$1:$1,0)-MATCH("enemy_skill_id",enemy_skills!$1:$1,0)+1,FALSE)</f>
        <v>ありがとう_x000D_楽しい時間でしたよ</v>
      </c>
      <c r="E199" s="129" t="str">
        <f ca="1">VLOOKUP($C199,OFFSET(enemy_skills!$A$1,0,0,COUNTA(enemy_skills!$A:$A),MATCH(E$1,enemy_skills!$1:$1,0)-MATCH("enemy_skill_id",enemy_skills!$1:$1,0)+1),MATCH(E$1,enemy_skills!$1:$1,0)-MATCH("enemy_skill_id",enemy_skills!$1:$1,0)+1,FALSE)</f>
        <v>...祭りの終わりは少し悲しいですね</v>
      </c>
      <c r="F199" s="216">
        <v>47015381</v>
      </c>
      <c r="G199" s="130">
        <f ca="1">VLOOKUP($F199,OFFSET(enemy_skill_triggers!$A$1,0,0,COUNTA(enemy_skill_triggers!$A:$A),MATCH(G$1,enemy_skill_triggers!$1:$1,0)-MATCH($F$1,enemy_skill_triggers!$1:$1,0)+1),MATCH(G$1,enemy_skill_triggers!$1:$1,0)-MATCH($F$1,enemy_skill_triggers!$1:$1,0)+1,FALSE)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9" s="130">
        <f ca="1">VLOOKUP($F199,OFFSET(enemy_skill_triggers!$A$1,0,0,COUNTA(enemy_skill_triggers!$A:$A),MATCH(H$1,enemy_skill_triggers!$1:$1,0)-MATCH($F$1,enemy_skill_triggers!$1:$1,0)+1),MATCH(H$1,enemy_skill_triggers!$1:$1,0)-MATCH($F$1,enemy_skill_triggers!$1:$1,0)+1,FALSE)</f>
        <v>117</v>
      </c>
      <c r="I199" s="130">
        <f ca="1">VLOOKUP($F199,OFFSET(enemy_skill_triggers!$A$1,0,0,COUNTA(enemy_skill_triggers!$A:$A),MATCH(I$1,enemy_skill_triggers!$1:$1,0)-MATCH($F$1,enemy_skill_triggers!$1:$1,0)+1),MATCH(I$1,enemy_skill_triggers!$1:$1,0)-MATCH($F$1,enemy_skill_triggers!$1:$1,0)+1,FALSE)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9" s="130" t="str">
        <f ca="1">VLOOKUP($F199,OFFSET(enemy_skill_triggers!$A$1,0,0,COUNTA(enemy_skill_triggers!$A:$A),MATCH(J$1,enemy_skill_triggers!$1:$1,0)-MATCH($F$1,enemy_skill_triggers!$1:$1,0)+1),MATCH(J$1,enemy_skill_triggers!$1:$1,0)-MATCH($F$1,enemy_skill_triggers!$1:$1,0)+1,FALSE)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9" s="130" t="str">
        <f ca="1">VLOOKUP($F199,OFFSET(enemy_skill_triggers!$A$1,0,0,COUNTA(enemy_skill_triggers!$A:$A),MATCH(K$1,enemy_skill_triggers!$1:$1,0)-MATCH($F$1,enemy_skill_triggers!$1:$1,0)+1),MATCH(K$1,enemy_skill_triggers!$1:$1,0)-MATCH($F$1,enemy_skill_triggers!$1:$1,0)+1,FALSE)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9" s="130">
        <f ca="1">VLOOKUP($F199,OFFSET(enemy_skill_triggers!$A$1,0,0,COUNTA(enemy_skill_triggers!$A:$A),MATCH(L$1,enemy_skill_triggers!$1:$1,0)-MATCH($F$1,enemy_skill_triggers!$1:$1,0)+1),MATCH(L$1,enemy_skill_triggers!$1:$1,0)-MATCH($F$1,enemy_skill_triggers!$1:$1,0)+1,FALSE)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99" s="130" t="str">
        <f ca="1">VLOOKUP($F199,OFFSET(enemy_skill_triggers!$A$1,0,0,COUNTA(enemy_skill_triggers!$A:$A),MATCH(M$1,enemy_skill_triggers!$1:$1,0)-MATCH($F$1,enemy_skill_triggers!$1:$1,0)+1),MATCH(M$1,enemy_skill_triggers!$1:$1,0)-MATCH($F$1,enemy_skill_triggers!$1:$1,0)+1,FALSE)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9" s="130">
        <f ca="1">VLOOKUP($F199,OFFSET(enemy_skill_triggers!$A$1,0,0,COUNTA(enemy_skill_triggers!$A:$A),MATCH(N$1,enemy_skill_triggers!$1:$1,0)-MATCH($F$1,enemy_skill_triggers!$1:$1,0)+1),MATCH(N$1,enemy_skill_triggers!$1:$1,0)-MATCH($F$1,enemy_skill_triggers!$1:$1,0)+1,FALSE)</f>
        <v>1326</v>
      </c>
      <c r="O199" s="130">
        <f ca="1">VLOOKUP($F199,OFFSET(enemy_skill_triggers!$A$1,0,0,COUNTA(enemy_skill_triggers!$A:$A),MATCH(O$1,enemy_skill_triggers!$1:$1,0)-MATCH($F$1,enemy_skill_triggers!$1:$1,0)+1),MATCH(O$1,enemy_skill_triggers!$1:$1,0)-MATCH($F$1,enemy_skill_triggers!$1:$1,0)+1,FALSE)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9" s="128"/>
      <c r="Q199" s="128"/>
      <c r="R199" s="128"/>
    </row>
    <row r="200" spans="1:18" s="131" customFormat="1" ht="31" customHeight="1" x14ac:dyDescent="0.15">
      <c r="A200" s="127" t="str">
        <f t="shared" si="24"/>
        <v>47015370_47015382</v>
      </c>
      <c r="B200" s="199">
        <v>47015370</v>
      </c>
      <c r="C200" s="216">
        <v>47015382</v>
      </c>
      <c r="D200" s="129" t="str">
        <f ca="1">VLOOKUP($C200,OFFSET(enemy_skills!$A$1,0,0,COUNTA(enemy_skills!$A:$A),MATCH(D$1,enemy_skills!$1:$1,0)-MATCH("enemy_skill_id",enemy_skills!$1:$1,0)+1),MATCH(D$1,enemy_skills!$1:$1,0)-MATCH("enemy_skill_id",enemy_skills!$1:$1,0)+1,FALSE)</f>
        <v>ありがとう_x000D_楽しい時間でしたよ</v>
      </c>
      <c r="E200" s="129" t="str">
        <f ca="1">VLOOKUP($C200,OFFSET(enemy_skills!$A$1,0,0,COUNTA(enemy_skills!$A:$A),MATCH(E$1,enemy_skills!$1:$1,0)-MATCH("enemy_skill_id",enemy_skills!$1:$1,0)+1),MATCH(E$1,enemy_skills!$1:$1,0)-MATCH("enemy_skill_id",enemy_skills!$1:$1,0)+1,FALSE)</f>
        <v>...祭りの終わりは少し悲しいですね</v>
      </c>
      <c r="F200" s="216">
        <v>47015382</v>
      </c>
      <c r="G200" s="130">
        <f ca="1">VLOOKUP($F200,OFFSET(enemy_skill_triggers!$A$1,0,0,COUNTA(enemy_skill_triggers!$A:$A),MATCH(G$1,enemy_skill_triggers!$1:$1,0)-MATCH($F$1,enemy_skill_triggers!$1:$1,0)+1),MATCH(G$1,enemy_skill_triggers!$1:$1,0)-MATCH($F$1,enemy_skill_triggers!$1:$1,0)+1,FALSE)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0" s="130">
        <f ca="1">VLOOKUP($F200,OFFSET(enemy_skill_triggers!$A$1,0,0,COUNTA(enemy_skill_triggers!$A:$A),MATCH(H$1,enemy_skill_triggers!$1:$1,0)-MATCH($F$1,enemy_skill_triggers!$1:$1,0)+1),MATCH(H$1,enemy_skill_triggers!$1:$1,0)-MATCH($F$1,enemy_skill_triggers!$1:$1,0)+1,FALSE)</f>
        <v>116</v>
      </c>
      <c r="I200" s="130">
        <f ca="1">VLOOKUP($F200,OFFSET(enemy_skill_triggers!$A$1,0,0,COUNTA(enemy_skill_triggers!$A:$A),MATCH(I$1,enemy_skill_triggers!$1:$1,0)-MATCH($F$1,enemy_skill_triggers!$1:$1,0)+1),MATCH(I$1,enemy_skill_triggers!$1:$1,0)-MATCH($F$1,enemy_skill_triggers!$1:$1,0)+1,FALSE)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0" s="130" t="str">
        <f ca="1">VLOOKUP($F200,OFFSET(enemy_skill_triggers!$A$1,0,0,COUNTA(enemy_skill_triggers!$A:$A),MATCH(J$1,enemy_skill_triggers!$1:$1,0)-MATCH($F$1,enemy_skill_triggers!$1:$1,0)+1),MATCH(J$1,enemy_skill_triggers!$1:$1,0)-MATCH($F$1,enemy_skill_triggers!$1:$1,0)+1,FALSE)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0" s="130" t="str">
        <f ca="1">VLOOKUP($F200,OFFSET(enemy_skill_triggers!$A$1,0,0,COUNTA(enemy_skill_triggers!$A:$A),MATCH(K$1,enemy_skill_triggers!$1:$1,0)-MATCH($F$1,enemy_skill_triggers!$1:$1,0)+1),MATCH(K$1,enemy_skill_triggers!$1:$1,0)-MATCH($F$1,enemy_skill_triggers!$1:$1,0)+1,FALSE)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0" s="130">
        <f ca="1">VLOOKUP($F200,OFFSET(enemy_skill_triggers!$A$1,0,0,COUNTA(enemy_skill_triggers!$A:$A),MATCH(L$1,enemy_skill_triggers!$1:$1,0)-MATCH($F$1,enemy_skill_triggers!$1:$1,0)+1),MATCH(L$1,enemy_skill_triggers!$1:$1,0)-MATCH($F$1,enemy_skill_triggers!$1:$1,0)+1,FALSE)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0" s="130" t="str">
        <f ca="1">VLOOKUP($F200,OFFSET(enemy_skill_triggers!$A$1,0,0,COUNTA(enemy_skill_triggers!$A:$A),MATCH(M$1,enemy_skill_triggers!$1:$1,0)-MATCH($F$1,enemy_skill_triggers!$1:$1,0)+1),MATCH(M$1,enemy_skill_triggers!$1:$1,0)-MATCH($F$1,enemy_skill_triggers!$1:$1,0)+1,FALSE)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0" s="130">
        <f ca="1">VLOOKUP($F200,OFFSET(enemy_skill_triggers!$A$1,0,0,COUNTA(enemy_skill_triggers!$A:$A),MATCH(N$1,enemy_skill_triggers!$1:$1,0)-MATCH($F$1,enemy_skill_triggers!$1:$1,0)+1),MATCH(N$1,enemy_skill_triggers!$1:$1,0)-MATCH($F$1,enemy_skill_triggers!$1:$1,0)+1,FALSE)</f>
        <v>1327</v>
      </c>
      <c r="O200" s="130">
        <f ca="1">VLOOKUP($F200,OFFSET(enemy_skill_triggers!$A$1,0,0,COUNTA(enemy_skill_triggers!$A:$A),MATCH(O$1,enemy_skill_triggers!$1:$1,0)-MATCH($F$1,enemy_skill_triggers!$1:$1,0)+1),MATCH(O$1,enemy_skill_triggers!$1:$1,0)-MATCH($F$1,enemy_skill_triggers!$1:$1,0)+1,FALSE)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0" s="128"/>
      <c r="Q200" s="128"/>
      <c r="R200" s="128"/>
    </row>
    <row r="201" spans="1:18" s="131" customFormat="1" ht="31" customHeight="1" x14ac:dyDescent="0.15">
      <c r="A201" s="127" t="str">
        <f t="shared" si="24"/>
        <v>47015370_47015383</v>
      </c>
      <c r="B201" s="199">
        <v>47015370</v>
      </c>
      <c r="C201" s="216">
        <v>47015383</v>
      </c>
      <c r="D201" s="129" t="str">
        <f ca="1">VLOOKUP($C201,OFFSET(enemy_skills!$A$1,0,0,COUNTA(enemy_skills!$A:$A),MATCH(D$1,enemy_skills!$1:$1,0)-MATCH("enemy_skill_id",enemy_skills!$1:$1,0)+1),MATCH(D$1,enemy_skills!$1:$1,0)-MATCH("enemy_skill_id",enemy_skills!$1:$1,0)+1,FALSE)</f>
        <v>”じゅーんぶらいど”_x000D_とても素敵なお祭りでしたね</v>
      </c>
      <c r="E201" s="129" t="str">
        <f ca="1">VLOOKUP($C201,OFFSET(enemy_skills!$A$1,0,0,COUNTA(enemy_skills!$A:$A),MATCH(E$1,enemy_skills!$1:$1,0)-MATCH("enemy_skill_id",enemy_skills!$1:$1,0)+1),MATCH(E$1,enemy_skills!$1:$1,0)-MATCH("enemy_skill_id",enemy_skills!$1:$1,0)+1,FALSE)</f>
        <v>しかし、他の参加者に_x000D_あまり会えなかったのはなぜでしょう…？</v>
      </c>
      <c r="F201" s="216">
        <v>47015383</v>
      </c>
      <c r="G201" s="130">
        <f ca="1">VLOOKUP($F201,OFFSET(enemy_skill_triggers!$A$1,0,0,COUNTA(enemy_skill_triggers!$A:$A),MATCH(G$1,enemy_skill_triggers!$1:$1,0)-MATCH($F$1,enemy_skill_triggers!$1:$1,0)+1),MATCH(G$1,enemy_skill_triggers!$1:$1,0)-MATCH($F$1,enemy_skill_triggers!$1:$1,0)+1,FALSE)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1" s="130">
        <f ca="1">VLOOKUP($F201,OFFSET(enemy_skill_triggers!$A$1,0,0,COUNTA(enemy_skill_triggers!$A:$A),MATCH(H$1,enemy_skill_triggers!$1:$1,0)-MATCH($F$1,enemy_skill_triggers!$1:$1,0)+1),MATCH(H$1,enemy_skill_triggers!$1:$1,0)-MATCH($F$1,enemy_skill_triggers!$1:$1,0)+1,FALSE)</f>
        <v>115</v>
      </c>
      <c r="I201" s="130">
        <f ca="1">VLOOKUP($F201,OFFSET(enemy_skill_triggers!$A$1,0,0,COUNTA(enemy_skill_triggers!$A:$A),MATCH(I$1,enemy_skill_triggers!$1:$1,0)-MATCH($F$1,enemy_skill_triggers!$1:$1,0)+1),MATCH(I$1,enemy_skill_triggers!$1:$1,0)-MATCH($F$1,enemy_skill_triggers!$1:$1,0)+1,FALSE)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1" s="130" t="str">
        <f ca="1">VLOOKUP($F201,OFFSET(enemy_skill_triggers!$A$1,0,0,COUNTA(enemy_skill_triggers!$A:$A),MATCH(J$1,enemy_skill_triggers!$1:$1,0)-MATCH($F$1,enemy_skill_triggers!$1:$1,0)+1),MATCH(J$1,enemy_skill_triggers!$1:$1,0)-MATCH($F$1,enemy_skill_triggers!$1:$1,0)+1,FALSE)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1" s="130" t="str">
        <f ca="1">VLOOKUP($F201,OFFSET(enemy_skill_triggers!$A$1,0,0,COUNTA(enemy_skill_triggers!$A:$A),MATCH(K$1,enemy_skill_triggers!$1:$1,0)-MATCH($F$1,enemy_skill_triggers!$1:$1,0)+1),MATCH(K$1,enemy_skill_triggers!$1:$1,0)-MATCH($F$1,enemy_skill_triggers!$1:$1,0)+1,FALSE)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1" s="130">
        <f ca="1">VLOOKUP($F201,OFFSET(enemy_skill_triggers!$A$1,0,0,COUNTA(enemy_skill_triggers!$A:$A),MATCH(L$1,enemy_skill_triggers!$1:$1,0)-MATCH($F$1,enemy_skill_triggers!$1:$1,0)+1),MATCH(L$1,enemy_skill_triggers!$1:$1,0)-MATCH($F$1,enemy_skill_triggers!$1:$1,0)+1,FALSE)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1" s="130" t="str">
        <f ca="1">VLOOKUP($F201,OFFSET(enemy_skill_triggers!$A$1,0,0,COUNTA(enemy_skill_triggers!$A:$A),MATCH(M$1,enemy_skill_triggers!$1:$1,0)-MATCH($F$1,enemy_skill_triggers!$1:$1,0)+1),MATCH(M$1,enemy_skill_triggers!$1:$1,0)-MATCH($F$1,enemy_skill_triggers!$1:$1,0)+1,FALSE)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1" s="130">
        <f ca="1">VLOOKUP($F201,OFFSET(enemy_skill_triggers!$A$1,0,0,COUNTA(enemy_skill_triggers!$A:$A),MATCH(N$1,enemy_skill_triggers!$1:$1,0)-MATCH($F$1,enemy_skill_triggers!$1:$1,0)+1),MATCH(N$1,enemy_skill_triggers!$1:$1,0)-MATCH($F$1,enemy_skill_triggers!$1:$1,0)+1,FALSE)</f>
        <v>235</v>
      </c>
      <c r="O201" s="130">
        <f ca="1">VLOOKUP($F201,OFFSET(enemy_skill_triggers!$A$1,0,0,COUNTA(enemy_skill_triggers!$A:$A),MATCH(O$1,enemy_skill_triggers!$1:$1,0)-MATCH($F$1,enemy_skill_triggers!$1:$1,0)+1),MATCH(O$1,enemy_skill_triggers!$1:$1,0)-MATCH($F$1,enemy_skill_triggers!$1:$1,0)+1,FALSE)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1" s="128"/>
      <c r="Q201" s="128"/>
      <c r="R201" s="128"/>
    </row>
    <row r="202" spans="1:18" s="131" customFormat="1" ht="31" customHeight="1" x14ac:dyDescent="0.15">
      <c r="A202" s="127" t="str">
        <f t="shared" si="24"/>
        <v>47015370_47015384</v>
      </c>
      <c r="B202" s="199">
        <v>47015370</v>
      </c>
      <c r="C202" s="216">
        <v>47015384</v>
      </c>
      <c r="D202" s="129" t="str">
        <f ca="1">VLOOKUP($C202,OFFSET(enemy_skills!$A$1,0,0,COUNTA(enemy_skills!$A:$A),MATCH(D$1,enemy_skills!$1:$1,0)-MATCH("enemy_skill_id",enemy_skills!$1:$1,0)+1),MATCH(D$1,enemy_skills!$1:$1,0)-MATCH("enemy_skill_id",enemy_skills!$1:$1,0)+1,FALSE)</f>
        <v>”じゅーんぶらいど”_x000D_とても素敵なお祭りでしたね</v>
      </c>
      <c r="E202" s="129" t="str">
        <f ca="1">VLOOKUP($C202,OFFSET(enemy_skills!$A$1,0,0,COUNTA(enemy_skills!$A:$A),MATCH(E$1,enemy_skills!$1:$1,0)-MATCH("enemy_skill_id",enemy_skills!$1:$1,0)+1),MATCH(E$1,enemy_skills!$1:$1,0)-MATCH("enemy_skill_id",enemy_skills!$1:$1,0)+1,FALSE)</f>
        <v>しかし、他の参加者に_x000D_あまり会えなかったのはなぜでしょう…？</v>
      </c>
      <c r="F202" s="216">
        <v>47015384</v>
      </c>
      <c r="G202" s="130">
        <f ca="1">VLOOKUP($F202,OFFSET(enemy_skill_triggers!$A$1,0,0,COUNTA(enemy_skill_triggers!$A:$A),MATCH(G$1,enemy_skill_triggers!$1:$1,0)-MATCH($F$1,enemy_skill_triggers!$1:$1,0)+1),MATCH(G$1,enemy_skill_triggers!$1:$1,0)-MATCH($F$1,enemy_skill_triggers!$1:$1,0)+1,FALSE)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2" s="130">
        <f ca="1">VLOOKUP($F202,OFFSET(enemy_skill_triggers!$A$1,0,0,COUNTA(enemy_skill_triggers!$A:$A),MATCH(H$1,enemy_skill_triggers!$1:$1,0)-MATCH($F$1,enemy_skill_triggers!$1:$1,0)+1),MATCH(H$1,enemy_skill_triggers!$1:$1,0)-MATCH($F$1,enemy_skill_triggers!$1:$1,0)+1,FALSE)</f>
        <v>114</v>
      </c>
      <c r="I202" s="130">
        <f ca="1">VLOOKUP($F202,OFFSET(enemy_skill_triggers!$A$1,0,0,COUNTA(enemy_skill_triggers!$A:$A),MATCH(I$1,enemy_skill_triggers!$1:$1,0)-MATCH($F$1,enemy_skill_triggers!$1:$1,0)+1),MATCH(I$1,enemy_skill_triggers!$1:$1,0)-MATCH($F$1,enemy_skill_triggers!$1:$1,0)+1,FALSE)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2" s="130" t="str">
        <f ca="1">VLOOKUP($F202,OFFSET(enemy_skill_triggers!$A$1,0,0,COUNTA(enemy_skill_triggers!$A:$A),MATCH(J$1,enemy_skill_triggers!$1:$1,0)-MATCH($F$1,enemy_skill_triggers!$1:$1,0)+1),MATCH(J$1,enemy_skill_triggers!$1:$1,0)-MATCH($F$1,enemy_skill_triggers!$1:$1,0)+1,FALSE)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2" s="130" t="str">
        <f ca="1">VLOOKUP($F202,OFFSET(enemy_skill_triggers!$A$1,0,0,COUNTA(enemy_skill_triggers!$A:$A),MATCH(K$1,enemy_skill_triggers!$1:$1,0)-MATCH($F$1,enemy_skill_triggers!$1:$1,0)+1),MATCH(K$1,enemy_skill_triggers!$1:$1,0)-MATCH($F$1,enemy_skill_triggers!$1:$1,0)+1,FALSE)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2" s="130">
        <f ca="1">VLOOKUP($F202,OFFSET(enemy_skill_triggers!$A$1,0,0,COUNTA(enemy_skill_triggers!$A:$A),MATCH(L$1,enemy_skill_triggers!$1:$1,0)-MATCH($F$1,enemy_skill_triggers!$1:$1,0)+1),MATCH(L$1,enemy_skill_triggers!$1:$1,0)-MATCH($F$1,enemy_skill_triggers!$1:$1,0)+1,FALSE)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2" s="130" t="str">
        <f ca="1">VLOOKUP($F202,OFFSET(enemy_skill_triggers!$A$1,0,0,COUNTA(enemy_skill_triggers!$A:$A),MATCH(M$1,enemy_skill_triggers!$1:$1,0)-MATCH($F$1,enemy_skill_triggers!$1:$1,0)+1),MATCH(M$1,enemy_skill_triggers!$1:$1,0)-MATCH($F$1,enemy_skill_triggers!$1:$1,0)+1,FALSE)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2" s="130">
        <f ca="1">VLOOKUP($F202,OFFSET(enemy_skill_triggers!$A$1,0,0,COUNTA(enemy_skill_triggers!$A:$A),MATCH(N$1,enemy_skill_triggers!$1:$1,0)-MATCH($F$1,enemy_skill_triggers!$1:$1,0)+1),MATCH(N$1,enemy_skill_triggers!$1:$1,0)-MATCH($F$1,enemy_skill_triggers!$1:$1,0)+1,FALSE)</f>
        <v>236</v>
      </c>
      <c r="O202" s="130">
        <f ca="1">VLOOKUP($F202,OFFSET(enemy_skill_triggers!$A$1,0,0,COUNTA(enemy_skill_triggers!$A:$A),MATCH(O$1,enemy_skill_triggers!$1:$1,0)-MATCH($F$1,enemy_skill_triggers!$1:$1,0)+1),MATCH(O$1,enemy_skill_triggers!$1:$1,0)-MATCH($F$1,enemy_skill_triggers!$1:$1,0)+1,FALSE)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2" s="128"/>
      <c r="Q202" s="128"/>
      <c r="R202" s="128"/>
    </row>
    <row r="203" spans="1:18" s="131" customFormat="1" ht="31" customHeight="1" x14ac:dyDescent="0.15">
      <c r="A203" s="127" t="str">
        <f t="shared" si="24"/>
        <v>47015370_47015385</v>
      </c>
      <c r="B203" s="199">
        <v>47015370</v>
      </c>
      <c r="C203" s="216">
        <v>47015385</v>
      </c>
      <c r="D203" s="129" t="str">
        <f ca="1">VLOOKUP($C203,OFFSET(enemy_skills!$A$1,0,0,COUNTA(enemy_skills!$A:$A),MATCH(D$1,enemy_skills!$1:$1,0)-MATCH("enemy_skill_id",enemy_skills!$1:$1,0)+1),MATCH(D$1,enemy_skills!$1:$1,0)-MATCH("enemy_skill_id",enemy_skills!$1:$1,0)+1,FALSE)</f>
        <v>”じゅーんぶらいど”_x000D_とても素敵なお祭りでしたね</v>
      </c>
      <c r="E203" s="129" t="str">
        <f ca="1">VLOOKUP($C203,OFFSET(enemy_skills!$A$1,0,0,COUNTA(enemy_skills!$A:$A),MATCH(E$1,enemy_skills!$1:$1,0)-MATCH("enemy_skill_id",enemy_skills!$1:$1,0)+1),MATCH(E$1,enemy_skills!$1:$1,0)-MATCH("enemy_skill_id",enemy_skills!$1:$1,0)+1,FALSE)</f>
        <v>しかし、他の参加者に_x000D_あまり会えなかったのはなぜでしょう…？</v>
      </c>
      <c r="F203" s="216">
        <v>47015385</v>
      </c>
      <c r="G203" s="130">
        <f ca="1">VLOOKUP($F203,OFFSET(enemy_skill_triggers!$A$1,0,0,COUNTA(enemy_skill_triggers!$A:$A),MATCH(G$1,enemy_skill_triggers!$1:$1,0)-MATCH($F$1,enemy_skill_triggers!$1:$1,0)+1),MATCH(G$1,enemy_skill_triggers!$1:$1,0)-MATCH($F$1,enemy_skill_triggers!$1:$1,0)+1,FALSE)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3" s="130">
        <f ca="1">VLOOKUP($F203,OFFSET(enemy_skill_triggers!$A$1,0,0,COUNTA(enemy_skill_triggers!$A:$A),MATCH(H$1,enemy_skill_triggers!$1:$1,0)-MATCH($F$1,enemy_skill_triggers!$1:$1,0)+1),MATCH(H$1,enemy_skill_triggers!$1:$1,0)-MATCH($F$1,enemy_skill_triggers!$1:$1,0)+1,FALSE)</f>
        <v>113</v>
      </c>
      <c r="I203" s="130">
        <f ca="1">VLOOKUP($F203,OFFSET(enemy_skill_triggers!$A$1,0,0,COUNTA(enemy_skill_triggers!$A:$A),MATCH(I$1,enemy_skill_triggers!$1:$1,0)-MATCH($F$1,enemy_skill_triggers!$1:$1,0)+1),MATCH(I$1,enemy_skill_triggers!$1:$1,0)-MATCH($F$1,enemy_skill_triggers!$1:$1,0)+1,FALSE)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3" s="130" t="str">
        <f ca="1">VLOOKUP($F203,OFFSET(enemy_skill_triggers!$A$1,0,0,COUNTA(enemy_skill_triggers!$A:$A),MATCH(J$1,enemy_skill_triggers!$1:$1,0)-MATCH($F$1,enemy_skill_triggers!$1:$1,0)+1),MATCH(J$1,enemy_skill_triggers!$1:$1,0)-MATCH($F$1,enemy_skill_triggers!$1:$1,0)+1,FALSE)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3" s="130" t="str">
        <f ca="1">VLOOKUP($F203,OFFSET(enemy_skill_triggers!$A$1,0,0,COUNTA(enemy_skill_triggers!$A:$A),MATCH(K$1,enemy_skill_triggers!$1:$1,0)-MATCH($F$1,enemy_skill_triggers!$1:$1,0)+1),MATCH(K$1,enemy_skill_triggers!$1:$1,0)-MATCH($F$1,enemy_skill_triggers!$1:$1,0)+1,FALSE)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3" s="130">
        <f ca="1">VLOOKUP($F203,OFFSET(enemy_skill_triggers!$A$1,0,0,COUNTA(enemy_skill_triggers!$A:$A),MATCH(L$1,enemy_skill_triggers!$1:$1,0)-MATCH($F$1,enemy_skill_triggers!$1:$1,0)+1),MATCH(L$1,enemy_skill_triggers!$1:$1,0)-MATCH($F$1,enemy_skill_triggers!$1:$1,0)+1,FALSE)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3" s="130" t="str">
        <f ca="1">VLOOKUP($F203,OFFSET(enemy_skill_triggers!$A$1,0,0,COUNTA(enemy_skill_triggers!$A:$A),MATCH(M$1,enemy_skill_triggers!$1:$1,0)-MATCH($F$1,enemy_skill_triggers!$1:$1,0)+1),MATCH(M$1,enemy_skill_triggers!$1:$1,0)-MATCH($F$1,enemy_skill_triggers!$1:$1,0)+1,FALSE)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3" s="130">
        <f ca="1">VLOOKUP($F203,OFFSET(enemy_skill_triggers!$A$1,0,0,COUNTA(enemy_skill_triggers!$A:$A),MATCH(N$1,enemy_skill_triggers!$1:$1,0)-MATCH($F$1,enemy_skill_triggers!$1:$1,0)+1),MATCH(N$1,enemy_skill_triggers!$1:$1,0)-MATCH($F$1,enemy_skill_triggers!$1:$1,0)+1,FALSE)</f>
        <v>237</v>
      </c>
      <c r="O203" s="130">
        <f ca="1">VLOOKUP($F203,OFFSET(enemy_skill_triggers!$A$1,0,0,COUNTA(enemy_skill_triggers!$A:$A),MATCH(O$1,enemy_skill_triggers!$1:$1,0)-MATCH($F$1,enemy_skill_triggers!$1:$1,0)+1),MATCH(O$1,enemy_skill_triggers!$1:$1,0)-MATCH($F$1,enemy_skill_triggers!$1:$1,0)+1,FALSE)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3" s="128"/>
      <c r="Q203" s="128"/>
      <c r="R203" s="128"/>
    </row>
    <row r="204" spans="1:18" s="131" customFormat="1" ht="31" customHeight="1" x14ac:dyDescent="0.15">
      <c r="A204" s="127" t="str">
        <f t="shared" si="24"/>
        <v>47015370_47015386</v>
      </c>
      <c r="B204" s="199">
        <v>47015370</v>
      </c>
      <c r="C204" s="216">
        <v>47015386</v>
      </c>
      <c r="D204" s="129" t="str">
        <f ca="1">VLOOKUP($C204,OFFSET(enemy_skills!$A$1,0,0,COUNTA(enemy_skills!$A:$A),MATCH(D$1,enemy_skills!$1:$1,0)-MATCH("enemy_skill_id",enemy_skills!$1:$1,0)+1),MATCH(D$1,enemy_skills!$1:$1,0)-MATCH("enemy_skill_id",enemy_skills!$1:$1,0)+1,FALSE)</f>
        <v>”じゅーんぶらいど”_x000D_とても素敵なお祭りでしたね</v>
      </c>
      <c r="E204" s="129" t="str">
        <f ca="1">VLOOKUP($C204,OFFSET(enemy_skills!$A$1,0,0,COUNTA(enemy_skills!$A:$A),MATCH(E$1,enemy_skills!$1:$1,0)-MATCH("enemy_skill_id",enemy_skills!$1:$1,0)+1),MATCH(E$1,enemy_skills!$1:$1,0)-MATCH("enemy_skill_id",enemy_skills!$1:$1,0)+1,FALSE)</f>
        <v>しかし、他の参加者に_x000D_あまり会えなかったのはなぜでしょう…？</v>
      </c>
      <c r="F204" s="216">
        <v>47015386</v>
      </c>
      <c r="G204" s="130">
        <f ca="1">VLOOKUP($F204,OFFSET(enemy_skill_triggers!$A$1,0,0,COUNTA(enemy_skill_triggers!$A:$A),MATCH(G$1,enemy_skill_triggers!$1:$1,0)-MATCH($F$1,enemy_skill_triggers!$1:$1,0)+1),MATCH(G$1,enemy_skill_triggers!$1:$1,0)-MATCH($F$1,enemy_skill_triggers!$1:$1,0)+1,FALSE)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4" s="130">
        <f ca="1">VLOOKUP($F204,OFFSET(enemy_skill_triggers!$A$1,0,0,COUNTA(enemy_skill_triggers!$A:$A),MATCH(H$1,enemy_skill_triggers!$1:$1,0)-MATCH($F$1,enemy_skill_triggers!$1:$1,0)+1),MATCH(H$1,enemy_skill_triggers!$1:$1,0)-MATCH($F$1,enemy_skill_triggers!$1:$1,0)+1,FALSE)</f>
        <v>112</v>
      </c>
      <c r="I204" s="130">
        <f ca="1">VLOOKUP($F204,OFFSET(enemy_skill_triggers!$A$1,0,0,COUNTA(enemy_skill_triggers!$A:$A),MATCH(I$1,enemy_skill_triggers!$1:$1,0)-MATCH($F$1,enemy_skill_triggers!$1:$1,0)+1),MATCH(I$1,enemy_skill_triggers!$1:$1,0)-MATCH($F$1,enemy_skill_triggers!$1:$1,0)+1,FALSE)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4" s="130" t="str">
        <f ca="1">VLOOKUP($F204,OFFSET(enemy_skill_triggers!$A$1,0,0,COUNTA(enemy_skill_triggers!$A:$A),MATCH(J$1,enemy_skill_triggers!$1:$1,0)-MATCH($F$1,enemy_skill_triggers!$1:$1,0)+1),MATCH(J$1,enemy_skill_triggers!$1:$1,0)-MATCH($F$1,enemy_skill_triggers!$1:$1,0)+1,FALSE)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4" s="130" t="str">
        <f ca="1">VLOOKUP($F204,OFFSET(enemy_skill_triggers!$A$1,0,0,COUNTA(enemy_skill_triggers!$A:$A),MATCH(K$1,enemy_skill_triggers!$1:$1,0)-MATCH($F$1,enemy_skill_triggers!$1:$1,0)+1),MATCH(K$1,enemy_skill_triggers!$1:$1,0)-MATCH($F$1,enemy_skill_triggers!$1:$1,0)+1,FALSE)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4" s="130">
        <f ca="1">VLOOKUP($F204,OFFSET(enemy_skill_triggers!$A$1,0,0,COUNTA(enemy_skill_triggers!$A:$A),MATCH(L$1,enemy_skill_triggers!$1:$1,0)-MATCH($F$1,enemy_skill_triggers!$1:$1,0)+1),MATCH(L$1,enemy_skill_triggers!$1:$1,0)-MATCH($F$1,enemy_skill_triggers!$1:$1,0)+1,FALSE)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4" s="130" t="str">
        <f ca="1">VLOOKUP($F204,OFFSET(enemy_skill_triggers!$A$1,0,0,COUNTA(enemy_skill_triggers!$A:$A),MATCH(M$1,enemy_skill_triggers!$1:$1,0)-MATCH($F$1,enemy_skill_triggers!$1:$1,0)+1),MATCH(M$1,enemy_skill_triggers!$1:$1,0)-MATCH($F$1,enemy_skill_triggers!$1:$1,0)+1,FALSE)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4" s="130">
        <f ca="1">VLOOKUP($F204,OFFSET(enemy_skill_triggers!$A$1,0,0,COUNTA(enemy_skill_triggers!$A:$A),MATCH(N$1,enemy_skill_triggers!$1:$1,0)-MATCH($F$1,enemy_skill_triggers!$1:$1,0)+1),MATCH(N$1,enemy_skill_triggers!$1:$1,0)-MATCH($F$1,enemy_skill_triggers!$1:$1,0)+1,FALSE)</f>
        <v>808</v>
      </c>
      <c r="O204" s="130">
        <f ca="1">VLOOKUP($F204,OFFSET(enemy_skill_triggers!$A$1,0,0,COUNTA(enemy_skill_triggers!$A:$A),MATCH(O$1,enemy_skill_triggers!$1:$1,0)-MATCH($F$1,enemy_skill_triggers!$1:$1,0)+1),MATCH(O$1,enemy_skill_triggers!$1:$1,0)-MATCH($F$1,enemy_skill_triggers!$1:$1,0)+1,FALSE)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4" s="128"/>
      <c r="Q204" s="128"/>
      <c r="R204" s="128"/>
    </row>
    <row r="205" spans="1:18" s="131" customFormat="1" ht="31" customHeight="1" x14ac:dyDescent="0.15">
      <c r="A205" s="127" t="str">
        <f t="shared" ref="A205:A209" si="27">B205&amp;"_"&amp;C205</f>
        <v>47015370_47015387</v>
      </c>
      <c r="B205" s="199">
        <v>47015370</v>
      </c>
      <c r="C205" s="216">
        <v>47015387</v>
      </c>
      <c r="D205" s="129" t="str">
        <f ca="1">VLOOKUP($C205,OFFSET(enemy_skills!$A$1,0,0,COUNTA(enemy_skills!$A:$A),MATCH(D$1,enemy_skills!$1:$1,0)-MATCH("enemy_skill_id",enemy_skills!$1:$1,0)+1),MATCH(D$1,enemy_skills!$1:$1,0)-MATCH("enemy_skill_id",enemy_skills!$1:$1,0)+1,FALSE)</f>
        <v>”じゅーんぶらいど”_x000D_とても素敵なお祭りでしたね</v>
      </c>
      <c r="E205" s="129" t="str">
        <f ca="1">VLOOKUP($C205,OFFSET(enemy_skills!$A$1,0,0,COUNTA(enemy_skills!$A:$A),MATCH(E$1,enemy_skills!$1:$1,0)-MATCH("enemy_skill_id",enemy_skills!$1:$1,0)+1),MATCH(E$1,enemy_skills!$1:$1,0)-MATCH("enemy_skill_id",enemy_skills!$1:$1,0)+1,FALSE)</f>
        <v>しかし、他の参加者に_x000D_あまり会えなかったのはなぜでしょう…？</v>
      </c>
      <c r="F205" s="216">
        <v>47015387</v>
      </c>
      <c r="G205" s="130">
        <f ca="1">VLOOKUP($F205,OFFSET(enemy_skill_triggers!$A$1,0,0,COUNTA(enemy_skill_triggers!$A:$A),MATCH(G$1,enemy_skill_triggers!$1:$1,0)-MATCH($F$1,enemy_skill_triggers!$1:$1,0)+1),MATCH(G$1,enemy_skill_triggers!$1:$1,0)-MATCH($F$1,enemy_skill_triggers!$1:$1,0)+1,FALSE)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5" s="130">
        <f ca="1">VLOOKUP($F205,OFFSET(enemy_skill_triggers!$A$1,0,0,COUNTA(enemy_skill_triggers!$A:$A),MATCH(H$1,enemy_skill_triggers!$1:$1,0)-MATCH($F$1,enemy_skill_triggers!$1:$1,0)+1),MATCH(H$1,enemy_skill_triggers!$1:$1,0)-MATCH($F$1,enemy_skill_triggers!$1:$1,0)+1,FALSE)</f>
        <v>111</v>
      </c>
      <c r="I205" s="130">
        <f ca="1">VLOOKUP($F205,OFFSET(enemy_skill_triggers!$A$1,0,0,COUNTA(enemy_skill_triggers!$A:$A),MATCH(I$1,enemy_skill_triggers!$1:$1,0)-MATCH($F$1,enemy_skill_triggers!$1:$1,0)+1),MATCH(I$1,enemy_skill_triggers!$1:$1,0)-MATCH($F$1,enemy_skill_triggers!$1:$1,0)+1,FALSE)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5" s="130" t="str">
        <f ca="1">VLOOKUP($F205,OFFSET(enemy_skill_triggers!$A$1,0,0,COUNTA(enemy_skill_triggers!$A:$A),MATCH(J$1,enemy_skill_triggers!$1:$1,0)-MATCH($F$1,enemy_skill_triggers!$1:$1,0)+1),MATCH(J$1,enemy_skill_triggers!$1:$1,0)-MATCH($F$1,enemy_skill_triggers!$1:$1,0)+1,FALSE)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5" s="130" t="str">
        <f ca="1">VLOOKUP($F205,OFFSET(enemy_skill_triggers!$A$1,0,0,COUNTA(enemy_skill_triggers!$A:$A),MATCH(K$1,enemy_skill_triggers!$1:$1,0)-MATCH($F$1,enemy_skill_triggers!$1:$1,0)+1),MATCH(K$1,enemy_skill_triggers!$1:$1,0)-MATCH($F$1,enemy_skill_triggers!$1:$1,0)+1,FALSE)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5" s="130">
        <f ca="1">VLOOKUP($F205,OFFSET(enemy_skill_triggers!$A$1,0,0,COUNTA(enemy_skill_triggers!$A:$A),MATCH(L$1,enemy_skill_triggers!$1:$1,0)-MATCH($F$1,enemy_skill_triggers!$1:$1,0)+1),MATCH(L$1,enemy_skill_triggers!$1:$1,0)-MATCH($F$1,enemy_skill_triggers!$1:$1,0)+1,FALSE)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5" s="130" t="str">
        <f ca="1">VLOOKUP($F205,OFFSET(enemy_skill_triggers!$A$1,0,0,COUNTA(enemy_skill_triggers!$A:$A),MATCH(M$1,enemy_skill_triggers!$1:$1,0)-MATCH($F$1,enemy_skill_triggers!$1:$1,0)+1),MATCH(M$1,enemy_skill_triggers!$1:$1,0)-MATCH($F$1,enemy_skill_triggers!$1:$1,0)+1,FALSE)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5" s="130">
        <f ca="1">VLOOKUP($F205,OFFSET(enemy_skill_triggers!$A$1,0,0,COUNTA(enemy_skill_triggers!$A:$A),MATCH(N$1,enemy_skill_triggers!$1:$1,0)-MATCH($F$1,enemy_skill_triggers!$1:$1,0)+1),MATCH(N$1,enemy_skill_triggers!$1:$1,0)-MATCH($F$1,enemy_skill_triggers!$1:$1,0)+1,FALSE)</f>
        <v>1058</v>
      </c>
      <c r="O205" s="130">
        <f ca="1">VLOOKUP($F205,OFFSET(enemy_skill_triggers!$A$1,0,0,COUNTA(enemy_skill_triggers!$A:$A),MATCH(O$1,enemy_skill_triggers!$1:$1,0)-MATCH($F$1,enemy_skill_triggers!$1:$1,0)+1),MATCH(O$1,enemy_skill_triggers!$1:$1,0)-MATCH($F$1,enemy_skill_triggers!$1:$1,0)+1,FALSE)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5" s="128"/>
      <c r="Q205" s="128"/>
      <c r="R205" s="128"/>
    </row>
    <row r="206" spans="1:18" s="131" customFormat="1" ht="31" customHeight="1" x14ac:dyDescent="0.15">
      <c r="A206" s="127" t="str">
        <f t="shared" si="27"/>
        <v>47015370_47015388</v>
      </c>
      <c r="B206" s="199">
        <v>47015370</v>
      </c>
      <c r="C206" s="216">
        <v>47015388</v>
      </c>
      <c r="D206" s="129" t="str">
        <f ca="1">VLOOKUP($C206,OFFSET(enemy_skills!$A$1,0,0,COUNTA(enemy_skills!$A:$A),MATCH(D$1,enemy_skills!$1:$1,0)-MATCH("enemy_skill_id",enemy_skills!$1:$1,0)+1),MATCH(D$1,enemy_skills!$1:$1,0)-MATCH("enemy_skill_id",enemy_skills!$1:$1,0)+1,FALSE)</f>
        <v>”じゅーんぶらいど”_x000D_とても素敵なお祭りでしたね</v>
      </c>
      <c r="E206" s="129" t="str">
        <f ca="1">VLOOKUP($C206,OFFSET(enemy_skills!$A$1,0,0,COUNTA(enemy_skills!$A:$A),MATCH(E$1,enemy_skills!$1:$1,0)-MATCH("enemy_skill_id",enemy_skills!$1:$1,0)+1),MATCH(E$1,enemy_skills!$1:$1,0)-MATCH("enemy_skill_id",enemy_skills!$1:$1,0)+1,FALSE)</f>
        <v>しかし、他の参加者に_x000D_あまり会えなかったのはなぜでしょう…？</v>
      </c>
      <c r="F206" s="216">
        <v>47015388</v>
      </c>
      <c r="G206" s="130">
        <f ca="1">VLOOKUP($F206,OFFSET(enemy_skill_triggers!$A$1,0,0,COUNTA(enemy_skill_triggers!$A:$A),MATCH(G$1,enemy_skill_triggers!$1:$1,0)-MATCH($F$1,enemy_skill_triggers!$1:$1,0)+1),MATCH(G$1,enemy_skill_triggers!$1:$1,0)-MATCH($F$1,enemy_skill_triggers!$1:$1,0)+1,FALSE)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6" s="130">
        <f ca="1">VLOOKUP($F206,OFFSET(enemy_skill_triggers!$A$1,0,0,COUNTA(enemy_skill_triggers!$A:$A),MATCH(H$1,enemy_skill_triggers!$1:$1,0)-MATCH($F$1,enemy_skill_triggers!$1:$1,0)+1),MATCH(H$1,enemy_skill_triggers!$1:$1,0)-MATCH($F$1,enemy_skill_triggers!$1:$1,0)+1,FALSE)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06" s="130">
        <f ca="1">VLOOKUP($F206,OFFSET(enemy_skill_triggers!$A$1,0,0,COUNTA(enemy_skill_triggers!$A:$A),MATCH(I$1,enemy_skill_triggers!$1:$1,0)-MATCH($F$1,enemy_skill_triggers!$1:$1,0)+1),MATCH(I$1,enemy_skill_triggers!$1:$1,0)-MATCH($F$1,enemy_skill_triggers!$1:$1,0)+1,FALSE)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6" s="130" t="str">
        <f ca="1">VLOOKUP($F206,OFFSET(enemy_skill_triggers!$A$1,0,0,COUNTA(enemy_skill_triggers!$A:$A),MATCH(J$1,enemy_skill_triggers!$1:$1,0)-MATCH($F$1,enemy_skill_triggers!$1:$1,0)+1),MATCH(J$1,enemy_skill_triggers!$1:$1,0)-MATCH($F$1,enemy_skill_triggers!$1:$1,0)+1,FALSE)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6" s="130" t="str">
        <f ca="1">VLOOKUP($F206,OFFSET(enemy_skill_triggers!$A$1,0,0,COUNTA(enemy_skill_triggers!$A:$A),MATCH(K$1,enemy_skill_triggers!$1:$1,0)-MATCH($F$1,enemy_skill_triggers!$1:$1,0)+1),MATCH(K$1,enemy_skill_triggers!$1:$1,0)-MATCH($F$1,enemy_skill_triggers!$1:$1,0)+1,FALSE)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6" s="130">
        <f ca="1">VLOOKUP($F206,OFFSET(enemy_skill_triggers!$A$1,0,0,COUNTA(enemy_skill_triggers!$A:$A),MATCH(L$1,enemy_skill_triggers!$1:$1,0)-MATCH($F$1,enemy_skill_triggers!$1:$1,0)+1),MATCH(L$1,enemy_skill_triggers!$1:$1,0)-MATCH($F$1,enemy_skill_triggers!$1:$1,0)+1,FALSE)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6" s="130" t="str">
        <f ca="1">VLOOKUP($F206,OFFSET(enemy_skill_triggers!$A$1,0,0,COUNTA(enemy_skill_triggers!$A:$A),MATCH(M$1,enemy_skill_triggers!$1:$1,0)-MATCH($F$1,enemy_skill_triggers!$1:$1,0)+1),MATCH(M$1,enemy_skill_triggers!$1:$1,0)-MATCH($F$1,enemy_skill_triggers!$1:$1,0)+1,FALSE)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6" s="130">
        <f ca="1">VLOOKUP($F206,OFFSET(enemy_skill_triggers!$A$1,0,0,COUNTA(enemy_skill_triggers!$A:$A),MATCH(N$1,enemy_skill_triggers!$1:$1,0)-MATCH($F$1,enemy_skill_triggers!$1:$1,0)+1),MATCH(N$1,enemy_skill_triggers!$1:$1,0)-MATCH($F$1,enemy_skill_triggers!$1:$1,0)+1,FALSE)</f>
        <v>1336</v>
      </c>
      <c r="O206" s="130">
        <f ca="1">VLOOKUP($F206,OFFSET(enemy_skill_triggers!$A$1,0,0,COUNTA(enemy_skill_triggers!$A:$A),MATCH(O$1,enemy_skill_triggers!$1:$1,0)-MATCH($F$1,enemy_skill_triggers!$1:$1,0)+1),MATCH(O$1,enemy_skill_triggers!$1:$1,0)-MATCH($F$1,enemy_skill_triggers!$1:$1,0)+1,FALSE)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6" s="128"/>
      <c r="Q206" s="128"/>
      <c r="R206" s="128"/>
    </row>
    <row r="207" spans="1:18" s="131" customFormat="1" ht="31" customHeight="1" x14ac:dyDescent="0.15">
      <c r="A207" s="127" t="str">
        <f t="shared" si="27"/>
        <v>47015370_47015389</v>
      </c>
      <c r="B207" s="199">
        <v>47015370</v>
      </c>
      <c r="C207" s="216">
        <v>47015389</v>
      </c>
      <c r="D207" s="129" t="str">
        <f ca="1">VLOOKUP($C207,OFFSET(enemy_skills!$A$1,0,0,COUNTA(enemy_skills!$A:$A),MATCH(D$1,enemy_skills!$1:$1,0)-MATCH("enemy_skill_id",enemy_skills!$1:$1,0)+1),MATCH(D$1,enemy_skills!$1:$1,0)-MATCH("enemy_skill_id",enemy_skills!$1:$1,0)+1,FALSE)</f>
        <v>”じゅーんぶらいど”_x000D_とても素敵なお祭りでしたね</v>
      </c>
      <c r="E207" s="129" t="str">
        <f ca="1">VLOOKUP($C207,OFFSET(enemy_skills!$A$1,0,0,COUNTA(enemy_skills!$A:$A),MATCH(E$1,enemy_skills!$1:$1,0)-MATCH("enemy_skill_id",enemy_skills!$1:$1,0)+1),MATCH(E$1,enemy_skills!$1:$1,0)-MATCH("enemy_skill_id",enemy_skills!$1:$1,0)+1,FALSE)</f>
        <v>しかし、他の参加者に_x000D_あまり会えなかったのはなぜでしょう…？</v>
      </c>
      <c r="F207" s="216">
        <v>47015389</v>
      </c>
      <c r="G207" s="130">
        <f ca="1">VLOOKUP($F207,OFFSET(enemy_skill_triggers!$A$1,0,0,COUNTA(enemy_skill_triggers!$A:$A),MATCH(G$1,enemy_skill_triggers!$1:$1,0)-MATCH($F$1,enemy_skill_triggers!$1:$1,0)+1),MATCH(G$1,enemy_skill_triggers!$1:$1,0)-MATCH($F$1,enemy_skill_triggers!$1:$1,0)+1,FALSE)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7" s="130">
        <f ca="1">VLOOKUP($F207,OFFSET(enemy_skill_triggers!$A$1,0,0,COUNTA(enemy_skill_triggers!$A:$A),MATCH(H$1,enemy_skill_triggers!$1:$1,0)-MATCH($F$1,enemy_skill_triggers!$1:$1,0)+1),MATCH(H$1,enemy_skill_triggers!$1:$1,0)-MATCH($F$1,enemy_skill_triggers!$1:$1,0)+1,FALSE)</f>
        <v>109</v>
      </c>
      <c r="I207" s="130">
        <f ca="1">VLOOKUP($F207,OFFSET(enemy_skill_triggers!$A$1,0,0,COUNTA(enemy_skill_triggers!$A:$A),MATCH(I$1,enemy_skill_triggers!$1:$1,0)-MATCH($F$1,enemy_skill_triggers!$1:$1,0)+1),MATCH(I$1,enemy_skill_triggers!$1:$1,0)-MATCH($F$1,enemy_skill_triggers!$1:$1,0)+1,FALSE)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7" s="130" t="str">
        <f ca="1">VLOOKUP($F207,OFFSET(enemy_skill_triggers!$A$1,0,0,COUNTA(enemy_skill_triggers!$A:$A),MATCH(J$1,enemy_skill_triggers!$1:$1,0)-MATCH($F$1,enemy_skill_triggers!$1:$1,0)+1),MATCH(J$1,enemy_skill_triggers!$1:$1,0)-MATCH($F$1,enemy_skill_triggers!$1:$1,0)+1,FALSE)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7" s="130" t="str">
        <f ca="1">VLOOKUP($F207,OFFSET(enemy_skill_triggers!$A$1,0,0,COUNTA(enemy_skill_triggers!$A:$A),MATCH(K$1,enemy_skill_triggers!$1:$1,0)-MATCH($F$1,enemy_skill_triggers!$1:$1,0)+1),MATCH(K$1,enemy_skill_triggers!$1:$1,0)-MATCH($F$1,enemy_skill_triggers!$1:$1,0)+1,FALSE)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7" s="130">
        <f ca="1">VLOOKUP($F207,OFFSET(enemy_skill_triggers!$A$1,0,0,COUNTA(enemy_skill_triggers!$A:$A),MATCH(L$1,enemy_skill_triggers!$1:$1,0)-MATCH($F$1,enemy_skill_triggers!$1:$1,0)+1),MATCH(L$1,enemy_skill_triggers!$1:$1,0)-MATCH($F$1,enemy_skill_triggers!$1:$1,0)+1,FALSE)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7" s="130" t="str">
        <f ca="1">VLOOKUP($F207,OFFSET(enemy_skill_triggers!$A$1,0,0,COUNTA(enemy_skill_triggers!$A:$A),MATCH(M$1,enemy_skill_triggers!$1:$1,0)-MATCH($F$1,enemy_skill_triggers!$1:$1,0)+1),MATCH(M$1,enemy_skill_triggers!$1:$1,0)-MATCH($F$1,enemy_skill_triggers!$1:$1,0)+1,FALSE)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7" s="130">
        <f ca="1">VLOOKUP($F207,OFFSET(enemy_skill_triggers!$A$1,0,0,COUNTA(enemy_skill_triggers!$A:$A),MATCH(N$1,enemy_skill_triggers!$1:$1,0)-MATCH($F$1,enemy_skill_triggers!$1:$1,0)+1),MATCH(N$1,enemy_skill_triggers!$1:$1,0)-MATCH($F$1,enemy_skill_triggers!$1:$1,0)+1,FALSE)</f>
        <v>1337</v>
      </c>
      <c r="O207" s="130">
        <f ca="1">VLOOKUP($F207,OFFSET(enemy_skill_triggers!$A$1,0,0,COUNTA(enemy_skill_triggers!$A:$A),MATCH(O$1,enemy_skill_triggers!$1:$1,0)-MATCH($F$1,enemy_skill_triggers!$1:$1,0)+1),MATCH(O$1,enemy_skill_triggers!$1:$1,0)-MATCH($F$1,enemy_skill_triggers!$1:$1,0)+1,FALSE)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7" s="128"/>
      <c r="Q207" s="128"/>
      <c r="R207" s="128"/>
    </row>
    <row r="208" spans="1:18" s="131" customFormat="1" ht="31" customHeight="1" x14ac:dyDescent="0.15">
      <c r="A208" s="127" t="str">
        <f t="shared" si="27"/>
        <v>47015370_47015390</v>
      </c>
      <c r="B208" s="199">
        <v>47015370</v>
      </c>
      <c r="C208" s="216">
        <v>47015390</v>
      </c>
      <c r="D208" s="129" t="str">
        <f ca="1">VLOOKUP($C208,OFFSET(enemy_skills!$A$1,0,0,COUNTA(enemy_skills!$A:$A),MATCH(D$1,enemy_skills!$1:$1,0)-MATCH("enemy_skill_id",enemy_skills!$1:$1,0)+1),MATCH(D$1,enemy_skills!$1:$1,0)-MATCH("enemy_skill_id",enemy_skills!$1:$1,0)+1,FALSE)</f>
        <v>貴方達も楽しめましたか？</v>
      </c>
      <c r="E208" s="129" t="str">
        <f ca="1">VLOOKUP($C208,OFFSET(enemy_skills!$A$1,0,0,COUNTA(enemy_skills!$A:$A),MATCH(E$1,enemy_skills!$1:$1,0)-MATCH("enemy_skill_id",enemy_skills!$1:$1,0)+1),MATCH(E$1,enemy_skills!$1:$1,0)-MATCH("enemy_skill_id",enemy_skills!$1:$1,0)+1,FALSE)</f>
        <v>少々羽目を外しすぎてしまいましたね</v>
      </c>
      <c r="F208" s="216">
        <v>47015390</v>
      </c>
      <c r="G208" s="130">
        <f ca="1">VLOOKUP($F208,OFFSET(enemy_skill_triggers!$A$1,0,0,COUNTA(enemy_skill_triggers!$A:$A),MATCH(G$1,enemy_skill_triggers!$1:$1,0)-MATCH($F$1,enemy_skill_triggers!$1:$1,0)+1),MATCH(G$1,enemy_skill_triggers!$1:$1,0)-MATCH($F$1,enemy_skill_triggers!$1:$1,0)+1,FALSE)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8" s="130">
        <f ca="1">VLOOKUP($F208,OFFSET(enemy_skill_triggers!$A$1,0,0,COUNTA(enemy_skill_triggers!$A:$A),MATCH(H$1,enemy_skill_triggers!$1:$1,0)-MATCH($F$1,enemy_skill_triggers!$1:$1,0)+1),MATCH(H$1,enemy_skill_triggers!$1:$1,0)-MATCH($F$1,enemy_skill_triggers!$1:$1,0)+1,FALSE)</f>
        <v>108</v>
      </c>
      <c r="I208" s="130">
        <f ca="1">VLOOKUP($F208,OFFSET(enemy_skill_triggers!$A$1,0,0,COUNTA(enemy_skill_triggers!$A:$A),MATCH(I$1,enemy_skill_triggers!$1:$1,0)-MATCH($F$1,enemy_skill_triggers!$1:$1,0)+1),MATCH(I$1,enemy_skill_triggers!$1:$1,0)-MATCH($F$1,enemy_skill_triggers!$1:$1,0)+1,FALSE)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8" s="130" t="str">
        <f ca="1">VLOOKUP($F208,OFFSET(enemy_skill_triggers!$A$1,0,0,COUNTA(enemy_skill_triggers!$A:$A),MATCH(J$1,enemy_skill_triggers!$1:$1,0)-MATCH($F$1,enemy_skill_triggers!$1:$1,0)+1),MATCH(J$1,enemy_skill_triggers!$1:$1,0)-MATCH($F$1,enemy_skill_triggers!$1:$1,0)+1,FALSE)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8" s="130" t="str">
        <f ca="1">VLOOKUP($F208,OFFSET(enemy_skill_triggers!$A$1,0,0,COUNTA(enemy_skill_triggers!$A:$A),MATCH(K$1,enemy_skill_triggers!$1:$1,0)-MATCH($F$1,enemy_skill_triggers!$1:$1,0)+1),MATCH(K$1,enemy_skill_triggers!$1:$1,0)-MATCH($F$1,enemy_skill_triggers!$1:$1,0)+1,FALSE)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8" s="130">
        <f ca="1">VLOOKUP($F208,OFFSET(enemy_skill_triggers!$A$1,0,0,COUNTA(enemy_skill_triggers!$A:$A),MATCH(L$1,enemy_skill_triggers!$1:$1,0)-MATCH($F$1,enemy_skill_triggers!$1:$1,0)+1),MATCH(L$1,enemy_skill_triggers!$1:$1,0)-MATCH($F$1,enemy_skill_triggers!$1:$1,0)+1,FALSE)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8" s="130" t="str">
        <f ca="1">VLOOKUP($F208,OFFSET(enemy_skill_triggers!$A$1,0,0,COUNTA(enemy_skill_triggers!$A:$A),MATCH(M$1,enemy_skill_triggers!$1:$1,0)-MATCH($F$1,enemy_skill_triggers!$1:$1,0)+1),MATCH(M$1,enemy_skill_triggers!$1:$1,0)-MATCH($F$1,enemy_skill_triggers!$1:$1,0)+1,FALSE)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8" s="130">
        <f ca="1">VLOOKUP($F208,OFFSET(enemy_skill_triggers!$A$1,0,0,COUNTA(enemy_skill_triggers!$A:$A),MATCH(N$1,enemy_skill_triggers!$1:$1,0)-MATCH($F$1,enemy_skill_triggers!$1:$1,0)+1),MATCH(N$1,enemy_skill_triggers!$1:$1,0)-MATCH($F$1,enemy_skill_triggers!$1:$1,0)+1,FALSE)</f>
        <v>1330</v>
      </c>
      <c r="O208" s="130">
        <f ca="1">VLOOKUP($F208,OFFSET(enemy_skill_triggers!$A$1,0,0,COUNTA(enemy_skill_triggers!$A:$A),MATCH(O$1,enemy_skill_triggers!$1:$1,0)-MATCH($F$1,enemy_skill_triggers!$1:$1,0)+1),MATCH(O$1,enemy_skill_triggers!$1:$1,0)-MATCH($F$1,enemy_skill_triggers!$1:$1,0)+1,FALSE)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8" s="128"/>
      <c r="Q208" s="128"/>
      <c r="R208" s="128"/>
    </row>
    <row r="209" spans="1:18" s="131" customFormat="1" ht="31" customHeight="1" x14ac:dyDescent="0.15">
      <c r="A209" s="127" t="str">
        <f t="shared" si="27"/>
        <v>47015370_47015391</v>
      </c>
      <c r="B209" s="199">
        <v>47015370</v>
      </c>
      <c r="C209" s="216">
        <v>47015391</v>
      </c>
      <c r="D209" s="129" t="str">
        <f ca="1">VLOOKUP($C209,OFFSET(enemy_skills!$A$1,0,0,COUNTA(enemy_skills!$A:$A),MATCH(D$1,enemy_skills!$1:$1,0)-MATCH("enemy_skill_id",enemy_skills!$1:$1,0)+1),MATCH(D$1,enemy_skills!$1:$1,0)-MATCH("enemy_skill_id",enemy_skills!$1:$1,0)+1,FALSE)</f>
        <v>貴方達も楽しめましたか？</v>
      </c>
      <c r="E209" s="129" t="str">
        <f ca="1">VLOOKUP($C209,OFFSET(enemy_skills!$A$1,0,0,COUNTA(enemy_skills!$A:$A),MATCH(E$1,enemy_skills!$1:$1,0)-MATCH("enemy_skill_id",enemy_skills!$1:$1,0)+1),MATCH(E$1,enemy_skills!$1:$1,0)-MATCH("enemy_skill_id",enemy_skills!$1:$1,0)+1,FALSE)</f>
        <v>少々羽目を外しすぎてしまいましたね</v>
      </c>
      <c r="F209" s="216">
        <v>47015391</v>
      </c>
      <c r="G209" s="130">
        <f ca="1">VLOOKUP($F209,OFFSET(enemy_skill_triggers!$A$1,0,0,COUNTA(enemy_skill_triggers!$A:$A),MATCH(G$1,enemy_skill_triggers!$1:$1,0)-MATCH($F$1,enemy_skill_triggers!$1:$1,0)+1),MATCH(G$1,enemy_skill_triggers!$1:$1,0)-MATCH($F$1,enemy_skill_triggers!$1:$1,0)+1,FALSE)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9" s="130">
        <f ca="1">VLOOKUP($F209,OFFSET(enemy_skill_triggers!$A$1,0,0,COUNTA(enemy_skill_triggers!$A:$A),MATCH(H$1,enemy_skill_triggers!$1:$1,0)-MATCH($F$1,enemy_skill_triggers!$1:$1,0)+1),MATCH(H$1,enemy_skill_triggers!$1:$1,0)-MATCH($F$1,enemy_skill_triggers!$1:$1,0)+1,FALSE)</f>
        <v>107</v>
      </c>
      <c r="I209" s="130">
        <f ca="1">VLOOKUP($F209,OFFSET(enemy_skill_triggers!$A$1,0,0,COUNTA(enemy_skill_triggers!$A:$A),MATCH(I$1,enemy_skill_triggers!$1:$1,0)-MATCH($F$1,enemy_skill_triggers!$1:$1,0)+1),MATCH(I$1,enemy_skill_triggers!$1:$1,0)-MATCH($F$1,enemy_skill_triggers!$1:$1,0)+1,FALSE)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9" s="130" t="str">
        <f ca="1">VLOOKUP($F209,OFFSET(enemy_skill_triggers!$A$1,0,0,COUNTA(enemy_skill_triggers!$A:$A),MATCH(J$1,enemy_skill_triggers!$1:$1,0)-MATCH($F$1,enemy_skill_triggers!$1:$1,0)+1),MATCH(J$1,enemy_skill_triggers!$1:$1,0)-MATCH($F$1,enemy_skill_triggers!$1:$1,0)+1,FALSE)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9" s="130" t="str">
        <f ca="1">VLOOKUP($F209,OFFSET(enemy_skill_triggers!$A$1,0,0,COUNTA(enemy_skill_triggers!$A:$A),MATCH(K$1,enemy_skill_triggers!$1:$1,0)-MATCH($F$1,enemy_skill_triggers!$1:$1,0)+1),MATCH(K$1,enemy_skill_triggers!$1:$1,0)-MATCH($F$1,enemy_skill_triggers!$1:$1,0)+1,FALSE)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9" s="130">
        <f ca="1">VLOOKUP($F209,OFFSET(enemy_skill_triggers!$A$1,0,0,COUNTA(enemy_skill_triggers!$A:$A),MATCH(L$1,enemy_skill_triggers!$1:$1,0)-MATCH($F$1,enemy_skill_triggers!$1:$1,0)+1),MATCH(L$1,enemy_skill_triggers!$1:$1,0)-MATCH($F$1,enemy_skill_triggers!$1:$1,0)+1,FALSE)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9" s="130" t="str">
        <f ca="1">VLOOKUP($F209,OFFSET(enemy_skill_triggers!$A$1,0,0,COUNTA(enemy_skill_triggers!$A:$A),MATCH(M$1,enemy_skill_triggers!$1:$1,0)-MATCH($F$1,enemy_skill_triggers!$1:$1,0)+1),MATCH(M$1,enemy_skill_triggers!$1:$1,0)-MATCH($F$1,enemy_skill_triggers!$1:$1,0)+1,FALSE)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9" s="130">
        <f ca="1">VLOOKUP($F209,OFFSET(enemy_skill_triggers!$A$1,0,0,COUNTA(enemy_skill_triggers!$A:$A),MATCH(N$1,enemy_skill_triggers!$1:$1,0)-MATCH($F$1,enemy_skill_triggers!$1:$1,0)+1),MATCH(N$1,enemy_skill_triggers!$1:$1,0)-MATCH($F$1,enemy_skill_triggers!$1:$1,0)+1,FALSE)</f>
        <v>1331</v>
      </c>
      <c r="O209" s="130">
        <f ca="1">VLOOKUP($F209,OFFSET(enemy_skill_triggers!$A$1,0,0,COUNTA(enemy_skill_triggers!$A:$A),MATCH(O$1,enemy_skill_triggers!$1:$1,0)-MATCH($F$1,enemy_skill_triggers!$1:$1,0)+1),MATCH(O$1,enemy_skill_triggers!$1:$1,0)-MATCH($F$1,enemy_skill_triggers!$1:$1,0)+1,FALSE)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9" s="128"/>
      <c r="Q209" s="128"/>
      <c r="R209" s="128"/>
    </row>
    <row r="210" spans="1:18" s="131" customFormat="1" ht="31" customHeight="1" x14ac:dyDescent="0.15">
      <c r="A210" s="127" t="str">
        <f t="shared" ref="A210:A211" si="28">B210&amp;"_"&amp;C210</f>
        <v>47015370_47015392</v>
      </c>
      <c r="B210" s="199">
        <v>47015370</v>
      </c>
      <c r="C210" s="216">
        <v>47015392</v>
      </c>
      <c r="D210" s="129" t="str">
        <f ca="1">VLOOKUP($C210,OFFSET(enemy_skills!$A$1,0,0,COUNTA(enemy_skills!$A:$A),MATCH(D$1,enemy_skills!$1:$1,0)-MATCH("enemy_skill_id",enemy_skills!$1:$1,0)+1),MATCH(D$1,enemy_skills!$1:$1,0)-MATCH("enemy_skill_id",enemy_skills!$1:$1,0)+1,FALSE)</f>
        <v>貴方達も楽しめましたか？</v>
      </c>
      <c r="E210" s="129" t="str">
        <f ca="1">VLOOKUP($C210,OFFSET(enemy_skills!$A$1,0,0,COUNTA(enemy_skills!$A:$A),MATCH(E$1,enemy_skills!$1:$1,0)-MATCH("enemy_skill_id",enemy_skills!$1:$1,0)+1),MATCH(E$1,enemy_skills!$1:$1,0)-MATCH("enemy_skill_id",enemy_skills!$1:$1,0)+1,FALSE)</f>
        <v>少々羽目を外しすぎてしまいましたね</v>
      </c>
      <c r="F210" s="216">
        <v>47015392</v>
      </c>
      <c r="G210" s="130">
        <f ca="1">VLOOKUP($F210,OFFSET(enemy_skill_triggers!$A$1,0,0,COUNTA(enemy_skill_triggers!$A:$A),MATCH(G$1,enemy_skill_triggers!$1:$1,0)-MATCH($F$1,enemy_skill_triggers!$1:$1,0)+1),MATCH(G$1,enemy_skill_triggers!$1:$1,0)-MATCH($F$1,enemy_skill_triggers!$1:$1,0)+1,FALSE)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0" s="130">
        <f ca="1">VLOOKUP($F210,OFFSET(enemy_skill_triggers!$A$1,0,0,COUNTA(enemy_skill_triggers!$A:$A),MATCH(H$1,enemy_skill_triggers!$1:$1,0)-MATCH($F$1,enemy_skill_triggers!$1:$1,0)+1),MATCH(H$1,enemy_skill_triggers!$1:$1,0)-MATCH($F$1,enemy_skill_triggers!$1:$1,0)+1,FALSE)</f>
        <v>106</v>
      </c>
      <c r="I210" s="130">
        <f ca="1">VLOOKUP($F210,OFFSET(enemy_skill_triggers!$A$1,0,0,COUNTA(enemy_skill_triggers!$A:$A),MATCH(I$1,enemy_skill_triggers!$1:$1,0)-MATCH($F$1,enemy_skill_triggers!$1:$1,0)+1),MATCH(I$1,enemy_skill_triggers!$1:$1,0)-MATCH($F$1,enemy_skill_triggers!$1:$1,0)+1,FALSE)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0" s="130" t="str">
        <f ca="1">VLOOKUP($F210,OFFSET(enemy_skill_triggers!$A$1,0,0,COUNTA(enemy_skill_triggers!$A:$A),MATCH(J$1,enemy_skill_triggers!$1:$1,0)-MATCH($F$1,enemy_skill_triggers!$1:$1,0)+1),MATCH(J$1,enemy_skill_triggers!$1:$1,0)-MATCH($F$1,enemy_skill_triggers!$1:$1,0)+1,FALSE)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0" s="130" t="str">
        <f ca="1">VLOOKUP($F210,OFFSET(enemy_skill_triggers!$A$1,0,0,COUNTA(enemy_skill_triggers!$A:$A),MATCH(K$1,enemy_skill_triggers!$1:$1,0)-MATCH($F$1,enemy_skill_triggers!$1:$1,0)+1),MATCH(K$1,enemy_skill_triggers!$1:$1,0)-MATCH($F$1,enemy_skill_triggers!$1:$1,0)+1,FALSE)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0" s="130">
        <f ca="1">VLOOKUP($F210,OFFSET(enemy_skill_triggers!$A$1,0,0,COUNTA(enemy_skill_triggers!$A:$A),MATCH(L$1,enemy_skill_triggers!$1:$1,0)-MATCH($F$1,enemy_skill_triggers!$1:$1,0)+1),MATCH(L$1,enemy_skill_triggers!$1:$1,0)-MATCH($F$1,enemy_skill_triggers!$1:$1,0)+1,FALSE)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10" s="130" t="str">
        <f ca="1">VLOOKUP($F210,OFFSET(enemy_skill_triggers!$A$1,0,0,COUNTA(enemy_skill_triggers!$A:$A),MATCH(M$1,enemy_skill_triggers!$1:$1,0)-MATCH($F$1,enemy_skill_triggers!$1:$1,0)+1),MATCH(M$1,enemy_skill_triggers!$1:$1,0)-MATCH($F$1,enemy_skill_triggers!$1:$1,0)+1,FALSE)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0" s="130">
        <f ca="1">VLOOKUP($F210,OFFSET(enemy_skill_triggers!$A$1,0,0,COUNTA(enemy_skill_triggers!$A:$A),MATCH(N$1,enemy_skill_triggers!$1:$1,0)-MATCH($F$1,enemy_skill_triggers!$1:$1,0)+1),MATCH(N$1,enemy_skill_triggers!$1:$1,0)-MATCH($F$1,enemy_skill_triggers!$1:$1,0)+1,FALSE)</f>
        <v>756</v>
      </c>
      <c r="O210" s="130">
        <f ca="1">VLOOKUP($F210,OFFSET(enemy_skill_triggers!$A$1,0,0,COUNTA(enemy_skill_triggers!$A:$A),MATCH(O$1,enemy_skill_triggers!$1:$1,0)-MATCH($F$1,enemy_skill_triggers!$1:$1,0)+1),MATCH(O$1,enemy_skill_triggers!$1:$1,0)-MATCH($F$1,enemy_skill_triggers!$1:$1,0)+1,FALSE)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0" s="128"/>
      <c r="Q210" s="128"/>
      <c r="R210" s="128"/>
    </row>
    <row r="211" spans="1:18" s="131" customFormat="1" ht="31" customHeight="1" x14ac:dyDescent="0.15">
      <c r="A211" s="127" t="str">
        <f t="shared" si="28"/>
        <v>47015370_47015393</v>
      </c>
      <c r="B211" s="199">
        <v>47015370</v>
      </c>
      <c r="C211" s="216">
        <v>47015393</v>
      </c>
      <c r="D211" s="129" t="str">
        <f ca="1">VLOOKUP($C211,OFFSET(enemy_skills!$A$1,0,0,COUNTA(enemy_skills!$A:$A),MATCH(D$1,enemy_skills!$1:$1,0)-MATCH("enemy_skill_id",enemy_skills!$1:$1,0)+1),MATCH(D$1,enemy_skills!$1:$1,0)-MATCH("enemy_skill_id",enemy_skills!$1:$1,0)+1,FALSE)</f>
        <v>貴方達も楽しめましたか？</v>
      </c>
      <c r="E211" s="129" t="str">
        <f ca="1">VLOOKUP($C211,OFFSET(enemy_skills!$A$1,0,0,COUNTA(enemy_skills!$A:$A),MATCH(E$1,enemy_skills!$1:$1,0)-MATCH("enemy_skill_id",enemy_skills!$1:$1,0)+1),MATCH(E$1,enemy_skills!$1:$1,0)-MATCH("enemy_skill_id",enemy_skills!$1:$1,0)+1,FALSE)</f>
        <v>少々羽目を外しすぎてしまいましたね</v>
      </c>
      <c r="F211" s="216">
        <v>47015393</v>
      </c>
      <c r="G211" s="130">
        <f ca="1">VLOOKUP($F211,OFFSET(enemy_skill_triggers!$A$1,0,0,COUNTA(enemy_skill_triggers!$A:$A),MATCH(G$1,enemy_skill_triggers!$1:$1,0)-MATCH($F$1,enemy_skill_triggers!$1:$1,0)+1),MATCH(G$1,enemy_skill_triggers!$1:$1,0)-MATCH($F$1,enemy_skill_triggers!$1:$1,0)+1,FALSE)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1" s="130">
        <f ca="1">VLOOKUP($F211,OFFSET(enemy_skill_triggers!$A$1,0,0,COUNTA(enemy_skill_triggers!$A:$A),MATCH(H$1,enemy_skill_triggers!$1:$1,0)-MATCH($F$1,enemy_skill_triggers!$1:$1,0)+1),MATCH(H$1,enemy_skill_triggers!$1:$1,0)-MATCH($F$1,enemy_skill_triggers!$1:$1,0)+1,FALSE)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211" s="130">
        <f ca="1">VLOOKUP($F211,OFFSET(enemy_skill_triggers!$A$1,0,0,COUNTA(enemy_skill_triggers!$A:$A),MATCH(I$1,enemy_skill_triggers!$1:$1,0)-MATCH($F$1,enemy_skill_triggers!$1:$1,0)+1),MATCH(I$1,enemy_skill_triggers!$1:$1,0)-MATCH($F$1,enemy_skill_triggers!$1:$1,0)+1,FALSE)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1" s="130" t="str">
        <f ca="1">VLOOKUP($F211,OFFSET(enemy_skill_triggers!$A$1,0,0,COUNTA(enemy_skill_triggers!$A:$A),MATCH(J$1,enemy_skill_triggers!$1:$1,0)-MATCH($F$1,enemy_skill_triggers!$1:$1,0)+1),MATCH(J$1,enemy_skill_triggers!$1:$1,0)-MATCH($F$1,enemy_skill_triggers!$1:$1,0)+1,FALSE)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1" s="130" t="str">
        <f ca="1">VLOOKUP($F211,OFFSET(enemy_skill_triggers!$A$1,0,0,COUNTA(enemy_skill_triggers!$A:$A),MATCH(K$1,enemy_skill_triggers!$1:$1,0)-MATCH($F$1,enemy_skill_triggers!$1:$1,0)+1),MATCH(K$1,enemy_skill_triggers!$1:$1,0)-MATCH($F$1,enemy_skill_triggers!$1:$1,0)+1,FALSE)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1" s="130">
        <f ca="1">VLOOKUP($F211,OFFSET(enemy_skill_triggers!$A$1,0,0,COUNTA(enemy_skill_triggers!$A:$A),MATCH(L$1,enemy_skill_triggers!$1:$1,0)-MATCH($F$1,enemy_skill_triggers!$1:$1,0)+1),MATCH(L$1,enemy_skill_triggers!$1:$1,0)-MATCH($F$1,enemy_skill_triggers!$1:$1,0)+1,FALSE)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11" s="130" t="str">
        <f ca="1">VLOOKUP($F211,OFFSET(enemy_skill_triggers!$A$1,0,0,COUNTA(enemy_skill_triggers!$A:$A),MATCH(M$1,enemy_skill_triggers!$1:$1,0)-MATCH($F$1,enemy_skill_triggers!$1:$1,0)+1),MATCH(M$1,enemy_skill_triggers!$1:$1,0)-MATCH($F$1,enemy_skill_triggers!$1:$1,0)+1,FALSE)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1" s="130">
        <f ca="1">VLOOKUP($F211,OFFSET(enemy_skill_triggers!$A$1,0,0,COUNTA(enemy_skill_triggers!$A:$A),MATCH(N$1,enemy_skill_triggers!$1:$1,0)-MATCH($F$1,enemy_skill_triggers!$1:$1,0)+1),MATCH(N$1,enemy_skill_triggers!$1:$1,0)-MATCH($F$1,enemy_skill_triggers!$1:$1,0)+1,FALSE)</f>
        <v>757</v>
      </c>
      <c r="O211" s="130">
        <f ca="1">VLOOKUP($F211,OFFSET(enemy_skill_triggers!$A$1,0,0,COUNTA(enemy_skill_triggers!$A:$A),MATCH(O$1,enemy_skill_triggers!$1:$1,0)-MATCH($F$1,enemy_skill_triggers!$1:$1,0)+1),MATCH(O$1,enemy_skill_triggers!$1:$1,0)-MATCH($F$1,enemy_skill_triggers!$1:$1,0)+1,FALSE)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1" s="128"/>
      <c r="Q211" s="128"/>
      <c r="R211" s="128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72"/>
  <sheetViews>
    <sheetView showGridLines="0" tabSelected="1" zoomScale="60" zoomScaleNormal="60" zoomScalePageLayoutView="60" workbookViewId="0">
      <pane ySplit="1" topLeftCell="A106" activePane="bottomLeft" state="frozenSplit"/>
      <selection pane="bottomLeft" activeCell="B119" sqref="B119"/>
    </sheetView>
  </sheetViews>
  <sheetFormatPr baseColWidth="12" defaultColWidth="12.83203125" defaultRowHeight="77" customHeight="1" outlineLevelCol="1" x14ac:dyDescent="0.15"/>
  <cols>
    <col min="1" max="1" width="15.83203125" style="198" customWidth="1"/>
    <col min="2" max="2" width="133.33203125" style="238" customWidth="1"/>
    <col min="3" max="3" width="14.5" style="238" customWidth="1"/>
    <col min="4" max="4" width="7.83203125" style="238" customWidth="1"/>
    <col min="5" max="5" width="67" style="238" customWidth="1"/>
    <col min="6" max="6" width="100.5" style="238" customWidth="1"/>
    <col min="7" max="7" width="52" style="238" customWidth="1" outlineLevel="1"/>
    <col min="8" max="8" width="18.33203125" style="238" customWidth="1" outlineLevel="1"/>
    <col min="9" max="11" width="18.6640625" style="238" customWidth="1" outlineLevel="1"/>
    <col min="12" max="12" width="23.6640625" style="238" customWidth="1"/>
    <col min="13" max="18" width="23.6640625" style="238" customWidth="1" outlineLevel="1"/>
    <col min="19" max="19" width="23.6640625" style="238" customWidth="1"/>
    <col min="20" max="24" width="23.6640625" style="238" customWidth="1" outlineLevel="1"/>
    <col min="25" max="25" width="23.6640625" style="238" customWidth="1"/>
    <col min="26" max="27" width="12.83203125" style="238"/>
    <col min="28" max="28" width="44.5" style="238" customWidth="1"/>
    <col min="29" max="16384" width="12.83203125" style="238"/>
  </cols>
  <sheetData>
    <row r="1" spans="1:28" ht="77" customHeight="1" x14ac:dyDescent="0.15">
      <c r="A1" s="268" t="s">
        <v>78</v>
      </c>
      <c r="B1" s="269" t="s">
        <v>79</v>
      </c>
      <c r="C1" s="269" t="s">
        <v>80</v>
      </c>
      <c r="D1" s="269" t="s">
        <v>126</v>
      </c>
      <c r="E1" s="269" t="s">
        <v>81</v>
      </c>
      <c r="F1" s="269" t="s">
        <v>82</v>
      </c>
      <c r="G1" s="270" t="s">
        <v>132</v>
      </c>
      <c r="H1" s="270" t="s">
        <v>138</v>
      </c>
      <c r="I1" s="270" t="s">
        <v>140</v>
      </c>
      <c r="J1" s="270" t="s">
        <v>139</v>
      </c>
      <c r="K1" s="270" t="s">
        <v>141</v>
      </c>
      <c r="L1" s="270" t="s">
        <v>133</v>
      </c>
      <c r="M1" s="270" t="s">
        <v>131</v>
      </c>
      <c r="N1" s="270" t="s">
        <v>134</v>
      </c>
      <c r="O1" s="270" t="s">
        <v>142</v>
      </c>
      <c r="P1" s="270" t="s">
        <v>143</v>
      </c>
      <c r="Q1" s="270" t="s">
        <v>144</v>
      </c>
      <c r="R1" s="270" t="s">
        <v>145</v>
      </c>
      <c r="S1" s="270" t="s">
        <v>135</v>
      </c>
      <c r="T1" s="270" t="s">
        <v>136</v>
      </c>
      <c r="U1" s="270" t="s">
        <v>146</v>
      </c>
      <c r="V1" s="270" t="s">
        <v>147</v>
      </c>
      <c r="W1" s="270" t="s">
        <v>148</v>
      </c>
      <c r="X1" s="270" t="s">
        <v>149</v>
      </c>
      <c r="Y1" s="270" t="s">
        <v>137</v>
      </c>
      <c r="Z1" s="270" t="s">
        <v>75</v>
      </c>
      <c r="AA1" s="270" t="s">
        <v>76</v>
      </c>
      <c r="AB1" s="270" t="s">
        <v>77</v>
      </c>
    </row>
    <row r="2" spans="1:28" ht="77" customHeight="1" x14ac:dyDescent="0.25">
      <c r="A2" s="259">
        <v>47015100</v>
      </c>
      <c r="B2" s="288" t="s">
        <v>377</v>
      </c>
      <c r="C2" s="233">
        <v>3</v>
      </c>
      <c r="D2" s="233" t="s">
        <v>127</v>
      </c>
      <c r="E2" s="234" t="s">
        <v>282</v>
      </c>
      <c r="F2" s="271" t="s">
        <v>369</v>
      </c>
      <c r="G2" s="235" t="str">
        <f t="shared" ref="G2:G55" si="0">IFERROR(LEFT(B2,FIND("],",B2)),B2)</f>
        <v>[effect:enemy_message, val1:2.2, val2:1.9]</v>
      </c>
      <c r="H2" s="235">
        <f t="shared" ref="H2:H55" si="1">FIND("effect:",G2)+7</f>
        <v>9</v>
      </c>
      <c r="I2" s="235">
        <f t="shared" ref="I2:I55" si="2">IFERROR(FIND(",",G2),LEN(G2))</f>
        <v>22</v>
      </c>
      <c r="J2" s="235" t="e">
        <f t="shared" ref="J2:J55" si="3">FIND("target:",G2)+7</f>
        <v>#VALUE!</v>
      </c>
      <c r="K2" s="235">
        <f t="shared" ref="K2:K55" si="4">FIND(",",G2,I2+1)</f>
        <v>32</v>
      </c>
      <c r="L2" s="235" t="str">
        <f>IFERROR(VLOOKUP(MID(G2,J2,K2-J2),[6]skilldef!$C:$D,2,FALSE),"-") &amp; " / " &amp; IFERROR(VLOOKUP(MID(G2,H2,I2-H2),[6]skilldef!$A:$B,2,FALSE),"-")</f>
        <v>- / -</v>
      </c>
      <c r="M2" s="235" t="str">
        <f t="shared" ref="M2:M55" si="5">IFERROR(RIGHT(B2,LEN(B2)-FIND("],",B2)-1),"none")</f>
        <v>[effect:sp_boost, target:unit_all, val:2, animation:sp_boost_one02]</v>
      </c>
      <c r="N2" s="236" t="str">
        <f t="shared" ref="N2:N7" si="6">IFERROR(LEFT(M2,FIND("],",M2)+S14),M2)</f>
        <v>[effect:sp_boost, target:unit_all, val:2, animation:sp_boost_one02]</v>
      </c>
      <c r="O2" s="235">
        <f t="shared" ref="O2:O55" si="7">FIND("effect:",N2)+7</f>
        <v>9</v>
      </c>
      <c r="P2" s="235">
        <f t="shared" ref="P2:P55" si="8">IFERROR(FIND(",",N2),LEN(N2))</f>
        <v>17</v>
      </c>
      <c r="Q2" s="235">
        <f t="shared" ref="Q2:Q55" si="9">FIND("target:",N2)+7</f>
        <v>26</v>
      </c>
      <c r="R2" s="235">
        <f t="shared" ref="R2:R55" si="10">FIND(",",N2,P2+1)</f>
        <v>34</v>
      </c>
      <c r="S2" s="235" t="str">
        <f>IFERROR(VLOOKUP(MID(N2,Q2,R2-Q2),[6]skilldef!$C:$D,2,FALSE),"-") &amp; " / " &amp; IFERROR(VLOOKUP(MID(N2,O2,P2-O2),[6]skilldef!$A:$B,2,FALSE),"-")</f>
        <v>味方全体に / -</v>
      </c>
      <c r="T2" s="236" t="str">
        <f t="shared" ref="T2:T55" si="11">IFERROR(RIGHT(M2,LEN(M2)-FIND("],",M2)-1),"none")</f>
        <v>none</v>
      </c>
      <c r="U2" s="235" t="e">
        <f t="shared" ref="U2:U55" si="12">FIND("effect:",T2)+7</f>
        <v>#VALUE!</v>
      </c>
      <c r="V2" s="235">
        <f t="shared" ref="V2:V55" si="13">IFERROR(FIND(",",T2),LEN(T2))</f>
        <v>4</v>
      </c>
      <c r="W2" s="235" t="e">
        <f t="shared" ref="W2:W55" si="14">FIND("target:",T2)+7</f>
        <v>#VALUE!</v>
      </c>
      <c r="X2" s="235" t="e">
        <f t="shared" ref="X2:X55" si="15">FIND(",",T2,V2+1)</f>
        <v>#VALUE!</v>
      </c>
      <c r="Y2" s="235" t="str">
        <f>IFERROR(VLOOKUP(MID(T2,W2,X2-W2),[6]skilldef!$C:$D,2,FALSE),"-") &amp; " / " &amp; IFERROR(VLOOKUP(MID(T2,U2,V2-U2),[6]skilldef!$A:$B,2,FALSE),"-")</f>
        <v>- / -</v>
      </c>
      <c r="Z2" s="233"/>
      <c r="AA2" s="237"/>
      <c r="AB2" s="233"/>
    </row>
    <row r="3" spans="1:28" ht="77" customHeight="1" x14ac:dyDescent="0.25">
      <c r="A3" s="260">
        <v>47015101</v>
      </c>
      <c r="B3" s="288" t="s">
        <v>377</v>
      </c>
      <c r="C3" s="233">
        <v>3</v>
      </c>
      <c r="D3" s="233" t="s">
        <v>127</v>
      </c>
      <c r="E3" s="234" t="s">
        <v>282</v>
      </c>
      <c r="F3" s="271" t="s">
        <v>369</v>
      </c>
      <c r="G3" s="235" t="str">
        <f>IFERROR(LEFT(B4,FIND("],",B4)),B4)</f>
        <v>[effect:enemy_message, val1:1.2, val2:2.0]</v>
      </c>
      <c r="H3" s="235">
        <f t="shared" si="1"/>
        <v>9</v>
      </c>
      <c r="I3" s="235">
        <f t="shared" si="2"/>
        <v>22</v>
      </c>
      <c r="J3" s="235" t="e">
        <f t="shared" si="3"/>
        <v>#VALUE!</v>
      </c>
      <c r="K3" s="235">
        <f t="shared" si="4"/>
        <v>32</v>
      </c>
      <c r="L3" s="235" t="str">
        <f>IFERROR(VLOOKUP(MID(G3,J3,K3-J3),[6]skilldef!$C:$D,2,FALSE),"-") &amp; " / " &amp; IFERROR(VLOOKUP(MID(G3,H3,I3-H3),[6]skilldef!$A:$B,2,FALSE),"-")</f>
        <v>- / -</v>
      </c>
      <c r="M3" s="235" t="str">
        <f>IFERROR(RIGHT(B4,LEN(B4)-FIND("],",B4)-1),"none")</f>
        <v>[effect:degrade_unit, target:unit_all, turn:5, status:heal, val:0.2, calc:mul, animation:degrade_unit_all_heal]</v>
      </c>
      <c r="N3" s="236" t="str">
        <f t="shared" si="6"/>
        <v>[effect:degrade_unit, target:unit_all, turn:5, status:heal, val:0.2, calc:mul, animation:degrade_unit_all_heal]</v>
      </c>
      <c r="O3" s="235">
        <f t="shared" si="7"/>
        <v>9</v>
      </c>
      <c r="P3" s="235">
        <f t="shared" si="8"/>
        <v>21</v>
      </c>
      <c r="Q3" s="235">
        <f t="shared" si="9"/>
        <v>30</v>
      </c>
      <c r="R3" s="235">
        <f t="shared" si="10"/>
        <v>38</v>
      </c>
      <c r="S3" s="235" t="str">
        <f>IFERROR(VLOOKUP(MID(N3,Q3,R3-Q3),[6]skilldef!$C:$D,2,FALSE),"-") &amp; " / " &amp; IFERROR(VLOOKUP(MID(N3,O3,P3-O3),[6]skilldef!$A:$B,2,FALSE),"-")</f>
        <v>味方全体に / ステータスDOWN</v>
      </c>
      <c r="T3" s="236" t="str">
        <f t="shared" si="11"/>
        <v>none</v>
      </c>
      <c r="U3" s="235" t="e">
        <f t="shared" si="12"/>
        <v>#VALUE!</v>
      </c>
      <c r="V3" s="235">
        <f t="shared" si="13"/>
        <v>4</v>
      </c>
      <c r="W3" s="235" t="e">
        <f t="shared" si="14"/>
        <v>#VALUE!</v>
      </c>
      <c r="X3" s="235" t="e">
        <f t="shared" si="15"/>
        <v>#VALUE!</v>
      </c>
      <c r="Y3" s="235" t="str">
        <f>IFERROR(VLOOKUP(MID(T3,W3,X3-W3),[6]skilldef!$C:$D,2,FALSE),"-") &amp; " / " &amp; IFERROR(VLOOKUP(MID(T3,U3,V3-U3),[6]skilldef!$A:$B,2,FALSE),"-")</f>
        <v>- / -</v>
      </c>
      <c r="Z3" s="233"/>
      <c r="AA3" s="237"/>
      <c r="AB3" s="233"/>
    </row>
    <row r="4" spans="1:28" ht="77" customHeight="1" x14ac:dyDescent="0.25">
      <c r="A4" s="259">
        <v>47015102</v>
      </c>
      <c r="B4" s="288" t="s">
        <v>378</v>
      </c>
      <c r="C4" s="233">
        <v>3</v>
      </c>
      <c r="D4" s="233" t="s">
        <v>127</v>
      </c>
      <c r="E4" s="234" t="s">
        <v>349</v>
      </c>
      <c r="F4" s="271" t="s">
        <v>370</v>
      </c>
      <c r="G4" s="235" t="str">
        <f>IFERROR(LEFT(B6,FIND("],",B6)),B6)</f>
        <v>[effect:enemy_message, val1:1.2, val2:2.8]</v>
      </c>
      <c r="H4" s="235">
        <f t="shared" si="1"/>
        <v>9</v>
      </c>
      <c r="I4" s="235">
        <f t="shared" si="2"/>
        <v>22</v>
      </c>
      <c r="J4" s="235" t="e">
        <f t="shared" si="3"/>
        <v>#VALUE!</v>
      </c>
      <c r="K4" s="235">
        <f t="shared" si="4"/>
        <v>32</v>
      </c>
      <c r="L4" s="235" t="str">
        <f>IFERROR(VLOOKUP(MID(G4,J4,K4-J4),[6]skilldef!$C:$D,2,FALSE),"-") &amp; " / " &amp; IFERROR(VLOOKUP(MID(G4,H4,I4-H4),[6]skilldef!$A:$B,2,FALSE),"-")</f>
        <v>- / -</v>
      </c>
      <c r="M4" s="235" t="str">
        <f>IFERROR(RIGHT(B6,LEN(B6)-FIND("],",B6)-1),"none")</f>
        <v>[effect:attack_break, target:unit_blue, turn:2, val:0.2, calc:mul, animation:attack_break02],[effect:rush, count:1, val:1]</v>
      </c>
      <c r="N4" s="236" t="str">
        <f t="shared" si="6"/>
        <v>[effect:attack_break, target:unit_blue, turn:2, val:0.2, calc:mul, animation:attack_break02],[effect:rush, count:1, val:1]</v>
      </c>
      <c r="O4" s="235">
        <f t="shared" si="7"/>
        <v>9</v>
      </c>
      <c r="P4" s="235">
        <f t="shared" si="8"/>
        <v>21</v>
      </c>
      <c r="Q4" s="235">
        <f t="shared" si="9"/>
        <v>30</v>
      </c>
      <c r="R4" s="235">
        <f t="shared" si="10"/>
        <v>39</v>
      </c>
      <c r="S4" s="235" t="str">
        <f>IFERROR(VLOOKUP(MID(N4,Q4,R4-Q4),[6]skilldef!$C:$D,2,FALSE),"-") &amp; " / " &amp; IFERROR(VLOOKUP(MID(N4,O4,P4-O4),[6]skilldef!$A:$B,2,FALSE),"-")</f>
        <v>青の味方に / -</v>
      </c>
      <c r="T4" s="236" t="str">
        <f t="shared" si="11"/>
        <v>[effect:rush, count:1, val:1]</v>
      </c>
      <c r="U4" s="235">
        <f t="shared" si="12"/>
        <v>9</v>
      </c>
      <c r="V4" s="235">
        <f t="shared" si="13"/>
        <v>13</v>
      </c>
      <c r="W4" s="235" t="e">
        <f t="shared" si="14"/>
        <v>#VALUE!</v>
      </c>
      <c r="X4" s="235">
        <f t="shared" si="15"/>
        <v>22</v>
      </c>
      <c r="Y4" s="235" t="str">
        <f>IFERROR(VLOOKUP(MID(T4,W4,X4-W4),[6]skilldef!$C:$D,2,FALSE),"-") &amp; " / " &amp; IFERROR(VLOOKUP(MID(T4,U4,V4-U4),[6]skilldef!$A:$B,2,FALSE),"-")</f>
        <v>- / 連続攻撃</v>
      </c>
      <c r="Z4" s="233"/>
      <c r="AA4" s="237"/>
      <c r="AB4" s="233"/>
    </row>
    <row r="5" spans="1:28" ht="77" customHeight="1" x14ac:dyDescent="0.25">
      <c r="A5" s="260">
        <v>47015103</v>
      </c>
      <c r="B5" s="288" t="s">
        <v>379</v>
      </c>
      <c r="C5" s="233">
        <v>3</v>
      </c>
      <c r="D5" s="233" t="s">
        <v>127</v>
      </c>
      <c r="E5" s="234" t="s">
        <v>259</v>
      </c>
      <c r="F5" s="271" t="s">
        <v>372</v>
      </c>
      <c r="G5" s="235" t="str">
        <f t="shared" si="0"/>
        <v>[effect:enemy_message, val1:1.2, val2:1.6]</v>
      </c>
      <c r="H5" s="235">
        <f t="shared" si="1"/>
        <v>9</v>
      </c>
      <c r="I5" s="235">
        <f t="shared" si="2"/>
        <v>22</v>
      </c>
      <c r="J5" s="235" t="e">
        <f t="shared" si="3"/>
        <v>#VALUE!</v>
      </c>
      <c r="K5" s="235">
        <f t="shared" si="4"/>
        <v>32</v>
      </c>
      <c r="L5" s="235" t="str">
        <f>IFERROR(VLOOKUP(MID(G5,J5,K5-J5),[6]skilldef!$C:$D,2,FALSE),"-") &amp; " / " &amp; IFERROR(VLOOKUP(MID(G5,H5,I5-H5),[6]skilldef!$A:$B,2,FALSE),"-")</f>
        <v>- / -</v>
      </c>
      <c r="M5" s="235" t="str">
        <f t="shared" si="5"/>
        <v>[effect:damage_anti_tribe, target:unit_one, tribe:god, val1:2, val2:0.8]</v>
      </c>
      <c r="N5" s="236" t="str">
        <f t="shared" si="6"/>
        <v>[effect:damage_anti_tribe, target:unit_one, tribe:god, val1:2, val2:0.8]</v>
      </c>
      <c r="O5" s="235">
        <f t="shared" si="7"/>
        <v>9</v>
      </c>
      <c r="P5" s="235">
        <f t="shared" si="8"/>
        <v>26</v>
      </c>
      <c r="Q5" s="235">
        <f t="shared" si="9"/>
        <v>35</v>
      </c>
      <c r="R5" s="235">
        <f t="shared" si="10"/>
        <v>43</v>
      </c>
      <c r="S5" s="235" t="str">
        <f>IFERROR(VLOOKUP(MID(N5,Q5,R5-Q5),[6]skilldef!$C:$D,2,FALSE),"-") &amp; " / " &amp; IFERROR(VLOOKUP(MID(N5,O5,P5-O5),[6]skilldef!$A:$B,2,FALSE),"-")</f>
        <v>味方単体に / 種族キラー</v>
      </c>
      <c r="T5" s="236" t="str">
        <f t="shared" si="11"/>
        <v>none</v>
      </c>
      <c r="U5" s="235" t="e">
        <f t="shared" si="12"/>
        <v>#VALUE!</v>
      </c>
      <c r="V5" s="235">
        <f t="shared" si="13"/>
        <v>4</v>
      </c>
      <c r="W5" s="235" t="e">
        <f t="shared" si="14"/>
        <v>#VALUE!</v>
      </c>
      <c r="X5" s="235" t="e">
        <f t="shared" si="15"/>
        <v>#VALUE!</v>
      </c>
      <c r="Y5" s="235" t="str">
        <f>IFERROR(VLOOKUP(MID(T5,W5,X5-W5),[6]skilldef!$C:$D,2,FALSE),"-") &amp; " / " &amp; IFERROR(VLOOKUP(MID(T5,U5,V5-U5),[6]skilldef!$A:$B,2,FALSE),"-")</f>
        <v>- / -</v>
      </c>
      <c r="Z5" s="233"/>
      <c r="AA5" s="237"/>
      <c r="AB5" s="233"/>
    </row>
    <row r="6" spans="1:28" ht="77" customHeight="1" x14ac:dyDescent="0.25">
      <c r="A6" s="259">
        <v>47015104</v>
      </c>
      <c r="B6" s="288" t="s">
        <v>380</v>
      </c>
      <c r="C6" s="233">
        <v>3</v>
      </c>
      <c r="D6" s="233" t="s">
        <v>127</v>
      </c>
      <c r="E6" s="234" t="s">
        <v>258</v>
      </c>
      <c r="F6" s="271" t="s">
        <v>371</v>
      </c>
      <c r="G6" s="235" t="str">
        <f>IFERROR(LEFT(B7,FIND("],",B7)),B7)</f>
        <v>[effect:enemy_message, val1:1.2, val2:1.3]</v>
      </c>
      <c r="H6" s="235">
        <f t="shared" si="1"/>
        <v>9</v>
      </c>
      <c r="I6" s="235">
        <f t="shared" si="2"/>
        <v>22</v>
      </c>
      <c r="J6" s="235" t="e">
        <f t="shared" si="3"/>
        <v>#VALUE!</v>
      </c>
      <c r="K6" s="235">
        <f t="shared" si="4"/>
        <v>32</v>
      </c>
      <c r="L6" s="235" t="str">
        <f>IFERROR(VLOOKUP(MID(G6,J6,K6-J6),[6]skilldef!$C:$D,2,FALSE),"-") &amp; " / " &amp; IFERROR(VLOOKUP(MID(G6,H6,I6-H6),[6]skilldef!$A:$B,2,FALSE),"-")</f>
        <v>- / -</v>
      </c>
      <c r="M6" s="235" t="str">
        <f>IFERROR(RIGHT(B7,LEN(B7)-FIND("],",B7)-1),"none")</f>
        <v>[effect:enhance_enemy, target:enemy_all, turn:3, status:attack, val:0.2, calc:mul, animation:enemy_enhance_attack]</v>
      </c>
      <c r="N6" s="236" t="str">
        <f t="shared" si="6"/>
        <v>[effect:enhance_enemy, target:enemy_all, turn:3, status:attack, val:0.2, calc:mul, animation:enemy_enhance_attack]</v>
      </c>
      <c r="O6" s="235">
        <f t="shared" si="7"/>
        <v>9</v>
      </c>
      <c r="P6" s="235">
        <f t="shared" si="8"/>
        <v>22</v>
      </c>
      <c r="Q6" s="235">
        <f t="shared" si="9"/>
        <v>31</v>
      </c>
      <c r="R6" s="235">
        <f t="shared" si="10"/>
        <v>40</v>
      </c>
      <c r="S6" s="235" t="str">
        <f>IFERROR(VLOOKUP(MID(N6,Q6,R6-Q6),[6]skilldef!$C:$D,2,FALSE),"-") &amp; " / " &amp; IFERROR(VLOOKUP(MID(N6,O6,P6-O6),[6]skilldef!$A:$B,2,FALSE),"-")</f>
        <v>敵全体に / ステータス強化</v>
      </c>
      <c r="T6" s="236" t="str">
        <f t="shared" si="11"/>
        <v>none</v>
      </c>
      <c r="U6" s="235" t="e">
        <f t="shared" si="12"/>
        <v>#VALUE!</v>
      </c>
      <c r="V6" s="235">
        <f t="shared" si="13"/>
        <v>4</v>
      </c>
      <c r="W6" s="235" t="e">
        <f t="shared" si="14"/>
        <v>#VALUE!</v>
      </c>
      <c r="X6" s="235" t="e">
        <f t="shared" si="15"/>
        <v>#VALUE!</v>
      </c>
      <c r="Y6" s="235" t="str">
        <f>IFERROR(VLOOKUP(MID(T6,W6,X6-W6),[6]skilldef!$C:$D,2,FALSE),"-") &amp; " / " &amp; IFERROR(VLOOKUP(MID(T6,U6,V6-U6),[6]skilldef!$A:$B,2,FALSE),"-")</f>
        <v>- / -</v>
      </c>
      <c r="Z6" s="233"/>
      <c r="AA6" s="237"/>
      <c r="AB6" s="233"/>
    </row>
    <row r="7" spans="1:28" ht="77" customHeight="1" x14ac:dyDescent="0.25">
      <c r="A7" s="260">
        <v>47015105</v>
      </c>
      <c r="B7" s="288" t="s">
        <v>381</v>
      </c>
      <c r="C7" s="233">
        <v>3</v>
      </c>
      <c r="D7" s="233" t="s">
        <v>127</v>
      </c>
      <c r="E7" s="234" t="s">
        <v>280</v>
      </c>
      <c r="F7" s="271" t="s">
        <v>373</v>
      </c>
      <c r="G7" s="235" t="str">
        <f>IFERROR(LEFT(B3,FIND("],",B3)),B3)</f>
        <v>[effect:enemy_message, val1:2.2, val2:1.9]</v>
      </c>
      <c r="H7" s="235">
        <f t="shared" si="1"/>
        <v>9</v>
      </c>
      <c r="I7" s="235">
        <f t="shared" ref="I7" si="16">IFERROR(FIND(",",G7),LEN(G7))</f>
        <v>22</v>
      </c>
      <c r="J7" s="235" t="e">
        <f t="shared" ref="J7" si="17">FIND("target:",G7)+7</f>
        <v>#VALUE!</v>
      </c>
      <c r="K7" s="235">
        <f t="shared" ref="K7" si="18">FIND(",",G7,I7+1)</f>
        <v>32</v>
      </c>
      <c r="L7" s="235" t="str">
        <f>IFERROR(VLOOKUP(MID(G7,J7,K7-J7),[6]skilldef!$C:$D,2,FALSE),"-") &amp; " / " &amp; IFERROR(VLOOKUP(MID(G7,H7,I7-H7),[6]skilldef!$A:$B,2,FALSE),"-")</f>
        <v>- / -</v>
      </c>
      <c r="M7" s="235" t="str">
        <f>IFERROR(RIGHT(B3,LEN(B3)-FIND("],",B3)-1),"none")</f>
        <v>[effect:sp_boost, target:unit_all, val:2, animation:sp_boost_one02]</v>
      </c>
      <c r="N7" s="236" t="str">
        <f t="shared" si="6"/>
        <v>[effect:sp_boost, target:unit_all, val:2, animation:sp_boost_one02]</v>
      </c>
      <c r="O7" s="235">
        <f t="shared" si="7"/>
        <v>9</v>
      </c>
      <c r="P7" s="235">
        <f t="shared" ref="P7" si="19">IFERROR(FIND(",",N7),LEN(N7))</f>
        <v>17</v>
      </c>
      <c r="Q7" s="235">
        <f t="shared" ref="Q7" si="20">FIND("target:",N7)+7</f>
        <v>26</v>
      </c>
      <c r="R7" s="235">
        <f t="shared" ref="R7" si="21">FIND(",",N7,P7+1)</f>
        <v>34</v>
      </c>
      <c r="S7" s="235" t="str">
        <f>IFERROR(VLOOKUP(MID(N7,Q7,R7-Q7),[6]skilldef!$C:$D,2,FALSE),"-") &amp; " / " &amp; IFERROR(VLOOKUP(MID(N7,O7,P7-O7),[6]skilldef!$A:$B,2,FALSE),"-")</f>
        <v>味方全体に / -</v>
      </c>
      <c r="T7" s="236" t="str">
        <f t="shared" ref="T7" si="22">IFERROR(RIGHT(M7,LEN(M7)-FIND("],",M7)-1),"none")</f>
        <v>none</v>
      </c>
      <c r="U7" s="235" t="e">
        <f t="shared" si="12"/>
        <v>#VALUE!</v>
      </c>
      <c r="V7" s="235">
        <f t="shared" ref="V7" si="23">IFERROR(FIND(",",T7),LEN(T7))</f>
        <v>4</v>
      </c>
      <c r="W7" s="235" t="e">
        <f t="shared" ref="W7" si="24">FIND("target:",T7)+7</f>
        <v>#VALUE!</v>
      </c>
      <c r="X7" s="235" t="e">
        <f t="shared" ref="X7" si="25">FIND(",",T7,V7+1)</f>
        <v>#VALUE!</v>
      </c>
      <c r="Y7" s="235" t="str">
        <f>IFERROR(VLOOKUP(MID(T7,W7,X7-W7),[6]skilldef!$C:$D,2,FALSE),"-") &amp; " / " &amp; IFERROR(VLOOKUP(MID(T7,U7,V7-U7),[6]skilldef!$A:$B,2,FALSE),"-")</f>
        <v>- / -</v>
      </c>
      <c r="Z7" s="233"/>
      <c r="AA7" s="237"/>
      <c r="AB7" s="233"/>
    </row>
    <row r="8" spans="1:28" ht="77" customHeight="1" x14ac:dyDescent="0.25">
      <c r="A8" s="260">
        <v>47015110</v>
      </c>
      <c r="B8" s="288" t="s">
        <v>382</v>
      </c>
      <c r="C8" s="233">
        <v>3</v>
      </c>
      <c r="D8" s="233" t="s">
        <v>127</v>
      </c>
      <c r="E8" s="234" t="s">
        <v>281</v>
      </c>
      <c r="F8" s="234" t="s">
        <v>368</v>
      </c>
      <c r="G8" s="235" t="str">
        <f t="shared" si="0"/>
        <v>[effect:enemy_message, val1:2.3, val2:2.8]</v>
      </c>
      <c r="H8" s="235">
        <f t="shared" si="1"/>
        <v>9</v>
      </c>
      <c r="I8" s="235">
        <f t="shared" si="2"/>
        <v>22</v>
      </c>
      <c r="J8" s="235" t="e">
        <f t="shared" si="3"/>
        <v>#VALUE!</v>
      </c>
      <c r="K8" s="235">
        <f t="shared" si="4"/>
        <v>32</v>
      </c>
      <c r="L8" s="235" t="str">
        <f>IFERROR(VLOOKUP(MID(G8,J8,K8-J8),[6]skilldef!$C:$D,2,FALSE),"-") &amp; " / " &amp; IFERROR(VLOOKUP(MID(G8,H8,I8-H8),[6]skilldef!$A:$B,2,FALSE),"-")</f>
        <v>- / -</v>
      </c>
      <c r="M8" s="235" t="str">
        <f t="shared" si="5"/>
        <v>[effect:force_change_block, new_block:block_red, target:block_green, count:0, val:0, animation:change_block],[effect:virus, turn:10, rate:1, val:0.05, animation:enemy_virus]</v>
      </c>
      <c r="N8" s="236" t="str">
        <f>IFERROR(LEFT(M8,FIND("],",M8)+S19),M8)</f>
        <v>[effect:force_change_block, new_block:block_red, target:block_green, count:0, val:0, animation:change_block],[effect:virus, turn:10, rate:1, val:0.05, animation:enemy_virus]</v>
      </c>
      <c r="O8" s="235">
        <f t="shared" si="7"/>
        <v>9</v>
      </c>
      <c r="P8" s="235">
        <f t="shared" si="8"/>
        <v>27</v>
      </c>
      <c r="Q8" s="235">
        <f t="shared" si="9"/>
        <v>57</v>
      </c>
      <c r="R8" s="235">
        <f t="shared" si="10"/>
        <v>48</v>
      </c>
      <c r="S8" s="235" t="str">
        <f>IFERROR(VLOOKUP(MID(N8,Q8,R8-Q8),[6]skilldef!$C:$D,2,FALSE),"-") &amp; " / " &amp; IFERROR(VLOOKUP(MID(N8,O8,P8-O8),[6]skilldef!$A:$B,2,FALSE),"-")</f>
        <v>- / -</v>
      </c>
      <c r="T8" s="236" t="str">
        <f t="shared" si="11"/>
        <v>[effect:virus, turn:10, rate:1, val:0.05, animation:enemy_virus]</v>
      </c>
      <c r="U8" s="235">
        <f t="shared" si="12"/>
        <v>9</v>
      </c>
      <c r="V8" s="235">
        <f t="shared" si="13"/>
        <v>14</v>
      </c>
      <c r="W8" s="235" t="e">
        <f t="shared" si="14"/>
        <v>#VALUE!</v>
      </c>
      <c r="X8" s="235">
        <f t="shared" si="15"/>
        <v>23</v>
      </c>
      <c r="Y8" s="235" t="str">
        <f>IFERROR(VLOOKUP(MID(T8,W8,X8-W8),[6]skilldef!$C:$D,2,FALSE),"-") &amp; " / " &amp; IFERROR(VLOOKUP(MID(T8,U8,V8-U8),[6]skilldef!$A:$B,2,FALSE),"-")</f>
        <v>- / ウィルス</v>
      </c>
      <c r="Z8" s="233"/>
      <c r="AA8" s="237"/>
      <c r="AB8" s="233"/>
    </row>
    <row r="9" spans="1:28" ht="77" customHeight="1" x14ac:dyDescent="0.25">
      <c r="A9" s="260">
        <v>47015111</v>
      </c>
      <c r="B9" s="288" t="s">
        <v>382</v>
      </c>
      <c r="C9" s="233">
        <v>3</v>
      </c>
      <c r="D9" s="233" t="s">
        <v>127</v>
      </c>
      <c r="E9" s="234" t="s">
        <v>281</v>
      </c>
      <c r="F9" s="234" t="s">
        <v>368</v>
      </c>
      <c r="G9" s="235" t="str">
        <f>IFERROR(LEFT(B10,FIND("],",B10)),B10)</f>
        <v>[effect:enemy_message, val1:1.2, val2:1.5]</v>
      </c>
      <c r="H9" s="235">
        <f t="shared" si="1"/>
        <v>9</v>
      </c>
      <c r="I9" s="235">
        <f t="shared" si="2"/>
        <v>22</v>
      </c>
      <c r="J9" s="235" t="e">
        <f t="shared" si="3"/>
        <v>#VALUE!</v>
      </c>
      <c r="K9" s="235">
        <f t="shared" si="4"/>
        <v>32</v>
      </c>
      <c r="L9" s="235" t="str">
        <f>IFERROR(VLOOKUP(MID(G9,J9,K9-J9),[6]skilldef!$C:$D,2,FALSE),"-") &amp; " / " &amp; IFERROR(VLOOKUP(MID(G9,H9,I9-H9),[6]skilldef!$A:$B,2,FALSE),"-")</f>
        <v>- / -</v>
      </c>
      <c r="M9" s="235" t="str">
        <f>IFERROR(RIGHT(B10,LEN(B10)-FIND("],",B10)-1),"none")</f>
        <v>[effect:virus, turn:10, rate:1, val:0.05, animation:enemy_virus]</v>
      </c>
      <c r="N9" s="236" t="str">
        <f>IFERROR(LEFT(M9,FIND("],",M9)+S20),M9)</f>
        <v>[effect:virus, turn:10, rate:1, val:0.05, animation:enemy_virus]</v>
      </c>
      <c r="O9" s="235">
        <f t="shared" si="7"/>
        <v>9</v>
      </c>
      <c r="P9" s="235">
        <f t="shared" si="8"/>
        <v>14</v>
      </c>
      <c r="Q9" s="235" t="e">
        <f t="shared" si="9"/>
        <v>#VALUE!</v>
      </c>
      <c r="R9" s="235">
        <f t="shared" si="10"/>
        <v>23</v>
      </c>
      <c r="S9" s="235" t="str">
        <f>IFERROR(VLOOKUP(MID(N9,Q9,R9-Q9),[6]skilldef!$C:$D,2,FALSE),"-") &amp; " / " &amp; IFERROR(VLOOKUP(MID(N9,O9,P9-O9),[6]skilldef!$A:$B,2,FALSE),"-")</f>
        <v>- / ウィルス</v>
      </c>
      <c r="T9" s="236" t="str">
        <f t="shared" si="11"/>
        <v>none</v>
      </c>
      <c r="U9" s="235" t="e">
        <f t="shared" si="12"/>
        <v>#VALUE!</v>
      </c>
      <c r="V9" s="235">
        <f t="shared" si="13"/>
        <v>4</v>
      </c>
      <c r="W9" s="235" t="e">
        <f t="shared" si="14"/>
        <v>#VALUE!</v>
      </c>
      <c r="X9" s="235" t="e">
        <f t="shared" si="15"/>
        <v>#VALUE!</v>
      </c>
      <c r="Y9" s="235" t="str">
        <f>IFERROR(VLOOKUP(MID(T9,W9,X9-W9),[6]skilldef!$C:$D,2,FALSE),"-") &amp; " / " &amp; IFERROR(VLOOKUP(MID(T9,U9,V9-U9),[6]skilldef!$A:$B,2,FALSE),"-")</f>
        <v>- / -</v>
      </c>
      <c r="Z9" s="233"/>
      <c r="AA9" s="237"/>
      <c r="AB9" s="233"/>
    </row>
    <row r="10" spans="1:28" ht="77" customHeight="1" x14ac:dyDescent="0.25">
      <c r="A10" s="260">
        <v>47015112</v>
      </c>
      <c r="B10" s="288" t="s">
        <v>383</v>
      </c>
      <c r="C10" s="233">
        <v>3</v>
      </c>
      <c r="D10" s="233" t="s">
        <v>127</v>
      </c>
      <c r="E10" s="234" t="s">
        <v>350</v>
      </c>
      <c r="F10" s="234" t="s">
        <v>289</v>
      </c>
      <c r="G10" s="235" t="str">
        <f>IFERROR(LEFT(B11,FIND("],",B11)),B11)</f>
        <v>[effect:enemy_message, val1:1.2, val2:2.2]</v>
      </c>
      <c r="H10" s="235">
        <f t="shared" si="1"/>
        <v>9</v>
      </c>
      <c r="I10" s="235">
        <f t="shared" si="2"/>
        <v>22</v>
      </c>
      <c r="J10" s="235" t="e">
        <f t="shared" si="3"/>
        <v>#VALUE!</v>
      </c>
      <c r="K10" s="235">
        <f t="shared" si="4"/>
        <v>32</v>
      </c>
      <c r="L10" s="235" t="str">
        <f>IFERROR(VLOOKUP(MID(G10,J10,K10-J10),[6]skilldef!$C:$D,2,FALSE),"-") &amp; " / " &amp; IFERROR(VLOOKUP(MID(G10,H10,I10-H10),[6]skilldef!$A:$B,2,FALSE),"-")</f>
        <v>- / -</v>
      </c>
      <c r="M10" s="235" t="str">
        <f>IFERROR(RIGHT(B11,LEN(B11)-FIND("],",B11)-1),"none")</f>
        <v>[effect:damage_anti_abnormal, target:unit_all, target_effect01:virus, val1:0.2, val2:0.1]</v>
      </c>
      <c r="N10" s="236" t="str">
        <f>IFERROR(LEFT(M10,FIND("],",M10)+S21),M10)</f>
        <v>[effect:damage_anti_abnormal, target:unit_all, target_effect01:virus, val1:0.2, val2:0.1]</v>
      </c>
      <c r="O10" s="235">
        <f t="shared" si="7"/>
        <v>9</v>
      </c>
      <c r="P10" s="235">
        <f t="shared" si="8"/>
        <v>29</v>
      </c>
      <c r="Q10" s="235">
        <f t="shared" si="9"/>
        <v>38</v>
      </c>
      <c r="R10" s="235">
        <f t="shared" si="10"/>
        <v>46</v>
      </c>
      <c r="S10" s="235" t="str">
        <f>IFERROR(VLOOKUP(MID(N10,Q10,R10-Q10),[6]skilldef!$C:$D,2,FALSE),"-") &amp; " / " &amp; IFERROR(VLOOKUP(MID(N10,O10,P10-O10),[6]skilldef!$A:$B,2,FALSE),"-")</f>
        <v>味方全体に / -</v>
      </c>
      <c r="T10" s="236" t="str">
        <f t="shared" si="11"/>
        <v>none</v>
      </c>
      <c r="U10" s="235" t="e">
        <f t="shared" si="12"/>
        <v>#VALUE!</v>
      </c>
      <c r="V10" s="235">
        <f t="shared" si="13"/>
        <v>4</v>
      </c>
      <c r="W10" s="235" t="e">
        <f t="shared" si="14"/>
        <v>#VALUE!</v>
      </c>
      <c r="X10" s="235" t="e">
        <f t="shared" si="15"/>
        <v>#VALUE!</v>
      </c>
      <c r="Y10" s="235" t="str">
        <f>IFERROR(VLOOKUP(MID(T10,W10,X10-W10),[6]skilldef!$C:$D,2,FALSE),"-") &amp; " / " &amp; IFERROR(VLOOKUP(MID(T10,U10,V10-U10),[6]skilldef!$A:$B,2,FALSE),"-")</f>
        <v>- / -</v>
      </c>
      <c r="Z10" s="233"/>
      <c r="AA10" s="237"/>
      <c r="AB10" s="233"/>
    </row>
    <row r="11" spans="1:28" ht="77" customHeight="1" x14ac:dyDescent="0.25">
      <c r="A11" s="260">
        <v>47015113</v>
      </c>
      <c r="B11" s="288" t="s">
        <v>384</v>
      </c>
      <c r="C11" s="233">
        <v>3</v>
      </c>
      <c r="D11" s="233" t="s">
        <v>127</v>
      </c>
      <c r="E11" s="234" t="s">
        <v>352</v>
      </c>
      <c r="F11" s="266" t="s">
        <v>335</v>
      </c>
      <c r="G11" s="235" t="str">
        <f>IFERROR(LEFT(B12,FIND("],",B12)),B12)</f>
        <v>[effect:enemy_message, val1:1.2, val2:2.4]</v>
      </c>
      <c r="H11" s="235">
        <f t="shared" si="1"/>
        <v>9</v>
      </c>
      <c r="I11" s="235">
        <f t="shared" si="2"/>
        <v>22</v>
      </c>
      <c r="J11" s="235" t="e">
        <f t="shared" si="3"/>
        <v>#VALUE!</v>
      </c>
      <c r="K11" s="235">
        <f t="shared" si="4"/>
        <v>32</v>
      </c>
      <c r="L11" s="235" t="str">
        <f>IFERROR(VLOOKUP(MID(G11,J11,K11-J11),[6]skilldef!$C:$D,2,FALSE),"-") &amp; " / " &amp; IFERROR(VLOOKUP(MID(G11,H11,I11-H11),[6]skilldef!$A:$B,2,FALSE),"-")</f>
        <v>- / -</v>
      </c>
      <c r="M11" s="235" t="str">
        <f>IFERROR(RIGHT(B12,LEN(B12)-FIND("],",B12)-1),"none")</f>
        <v>[effect:spread, val:0.3],[effect:force_change_block, new_block:damage, target:normal, count:6, val:0.05, animation:change_block]</v>
      </c>
      <c r="N11" s="236" t="str">
        <f>IFERROR(LEFT(M11,FIND("],",M11)+S22),M11)</f>
        <v>[effect:spread, val:0.3],[effect:force_change_block, new_block:damage, target:normal, count:6, val:0.05, animation:change_block]</v>
      </c>
      <c r="O11" s="235">
        <f t="shared" si="7"/>
        <v>9</v>
      </c>
      <c r="P11" s="235">
        <f t="shared" si="8"/>
        <v>15</v>
      </c>
      <c r="Q11" s="235">
        <f t="shared" si="9"/>
        <v>79</v>
      </c>
      <c r="R11" s="235">
        <f t="shared" si="10"/>
        <v>25</v>
      </c>
      <c r="S11" s="235" t="str">
        <f>IFERROR(VLOOKUP(MID(N11,Q11,R11-Q11),[6]skilldef!$C:$D,2,FALSE),"-") &amp; " / " &amp; IFERROR(VLOOKUP(MID(N11,O11,P11-O11),[6]skilldef!$A:$B,2,FALSE),"-")</f>
        <v>- / 全体攻撃</v>
      </c>
      <c r="T11" s="236" t="str">
        <f t="shared" si="11"/>
        <v>[effect:force_change_block, new_block:damage, target:normal, count:6, val:0.05, animation:change_block]</v>
      </c>
      <c r="U11" s="235">
        <f t="shared" si="12"/>
        <v>9</v>
      </c>
      <c r="V11" s="235">
        <f t="shared" si="13"/>
        <v>27</v>
      </c>
      <c r="W11" s="235">
        <f t="shared" si="14"/>
        <v>54</v>
      </c>
      <c r="X11" s="235">
        <f t="shared" si="15"/>
        <v>45</v>
      </c>
      <c r="Y11" s="235" t="str">
        <f>IFERROR(VLOOKUP(MID(T11,W11,X11-W11),[6]skilldef!$C:$D,2,FALSE),"-") &amp; " / " &amp; IFERROR(VLOOKUP(MID(T11,U11,V11-U11),[6]skilldef!$A:$B,2,FALSE),"-")</f>
        <v>- / -</v>
      </c>
      <c r="Z11" s="233"/>
      <c r="AA11" s="237"/>
      <c r="AB11" s="233"/>
    </row>
    <row r="12" spans="1:28" ht="77" customHeight="1" x14ac:dyDescent="0.25">
      <c r="A12" s="260">
        <v>47015114</v>
      </c>
      <c r="B12" s="288" t="s">
        <v>385</v>
      </c>
      <c r="C12" s="233">
        <v>3</v>
      </c>
      <c r="D12" s="233" t="s">
        <v>127</v>
      </c>
      <c r="E12" s="234" t="s">
        <v>351</v>
      </c>
      <c r="F12" s="272" t="s">
        <v>495</v>
      </c>
      <c r="G12" s="235" t="str">
        <f>IFERROR(LEFT(B9,FIND("],",B9)),B9)</f>
        <v>[effect:enemy_message, val1:2.3, val2:2.8]</v>
      </c>
      <c r="H12" s="235">
        <f t="shared" si="1"/>
        <v>9</v>
      </c>
      <c r="I12" s="235">
        <f t="shared" ref="I12" si="26">IFERROR(FIND(",",G12),LEN(G12))</f>
        <v>22</v>
      </c>
      <c r="J12" s="235" t="e">
        <f t="shared" ref="J12" si="27">FIND("target:",G12)+7</f>
        <v>#VALUE!</v>
      </c>
      <c r="K12" s="235">
        <f t="shared" ref="K12" si="28">FIND(",",G12,I12+1)</f>
        <v>32</v>
      </c>
      <c r="L12" s="235" t="str">
        <f>IFERROR(VLOOKUP(MID(G12,J12,K12-J12),[6]skilldef!$C:$D,2,FALSE),"-") &amp; " / " &amp; IFERROR(VLOOKUP(MID(G12,H12,I12-H12),[6]skilldef!$A:$B,2,FALSE),"-")</f>
        <v>- / -</v>
      </c>
      <c r="M12" s="235" t="str">
        <f>IFERROR(RIGHT(B9,LEN(B9)-FIND("],",B9)-1),"none")</f>
        <v>[effect:force_change_block, new_block:block_red, target:block_green, count:0, val:0, animation:change_block],[effect:virus, turn:10, rate:1, val:0.05, animation:enemy_virus]</v>
      </c>
      <c r="N12" s="236" t="str">
        <f>IFERROR(LEFT(M12,FIND("],",M12)+S23),M12)</f>
        <v>[effect:force_change_block, new_block:block_red, target:block_green, count:0, val:0, animation:change_block],[effect:virus, turn:10, rate:1, val:0.05, animation:enemy_virus]</v>
      </c>
      <c r="O12" s="235">
        <f t="shared" si="7"/>
        <v>9</v>
      </c>
      <c r="P12" s="235">
        <f t="shared" ref="P12" si="29">IFERROR(FIND(",",N12),LEN(N12))</f>
        <v>27</v>
      </c>
      <c r="Q12" s="235">
        <f t="shared" ref="Q12" si="30">FIND("target:",N12)+7</f>
        <v>57</v>
      </c>
      <c r="R12" s="235">
        <f t="shared" ref="R12" si="31">FIND(",",N12,P12+1)</f>
        <v>48</v>
      </c>
      <c r="S12" s="235" t="str">
        <f>IFERROR(VLOOKUP(MID(N12,Q12,R12-Q12),[6]skilldef!$C:$D,2,FALSE),"-") &amp; " / " &amp; IFERROR(VLOOKUP(MID(N12,O12,P12-O12),[6]skilldef!$A:$B,2,FALSE),"-")</f>
        <v>- / -</v>
      </c>
      <c r="T12" s="236" t="str">
        <f t="shared" ref="T12" si="32">IFERROR(RIGHT(M12,LEN(M12)-FIND("],",M12)-1),"none")</f>
        <v>[effect:virus, turn:10, rate:1, val:0.05, animation:enemy_virus]</v>
      </c>
      <c r="U12" s="235">
        <f t="shared" si="12"/>
        <v>9</v>
      </c>
      <c r="V12" s="235">
        <f t="shared" ref="V12" si="33">IFERROR(FIND(",",T12),LEN(T12))</f>
        <v>14</v>
      </c>
      <c r="W12" s="235" t="e">
        <f t="shared" ref="W12" si="34">FIND("target:",T12)+7</f>
        <v>#VALUE!</v>
      </c>
      <c r="X12" s="235">
        <f t="shared" ref="X12" si="35">FIND(",",T12,V12+1)</f>
        <v>23</v>
      </c>
      <c r="Y12" s="235" t="str">
        <f>IFERROR(VLOOKUP(MID(T12,W12,X12-W12),[6]skilldef!$C:$D,2,FALSE),"-") &amp; " / " &amp; IFERROR(VLOOKUP(MID(T12,U12,V12-U12),[6]skilldef!$A:$B,2,FALSE),"-")</f>
        <v>- / ウィルス</v>
      </c>
      <c r="Z12" s="233"/>
      <c r="AA12" s="237"/>
      <c r="AB12" s="233"/>
    </row>
    <row r="13" spans="1:28" ht="77" customHeight="1" x14ac:dyDescent="0.25">
      <c r="A13" s="259">
        <v>47015120</v>
      </c>
      <c r="B13" s="288" t="s">
        <v>393</v>
      </c>
      <c r="C13" s="233">
        <v>3</v>
      </c>
      <c r="D13" s="233" t="s">
        <v>127</v>
      </c>
      <c r="E13" s="234" t="s">
        <v>257</v>
      </c>
      <c r="F13" s="234" t="s">
        <v>374</v>
      </c>
      <c r="G13" s="235" t="str">
        <f t="shared" si="0"/>
        <v>[effect:enemy_message, val1:1.6, val2:3.3]</v>
      </c>
      <c r="H13" s="235">
        <f t="shared" si="1"/>
        <v>9</v>
      </c>
      <c r="I13" s="235">
        <f t="shared" si="2"/>
        <v>22</v>
      </c>
      <c r="J13" s="235" t="e">
        <f t="shared" si="3"/>
        <v>#VALUE!</v>
      </c>
      <c r="K13" s="235">
        <f t="shared" si="4"/>
        <v>32</v>
      </c>
      <c r="L13" s="235" t="str">
        <f>IFERROR(VLOOKUP(MID(G13,J13,K13-J13),[6]skilldef!$C:$D,2,FALSE),"-") &amp; " / " &amp; IFERROR(VLOOKUP(MID(G13,H13,I13-H13),[6]skilldef!$A:$B,2,FALSE),"-")</f>
        <v>- / -</v>
      </c>
      <c r="M13" s="235" t="str">
        <f t="shared" si="5"/>
        <v>[effect:fix_speed, target:myself, turn:2],[effect:tolerance, target:myself, turn:-1, count:-1, tolerance_effect:all, animation:enemy_tolerance],[effect:enemy_counter, target:myself, invoke_condition:unit_all, counter_target:attacker, turn:2, val:0.5, animation:enemy_counter],[effect:enhance_enemy, target:myself, turn:2, status:attack, val:0.2, calc:mul, animation:enemy_enhance_attack]</v>
      </c>
      <c r="N13" s="236" t="str">
        <f t="shared" ref="N13:N45" si="36">IFERROR(LEFT(M13,FIND("],",M13)+S23),M13)</f>
        <v>[effect:fix_speed, target:myself, turn:2],[effect:tolerance, target:myself, turn:-1, count:-1, tolerance_effect:all, animation:enemy_tolerance],[effect:enemy_counter, target:myself, invoke_condition:unit_all, counter_target:attacker, turn:2, val:0.5, animation:enemy_counter],[effect:enhance_enemy, target:myself, turn:2, status:attack, val:0.2, calc:mul, animation:enemy_enhance_attack]</v>
      </c>
      <c r="O13" s="235">
        <f t="shared" si="7"/>
        <v>9</v>
      </c>
      <c r="P13" s="235">
        <f t="shared" si="8"/>
        <v>18</v>
      </c>
      <c r="Q13" s="235">
        <f t="shared" si="9"/>
        <v>27</v>
      </c>
      <c r="R13" s="235">
        <f t="shared" si="10"/>
        <v>33</v>
      </c>
      <c r="S13" s="235" t="str">
        <f>IFERROR(VLOOKUP(MID(N13,Q13,R13-Q13),[6]skilldef!$C:$D,2,FALSE),"-") &amp; " / " &amp; IFERROR(VLOOKUP(MID(N13,O13,P13-O13),[6]skilldef!$A:$B,2,FALSE),"-")</f>
        <v>自分自身に / 行動値設定</v>
      </c>
      <c r="T13" s="236" t="str">
        <f t="shared" si="11"/>
        <v>[effect:tolerance, target:myself, turn:-1, count:-1, tolerance_effect:all, animation:enemy_tolerance],[effect:enemy_counter, target:myself, invoke_condition:unit_all, counter_target:attacker, turn:2, val:0.5, animation:enemy_counter],[effect:enhance_enemy, target:myself, turn:2, status:attack, val:0.2, calc:mul, animation:enemy_enhance_attack]</v>
      </c>
      <c r="U13" s="235">
        <f t="shared" si="12"/>
        <v>9</v>
      </c>
      <c r="V13" s="235">
        <f t="shared" si="13"/>
        <v>18</v>
      </c>
      <c r="W13" s="235">
        <f t="shared" si="14"/>
        <v>27</v>
      </c>
      <c r="X13" s="235">
        <f t="shared" si="15"/>
        <v>33</v>
      </c>
      <c r="Y13" s="235" t="str">
        <f>IFERROR(VLOOKUP(MID(T13,W13,X13-W13),[6]skilldef!$C:$D,2,FALSE),"-") &amp; " / " &amp; IFERROR(VLOOKUP(MID(T13,U13,V13-U13),[6]skilldef!$A:$B,2,FALSE),"-")</f>
        <v>自分自身に / 状態異常耐性</v>
      </c>
      <c r="Z13" s="233"/>
      <c r="AA13" s="237"/>
      <c r="AB13" s="233"/>
    </row>
    <row r="14" spans="1:28" ht="77" customHeight="1" x14ac:dyDescent="0.25">
      <c r="A14" s="260">
        <v>47015121</v>
      </c>
      <c r="B14" s="288" t="s">
        <v>375</v>
      </c>
      <c r="C14" s="233">
        <v>3</v>
      </c>
      <c r="D14" s="233" t="s">
        <v>127</v>
      </c>
      <c r="E14" s="234" t="s">
        <v>303</v>
      </c>
      <c r="F14" s="266" t="s">
        <v>318</v>
      </c>
      <c r="G14" s="235" t="str">
        <f t="shared" si="0"/>
        <v>[effect:enemy_message, val1:1.2, val2:1.2]</v>
      </c>
      <c r="H14" s="235">
        <f t="shared" si="1"/>
        <v>9</v>
      </c>
      <c r="I14" s="235">
        <f t="shared" si="2"/>
        <v>22</v>
      </c>
      <c r="J14" s="235" t="e">
        <f t="shared" si="3"/>
        <v>#VALUE!</v>
      </c>
      <c r="K14" s="235">
        <f t="shared" si="4"/>
        <v>32</v>
      </c>
      <c r="L14" s="235" t="str">
        <f>IFERROR(VLOOKUP(MID(G14,J14,K14-J14),[6]skilldef!$C:$D,2,FALSE),"-") &amp; " / " &amp; IFERROR(VLOOKUP(MID(G14,H14,I14-H14),[6]skilldef!$A:$B,2,FALSE),"-")</f>
        <v>- / -</v>
      </c>
      <c r="M14" s="235" t="str">
        <f t="shared" si="5"/>
        <v>[effect:dark, target:unit_all, turn:3, animation:enemy_dark]</v>
      </c>
      <c r="N14" s="236" t="str">
        <f t="shared" si="36"/>
        <v>[effect:dark, target:unit_all, turn:3, animation:enemy_dark]</v>
      </c>
      <c r="O14" s="235">
        <f t="shared" si="7"/>
        <v>9</v>
      </c>
      <c r="P14" s="235">
        <f t="shared" si="8"/>
        <v>13</v>
      </c>
      <c r="Q14" s="235">
        <f t="shared" si="9"/>
        <v>22</v>
      </c>
      <c r="R14" s="235">
        <f t="shared" si="10"/>
        <v>30</v>
      </c>
      <c r="S14" s="235" t="str">
        <f>IFERROR(VLOOKUP(MID(N14,Q14,R14-Q14),[6]skilldef!$C:$D,2,FALSE),"-") &amp; " / " &amp; IFERROR(VLOOKUP(MID(N14,O14,P14-O14),[6]skilldef!$A:$B,2,FALSE),"-")</f>
        <v>味方全体に / 暗黒</v>
      </c>
      <c r="T14" s="236" t="str">
        <f t="shared" si="11"/>
        <v>none</v>
      </c>
      <c r="U14" s="235" t="e">
        <f t="shared" si="12"/>
        <v>#VALUE!</v>
      </c>
      <c r="V14" s="235">
        <f t="shared" si="13"/>
        <v>4</v>
      </c>
      <c r="W14" s="235" t="e">
        <f t="shared" si="14"/>
        <v>#VALUE!</v>
      </c>
      <c r="X14" s="235" t="e">
        <f t="shared" si="15"/>
        <v>#VALUE!</v>
      </c>
      <c r="Y14" s="235" t="str">
        <f>IFERROR(VLOOKUP(MID(T14,W14,X14-W14),[6]skilldef!$C:$D,2,FALSE),"-") &amp; " / " &amp; IFERROR(VLOOKUP(MID(T14,U14,V14-U14),[6]skilldef!$A:$B,2,FALSE),"-")</f>
        <v>- / -</v>
      </c>
      <c r="Z14" s="233"/>
      <c r="AA14" s="237"/>
      <c r="AB14" s="233"/>
    </row>
    <row r="15" spans="1:28" ht="77" customHeight="1" x14ac:dyDescent="0.25">
      <c r="A15" s="259">
        <v>47015122</v>
      </c>
      <c r="B15" s="288" t="s">
        <v>457</v>
      </c>
      <c r="C15" s="233">
        <v>3</v>
      </c>
      <c r="D15" s="233" t="s">
        <v>127</v>
      </c>
      <c r="E15" s="234" t="s">
        <v>260</v>
      </c>
      <c r="F15" s="234" t="s">
        <v>376</v>
      </c>
      <c r="G15" s="235" t="str">
        <f t="shared" si="0"/>
        <v>[effect:enemy_message, val1:1.2, val2:3.7]</v>
      </c>
      <c r="H15" s="235">
        <f t="shared" si="1"/>
        <v>9</v>
      </c>
      <c r="I15" s="235">
        <f t="shared" si="2"/>
        <v>22</v>
      </c>
      <c r="J15" s="235" t="e">
        <f t="shared" si="3"/>
        <v>#VALUE!</v>
      </c>
      <c r="K15" s="235">
        <f t="shared" si="4"/>
        <v>32</v>
      </c>
      <c r="L15" s="235" t="str">
        <f>IFERROR(VLOOKUP(MID(G15,J15,K15-J15),[6]skilldef!$C:$D,2,FALSE),"-") &amp; " / " &amp; IFERROR(VLOOKUP(MID(G15,H15,I15-H15),[6]skilldef!$A:$B,2,FALSE),"-")</f>
        <v>- / -</v>
      </c>
      <c r="M15" s="235" t="str">
        <f t="shared" si="5"/>
        <v>[effect:hungup, target:unit_all, turn:1, rate:1, animation:hungup01],[effect:force_change_block, new_block:damage, target:block_blue, count:4, val:0.05, animation:change_block]</v>
      </c>
      <c r="N15" s="236" t="str">
        <f t="shared" si="36"/>
        <v>[effect:hungup, target:unit_all, turn:1, rate:1, animation:hungup01],[effect:force_change_block, new_block:damage, target:block_blue, count:4, val:0.05, animation:change_block]</v>
      </c>
      <c r="O15" s="235">
        <f t="shared" si="7"/>
        <v>9</v>
      </c>
      <c r="P15" s="235">
        <f t="shared" si="8"/>
        <v>15</v>
      </c>
      <c r="Q15" s="235">
        <f t="shared" si="9"/>
        <v>24</v>
      </c>
      <c r="R15" s="235">
        <f t="shared" si="10"/>
        <v>32</v>
      </c>
      <c r="S15" s="235" t="str">
        <f>IFERROR(VLOOKUP(MID(N15,Q15,R15-Q15),[6]skilldef!$C:$D,2,FALSE),"-") &amp; " / " &amp; IFERROR(VLOOKUP(MID(N15,O15,P15-O15),[6]skilldef!$A:$B,2,FALSE),"-")</f>
        <v>味方全体に / ハングアップ</v>
      </c>
      <c r="T15" s="236" t="str">
        <f t="shared" si="11"/>
        <v>[effect:force_change_block, new_block:damage, target:block_blue, count:4, val:0.05, animation:change_block]</v>
      </c>
      <c r="U15" s="235">
        <f t="shared" si="12"/>
        <v>9</v>
      </c>
      <c r="V15" s="235">
        <f t="shared" si="13"/>
        <v>27</v>
      </c>
      <c r="W15" s="235">
        <f t="shared" si="14"/>
        <v>54</v>
      </c>
      <c r="X15" s="235">
        <f t="shared" si="15"/>
        <v>45</v>
      </c>
      <c r="Y15" s="235" t="str">
        <f>IFERROR(VLOOKUP(MID(T15,W15,X15-W15),[6]skilldef!$C:$D,2,FALSE),"-") &amp; " / " &amp; IFERROR(VLOOKUP(MID(T15,U15,V15-U15),[6]skilldef!$A:$B,2,FALSE),"-")</f>
        <v>- / -</v>
      </c>
      <c r="Z15" s="233"/>
      <c r="AA15" s="237"/>
      <c r="AB15" s="233"/>
    </row>
    <row r="16" spans="1:28" ht="77" customHeight="1" x14ac:dyDescent="0.25">
      <c r="A16" s="260">
        <v>47015123</v>
      </c>
      <c r="B16" s="288" t="s">
        <v>346</v>
      </c>
      <c r="C16" s="233">
        <v>3</v>
      </c>
      <c r="D16" s="233" t="s">
        <v>127</v>
      </c>
      <c r="E16" s="234" t="s">
        <v>261</v>
      </c>
      <c r="F16" s="234" t="s">
        <v>284</v>
      </c>
      <c r="G16" s="235" t="str">
        <f t="shared" si="0"/>
        <v>[effect:enemy_message, val1:1.2, val2:2.6]</v>
      </c>
      <c r="H16" s="235">
        <f t="shared" si="1"/>
        <v>9</v>
      </c>
      <c r="I16" s="235">
        <f t="shared" si="2"/>
        <v>22</v>
      </c>
      <c r="J16" s="235" t="e">
        <f t="shared" si="3"/>
        <v>#VALUE!</v>
      </c>
      <c r="K16" s="235">
        <f t="shared" si="4"/>
        <v>32</v>
      </c>
      <c r="L16" s="235" t="str">
        <f>IFERROR(VLOOKUP(MID(G16,J16,K16-J16),[6]skilldef!$C:$D,2,FALSE),"-") &amp; " / " &amp; IFERROR(VLOOKUP(MID(G16,H16,I16-H16),[6]skilldef!$A:$B,2,FALSE),"-")</f>
        <v>- / -</v>
      </c>
      <c r="M16" s="235" t="str">
        <f t="shared" si="5"/>
        <v>[effect:spread, val:0.3],[effect:force_change_block, new_block:damage, target:block_heart, count:5, val:0.05, animation:change_block]</v>
      </c>
      <c r="N16" s="236" t="str">
        <f t="shared" si="36"/>
        <v>[effect:spread, val:0.3],[effect:force_change_block, new_block:damage, target:block_heart, count:5, val:0.05, animation:change_block]</v>
      </c>
      <c r="O16" s="235">
        <f t="shared" si="7"/>
        <v>9</v>
      </c>
      <c r="P16" s="235">
        <f t="shared" si="8"/>
        <v>15</v>
      </c>
      <c r="Q16" s="235">
        <f t="shared" si="9"/>
        <v>79</v>
      </c>
      <c r="R16" s="235">
        <f t="shared" si="10"/>
        <v>25</v>
      </c>
      <c r="S16" s="235" t="str">
        <f>IFERROR(VLOOKUP(MID(N16,Q16,R16-Q16),[6]skilldef!$C:$D,2,FALSE),"-") &amp; " / " &amp; IFERROR(VLOOKUP(MID(N16,O16,P16-O16),[6]skilldef!$A:$B,2,FALSE),"-")</f>
        <v>- / 全体攻撃</v>
      </c>
      <c r="T16" s="236" t="str">
        <f t="shared" si="11"/>
        <v>[effect:force_change_block, new_block:damage, target:block_heart, count:5, val:0.05, animation:change_block]</v>
      </c>
      <c r="U16" s="235">
        <f t="shared" si="12"/>
        <v>9</v>
      </c>
      <c r="V16" s="235">
        <f t="shared" si="13"/>
        <v>27</v>
      </c>
      <c r="W16" s="235">
        <f t="shared" si="14"/>
        <v>54</v>
      </c>
      <c r="X16" s="235">
        <f t="shared" si="15"/>
        <v>45</v>
      </c>
      <c r="Y16" s="235" t="str">
        <f>IFERROR(VLOOKUP(MID(T16,W16,X16-W16),[6]skilldef!$C:$D,2,FALSE),"-") &amp; " / " &amp; IFERROR(VLOOKUP(MID(T16,U16,V16-U16),[6]skilldef!$A:$B,2,FALSE),"-")</f>
        <v>- / -</v>
      </c>
      <c r="Z16" s="233"/>
      <c r="AA16" s="237"/>
      <c r="AB16" s="233"/>
    </row>
    <row r="17" spans="1:28" ht="77" customHeight="1" x14ac:dyDescent="0.25">
      <c r="A17" s="259">
        <v>47015124</v>
      </c>
      <c r="B17" s="288" t="s">
        <v>386</v>
      </c>
      <c r="C17" s="233">
        <v>3</v>
      </c>
      <c r="D17" s="233" t="s">
        <v>127</v>
      </c>
      <c r="E17" s="234" t="s">
        <v>266</v>
      </c>
      <c r="F17" s="234" t="s">
        <v>446</v>
      </c>
      <c r="G17" s="235" t="str">
        <f t="shared" si="0"/>
        <v>[effect:enemy_message, val1:1.2, val2:3.3]</v>
      </c>
      <c r="H17" s="235">
        <f t="shared" si="1"/>
        <v>9</v>
      </c>
      <c r="I17" s="235">
        <f t="shared" si="2"/>
        <v>22</v>
      </c>
      <c r="J17" s="235" t="e">
        <f t="shared" si="3"/>
        <v>#VALUE!</v>
      </c>
      <c r="K17" s="235">
        <f t="shared" si="4"/>
        <v>32</v>
      </c>
      <c r="L17" s="235" t="str">
        <f>IFERROR(VLOOKUP(MID(G17,J17,K17-J17),[6]skilldef!$C:$D,2,FALSE),"-") &amp; " / " &amp; IFERROR(VLOOKUP(MID(G17,H17,I17-H17),[6]skilldef!$A:$B,2,FALSE),"-")</f>
        <v>- / -</v>
      </c>
      <c r="M17" s="235" t="str">
        <f t="shared" si="5"/>
        <v>[effect:damage_gravity, val:0.3, animation:fevergauge_down],[effect:force_change_block, new_block:damage, target:normal, count:8, val:0.05, animation:change_block]</v>
      </c>
      <c r="N17" s="236" t="str">
        <f t="shared" ref="N17:N26" si="37">IFERROR(LEFT(M17,FIND("],",M17)+S42),M17)</f>
        <v>[effect:damage_gravity, val:0.3, animation:fevergauge_down],[effect:force_change_block, new_block:damage, target:normal, count:8, val:0.05, animation:change_block]</v>
      </c>
      <c r="O17" s="235">
        <f t="shared" si="7"/>
        <v>9</v>
      </c>
      <c r="P17" s="235">
        <f t="shared" si="8"/>
        <v>23</v>
      </c>
      <c r="Q17" s="235">
        <f t="shared" si="9"/>
        <v>114</v>
      </c>
      <c r="R17" s="235">
        <f t="shared" si="10"/>
        <v>32</v>
      </c>
      <c r="S17" s="235" t="str">
        <f>IFERROR(VLOOKUP(MID(N17,Q17,R17-Q17),[6]skilldef!$C:$D,2,FALSE),"-") &amp; " / " &amp; IFERROR(VLOOKUP(MID(N17,O17,P17-O17),[6]skilldef!$A:$B,2,FALSE),"-")</f>
        <v>- / 割合ダメージ</v>
      </c>
      <c r="T17" s="236" t="str">
        <f t="shared" si="11"/>
        <v>[effect:force_change_block, new_block:damage, target:normal, count:8, val:0.05, animation:change_block]</v>
      </c>
      <c r="U17" s="235">
        <f t="shared" si="12"/>
        <v>9</v>
      </c>
      <c r="V17" s="235">
        <f t="shared" si="13"/>
        <v>27</v>
      </c>
      <c r="W17" s="235">
        <f t="shared" si="14"/>
        <v>54</v>
      </c>
      <c r="X17" s="235">
        <f t="shared" si="15"/>
        <v>45</v>
      </c>
      <c r="Y17" s="235" t="str">
        <f>IFERROR(VLOOKUP(MID(T17,W17,X17-W17),[6]skilldef!$C:$D,2,FALSE),"-") &amp; " / " &amp; IFERROR(VLOOKUP(MID(T17,U17,V17-U17),[6]skilldef!$A:$B,2,FALSE),"-")</f>
        <v>- / -</v>
      </c>
      <c r="Z17" s="233"/>
      <c r="AA17" s="237"/>
      <c r="AB17" s="233"/>
    </row>
    <row r="18" spans="1:28" ht="77" customHeight="1" x14ac:dyDescent="0.25">
      <c r="A18" s="260">
        <v>47015130</v>
      </c>
      <c r="B18" s="288" t="s">
        <v>450</v>
      </c>
      <c r="C18" s="233">
        <v>3</v>
      </c>
      <c r="D18" s="233" t="s">
        <v>127</v>
      </c>
      <c r="E18" s="234" t="s">
        <v>275</v>
      </c>
      <c r="F18" s="234" t="s">
        <v>396</v>
      </c>
      <c r="G18" s="235" t="str">
        <f t="shared" si="0"/>
        <v>[effect:enemy_message, val1:1.4, val2:3.6]</v>
      </c>
      <c r="H18" s="235">
        <f t="shared" si="1"/>
        <v>9</v>
      </c>
      <c r="I18" s="235">
        <f t="shared" si="2"/>
        <v>22</v>
      </c>
      <c r="J18" s="235" t="e">
        <f t="shared" si="3"/>
        <v>#VALUE!</v>
      </c>
      <c r="K18" s="235">
        <f t="shared" si="4"/>
        <v>32</v>
      </c>
      <c r="L18" s="235" t="str">
        <f>IFERROR(VLOOKUP(MID(G18,J18,K18-J18),[6]skilldef!$C:$D,2,FALSE),"-") &amp; " / " &amp; IFERROR(VLOOKUP(MID(G18,H18,I18-H18),[6]skilldef!$A:$B,2,FALSE),"-")</f>
        <v>- / -</v>
      </c>
      <c r="M18" s="235" t="str">
        <f t="shared" si="5"/>
        <v>[effect:fix_speed, target:myself, turn:2],[effect:damage_gravity, val:0.2, animation:fevergauge_down],[effect:tolerance, target:myself, turn:-1, count:-1, tolerance_effect:all, animation:enemy_tolerance]</v>
      </c>
      <c r="N18" s="236" t="str">
        <f t="shared" si="37"/>
        <v>[effect:fix_speed, target:myself, turn:2],[effect:damage_gravity, val:0.2, animation:fevergauge_down],[effect:tolerance, target:myself, turn:-1, count:-1, tolerance_effect:all, animation:enemy_tolerance]</v>
      </c>
      <c r="O18" s="235">
        <f t="shared" si="7"/>
        <v>9</v>
      </c>
      <c r="P18" s="235">
        <f t="shared" si="8"/>
        <v>18</v>
      </c>
      <c r="Q18" s="235">
        <f t="shared" si="9"/>
        <v>27</v>
      </c>
      <c r="R18" s="235">
        <f t="shared" si="10"/>
        <v>33</v>
      </c>
      <c r="S18" s="235" t="str">
        <f>IFERROR(VLOOKUP(MID(N18,Q18,R18-Q18),[6]skilldef!$C:$D,2,FALSE),"-") &amp; " / " &amp; IFERROR(VLOOKUP(MID(N18,O18,P18-O18),[6]skilldef!$A:$B,2,FALSE),"-")</f>
        <v>自分自身に / 行動値設定</v>
      </c>
      <c r="T18" s="236" t="str">
        <f t="shared" si="11"/>
        <v>[effect:damage_gravity, val:0.2, animation:fevergauge_down],[effect:tolerance, target:myself, turn:-1, count:-1, tolerance_effect:all, animation:enemy_tolerance]</v>
      </c>
      <c r="U18" s="235">
        <f t="shared" si="12"/>
        <v>9</v>
      </c>
      <c r="V18" s="235">
        <f t="shared" si="13"/>
        <v>23</v>
      </c>
      <c r="W18" s="235">
        <f t="shared" si="14"/>
        <v>87</v>
      </c>
      <c r="X18" s="235">
        <f t="shared" si="15"/>
        <v>32</v>
      </c>
      <c r="Y18" s="235" t="str">
        <f>IFERROR(VLOOKUP(MID(T18,W18,X18-W18),[6]skilldef!$C:$D,2,FALSE),"-") &amp; " / " &amp; IFERROR(VLOOKUP(MID(T18,U18,V18-U18),[6]skilldef!$A:$B,2,FALSE),"-")</f>
        <v>- / 割合ダメージ</v>
      </c>
      <c r="Z18" s="233"/>
      <c r="AA18" s="237"/>
      <c r="AB18" s="233"/>
    </row>
    <row r="19" spans="1:28" ht="77" customHeight="1" x14ac:dyDescent="0.25">
      <c r="A19" s="260">
        <v>47015131</v>
      </c>
      <c r="B19" s="288" t="s">
        <v>353</v>
      </c>
      <c r="C19" s="233">
        <v>3</v>
      </c>
      <c r="D19" s="233" t="s">
        <v>127</v>
      </c>
      <c r="E19" s="234" t="s">
        <v>262</v>
      </c>
      <c r="F19" s="234" t="s">
        <v>314</v>
      </c>
      <c r="G19" s="235" t="str">
        <f t="shared" si="0"/>
        <v>[effect:enemy_message, val1:1.2, val2:1.2]</v>
      </c>
      <c r="H19" s="235">
        <f t="shared" si="1"/>
        <v>9</v>
      </c>
      <c r="I19" s="235">
        <f t="shared" si="2"/>
        <v>22</v>
      </c>
      <c r="J19" s="235" t="e">
        <f t="shared" si="3"/>
        <v>#VALUE!</v>
      </c>
      <c r="K19" s="235">
        <f t="shared" si="4"/>
        <v>32</v>
      </c>
      <c r="L19" s="235" t="str">
        <f>IFERROR(VLOOKUP(MID(G19,J19,K19-J19),[6]skilldef!$C:$D,2,FALSE),"-") &amp; " / " &amp; IFERROR(VLOOKUP(MID(G19,H19,I19-H19),[6]skilldef!$A:$B,2,FALSE),"-")</f>
        <v>- / -</v>
      </c>
      <c r="M19" s="235" t="str">
        <f t="shared" si="5"/>
        <v>[effect:break_attack, target:unit_one, val:0.2, lowest_val:1500, count:-1, color:green, block01:block_blue]</v>
      </c>
      <c r="N19" s="236" t="str">
        <f t="shared" si="37"/>
        <v>[effect:break_attack, target:unit_one, val:0.2, lowest_val:1500, count:-1, color:green, block01:block_blue]</v>
      </c>
      <c r="O19" s="235">
        <f t="shared" si="7"/>
        <v>9</v>
      </c>
      <c r="P19" s="235">
        <f t="shared" si="8"/>
        <v>21</v>
      </c>
      <c r="Q19" s="235">
        <f t="shared" si="9"/>
        <v>30</v>
      </c>
      <c r="R19" s="235">
        <f t="shared" si="10"/>
        <v>38</v>
      </c>
      <c r="S19" s="235" t="str">
        <f>IFERROR(VLOOKUP(MID(N19,Q19,R19-Q19),[6]skilldef!$C:$D,2,FALSE),"-") &amp; " / " &amp; IFERROR(VLOOKUP(MID(N19,O19,P19-O19),[6]skilldef!$A:$B,2,FALSE),"-")</f>
        <v>味方単体に / -</v>
      </c>
      <c r="T19" s="236" t="str">
        <f t="shared" si="11"/>
        <v>none</v>
      </c>
      <c r="U19" s="235" t="e">
        <f t="shared" si="12"/>
        <v>#VALUE!</v>
      </c>
      <c r="V19" s="235">
        <f t="shared" si="13"/>
        <v>4</v>
      </c>
      <c r="W19" s="235" t="e">
        <f t="shared" si="14"/>
        <v>#VALUE!</v>
      </c>
      <c r="X19" s="235" t="e">
        <f t="shared" si="15"/>
        <v>#VALUE!</v>
      </c>
      <c r="Y19" s="235" t="str">
        <f>IFERROR(VLOOKUP(MID(T19,W19,X19-W19),[6]skilldef!$C:$D,2,FALSE),"-") &amp; " / " &amp; IFERROR(VLOOKUP(MID(T19,U19,V19-U19),[6]skilldef!$A:$B,2,FALSE),"-")</f>
        <v>- / -</v>
      </c>
      <c r="Z19" s="233"/>
      <c r="AA19" s="237"/>
      <c r="AB19" s="233"/>
    </row>
    <row r="20" spans="1:28" ht="77" customHeight="1" x14ac:dyDescent="0.25">
      <c r="A20" s="260">
        <v>47015132</v>
      </c>
      <c r="B20" s="288" t="s">
        <v>392</v>
      </c>
      <c r="C20" s="233">
        <v>3</v>
      </c>
      <c r="D20" s="233" t="s">
        <v>127</v>
      </c>
      <c r="E20" s="234" t="s">
        <v>263</v>
      </c>
      <c r="F20" s="234" t="s">
        <v>286</v>
      </c>
      <c r="G20" s="235" t="str">
        <f t="shared" si="0"/>
        <v>[effect:enemy_message, val1:1.2, val2:1.8]</v>
      </c>
      <c r="H20" s="235">
        <f t="shared" si="1"/>
        <v>9</v>
      </c>
      <c r="I20" s="235">
        <f t="shared" si="2"/>
        <v>22</v>
      </c>
      <c r="J20" s="235" t="e">
        <f t="shared" si="3"/>
        <v>#VALUE!</v>
      </c>
      <c r="K20" s="235">
        <f t="shared" si="4"/>
        <v>32</v>
      </c>
      <c r="L20" s="235" t="str">
        <f>IFERROR(VLOOKUP(MID(G20,J20,K20-J20),[6]skilldef!$C:$D,2,FALSE),"-") &amp; " / " &amp; IFERROR(VLOOKUP(MID(G20,H20,I20-H20),[6]skilldef!$A:$B,2,FALSE),"-")</f>
        <v>- / -</v>
      </c>
      <c r="M20" s="235" t="str">
        <f t="shared" si="5"/>
        <v>[effect:rush, count:1, val:0.5],[effect:change_range_block, block_change:1, base_type:0, square_count:5, position01:6, position02:13, position03:16, value_h01:3, value_h02:1, value_h03:1, value_w01:3, value_w02:1, value_w03:3, new_block:green, target:block_all, ignore01:block_positive, ignore02:block_green, count:0, val:0, animation:change_range_block]</v>
      </c>
      <c r="N20" s="236" t="str">
        <f t="shared" si="37"/>
        <v>[effect:rush, count:1, val:0.5],[effect:change_range_block, block_change:1, base_type:0, square_count:5, position01:6, position02:13, position03:16, value_h01:3, value_h02:1, value_h03:1, value_w01:3, value_w02:1, value_w03:3, new_block:green, target:block_all, ignore01:block_positive, ignore02:block_green, count:0, val:0, animation:change_range_block]</v>
      </c>
      <c r="O20" s="235">
        <f t="shared" si="7"/>
        <v>9</v>
      </c>
      <c r="P20" s="235">
        <f t="shared" si="8"/>
        <v>13</v>
      </c>
      <c r="Q20" s="235">
        <f t="shared" si="9"/>
        <v>252</v>
      </c>
      <c r="R20" s="235">
        <f t="shared" si="10"/>
        <v>22</v>
      </c>
      <c r="S20" s="235" t="str">
        <f>IFERROR(VLOOKUP(MID(N20,Q20,R20-Q20),[6]skilldef!$C:$D,2,FALSE),"-") &amp; " / " &amp; IFERROR(VLOOKUP(MID(N20,O20,P20-O20),[6]skilldef!$A:$B,2,FALSE),"-")</f>
        <v>- / 連続攻撃</v>
      </c>
      <c r="T20" s="236" t="str">
        <f t="shared" si="11"/>
        <v>[effect:change_range_block, block_change:1, base_type:0, square_count:5, position01:6, position02:13, position03:16, value_h01:3, value_h02:1, value_h03:1, value_w01:3, value_w02:1, value_w03:3, new_block:green, target:block_all, ignore01:block_positive, ignore02:block_green, count:0, val:0, animation:change_range_block]</v>
      </c>
      <c r="U20" s="235">
        <f t="shared" si="12"/>
        <v>9</v>
      </c>
      <c r="V20" s="235">
        <f t="shared" si="13"/>
        <v>27</v>
      </c>
      <c r="W20" s="235">
        <f t="shared" si="14"/>
        <v>220</v>
      </c>
      <c r="X20" s="235">
        <f t="shared" si="15"/>
        <v>43</v>
      </c>
      <c r="Y20" s="235" t="str">
        <f>IFERROR(VLOOKUP(MID(T20,W20,X20-W20),[6]skilldef!$C:$D,2,FALSE),"-") &amp; " / " &amp; IFERROR(VLOOKUP(MID(T20,U20,V20-U20),[6]skilldef!$A:$B,2,FALSE),"-")</f>
        <v>- / -</v>
      </c>
      <c r="Z20" s="233"/>
      <c r="AA20" s="237"/>
      <c r="AB20" s="233"/>
    </row>
    <row r="21" spans="1:28" ht="77" customHeight="1" x14ac:dyDescent="0.25">
      <c r="A21" s="260">
        <v>47015133</v>
      </c>
      <c r="B21" s="288" t="s">
        <v>354</v>
      </c>
      <c r="C21" s="233">
        <v>3</v>
      </c>
      <c r="D21" s="233" t="s">
        <v>127</v>
      </c>
      <c r="E21" s="234" t="s">
        <v>264</v>
      </c>
      <c r="F21" s="267" t="s">
        <v>462</v>
      </c>
      <c r="G21" s="235" t="str">
        <f t="shared" si="0"/>
        <v>[effect:enemy_message, val1:1.2, val2:1.9]</v>
      </c>
      <c r="H21" s="235">
        <f t="shared" si="1"/>
        <v>9</v>
      </c>
      <c r="I21" s="235">
        <f t="shared" si="2"/>
        <v>22</v>
      </c>
      <c r="J21" s="235" t="e">
        <f t="shared" si="3"/>
        <v>#VALUE!</v>
      </c>
      <c r="K21" s="235">
        <f t="shared" si="4"/>
        <v>32</v>
      </c>
      <c r="L21" s="235" t="str">
        <f>IFERROR(VLOOKUP(MID(G21,J21,K21-J21),[6]skilldef!$C:$D,2,FALSE),"-") &amp; " / " &amp; IFERROR(VLOOKUP(MID(G21,H21,I21-H21),[6]skilldef!$A:$B,2,FALSE),"-")</f>
        <v>- / -</v>
      </c>
      <c r="M21" s="235" t="str">
        <f t="shared" si="5"/>
        <v>[effect:force_change_block, new_block:damage, target:normal, count:15, val:0.05, animation:change_block]</v>
      </c>
      <c r="N21" s="236" t="str">
        <f t="shared" si="37"/>
        <v>[effect:force_change_block, new_block:damage, target:normal, count:15, val:0.05, animation:change_block]</v>
      </c>
      <c r="O21" s="235">
        <f t="shared" si="7"/>
        <v>9</v>
      </c>
      <c r="P21" s="235">
        <f t="shared" si="8"/>
        <v>27</v>
      </c>
      <c r="Q21" s="235">
        <f t="shared" si="9"/>
        <v>54</v>
      </c>
      <c r="R21" s="235">
        <f t="shared" si="10"/>
        <v>45</v>
      </c>
      <c r="S21" s="235" t="str">
        <f>IFERROR(VLOOKUP(MID(N21,Q21,R21-Q21),[6]skilldef!$C:$D,2,FALSE),"-") &amp; " / " &amp; IFERROR(VLOOKUP(MID(N21,O21,P21-O21),[6]skilldef!$A:$B,2,FALSE),"-")</f>
        <v>- / -</v>
      </c>
      <c r="T21" s="236" t="str">
        <f t="shared" si="11"/>
        <v>none</v>
      </c>
      <c r="U21" s="235" t="e">
        <f t="shared" si="12"/>
        <v>#VALUE!</v>
      </c>
      <c r="V21" s="235">
        <f t="shared" si="13"/>
        <v>4</v>
      </c>
      <c r="W21" s="235" t="e">
        <f t="shared" si="14"/>
        <v>#VALUE!</v>
      </c>
      <c r="X21" s="235" t="e">
        <f t="shared" si="15"/>
        <v>#VALUE!</v>
      </c>
      <c r="Y21" s="235" t="str">
        <f>IFERROR(VLOOKUP(MID(T21,W21,X21-W21),[6]skilldef!$C:$D,2,FALSE),"-") &amp; " / " &amp; IFERROR(VLOOKUP(MID(T21,U21,V21-U21),[6]skilldef!$A:$B,2,FALSE),"-")</f>
        <v>- / -</v>
      </c>
      <c r="Z21" s="233"/>
      <c r="AA21" s="237"/>
      <c r="AB21" s="233"/>
    </row>
    <row r="22" spans="1:28" ht="77" customHeight="1" x14ac:dyDescent="0.25">
      <c r="A22" s="260">
        <v>47015134</v>
      </c>
      <c r="B22" s="288" t="s">
        <v>431</v>
      </c>
      <c r="C22" s="233">
        <v>3</v>
      </c>
      <c r="D22" s="233" t="s">
        <v>127</v>
      </c>
      <c r="E22" s="234" t="s">
        <v>265</v>
      </c>
      <c r="F22" s="234" t="s">
        <v>391</v>
      </c>
      <c r="G22" s="235" t="str">
        <f t="shared" si="0"/>
        <v>[effect:enemy_message, val1:1.2, val2:2.3]</v>
      </c>
      <c r="H22" s="235">
        <f t="shared" si="1"/>
        <v>9</v>
      </c>
      <c r="I22" s="235">
        <f t="shared" si="2"/>
        <v>22</v>
      </c>
      <c r="J22" s="235" t="e">
        <f t="shared" si="3"/>
        <v>#VALUE!</v>
      </c>
      <c r="K22" s="235">
        <f t="shared" si="4"/>
        <v>32</v>
      </c>
      <c r="L22" s="235" t="str">
        <f>IFERROR(VLOOKUP(MID(G22,J22,K22-J22),[6]skilldef!$C:$D,2,FALSE),"-") &amp; " / " &amp; IFERROR(VLOOKUP(MID(G22,H22,I22-H22),[6]skilldef!$A:$B,2,FALSE),"-")</f>
        <v>- / -</v>
      </c>
      <c r="M22" s="235" t="str">
        <f t="shared" si="5"/>
        <v>[effect:freq_turn, target:myself, turn:-1, val:1, animation:enemy_freq_turn],[effect:drop_block, block_type:crash, color:block_all, val:6, rate:0.1, turn:5, animation:crash_influence04]</v>
      </c>
      <c r="N22" s="236" t="str">
        <f t="shared" si="37"/>
        <v>[effect:freq_turn, target:myself, turn:-1, val:1, animation:enemy_freq_turn],[effect:drop_block, block_type:crash, color:block_all, val:6, rate:0.1, turn:5, animation:crash_influence04]</v>
      </c>
      <c r="O22" s="235">
        <f t="shared" si="7"/>
        <v>9</v>
      </c>
      <c r="P22" s="235">
        <f t="shared" si="8"/>
        <v>18</v>
      </c>
      <c r="Q22" s="235">
        <f t="shared" si="9"/>
        <v>27</v>
      </c>
      <c r="R22" s="235">
        <f t="shared" si="10"/>
        <v>33</v>
      </c>
      <c r="S22" s="235" t="str">
        <f>IFERROR(VLOOKUP(MID(N22,Q22,R22-Q22),[6]skilldef!$C:$D,2,FALSE),"-") &amp; " / " &amp; IFERROR(VLOOKUP(MID(N22,O22,P22-O22),[6]skilldef!$A:$B,2,FALSE),"-")</f>
        <v>自分自身に / 攻撃頻度がUP</v>
      </c>
      <c r="T22" s="236" t="str">
        <f t="shared" si="11"/>
        <v>[effect:drop_block, block_type:crash, color:block_all, val:6, rate:0.1, turn:5, animation:crash_influence04]</v>
      </c>
      <c r="U22" s="235">
        <f t="shared" si="12"/>
        <v>9</v>
      </c>
      <c r="V22" s="235">
        <f t="shared" si="13"/>
        <v>19</v>
      </c>
      <c r="W22" s="235" t="e">
        <f t="shared" si="14"/>
        <v>#VALUE!</v>
      </c>
      <c r="X22" s="235">
        <f t="shared" si="15"/>
        <v>37</v>
      </c>
      <c r="Y22" s="235" t="str">
        <f>IFERROR(VLOOKUP(MID(T22,W22,X22-W22),[6]skilldef!$C:$D,2,FALSE),"-") &amp; " / " &amp; IFERROR(VLOOKUP(MID(T22,U22,V22-U22),[6]skilldef!$A:$B,2,FALSE),"-")</f>
        <v>- / 特定ブロックの割合ドロップ</v>
      </c>
      <c r="Z22" s="233"/>
      <c r="AA22" s="237"/>
      <c r="AB22" s="233"/>
    </row>
    <row r="23" spans="1:28" ht="77" customHeight="1" x14ac:dyDescent="0.25">
      <c r="A23" s="260">
        <v>47015140</v>
      </c>
      <c r="B23" s="288" t="s">
        <v>432</v>
      </c>
      <c r="C23" s="233">
        <v>3</v>
      </c>
      <c r="D23" s="233" t="s">
        <v>127</v>
      </c>
      <c r="E23" s="234" t="s">
        <v>304</v>
      </c>
      <c r="F23" s="234" t="s">
        <v>449</v>
      </c>
      <c r="G23" s="235" t="str">
        <f t="shared" si="0"/>
        <v>[effect:enemy_message, val1:2.0, val2:4.9]</v>
      </c>
      <c r="H23" s="235">
        <f t="shared" si="1"/>
        <v>9</v>
      </c>
      <c r="I23" s="235">
        <f t="shared" si="2"/>
        <v>22</v>
      </c>
      <c r="J23" s="235" t="e">
        <f t="shared" si="3"/>
        <v>#VALUE!</v>
      </c>
      <c r="K23" s="235">
        <f t="shared" si="4"/>
        <v>32</v>
      </c>
      <c r="L23" s="235" t="str">
        <f>IFERROR(VLOOKUP(MID(G23,J23,K23-J23),[6]skilldef!$C:$D,2,FALSE),"-") &amp; " / " &amp; IFERROR(VLOOKUP(MID(G23,H23,I23-H23),[6]skilldef!$A:$B,2,FALSE),"-")</f>
        <v>- / -</v>
      </c>
      <c r="M23" s="235" t="str">
        <f t="shared" si="5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N23" s="236" t="str">
        <f t="shared" si="37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O23" s="235">
        <f t="shared" si="7"/>
        <v>9</v>
      </c>
      <c r="P23" s="235">
        <f t="shared" si="8"/>
        <v>18</v>
      </c>
      <c r="Q23" s="235">
        <f t="shared" si="9"/>
        <v>27</v>
      </c>
      <c r="R23" s="235">
        <f t="shared" si="10"/>
        <v>33</v>
      </c>
      <c r="S23" s="235" t="str">
        <f>IFERROR(VLOOKUP(MID(N23,Q23,R23-Q23),[6]skilldef!$C:$D,2,FALSE),"-") &amp; " / " &amp; IFERROR(VLOOKUP(MID(N23,O23,P23-O23),[6]skilldef!$A:$B,2,FALSE),"-")</f>
        <v>自分自身に / 行動値設定</v>
      </c>
      <c r="T23" s="236" t="str">
        <f t="shared" si="11"/>
        <v>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U23" s="235">
        <f t="shared" si="12"/>
        <v>9</v>
      </c>
      <c r="V23" s="235">
        <f t="shared" si="13"/>
        <v>18</v>
      </c>
      <c r="W23" s="235">
        <f t="shared" si="14"/>
        <v>27</v>
      </c>
      <c r="X23" s="235">
        <f t="shared" si="15"/>
        <v>33</v>
      </c>
      <c r="Y23" s="235" t="str">
        <f>IFERROR(VLOOKUP(MID(T23,W23,X23-W23),[6]skilldef!$C:$D,2,FALSE),"-") &amp; " / " &amp; IFERROR(VLOOKUP(MID(T23,U23,V23-U23),[6]skilldef!$A:$B,2,FALSE),"-")</f>
        <v>自分自身に / 状態異常耐性</v>
      </c>
      <c r="Z23" s="233"/>
      <c r="AA23" s="237"/>
      <c r="AB23" s="233"/>
    </row>
    <row r="24" spans="1:28" ht="77" customHeight="1" x14ac:dyDescent="0.25">
      <c r="A24" s="260">
        <v>47015141</v>
      </c>
      <c r="B24" s="288" t="s">
        <v>433</v>
      </c>
      <c r="C24" s="233">
        <v>3</v>
      </c>
      <c r="D24" s="233" t="s">
        <v>127</v>
      </c>
      <c r="E24" s="273" t="s">
        <v>276</v>
      </c>
      <c r="F24" s="271" t="s">
        <v>395</v>
      </c>
      <c r="G24" s="235" t="str">
        <f t="shared" si="0"/>
        <v>[effect:enemy_message, val1:1.2, val2:1.6]</v>
      </c>
      <c r="H24" s="235">
        <f t="shared" si="1"/>
        <v>9</v>
      </c>
      <c r="I24" s="235">
        <f t="shared" si="2"/>
        <v>22</v>
      </c>
      <c r="J24" s="235" t="e">
        <f t="shared" si="3"/>
        <v>#VALUE!</v>
      </c>
      <c r="K24" s="235">
        <f t="shared" si="4"/>
        <v>32</v>
      </c>
      <c r="L24" s="235" t="str">
        <f>IFERROR(VLOOKUP(MID(G24,J24,K24-J24),[6]skilldef!$C:$D,2,FALSE),"-") &amp; " / " &amp; IFERROR(VLOOKUP(MID(G24,H24,I24-H24),[6]skilldef!$A:$B,2,FALSE),"-")</f>
        <v>- / -</v>
      </c>
      <c r="M24" s="235" t="str">
        <f t="shared" si="5"/>
        <v>[effect:break_attack, target:unit_one, val:0.2, lowest_val:500, count:-1, color:green, block01:block_green],[effect:heal, target:myself, val:0.02, animation:enemy_heal]</v>
      </c>
      <c r="N24" s="236" t="str">
        <f t="shared" si="37"/>
        <v>[effect:break_attack, target:unit_one, val:0.2, lowest_val:500, count:-1, color:green, block01:block_green],[effect:heal, target:myself, val:0.02, animation:enemy_heal]</v>
      </c>
      <c r="O24" s="235">
        <f t="shared" si="7"/>
        <v>9</v>
      </c>
      <c r="P24" s="235">
        <f t="shared" si="8"/>
        <v>21</v>
      </c>
      <c r="Q24" s="235">
        <f t="shared" si="9"/>
        <v>30</v>
      </c>
      <c r="R24" s="235">
        <f t="shared" si="10"/>
        <v>38</v>
      </c>
      <c r="S24" s="235" t="str">
        <f>IFERROR(VLOOKUP(MID(N24,Q24,R24-Q24),[6]skilldef!$C:$D,2,FALSE),"-") &amp; " / " &amp; IFERROR(VLOOKUP(MID(N24,O24,P24-O24),[6]skilldef!$A:$B,2,FALSE),"-")</f>
        <v>味方単体に / -</v>
      </c>
      <c r="T24" s="236" t="str">
        <f t="shared" si="11"/>
        <v>[effect:heal, target:myself, val:0.02, animation:enemy_heal]</v>
      </c>
      <c r="U24" s="235">
        <f t="shared" si="12"/>
        <v>9</v>
      </c>
      <c r="V24" s="235">
        <f t="shared" si="13"/>
        <v>13</v>
      </c>
      <c r="W24" s="235">
        <f t="shared" si="14"/>
        <v>22</v>
      </c>
      <c r="X24" s="235">
        <f t="shared" si="15"/>
        <v>28</v>
      </c>
      <c r="Y24" s="235" t="str">
        <f>IFERROR(VLOOKUP(MID(T24,W24,X24-W24),[6]skilldef!$C:$D,2,FALSE),"-") &amp; " / " &amp; IFERROR(VLOOKUP(MID(T24,U24,V24-U24),[6]skilldef!$A:$B,2,FALSE),"-")</f>
        <v>自分自身に / 回復</v>
      </c>
      <c r="Z24" s="233"/>
      <c r="AA24" s="237"/>
      <c r="AB24" s="233"/>
    </row>
    <row r="25" spans="1:28" ht="77" customHeight="1" x14ac:dyDescent="0.25">
      <c r="A25" s="260">
        <v>47015142</v>
      </c>
      <c r="B25" s="288" t="s">
        <v>387</v>
      </c>
      <c r="C25" s="233">
        <v>3</v>
      </c>
      <c r="D25" s="233" t="s">
        <v>127</v>
      </c>
      <c r="E25" s="234" t="s">
        <v>366</v>
      </c>
      <c r="F25" s="271" t="s">
        <v>394</v>
      </c>
      <c r="G25" s="235" t="str">
        <f t="shared" si="0"/>
        <v>[effect:enemy_message, val1:1.3, val2:1.9]</v>
      </c>
      <c r="H25" s="235">
        <f t="shared" si="1"/>
        <v>9</v>
      </c>
      <c r="I25" s="235">
        <f t="shared" si="2"/>
        <v>22</v>
      </c>
      <c r="J25" s="235" t="e">
        <f t="shared" si="3"/>
        <v>#VALUE!</v>
      </c>
      <c r="K25" s="235">
        <f t="shared" si="4"/>
        <v>32</v>
      </c>
      <c r="L25" s="235" t="str">
        <f>IFERROR(VLOOKUP(MID(G25,J25,K25-J25),[6]skilldef!$C:$D,2,FALSE),"-") &amp; " / " &amp; IFERROR(VLOOKUP(MID(G25,H25,I25-H25),[6]skilldef!$A:$B,2,FALSE),"-")</f>
        <v>- / -</v>
      </c>
      <c r="M25" s="235" t="str">
        <f t="shared" si="5"/>
        <v>[effect:damage_abnormal, target:unit_all, val:0.07, status:virus, turn:2, val_abnormal:0.07, animation:enemy_virus]</v>
      </c>
      <c r="N25" s="236" t="str">
        <f t="shared" si="37"/>
        <v>[effect:damage_abnormal, target:unit_all, val:0.07, status:virus, turn:2, val_abnormal:0.07, animation:enemy_virus]</v>
      </c>
      <c r="O25" s="235">
        <f t="shared" si="7"/>
        <v>9</v>
      </c>
      <c r="P25" s="235">
        <f t="shared" si="8"/>
        <v>24</v>
      </c>
      <c r="Q25" s="235">
        <f t="shared" si="9"/>
        <v>33</v>
      </c>
      <c r="R25" s="235">
        <f t="shared" si="10"/>
        <v>41</v>
      </c>
      <c r="S25" s="235" t="str">
        <f>IFERROR(VLOOKUP(MID(N25,Q25,R25-Q25),[6]skilldef!$C:$D,2,FALSE),"-") &amp; " / " &amp; IFERROR(VLOOKUP(MID(N25,O25,P25-O25),[6]skilldef!$A:$B,2,FALSE),"-")</f>
        <v>味方全体に / -</v>
      </c>
      <c r="T25" s="236" t="str">
        <f t="shared" si="11"/>
        <v>none</v>
      </c>
      <c r="U25" s="235" t="e">
        <f t="shared" si="12"/>
        <v>#VALUE!</v>
      </c>
      <c r="V25" s="235">
        <f t="shared" si="13"/>
        <v>4</v>
      </c>
      <c r="W25" s="235" t="e">
        <f t="shared" si="14"/>
        <v>#VALUE!</v>
      </c>
      <c r="X25" s="235" t="e">
        <f t="shared" si="15"/>
        <v>#VALUE!</v>
      </c>
      <c r="Y25" s="235" t="str">
        <f>IFERROR(VLOOKUP(MID(T25,W25,X25-W25),[6]skilldef!$C:$D,2,FALSE),"-") &amp; " / " &amp; IFERROR(VLOOKUP(MID(T25,U25,V25-U25),[6]skilldef!$A:$B,2,FALSE),"-")</f>
        <v>- / -</v>
      </c>
      <c r="Z25" s="233"/>
      <c r="AA25" s="237"/>
      <c r="AB25" s="233"/>
    </row>
    <row r="26" spans="1:28" ht="77" customHeight="1" x14ac:dyDescent="0.25">
      <c r="A26" s="260">
        <v>47015143</v>
      </c>
      <c r="B26" s="288" t="s">
        <v>434</v>
      </c>
      <c r="C26" s="233">
        <v>3</v>
      </c>
      <c r="D26" s="233" t="s">
        <v>127</v>
      </c>
      <c r="E26" s="234" t="s">
        <v>345</v>
      </c>
      <c r="F26" s="234" t="s">
        <v>453</v>
      </c>
      <c r="G26" s="235" t="str">
        <f t="shared" si="0"/>
        <v>[effect:enemy_message, val1:1.2, val2:2.7]</v>
      </c>
      <c r="H26" s="235">
        <f t="shared" si="1"/>
        <v>9</v>
      </c>
      <c r="I26" s="235">
        <f t="shared" si="2"/>
        <v>22</v>
      </c>
      <c r="J26" s="235" t="e">
        <f t="shared" si="3"/>
        <v>#VALUE!</v>
      </c>
      <c r="K26" s="235">
        <f t="shared" si="4"/>
        <v>32</v>
      </c>
      <c r="L26" s="235" t="str">
        <f>IFERROR(VLOOKUP(MID(G26,J26,K26-J26),[6]skilldef!$C:$D,2,FALSE),"-") &amp; " / " &amp; IFERROR(VLOOKUP(MID(G26,H26,I26-H26),[6]skilldef!$A:$B,2,FALSE),"-")</f>
        <v>- / -</v>
      </c>
      <c r="M26" s="235" t="str">
        <f t="shared" si="5"/>
        <v>[effect:freq_turn, target:myself, turn:-1, val:1, animation:enemy_freq_turn],[effect:force_change_block, new_block:damage, target:normal, count:5, val:0.05, animation:change_block]</v>
      </c>
      <c r="N26" s="236" t="str">
        <f t="shared" si="37"/>
        <v>[effect:freq_turn, target:myself, turn:-1, val:1, animation:enemy_freq_turn],[effect:force_change_block, new_block:damage, target:normal, count:5, val:0.05, animation:change_block]</v>
      </c>
      <c r="O26" s="235">
        <f t="shared" si="7"/>
        <v>9</v>
      </c>
      <c r="P26" s="235">
        <f t="shared" si="8"/>
        <v>18</v>
      </c>
      <c r="Q26" s="235">
        <f t="shared" si="9"/>
        <v>27</v>
      </c>
      <c r="R26" s="235">
        <f t="shared" si="10"/>
        <v>33</v>
      </c>
      <c r="S26" s="235" t="str">
        <f>IFERROR(VLOOKUP(MID(N26,Q26,R26-Q26),[6]skilldef!$C:$D,2,FALSE),"-") &amp; " / " &amp; IFERROR(VLOOKUP(MID(N26,O26,P26-O26),[6]skilldef!$A:$B,2,FALSE),"-")</f>
        <v>自分自身に / 攻撃頻度がUP</v>
      </c>
      <c r="T26" s="236" t="str">
        <f t="shared" si="11"/>
        <v>[effect:force_change_block, new_block:damage, target:normal, count:5, val:0.05, animation:change_block]</v>
      </c>
      <c r="U26" s="235">
        <f t="shared" si="12"/>
        <v>9</v>
      </c>
      <c r="V26" s="235">
        <f t="shared" si="13"/>
        <v>27</v>
      </c>
      <c r="W26" s="235">
        <f t="shared" si="14"/>
        <v>54</v>
      </c>
      <c r="X26" s="235">
        <f t="shared" si="15"/>
        <v>45</v>
      </c>
      <c r="Y26" s="235" t="str">
        <f>IFERROR(VLOOKUP(MID(T26,W26,X26-W26),[6]skilldef!$C:$D,2,FALSE),"-") &amp; " / " &amp; IFERROR(VLOOKUP(MID(T26,U26,V26-U26),[6]skilldef!$A:$B,2,FALSE),"-")</f>
        <v>- / -</v>
      </c>
      <c r="Z26" s="233"/>
      <c r="AA26" s="237"/>
      <c r="AB26" s="233"/>
    </row>
    <row r="27" spans="1:28" s="276" customFormat="1" ht="77" customHeight="1" x14ac:dyDescent="0.25">
      <c r="A27" s="261">
        <v>47015144</v>
      </c>
      <c r="B27" s="290" t="s">
        <v>432</v>
      </c>
      <c r="C27" s="233">
        <v>3</v>
      </c>
      <c r="D27" s="274" t="s">
        <v>127</v>
      </c>
      <c r="E27" s="275" t="s">
        <v>357</v>
      </c>
      <c r="F27" s="275" t="s">
        <v>466</v>
      </c>
      <c r="G27" s="275" t="str">
        <f t="shared" si="0"/>
        <v>[effect:enemy_message, val1:2.0, val2:4.9]</v>
      </c>
      <c r="H27" s="275">
        <f t="shared" si="1"/>
        <v>9</v>
      </c>
      <c r="I27" s="275">
        <f t="shared" si="2"/>
        <v>22</v>
      </c>
      <c r="J27" s="275" t="e">
        <f t="shared" si="3"/>
        <v>#VALUE!</v>
      </c>
      <c r="K27" s="275">
        <f t="shared" si="4"/>
        <v>32</v>
      </c>
      <c r="L27" s="275" t="str">
        <f>IFERROR(VLOOKUP(MID(G27,J27,K27-J27),[6]skilldef!$C:$D,2,FALSE),"-") &amp; " / " &amp; IFERROR(VLOOKUP(MID(G27,H27,I27-H27),[6]skilldef!$A:$B,2,FALSE),"-")</f>
        <v>- / -</v>
      </c>
      <c r="M27" s="275" t="str">
        <f t="shared" si="5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N27" s="276" t="str">
        <f t="shared" ref="N27:N32" si="38">IFERROR(LEFT(M27,FIND("],",M27)+S50),M27)</f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O27" s="275">
        <f t="shared" si="7"/>
        <v>9</v>
      </c>
      <c r="P27" s="275">
        <f t="shared" si="8"/>
        <v>18</v>
      </c>
      <c r="Q27" s="275">
        <f t="shared" si="9"/>
        <v>27</v>
      </c>
      <c r="R27" s="275">
        <f t="shared" si="10"/>
        <v>33</v>
      </c>
      <c r="S27" s="275" t="str">
        <f>IFERROR(VLOOKUP(MID(N27,Q27,R27-Q27),[6]skilldef!$C:$D,2,FALSE),"-") &amp; " / " &amp; IFERROR(VLOOKUP(MID(N27,O27,P27-O27),[6]skilldef!$A:$B,2,FALSE),"-")</f>
        <v>自分自身に / 行動値設定</v>
      </c>
      <c r="T27" s="276" t="str">
        <f t="shared" si="11"/>
        <v>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U27" s="275">
        <f t="shared" si="12"/>
        <v>9</v>
      </c>
      <c r="V27" s="275">
        <f t="shared" si="13"/>
        <v>18</v>
      </c>
      <c r="W27" s="275">
        <f t="shared" si="14"/>
        <v>27</v>
      </c>
      <c r="X27" s="275">
        <f t="shared" si="15"/>
        <v>33</v>
      </c>
      <c r="Y27" s="275" t="str">
        <f>IFERROR(VLOOKUP(MID(T27,W27,X27-W27),[6]skilldef!$C:$D,2,FALSE),"-") &amp; " / " &amp; IFERROR(VLOOKUP(MID(T27,U27,V27-U27),[6]skilldef!$A:$B,2,FALSE),"-")</f>
        <v>自分自身に / 状態異常耐性</v>
      </c>
      <c r="Z27" s="274"/>
      <c r="AA27" s="277"/>
      <c r="AB27" s="274"/>
    </row>
    <row r="28" spans="1:28" s="276" customFormat="1" ht="77" customHeight="1" x14ac:dyDescent="0.25">
      <c r="A28" s="261">
        <v>47015145</v>
      </c>
      <c r="B28" s="290" t="s">
        <v>432</v>
      </c>
      <c r="C28" s="233">
        <v>3</v>
      </c>
      <c r="D28" s="274" t="s">
        <v>127</v>
      </c>
      <c r="E28" s="275" t="s">
        <v>357</v>
      </c>
      <c r="F28" s="275" t="s">
        <v>466</v>
      </c>
      <c r="G28" s="275" t="str">
        <f t="shared" si="0"/>
        <v>[effect:enemy_message, val1:2.0, val2:4.9]</v>
      </c>
      <c r="H28" s="275">
        <f t="shared" si="1"/>
        <v>9</v>
      </c>
      <c r="I28" s="275">
        <f t="shared" si="2"/>
        <v>22</v>
      </c>
      <c r="J28" s="275" t="e">
        <f t="shared" si="3"/>
        <v>#VALUE!</v>
      </c>
      <c r="K28" s="275">
        <f t="shared" si="4"/>
        <v>32</v>
      </c>
      <c r="L28" s="275" t="str">
        <f>IFERROR(VLOOKUP(MID(G28,J28,K28-J28),[6]skilldef!$C:$D,2,FALSE),"-") &amp; " / " &amp; IFERROR(VLOOKUP(MID(G28,H28,I28-H28),[6]skilldef!$A:$B,2,FALSE),"-")</f>
        <v>- / -</v>
      </c>
      <c r="M28" s="275" t="str">
        <f t="shared" si="5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N28" s="276" t="str">
        <f t="shared" si="38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O28" s="275">
        <f t="shared" si="7"/>
        <v>9</v>
      </c>
      <c r="P28" s="275">
        <f t="shared" si="8"/>
        <v>18</v>
      </c>
      <c r="Q28" s="275">
        <f t="shared" si="9"/>
        <v>27</v>
      </c>
      <c r="R28" s="275">
        <f t="shared" si="10"/>
        <v>33</v>
      </c>
      <c r="S28" s="275" t="str">
        <f>IFERROR(VLOOKUP(MID(N28,Q28,R28-Q28),[6]skilldef!$C:$D,2,FALSE),"-") &amp; " / " &amp; IFERROR(VLOOKUP(MID(N28,O28,P28-O28),[6]skilldef!$A:$B,2,FALSE),"-")</f>
        <v>自分自身に / 行動値設定</v>
      </c>
      <c r="T28" s="276" t="str">
        <f t="shared" si="11"/>
        <v>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U28" s="275">
        <f t="shared" si="12"/>
        <v>9</v>
      </c>
      <c r="V28" s="275">
        <f t="shared" si="13"/>
        <v>18</v>
      </c>
      <c r="W28" s="275">
        <f t="shared" si="14"/>
        <v>27</v>
      </c>
      <c r="X28" s="275">
        <f t="shared" si="15"/>
        <v>33</v>
      </c>
      <c r="Y28" s="275" t="str">
        <f>IFERROR(VLOOKUP(MID(T28,W28,X28-W28),[6]skilldef!$C:$D,2,FALSE),"-") &amp; " / " &amp; IFERROR(VLOOKUP(MID(T28,U28,V28-U28),[6]skilldef!$A:$B,2,FALSE),"-")</f>
        <v>自分自身に / 状態異常耐性</v>
      </c>
      <c r="Z28" s="274"/>
      <c r="AA28" s="277"/>
      <c r="AB28" s="274"/>
    </row>
    <row r="29" spans="1:28" s="276" customFormat="1" ht="77" customHeight="1" x14ac:dyDescent="0.25">
      <c r="A29" s="261">
        <v>47015146</v>
      </c>
      <c r="B29" s="290" t="s">
        <v>432</v>
      </c>
      <c r="C29" s="233">
        <v>3</v>
      </c>
      <c r="D29" s="274" t="s">
        <v>127</v>
      </c>
      <c r="E29" s="275" t="s">
        <v>321</v>
      </c>
      <c r="F29" s="275" t="s">
        <v>467</v>
      </c>
      <c r="G29" s="275" t="str">
        <f t="shared" ref="G29" si="39">IFERROR(LEFT(B29,FIND("],",B29)),B29)</f>
        <v>[effect:enemy_message, val1:2.0, val2:4.9]</v>
      </c>
      <c r="H29" s="275">
        <f t="shared" ref="H29" si="40">FIND("effect:",G29)+7</f>
        <v>9</v>
      </c>
      <c r="I29" s="275">
        <f t="shared" ref="I29" si="41">IFERROR(FIND(",",G29),LEN(G29))</f>
        <v>22</v>
      </c>
      <c r="J29" s="275" t="e">
        <f t="shared" ref="J29" si="42">FIND("target:",G29)+7</f>
        <v>#VALUE!</v>
      </c>
      <c r="K29" s="275">
        <f t="shared" ref="K29" si="43">FIND(",",G29,I29+1)</f>
        <v>32</v>
      </c>
      <c r="L29" s="275" t="str">
        <f>IFERROR(VLOOKUP(MID(G29,J29,K29-J29),[6]skilldef!$C:$D,2,FALSE),"-") &amp; " / " &amp; IFERROR(VLOOKUP(MID(G29,H29,I29-H29),[6]skilldef!$A:$B,2,FALSE),"-")</f>
        <v>- / -</v>
      </c>
      <c r="M29" s="275" t="str">
        <f t="shared" ref="M29" si="44">IFERROR(RIGHT(B29,LEN(B29)-FIND("],",B29)-1),"none")</f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N29" s="276" t="str">
        <f t="shared" si="38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O29" s="275">
        <f t="shared" ref="O29" si="45">FIND("effect:",N29)+7</f>
        <v>9</v>
      </c>
      <c r="P29" s="275">
        <f t="shared" ref="P29" si="46">IFERROR(FIND(",",N29),LEN(N29))</f>
        <v>18</v>
      </c>
      <c r="Q29" s="275">
        <f t="shared" ref="Q29" si="47">FIND("target:",N29)+7</f>
        <v>27</v>
      </c>
      <c r="R29" s="275">
        <f t="shared" ref="R29" si="48">FIND(",",N29,P29+1)</f>
        <v>33</v>
      </c>
      <c r="S29" s="275" t="str">
        <f>IFERROR(VLOOKUP(MID(N29,Q29,R29-Q29),[6]skilldef!$C:$D,2,FALSE),"-") &amp; " / " &amp; IFERROR(VLOOKUP(MID(N29,O29,P29-O29),[6]skilldef!$A:$B,2,FALSE),"-")</f>
        <v>自分自身に / 行動値設定</v>
      </c>
      <c r="T29" s="276" t="str">
        <f t="shared" ref="T29" si="49">IFERROR(RIGHT(M29,LEN(M29)-FIND("],",M29)-1),"none")</f>
        <v>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U29" s="275">
        <f t="shared" ref="U29" si="50">FIND("effect:",T29)+7</f>
        <v>9</v>
      </c>
      <c r="V29" s="275">
        <f t="shared" ref="V29" si="51">IFERROR(FIND(",",T29),LEN(T29))</f>
        <v>18</v>
      </c>
      <c r="W29" s="275">
        <f t="shared" ref="W29" si="52">FIND("target:",T29)+7</f>
        <v>27</v>
      </c>
      <c r="X29" s="275">
        <f t="shared" ref="X29" si="53">FIND(",",T29,V29+1)</f>
        <v>33</v>
      </c>
      <c r="Y29" s="275" t="str">
        <f>IFERROR(VLOOKUP(MID(T29,W29,X29-W29),[6]skilldef!$C:$D,2,FALSE),"-") &amp; " / " &amp; IFERROR(VLOOKUP(MID(T29,U29,V29-U29),[6]skilldef!$A:$B,2,FALSE),"-")</f>
        <v>自分自身に / 状態異常耐性</v>
      </c>
      <c r="Z29" s="274"/>
      <c r="AA29" s="277"/>
      <c r="AB29" s="274"/>
    </row>
    <row r="30" spans="1:28" s="276" customFormat="1" ht="77" customHeight="1" x14ac:dyDescent="0.25">
      <c r="A30" s="261">
        <v>47015147</v>
      </c>
      <c r="B30" s="290" t="s">
        <v>432</v>
      </c>
      <c r="C30" s="233">
        <v>3</v>
      </c>
      <c r="D30" s="274" t="s">
        <v>127</v>
      </c>
      <c r="E30" s="275" t="s">
        <v>321</v>
      </c>
      <c r="F30" s="275" t="s">
        <v>470</v>
      </c>
      <c r="G30" s="275" t="str">
        <f t="shared" ref="G30:G33" si="54">IFERROR(LEFT(B30,FIND("],",B30)),B30)</f>
        <v>[effect:enemy_message, val1:2.0, val2:4.9]</v>
      </c>
      <c r="H30" s="275">
        <f t="shared" ref="H30:H33" si="55">FIND("effect:",G30)+7</f>
        <v>9</v>
      </c>
      <c r="I30" s="275">
        <f t="shared" ref="I30:I33" si="56">IFERROR(FIND(",",G30),LEN(G30))</f>
        <v>22</v>
      </c>
      <c r="J30" s="275" t="e">
        <f t="shared" ref="J30:J33" si="57">FIND("target:",G30)+7</f>
        <v>#VALUE!</v>
      </c>
      <c r="K30" s="275">
        <f t="shared" ref="K30:K33" si="58">FIND(",",G30,I30+1)</f>
        <v>32</v>
      </c>
      <c r="L30" s="275" t="str">
        <f>IFERROR(VLOOKUP(MID(G30,J30,K30-J30),[6]skilldef!$C:$D,2,FALSE),"-") &amp; " / " &amp; IFERROR(VLOOKUP(MID(G30,H30,I30-H30),[6]skilldef!$A:$B,2,FALSE),"-")</f>
        <v>- / -</v>
      </c>
      <c r="M30" s="275" t="str">
        <f t="shared" ref="M30:M33" si="59">IFERROR(RIGHT(B30,LEN(B30)-FIND("],",B30)-1),"none")</f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N30" s="276" t="str">
        <f t="shared" si="38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O30" s="275">
        <f t="shared" ref="O30:O33" si="60">FIND("effect:",N30)+7</f>
        <v>9</v>
      </c>
      <c r="P30" s="275">
        <f t="shared" ref="P30:P33" si="61">IFERROR(FIND(",",N30),LEN(N30))</f>
        <v>18</v>
      </c>
      <c r="Q30" s="275">
        <f t="shared" ref="Q30:Q33" si="62">FIND("target:",N30)+7</f>
        <v>27</v>
      </c>
      <c r="R30" s="275">
        <f t="shared" ref="R30:R33" si="63">FIND(",",N30,P30+1)</f>
        <v>33</v>
      </c>
      <c r="S30" s="275" t="str">
        <f>IFERROR(VLOOKUP(MID(N30,Q30,R30-Q30),[6]skilldef!$C:$D,2,FALSE),"-") &amp; " / " &amp; IFERROR(VLOOKUP(MID(N30,O30,P30-O30),[6]skilldef!$A:$B,2,FALSE),"-")</f>
        <v>自分自身に / 行動値設定</v>
      </c>
      <c r="T30" s="276" t="str">
        <f t="shared" ref="T30:T33" si="64">IFERROR(RIGHT(M30,LEN(M30)-FIND("],",M30)-1),"none")</f>
        <v>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U30" s="275">
        <f t="shared" ref="U30:U33" si="65">FIND("effect:",T30)+7</f>
        <v>9</v>
      </c>
      <c r="V30" s="275">
        <f t="shared" ref="V30:V33" si="66">IFERROR(FIND(",",T30),LEN(T30))</f>
        <v>18</v>
      </c>
      <c r="W30" s="275">
        <f t="shared" ref="W30:W33" si="67">FIND("target:",T30)+7</f>
        <v>27</v>
      </c>
      <c r="X30" s="275">
        <f t="shared" ref="X30:X33" si="68">FIND(",",T30,V30+1)</f>
        <v>33</v>
      </c>
      <c r="Y30" s="275" t="str">
        <f>IFERROR(VLOOKUP(MID(T30,W30,X30-W30),[6]skilldef!$C:$D,2,FALSE),"-") &amp; " / " &amp; IFERROR(VLOOKUP(MID(T30,U30,V30-U30),[6]skilldef!$A:$B,2,FALSE),"-")</f>
        <v>自分自身に / 状態異常耐性</v>
      </c>
      <c r="Z30" s="274"/>
      <c r="AA30" s="277"/>
      <c r="AB30" s="274"/>
    </row>
    <row r="31" spans="1:28" s="276" customFormat="1" ht="77" customHeight="1" x14ac:dyDescent="0.25">
      <c r="A31" s="261">
        <v>47015148</v>
      </c>
      <c r="B31" s="290" t="s">
        <v>432</v>
      </c>
      <c r="C31" s="233">
        <v>3</v>
      </c>
      <c r="D31" s="274" t="s">
        <v>127</v>
      </c>
      <c r="E31" s="275" t="s">
        <v>324</v>
      </c>
      <c r="F31" s="275" t="s">
        <v>468</v>
      </c>
      <c r="G31" s="275" t="str">
        <f t="shared" si="54"/>
        <v>[effect:enemy_message, val1:2.0, val2:4.9]</v>
      </c>
      <c r="H31" s="275">
        <f t="shared" si="55"/>
        <v>9</v>
      </c>
      <c r="I31" s="275">
        <f t="shared" si="56"/>
        <v>22</v>
      </c>
      <c r="J31" s="275" t="e">
        <f t="shared" si="57"/>
        <v>#VALUE!</v>
      </c>
      <c r="K31" s="275">
        <f t="shared" si="58"/>
        <v>32</v>
      </c>
      <c r="L31" s="275" t="str">
        <f>IFERROR(VLOOKUP(MID(G31,J31,K31-J31),[6]skilldef!$C:$D,2,FALSE),"-") &amp; " / " &amp; IFERROR(VLOOKUP(MID(G31,H31,I31-H31),[6]skilldef!$A:$B,2,FALSE),"-")</f>
        <v>- / -</v>
      </c>
      <c r="M31" s="275" t="str">
        <f t="shared" si="59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N31" s="276" t="str">
        <f t="shared" si="38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O31" s="275">
        <f t="shared" si="60"/>
        <v>9</v>
      </c>
      <c r="P31" s="275">
        <f t="shared" si="61"/>
        <v>18</v>
      </c>
      <c r="Q31" s="275">
        <f t="shared" si="62"/>
        <v>27</v>
      </c>
      <c r="R31" s="275">
        <f t="shared" si="63"/>
        <v>33</v>
      </c>
      <c r="S31" s="275" t="str">
        <f>IFERROR(VLOOKUP(MID(N31,Q31,R31-Q31),[6]skilldef!$C:$D,2,FALSE),"-") &amp; " / " &amp; IFERROR(VLOOKUP(MID(N31,O31,P31-O31),[6]skilldef!$A:$B,2,FALSE),"-")</f>
        <v>自分自身に / 行動値設定</v>
      </c>
      <c r="T31" s="276" t="str">
        <f t="shared" si="64"/>
        <v>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U31" s="275">
        <f t="shared" si="65"/>
        <v>9</v>
      </c>
      <c r="V31" s="275">
        <f t="shared" si="66"/>
        <v>18</v>
      </c>
      <c r="W31" s="275">
        <f t="shared" si="67"/>
        <v>27</v>
      </c>
      <c r="X31" s="275">
        <f t="shared" si="68"/>
        <v>33</v>
      </c>
      <c r="Y31" s="275" t="str">
        <f>IFERROR(VLOOKUP(MID(T31,W31,X31-W31),[6]skilldef!$C:$D,2,FALSE),"-") &amp; " / " &amp; IFERROR(VLOOKUP(MID(T31,U31,V31-U31),[6]skilldef!$A:$B,2,FALSE),"-")</f>
        <v>自分自身に / 状態異常耐性</v>
      </c>
      <c r="Z31" s="274"/>
      <c r="AA31" s="277"/>
      <c r="AB31" s="274"/>
    </row>
    <row r="32" spans="1:28" s="276" customFormat="1" ht="77" customHeight="1" x14ac:dyDescent="0.25">
      <c r="A32" s="261">
        <v>47015149</v>
      </c>
      <c r="B32" s="290" t="s">
        <v>432</v>
      </c>
      <c r="C32" s="233">
        <v>3</v>
      </c>
      <c r="D32" s="274" t="s">
        <v>127</v>
      </c>
      <c r="E32" s="275" t="s">
        <v>324</v>
      </c>
      <c r="F32" s="275" t="s">
        <v>469</v>
      </c>
      <c r="G32" s="275" t="str">
        <f t="shared" si="54"/>
        <v>[effect:enemy_message, val1:2.0, val2:4.9]</v>
      </c>
      <c r="H32" s="275">
        <f t="shared" si="55"/>
        <v>9</v>
      </c>
      <c r="I32" s="275">
        <f t="shared" si="56"/>
        <v>22</v>
      </c>
      <c r="J32" s="275" t="e">
        <f t="shared" si="57"/>
        <v>#VALUE!</v>
      </c>
      <c r="K32" s="275">
        <f t="shared" si="58"/>
        <v>32</v>
      </c>
      <c r="L32" s="275" t="str">
        <f>IFERROR(VLOOKUP(MID(G32,J32,K32-J32),[6]skilldef!$C:$D,2,FALSE),"-") &amp; " / " &amp; IFERROR(VLOOKUP(MID(G32,H32,I32-H32),[6]skilldef!$A:$B,2,FALSE),"-")</f>
        <v>- / -</v>
      </c>
      <c r="M32" s="275" t="str">
        <f t="shared" si="59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N32" s="276" t="str">
        <f t="shared" si="38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O32" s="275">
        <f t="shared" si="60"/>
        <v>9</v>
      </c>
      <c r="P32" s="275">
        <f t="shared" si="61"/>
        <v>18</v>
      </c>
      <c r="Q32" s="275">
        <f t="shared" si="62"/>
        <v>27</v>
      </c>
      <c r="R32" s="275">
        <f t="shared" si="63"/>
        <v>33</v>
      </c>
      <c r="S32" s="275" t="str">
        <f>IFERROR(VLOOKUP(MID(N32,Q32,R32-Q32),[6]skilldef!$C:$D,2,FALSE),"-") &amp; " / " &amp; IFERROR(VLOOKUP(MID(N32,O32,P32-O32),[6]skilldef!$A:$B,2,FALSE),"-")</f>
        <v>自分自身に / 行動値設定</v>
      </c>
      <c r="T32" s="276" t="str">
        <f t="shared" si="64"/>
        <v>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U32" s="275">
        <f t="shared" si="65"/>
        <v>9</v>
      </c>
      <c r="V32" s="275">
        <f t="shared" si="66"/>
        <v>18</v>
      </c>
      <c r="W32" s="275">
        <f t="shared" si="67"/>
        <v>27</v>
      </c>
      <c r="X32" s="275">
        <f t="shared" si="68"/>
        <v>33</v>
      </c>
      <c r="Y32" s="275" t="str">
        <f>IFERROR(VLOOKUP(MID(T32,W32,X32-W32),[6]skilldef!$C:$D,2,FALSE),"-") &amp; " / " &amp; IFERROR(VLOOKUP(MID(T32,U32,V32-U32),[6]skilldef!$A:$B,2,FALSE),"-")</f>
        <v>自分自身に / 状態異常耐性</v>
      </c>
      <c r="Z32" s="274"/>
      <c r="AA32" s="277"/>
      <c r="AB32" s="274"/>
    </row>
    <row r="33" spans="1:28" s="276" customFormat="1" ht="77" customHeight="1" x14ac:dyDescent="0.25">
      <c r="A33" s="261">
        <v>47015150</v>
      </c>
      <c r="B33" s="290" t="s">
        <v>432</v>
      </c>
      <c r="C33" s="233">
        <v>3</v>
      </c>
      <c r="D33" s="274" t="s">
        <v>127</v>
      </c>
      <c r="E33" s="275" t="s">
        <v>324</v>
      </c>
      <c r="F33" s="275" t="s">
        <v>469</v>
      </c>
      <c r="G33" s="275" t="str">
        <f t="shared" si="54"/>
        <v>[effect:enemy_message, val1:2.0, val2:4.9]</v>
      </c>
      <c r="H33" s="275">
        <f t="shared" si="55"/>
        <v>9</v>
      </c>
      <c r="I33" s="275">
        <f t="shared" si="56"/>
        <v>22</v>
      </c>
      <c r="J33" s="275" t="e">
        <f t="shared" si="57"/>
        <v>#VALUE!</v>
      </c>
      <c r="K33" s="275">
        <f t="shared" si="58"/>
        <v>32</v>
      </c>
      <c r="L33" s="275" t="str">
        <f>IFERROR(VLOOKUP(MID(G33,J33,K33-J33),[6]skilldef!$C:$D,2,FALSE),"-") &amp; " / " &amp; IFERROR(VLOOKUP(MID(G33,H33,I33-H33),[6]skilldef!$A:$B,2,FALSE),"-")</f>
        <v>- / -</v>
      </c>
      <c r="M33" s="275" t="str">
        <f t="shared" si="59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N33" s="276" t="str">
        <f t="shared" ref="N33" si="69">IFERROR(LEFT(M33,FIND("],",M33)+S70),M33)</f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O33" s="275">
        <f t="shared" si="60"/>
        <v>9</v>
      </c>
      <c r="P33" s="275">
        <f t="shared" si="61"/>
        <v>18</v>
      </c>
      <c r="Q33" s="275">
        <f t="shared" si="62"/>
        <v>27</v>
      </c>
      <c r="R33" s="275">
        <f t="shared" si="63"/>
        <v>33</v>
      </c>
      <c r="S33" s="275" t="str">
        <f>IFERROR(VLOOKUP(MID(N33,Q33,R33-Q33),[6]skilldef!$C:$D,2,FALSE),"-") &amp; " / " &amp; IFERROR(VLOOKUP(MID(N33,O33,P33-O33),[6]skilldef!$A:$B,2,FALSE),"-")</f>
        <v>自分自身に / 行動値設定</v>
      </c>
      <c r="T33" s="276" t="str">
        <f t="shared" si="64"/>
        <v>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U33" s="275">
        <f t="shared" si="65"/>
        <v>9</v>
      </c>
      <c r="V33" s="275">
        <f t="shared" si="66"/>
        <v>18</v>
      </c>
      <c r="W33" s="275">
        <f t="shared" si="67"/>
        <v>27</v>
      </c>
      <c r="X33" s="275">
        <f t="shared" si="68"/>
        <v>33</v>
      </c>
      <c r="Y33" s="275" t="str">
        <f>IFERROR(VLOOKUP(MID(T33,W33,X33-W33),[6]skilldef!$C:$D,2,FALSE),"-") &amp; " / " &amp; IFERROR(VLOOKUP(MID(T33,U33,V33-U33),[6]skilldef!$A:$B,2,FALSE),"-")</f>
        <v>自分自身に / 状態異常耐性</v>
      </c>
      <c r="Z33" s="274"/>
      <c r="AA33" s="277"/>
      <c r="AB33" s="274"/>
    </row>
    <row r="34" spans="1:28" s="276" customFormat="1" ht="77" customHeight="1" x14ac:dyDescent="0.25">
      <c r="A34" s="261">
        <v>47015151</v>
      </c>
      <c r="B34" s="290" t="s">
        <v>432</v>
      </c>
      <c r="C34" s="233">
        <v>3</v>
      </c>
      <c r="D34" s="274" t="s">
        <v>127</v>
      </c>
      <c r="E34" s="275" t="s">
        <v>324</v>
      </c>
      <c r="F34" s="275" t="s">
        <v>469</v>
      </c>
      <c r="G34" s="275" t="str">
        <f t="shared" ref="G34" si="70">IFERROR(LEFT(B34,FIND("],",B34)),B34)</f>
        <v>[effect:enemy_message, val1:2.0, val2:4.9]</v>
      </c>
      <c r="H34" s="275">
        <f t="shared" ref="H34" si="71">FIND("effect:",G34)+7</f>
        <v>9</v>
      </c>
      <c r="I34" s="275">
        <f t="shared" ref="I34" si="72">IFERROR(FIND(",",G34),LEN(G34))</f>
        <v>22</v>
      </c>
      <c r="J34" s="275" t="e">
        <f t="shared" ref="J34" si="73">FIND("target:",G34)+7</f>
        <v>#VALUE!</v>
      </c>
      <c r="K34" s="275">
        <f t="shared" ref="K34" si="74">FIND(",",G34,I34+1)</f>
        <v>32</v>
      </c>
      <c r="L34" s="275" t="str">
        <f>IFERROR(VLOOKUP(MID(G34,J34,K34-J34),[6]skilldef!$C:$D,2,FALSE),"-") &amp; " / " &amp; IFERROR(VLOOKUP(MID(G34,H34,I34-H34),[6]skilldef!$A:$B,2,FALSE),"-")</f>
        <v>- / -</v>
      </c>
      <c r="M34" s="275" t="str">
        <f t="shared" ref="M34" si="75">IFERROR(RIGHT(B34,LEN(B34)-FIND("],",B34)-1),"none")</f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N34" s="276" t="str">
        <f>IFERROR(LEFT(M34,FIND("],",M34)+#REF!),M34)</f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O34" s="275">
        <f t="shared" ref="O34" si="76">FIND("effect:",N34)+7</f>
        <v>9</v>
      </c>
      <c r="P34" s="275">
        <f t="shared" ref="P34" si="77">IFERROR(FIND(",",N34),LEN(N34))</f>
        <v>18</v>
      </c>
      <c r="Q34" s="275">
        <f t="shared" ref="Q34" si="78">FIND("target:",N34)+7</f>
        <v>27</v>
      </c>
      <c r="R34" s="275">
        <f t="shared" ref="R34" si="79">FIND(",",N34,P34+1)</f>
        <v>33</v>
      </c>
      <c r="S34" s="275" t="str">
        <f>IFERROR(VLOOKUP(MID(N34,Q34,R34-Q34),[6]skilldef!$C:$D,2,FALSE),"-") &amp; " / " &amp; IFERROR(VLOOKUP(MID(N34,O34,P34-O34),[6]skilldef!$A:$B,2,FALSE),"-")</f>
        <v>自分自身に / 行動値設定</v>
      </c>
      <c r="T34" s="276" t="str">
        <f t="shared" ref="T34" si="80">IFERROR(RIGHT(M34,LEN(M34)-FIND("],",M34)-1),"none")</f>
        <v>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U34" s="275">
        <f t="shared" ref="U34" si="81">FIND("effect:",T34)+7</f>
        <v>9</v>
      </c>
      <c r="V34" s="275">
        <f t="shared" ref="V34" si="82">IFERROR(FIND(",",T34),LEN(T34))</f>
        <v>18</v>
      </c>
      <c r="W34" s="275">
        <f t="shared" ref="W34" si="83">FIND("target:",T34)+7</f>
        <v>27</v>
      </c>
      <c r="X34" s="275">
        <f t="shared" ref="X34" si="84">FIND(",",T34,V34+1)</f>
        <v>33</v>
      </c>
      <c r="Y34" s="275" t="str">
        <f>IFERROR(VLOOKUP(MID(T34,W34,X34-W34),[6]skilldef!$C:$D,2,FALSE),"-") &amp; " / " &amp; IFERROR(VLOOKUP(MID(T34,U34,V34-U34),[6]skilldef!$A:$B,2,FALSE),"-")</f>
        <v>自分自身に / 状態異常耐性</v>
      </c>
      <c r="Z34" s="274"/>
      <c r="AA34" s="277"/>
      <c r="AB34" s="274"/>
    </row>
    <row r="35" spans="1:28" s="276" customFormat="1" ht="77" customHeight="1" x14ac:dyDescent="0.25">
      <c r="A35" s="261">
        <v>47015152</v>
      </c>
      <c r="B35" s="290" t="s">
        <v>432</v>
      </c>
      <c r="C35" s="233">
        <v>3</v>
      </c>
      <c r="D35" s="274" t="s">
        <v>127</v>
      </c>
      <c r="E35" s="275" t="s">
        <v>324</v>
      </c>
      <c r="F35" s="275" t="s">
        <v>469</v>
      </c>
      <c r="G35" s="275" t="str">
        <f t="shared" ref="G35:G36" si="85">IFERROR(LEFT(B35,FIND("],",B35)),B35)</f>
        <v>[effect:enemy_message, val1:2.0, val2:4.9]</v>
      </c>
      <c r="H35" s="275">
        <f t="shared" ref="H35:H36" si="86">FIND("effect:",G35)+7</f>
        <v>9</v>
      </c>
      <c r="I35" s="275">
        <f t="shared" ref="I35:I36" si="87">IFERROR(FIND(",",G35),LEN(G35))</f>
        <v>22</v>
      </c>
      <c r="J35" s="275" t="e">
        <f t="shared" ref="J35:J36" si="88">FIND("target:",G35)+7</f>
        <v>#VALUE!</v>
      </c>
      <c r="K35" s="275">
        <f t="shared" ref="K35:K36" si="89">FIND(",",G35,I35+1)</f>
        <v>32</v>
      </c>
      <c r="L35" s="275" t="str">
        <f>IFERROR(VLOOKUP(MID(G35,J35,K35-J35),[6]skilldef!$C:$D,2,FALSE),"-") &amp; " / " &amp; IFERROR(VLOOKUP(MID(G35,H35,I35-H35),[6]skilldef!$A:$B,2,FALSE),"-")</f>
        <v>- / -</v>
      </c>
      <c r="M35" s="275" t="str">
        <f t="shared" ref="M35:M36" si="90">IFERROR(RIGHT(B35,LEN(B35)-FIND("],",B35)-1),"none")</f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N35" s="276" t="str">
        <f>IFERROR(LEFT(M35,FIND("],",M35)+S71),M35)</f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O35" s="275">
        <f t="shared" ref="O35:O36" si="91">FIND("effect:",N35)+7</f>
        <v>9</v>
      </c>
      <c r="P35" s="275">
        <f t="shared" ref="P35:P36" si="92">IFERROR(FIND(",",N35),LEN(N35))</f>
        <v>18</v>
      </c>
      <c r="Q35" s="275">
        <f t="shared" ref="Q35:Q36" si="93">FIND("target:",N35)+7</f>
        <v>27</v>
      </c>
      <c r="R35" s="275">
        <f t="shared" ref="R35:R36" si="94">FIND(",",N35,P35+1)</f>
        <v>33</v>
      </c>
      <c r="S35" s="275" t="str">
        <f>IFERROR(VLOOKUP(MID(N35,Q35,R35-Q35),[6]skilldef!$C:$D,2,FALSE),"-") &amp; " / " &amp; IFERROR(VLOOKUP(MID(N35,O35,P35-O35),[6]skilldef!$A:$B,2,FALSE),"-")</f>
        <v>自分自身に / 行動値設定</v>
      </c>
      <c r="T35" s="276" t="str">
        <f t="shared" ref="T35:T36" si="95">IFERROR(RIGHT(M35,LEN(M35)-FIND("],",M35)-1),"none")</f>
        <v>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U35" s="275">
        <f t="shared" ref="U35:U36" si="96">FIND("effect:",T35)+7</f>
        <v>9</v>
      </c>
      <c r="V35" s="275">
        <f t="shared" ref="V35:V36" si="97">IFERROR(FIND(",",T35),LEN(T35))</f>
        <v>18</v>
      </c>
      <c r="W35" s="275">
        <f t="shared" ref="W35:W36" si="98">FIND("target:",T35)+7</f>
        <v>27</v>
      </c>
      <c r="X35" s="275">
        <f t="shared" ref="X35:X36" si="99">FIND(",",T35,V35+1)</f>
        <v>33</v>
      </c>
      <c r="Y35" s="275" t="str">
        <f>IFERROR(VLOOKUP(MID(T35,W35,X35-W35),[6]skilldef!$C:$D,2,FALSE),"-") &amp; " / " &amp; IFERROR(VLOOKUP(MID(T35,U35,V35-U35),[6]skilldef!$A:$B,2,FALSE),"-")</f>
        <v>自分自身に / 状態異常耐性</v>
      </c>
      <c r="Z35" s="274"/>
      <c r="AA35" s="277"/>
      <c r="AB35" s="274"/>
    </row>
    <row r="36" spans="1:28" s="276" customFormat="1" ht="77" customHeight="1" x14ac:dyDescent="0.25">
      <c r="A36" s="261">
        <v>47015153</v>
      </c>
      <c r="B36" s="290" t="s">
        <v>432</v>
      </c>
      <c r="C36" s="233">
        <v>3</v>
      </c>
      <c r="D36" s="274" t="s">
        <v>127</v>
      </c>
      <c r="E36" s="275" t="s">
        <v>324</v>
      </c>
      <c r="F36" s="275" t="s">
        <v>469</v>
      </c>
      <c r="G36" s="275" t="str">
        <f t="shared" si="85"/>
        <v>[effect:enemy_message, val1:2.0, val2:4.9]</v>
      </c>
      <c r="H36" s="275">
        <f t="shared" si="86"/>
        <v>9</v>
      </c>
      <c r="I36" s="275">
        <f t="shared" si="87"/>
        <v>22</v>
      </c>
      <c r="J36" s="275" t="e">
        <f t="shared" si="88"/>
        <v>#VALUE!</v>
      </c>
      <c r="K36" s="275">
        <f t="shared" si="89"/>
        <v>32</v>
      </c>
      <c r="L36" s="275" t="str">
        <f>IFERROR(VLOOKUP(MID(G36,J36,K36-J36),[6]skilldef!$C:$D,2,FALSE),"-") &amp; " / " &amp; IFERROR(VLOOKUP(MID(G36,H36,I36-H36),[6]skilldef!$A:$B,2,FALSE),"-")</f>
        <v>- / -</v>
      </c>
      <c r="M36" s="275" t="str">
        <f t="shared" si="90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N36" s="276" t="str">
        <f>IFERROR(LEFT(M36,FIND("],",M36)+S74),M36)</f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O36" s="275">
        <f t="shared" si="91"/>
        <v>9</v>
      </c>
      <c r="P36" s="275">
        <f t="shared" si="92"/>
        <v>18</v>
      </c>
      <c r="Q36" s="275">
        <f t="shared" si="93"/>
        <v>27</v>
      </c>
      <c r="R36" s="275">
        <f t="shared" si="94"/>
        <v>33</v>
      </c>
      <c r="S36" s="275" t="str">
        <f>IFERROR(VLOOKUP(MID(N36,Q36,R36-Q36),[6]skilldef!$C:$D,2,FALSE),"-") &amp; " / " &amp; IFERROR(VLOOKUP(MID(N36,O36,P36-O36),[6]skilldef!$A:$B,2,FALSE),"-")</f>
        <v>自分自身に / 行動値設定</v>
      </c>
      <c r="T36" s="276" t="str">
        <f t="shared" si="95"/>
        <v>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U36" s="275">
        <f t="shared" si="96"/>
        <v>9</v>
      </c>
      <c r="V36" s="275">
        <f t="shared" si="97"/>
        <v>18</v>
      </c>
      <c r="W36" s="275">
        <f t="shared" si="98"/>
        <v>27</v>
      </c>
      <c r="X36" s="275">
        <f t="shared" si="99"/>
        <v>33</v>
      </c>
      <c r="Y36" s="275" t="str">
        <f>IFERROR(VLOOKUP(MID(T36,W36,X36-W36),[6]skilldef!$C:$D,2,FALSE),"-") &amp; " / " &amp; IFERROR(VLOOKUP(MID(T36,U36,V36-U36),[6]skilldef!$A:$B,2,FALSE),"-")</f>
        <v>自分自身に / 状態異常耐性</v>
      </c>
      <c r="Z36" s="274"/>
      <c r="AA36" s="277"/>
      <c r="AB36" s="274"/>
    </row>
    <row r="37" spans="1:28" s="276" customFormat="1" ht="77" customHeight="1" x14ac:dyDescent="0.25">
      <c r="A37" s="261">
        <v>47015154</v>
      </c>
      <c r="B37" s="290" t="s">
        <v>432</v>
      </c>
      <c r="C37" s="233">
        <v>3</v>
      </c>
      <c r="D37" s="274" t="s">
        <v>127</v>
      </c>
      <c r="E37" s="275" t="s">
        <v>324</v>
      </c>
      <c r="F37" s="275" t="s">
        <v>469</v>
      </c>
      <c r="G37" s="275" t="str">
        <f t="shared" ref="G37:G38" si="100">IFERROR(LEFT(B37,FIND("],",B37)),B37)</f>
        <v>[effect:enemy_message, val1:2.0, val2:4.9]</v>
      </c>
      <c r="H37" s="275">
        <f t="shared" ref="H37:H38" si="101">FIND("effect:",G37)+7</f>
        <v>9</v>
      </c>
      <c r="I37" s="275">
        <f t="shared" ref="I37:I38" si="102">IFERROR(FIND(",",G37),LEN(G37))</f>
        <v>22</v>
      </c>
      <c r="J37" s="275" t="e">
        <f t="shared" ref="J37:J38" si="103">FIND("target:",G37)+7</f>
        <v>#VALUE!</v>
      </c>
      <c r="K37" s="275">
        <f t="shared" ref="K37:K38" si="104">FIND(",",G37,I37+1)</f>
        <v>32</v>
      </c>
      <c r="L37" s="275" t="str">
        <f>IFERROR(VLOOKUP(MID(G37,J37,K37-J37),[6]skilldef!$C:$D,2,FALSE),"-") &amp; " / " &amp; IFERROR(VLOOKUP(MID(G37,H37,I37-H37),[6]skilldef!$A:$B,2,FALSE),"-")</f>
        <v>- / -</v>
      </c>
      <c r="M37" s="275" t="str">
        <f t="shared" ref="M37:M38" si="105">IFERROR(RIGHT(B37,LEN(B37)-FIND("],",B37)-1),"none")</f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N37" s="276" t="str">
        <f>IFERROR(LEFT(M37,FIND("],",M37)+S75),M37)</f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O37" s="275">
        <f t="shared" ref="O37:O38" si="106">FIND("effect:",N37)+7</f>
        <v>9</v>
      </c>
      <c r="P37" s="275">
        <f t="shared" ref="P37:P38" si="107">IFERROR(FIND(",",N37),LEN(N37))</f>
        <v>18</v>
      </c>
      <c r="Q37" s="275">
        <f t="shared" ref="Q37:Q38" si="108">FIND("target:",N37)+7</f>
        <v>27</v>
      </c>
      <c r="R37" s="275">
        <f t="shared" ref="R37:R38" si="109">FIND(",",N37,P37+1)</f>
        <v>33</v>
      </c>
      <c r="S37" s="275" t="str">
        <f>IFERROR(VLOOKUP(MID(N37,Q37,R37-Q37),[6]skilldef!$C:$D,2,FALSE),"-") &amp; " / " &amp; IFERROR(VLOOKUP(MID(N37,O37,P37-O37),[6]skilldef!$A:$B,2,FALSE),"-")</f>
        <v>自分自身に / 行動値設定</v>
      </c>
      <c r="T37" s="276" t="str">
        <f t="shared" ref="T37:T38" si="110">IFERROR(RIGHT(M37,LEN(M37)-FIND("],",M37)-1),"none")</f>
        <v>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U37" s="275">
        <f t="shared" ref="U37:U38" si="111">FIND("effect:",T37)+7</f>
        <v>9</v>
      </c>
      <c r="V37" s="275">
        <f t="shared" ref="V37:V38" si="112">IFERROR(FIND(",",T37),LEN(T37))</f>
        <v>18</v>
      </c>
      <c r="W37" s="275">
        <f t="shared" ref="W37:W38" si="113">FIND("target:",T37)+7</f>
        <v>27</v>
      </c>
      <c r="X37" s="275">
        <f t="shared" ref="X37:X38" si="114">FIND(",",T37,V37+1)</f>
        <v>33</v>
      </c>
      <c r="Y37" s="275" t="str">
        <f>IFERROR(VLOOKUP(MID(T37,W37,X37-W37),[6]skilldef!$C:$D,2,FALSE),"-") &amp; " / " &amp; IFERROR(VLOOKUP(MID(T37,U37,V37-U37),[6]skilldef!$A:$B,2,FALSE),"-")</f>
        <v>自分自身に / 状態異常耐性</v>
      </c>
      <c r="Z37" s="274"/>
      <c r="AA37" s="277"/>
      <c r="AB37" s="274"/>
    </row>
    <row r="38" spans="1:28" s="276" customFormat="1" ht="77" customHeight="1" x14ac:dyDescent="0.25">
      <c r="A38" s="261">
        <v>47015155</v>
      </c>
      <c r="B38" s="290" t="s">
        <v>432</v>
      </c>
      <c r="C38" s="233">
        <v>3</v>
      </c>
      <c r="D38" s="274" t="s">
        <v>127</v>
      </c>
      <c r="E38" s="275" t="s">
        <v>358</v>
      </c>
      <c r="F38" s="275" t="s">
        <v>471</v>
      </c>
      <c r="G38" s="275" t="str">
        <f t="shared" si="100"/>
        <v>[effect:enemy_message, val1:2.0, val2:4.9]</v>
      </c>
      <c r="H38" s="275">
        <f t="shared" si="101"/>
        <v>9</v>
      </c>
      <c r="I38" s="275">
        <f t="shared" si="102"/>
        <v>22</v>
      </c>
      <c r="J38" s="275" t="e">
        <f t="shared" si="103"/>
        <v>#VALUE!</v>
      </c>
      <c r="K38" s="275">
        <f t="shared" si="104"/>
        <v>32</v>
      </c>
      <c r="L38" s="275" t="str">
        <f>IFERROR(VLOOKUP(MID(G38,J38,K38-J38),[6]skilldef!$C:$D,2,FALSE),"-") &amp; " / " &amp; IFERROR(VLOOKUP(MID(G38,H38,I38-H38),[6]skilldef!$A:$B,2,FALSE),"-")</f>
        <v>- / -</v>
      </c>
      <c r="M38" s="275" t="str">
        <f t="shared" si="105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N38" s="276" t="str">
        <f>IFERROR(LEFT(M38,FIND("],",M38)+S76),M38)</f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O38" s="275">
        <f t="shared" si="106"/>
        <v>9</v>
      </c>
      <c r="P38" s="275">
        <f t="shared" si="107"/>
        <v>18</v>
      </c>
      <c r="Q38" s="275">
        <f t="shared" si="108"/>
        <v>27</v>
      </c>
      <c r="R38" s="275">
        <f t="shared" si="109"/>
        <v>33</v>
      </c>
      <c r="S38" s="275" t="str">
        <f>IFERROR(VLOOKUP(MID(N38,Q38,R38-Q38),[6]skilldef!$C:$D,2,FALSE),"-") &amp; " / " &amp; IFERROR(VLOOKUP(MID(N38,O38,P38-O38),[6]skilldef!$A:$B,2,FALSE),"-")</f>
        <v>自分自身に / 行動値設定</v>
      </c>
      <c r="T38" s="276" t="str">
        <f t="shared" si="110"/>
        <v>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U38" s="275">
        <f t="shared" si="111"/>
        <v>9</v>
      </c>
      <c r="V38" s="275">
        <f t="shared" si="112"/>
        <v>18</v>
      </c>
      <c r="W38" s="275">
        <f t="shared" si="113"/>
        <v>27</v>
      </c>
      <c r="X38" s="275">
        <f t="shared" si="114"/>
        <v>33</v>
      </c>
      <c r="Y38" s="275" t="str">
        <f>IFERROR(VLOOKUP(MID(T38,W38,X38-W38),[6]skilldef!$C:$D,2,FALSE),"-") &amp; " / " &amp; IFERROR(VLOOKUP(MID(T38,U38,V38-U38),[6]skilldef!$A:$B,2,FALSE),"-")</f>
        <v>自分自身に / 状態異常耐性</v>
      </c>
      <c r="Z38" s="274"/>
      <c r="AA38" s="277"/>
      <c r="AB38" s="274"/>
    </row>
    <row r="39" spans="1:28" s="276" customFormat="1" ht="77" customHeight="1" x14ac:dyDescent="0.25">
      <c r="A39" s="261">
        <v>47015156</v>
      </c>
      <c r="B39" s="290" t="s">
        <v>432</v>
      </c>
      <c r="C39" s="233">
        <v>3</v>
      </c>
      <c r="D39" s="274" t="s">
        <v>127</v>
      </c>
      <c r="E39" s="275" t="s">
        <v>358</v>
      </c>
      <c r="F39" s="275" t="s">
        <v>471</v>
      </c>
      <c r="G39" s="275" t="str">
        <f t="shared" ref="G39:G40" si="115">IFERROR(LEFT(B39,FIND("],",B39)),B39)</f>
        <v>[effect:enemy_message, val1:2.0, val2:4.9]</v>
      </c>
      <c r="H39" s="275">
        <f t="shared" ref="H39:H40" si="116">FIND("effect:",G39)+7</f>
        <v>9</v>
      </c>
      <c r="I39" s="275">
        <f t="shared" ref="I39:I40" si="117">IFERROR(FIND(",",G39),LEN(G39))</f>
        <v>22</v>
      </c>
      <c r="J39" s="275" t="e">
        <f t="shared" ref="J39:J40" si="118">FIND("target:",G39)+7</f>
        <v>#VALUE!</v>
      </c>
      <c r="K39" s="275">
        <f t="shared" ref="K39:K40" si="119">FIND(",",G39,I39+1)</f>
        <v>32</v>
      </c>
      <c r="L39" s="275" t="str">
        <f>IFERROR(VLOOKUP(MID(G39,J39,K39-J39),[6]skilldef!$C:$D,2,FALSE),"-") &amp; " / " &amp; IFERROR(VLOOKUP(MID(G39,H39,I39-H39),[6]skilldef!$A:$B,2,FALSE),"-")</f>
        <v>- / -</v>
      </c>
      <c r="M39" s="275" t="str">
        <f t="shared" ref="M39:M40" si="120">IFERROR(RIGHT(B39,LEN(B39)-FIND("],",B39)-1),"none")</f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N39" s="276" t="str">
        <f>IFERROR(LEFT(M39,FIND("],",M39)+S78),M39)</f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O39" s="275">
        <f t="shared" ref="O39:O40" si="121">FIND("effect:",N39)+7</f>
        <v>9</v>
      </c>
      <c r="P39" s="275">
        <f t="shared" ref="P39:P40" si="122">IFERROR(FIND(",",N39),LEN(N39))</f>
        <v>18</v>
      </c>
      <c r="Q39" s="275">
        <f t="shared" ref="Q39:Q40" si="123">FIND("target:",N39)+7</f>
        <v>27</v>
      </c>
      <c r="R39" s="275">
        <f t="shared" ref="R39:R40" si="124">FIND(",",N39,P39+1)</f>
        <v>33</v>
      </c>
      <c r="S39" s="275" t="str">
        <f>IFERROR(VLOOKUP(MID(N39,Q39,R39-Q39),[6]skilldef!$C:$D,2,FALSE),"-") &amp; " / " &amp; IFERROR(VLOOKUP(MID(N39,O39,P39-O39),[6]skilldef!$A:$B,2,FALSE),"-")</f>
        <v>自分自身に / 行動値設定</v>
      </c>
      <c r="T39" s="276" t="str">
        <f t="shared" ref="T39:T40" si="125">IFERROR(RIGHT(M39,LEN(M39)-FIND("],",M39)-1),"none")</f>
        <v>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U39" s="275">
        <f t="shared" ref="U39:U40" si="126">FIND("effect:",T39)+7</f>
        <v>9</v>
      </c>
      <c r="V39" s="275">
        <f t="shared" ref="V39:V40" si="127">IFERROR(FIND(",",T39),LEN(T39))</f>
        <v>18</v>
      </c>
      <c r="W39" s="275">
        <f t="shared" ref="W39:W40" si="128">FIND("target:",T39)+7</f>
        <v>27</v>
      </c>
      <c r="X39" s="275">
        <f t="shared" ref="X39:X40" si="129">FIND(",",T39,V39+1)</f>
        <v>33</v>
      </c>
      <c r="Y39" s="275" t="str">
        <f>IFERROR(VLOOKUP(MID(T39,W39,X39-W39),[6]skilldef!$C:$D,2,FALSE),"-") &amp; " / " &amp; IFERROR(VLOOKUP(MID(T39,U39,V39-U39),[6]skilldef!$A:$B,2,FALSE),"-")</f>
        <v>自分自身に / 状態異常耐性</v>
      </c>
      <c r="Z39" s="274"/>
      <c r="AA39" s="277"/>
      <c r="AB39" s="274"/>
    </row>
    <row r="40" spans="1:28" s="276" customFormat="1" ht="77" customHeight="1" x14ac:dyDescent="0.25">
      <c r="A40" s="261">
        <v>47015157</v>
      </c>
      <c r="B40" s="290" t="s">
        <v>432</v>
      </c>
      <c r="C40" s="233">
        <v>3</v>
      </c>
      <c r="D40" s="274" t="s">
        <v>127</v>
      </c>
      <c r="E40" s="275" t="s">
        <v>358</v>
      </c>
      <c r="F40" s="275" t="s">
        <v>471</v>
      </c>
      <c r="G40" s="275" t="str">
        <f t="shared" si="115"/>
        <v>[effect:enemy_message, val1:2.0, val2:4.9]</v>
      </c>
      <c r="H40" s="275">
        <f t="shared" si="116"/>
        <v>9</v>
      </c>
      <c r="I40" s="275">
        <f t="shared" si="117"/>
        <v>22</v>
      </c>
      <c r="J40" s="275" t="e">
        <f t="shared" si="118"/>
        <v>#VALUE!</v>
      </c>
      <c r="K40" s="275">
        <f t="shared" si="119"/>
        <v>32</v>
      </c>
      <c r="L40" s="275" t="str">
        <f>IFERROR(VLOOKUP(MID(G40,J40,K40-J40),[6]skilldef!$C:$D,2,FALSE),"-") &amp; " / " &amp; IFERROR(VLOOKUP(MID(G40,H40,I40-H40),[6]skilldef!$A:$B,2,FALSE),"-")</f>
        <v>- / -</v>
      </c>
      <c r="M40" s="275" t="str">
        <f t="shared" si="120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N40" s="276" t="str">
        <f>IFERROR(LEFT(M40,FIND("],",M40)+S78),M40)</f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O40" s="275">
        <f t="shared" si="121"/>
        <v>9</v>
      </c>
      <c r="P40" s="275">
        <f t="shared" si="122"/>
        <v>18</v>
      </c>
      <c r="Q40" s="275">
        <f t="shared" si="123"/>
        <v>27</v>
      </c>
      <c r="R40" s="275">
        <f t="shared" si="124"/>
        <v>33</v>
      </c>
      <c r="S40" s="275" t="str">
        <f>IFERROR(VLOOKUP(MID(N40,Q40,R40-Q40),[6]skilldef!$C:$D,2,FALSE),"-") &amp; " / " &amp; IFERROR(VLOOKUP(MID(N40,O40,P40-O40),[6]skilldef!$A:$B,2,FALSE),"-")</f>
        <v>自分自身に / 行動値設定</v>
      </c>
      <c r="T40" s="276" t="str">
        <f t="shared" si="125"/>
        <v>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U40" s="275">
        <f t="shared" si="126"/>
        <v>9</v>
      </c>
      <c r="V40" s="275">
        <f t="shared" si="127"/>
        <v>18</v>
      </c>
      <c r="W40" s="275">
        <f t="shared" si="128"/>
        <v>27</v>
      </c>
      <c r="X40" s="275">
        <f t="shared" si="129"/>
        <v>33</v>
      </c>
      <c r="Y40" s="275" t="str">
        <f>IFERROR(VLOOKUP(MID(T40,W40,X40-W40),[6]skilldef!$C:$D,2,FALSE),"-") &amp; " / " &amp; IFERROR(VLOOKUP(MID(T40,U40,V40-U40),[6]skilldef!$A:$B,2,FALSE),"-")</f>
        <v>自分自身に / 状態異常耐性</v>
      </c>
      <c r="Z40" s="274"/>
      <c r="AA40" s="277"/>
      <c r="AB40" s="274"/>
    </row>
    <row r="41" spans="1:28" s="276" customFormat="1" ht="77" customHeight="1" x14ac:dyDescent="0.25">
      <c r="A41" s="261">
        <v>47015158</v>
      </c>
      <c r="B41" s="290" t="s">
        <v>432</v>
      </c>
      <c r="C41" s="233">
        <v>3</v>
      </c>
      <c r="D41" s="274" t="s">
        <v>127</v>
      </c>
      <c r="E41" s="275" t="s">
        <v>358</v>
      </c>
      <c r="F41" s="275" t="s">
        <v>471</v>
      </c>
      <c r="G41" s="275" t="str">
        <f t="shared" ref="G41" si="130">IFERROR(LEFT(B41,FIND("],",B41)),B41)</f>
        <v>[effect:enemy_message, val1:2.0, val2:4.9]</v>
      </c>
      <c r="H41" s="275">
        <f t="shared" ref="H41" si="131">FIND("effect:",G41)+7</f>
        <v>9</v>
      </c>
      <c r="I41" s="275">
        <f t="shared" ref="I41" si="132">IFERROR(FIND(",",G41),LEN(G41))</f>
        <v>22</v>
      </c>
      <c r="J41" s="275" t="e">
        <f t="shared" ref="J41" si="133">FIND("target:",G41)+7</f>
        <v>#VALUE!</v>
      </c>
      <c r="K41" s="275">
        <f t="shared" ref="K41" si="134">FIND(",",G41,I41+1)</f>
        <v>32</v>
      </c>
      <c r="L41" s="275" t="str">
        <f>IFERROR(VLOOKUP(MID(G41,J41,K41-J41),[6]skilldef!$C:$D,2,FALSE),"-") &amp; " / " &amp; IFERROR(VLOOKUP(MID(G41,H41,I41-H41),[6]skilldef!$A:$B,2,FALSE),"-")</f>
        <v>- / -</v>
      </c>
      <c r="M41" s="275" t="str">
        <f t="shared" ref="M41" si="135">IFERROR(RIGHT(B41,LEN(B41)-FIND("],",B41)-1),"none")</f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N41" s="276" t="str">
        <f>IFERROR(LEFT(M41,FIND("],",M41)+S80),M41)</f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O41" s="275">
        <f t="shared" ref="O41" si="136">FIND("effect:",N41)+7</f>
        <v>9</v>
      </c>
      <c r="P41" s="275">
        <f t="shared" ref="P41" si="137">IFERROR(FIND(",",N41),LEN(N41))</f>
        <v>18</v>
      </c>
      <c r="Q41" s="275">
        <f t="shared" ref="Q41" si="138">FIND("target:",N41)+7</f>
        <v>27</v>
      </c>
      <c r="R41" s="275">
        <f t="shared" ref="R41" si="139">FIND(",",N41,P41+1)</f>
        <v>33</v>
      </c>
      <c r="S41" s="275" t="str">
        <f>IFERROR(VLOOKUP(MID(N41,Q41,R41-Q41),[6]skilldef!$C:$D,2,FALSE),"-") &amp; " / " &amp; IFERROR(VLOOKUP(MID(N41,O41,P41-O41),[6]skilldef!$A:$B,2,FALSE),"-")</f>
        <v>自分自身に / 行動値設定</v>
      </c>
      <c r="T41" s="276" t="str">
        <f t="shared" ref="T41" si="140">IFERROR(RIGHT(M41,LEN(M41)-FIND("],",M41)-1),"none")</f>
        <v>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U41" s="275">
        <f t="shared" ref="U41" si="141">FIND("effect:",T41)+7</f>
        <v>9</v>
      </c>
      <c r="V41" s="275">
        <f t="shared" ref="V41" si="142">IFERROR(FIND(",",T41),LEN(T41))</f>
        <v>18</v>
      </c>
      <c r="W41" s="275">
        <f t="shared" ref="W41" si="143">FIND("target:",T41)+7</f>
        <v>27</v>
      </c>
      <c r="X41" s="275">
        <f t="shared" ref="X41" si="144">FIND(",",T41,V41+1)</f>
        <v>33</v>
      </c>
      <c r="Y41" s="275" t="str">
        <f>IFERROR(VLOOKUP(MID(T41,W41,X41-W41),[6]skilldef!$C:$D,2,FALSE),"-") &amp; " / " &amp; IFERROR(VLOOKUP(MID(T41,U41,V41-U41),[6]skilldef!$A:$B,2,FALSE),"-")</f>
        <v>自分自身に / 状態異常耐性</v>
      </c>
      <c r="Z41" s="274"/>
      <c r="AA41" s="277"/>
      <c r="AB41" s="274"/>
    </row>
    <row r="42" spans="1:28" ht="77" customHeight="1" x14ac:dyDescent="0.25">
      <c r="A42" s="262">
        <v>47015160</v>
      </c>
      <c r="B42" s="288" t="s">
        <v>452</v>
      </c>
      <c r="C42" s="233">
        <v>3</v>
      </c>
      <c r="D42" s="233" t="s">
        <v>127</v>
      </c>
      <c r="E42" s="234" t="s">
        <v>268</v>
      </c>
      <c r="F42" s="234" t="s">
        <v>397</v>
      </c>
      <c r="G42" s="235" t="str">
        <f t="shared" si="0"/>
        <v>[effect:enemy_message, val1:1.2, val2:4.5]</v>
      </c>
      <c r="H42" s="235">
        <f t="shared" si="1"/>
        <v>9</v>
      </c>
      <c r="I42" s="235">
        <f t="shared" si="2"/>
        <v>22</v>
      </c>
      <c r="J42" s="235" t="e">
        <f t="shared" si="3"/>
        <v>#VALUE!</v>
      </c>
      <c r="K42" s="235">
        <f t="shared" si="4"/>
        <v>32</v>
      </c>
      <c r="L42" s="235" t="str">
        <f>IFERROR(VLOOKUP(MID(G42,J42,K42-J42),[6]skilldef!$C:$D,2,FALSE),"-") &amp; " / " &amp; IFERROR(VLOOKUP(MID(G42,H42,I42-H42),[6]skilldef!$A:$B,2,FALSE),"-")</f>
        <v>- / -</v>
      </c>
      <c r="M42" s="235" t="str">
        <f t="shared" si="5"/>
        <v>[effect:fix_speed, target:myself, turn:1],[effect:tolerance, target:myself, turn:-1, count:-1, tolerance_effect:all, animation:enemy_tolerance],[effect:force_change_block, new_block:damage, target:normal, count:15, val:0.05, animation:change_block],[effect:drop_block, block_type:crash, color:block_all, val:6, rate:0.1, turn:5, animation:crash_influence04]</v>
      </c>
      <c r="N42" s="236" t="str">
        <f t="shared" si="36"/>
        <v>[effect:fix_speed, target:myself, turn:1],[effect:tolerance, target:myself, turn:-1, count:-1, tolerance_effect:all, animation:enemy_tolerance],[effect:force_change_block, new_block:damage, target:normal, count:15, val:0.05, animation:change_block],[effect:drop_block, block_type:crash, color:block_all, val:6, rate:0.1, turn:5, animation:crash_influence04]</v>
      </c>
      <c r="O42" s="235">
        <f t="shared" si="7"/>
        <v>9</v>
      </c>
      <c r="P42" s="235">
        <f t="shared" si="8"/>
        <v>18</v>
      </c>
      <c r="Q42" s="235">
        <f t="shared" si="9"/>
        <v>27</v>
      </c>
      <c r="R42" s="235">
        <f t="shared" si="10"/>
        <v>33</v>
      </c>
      <c r="S42" s="235" t="str">
        <f>IFERROR(VLOOKUP(MID(N42,Q42,R42-Q42),[6]skilldef!$C:$D,2,FALSE),"-") &amp; " / " &amp; IFERROR(VLOOKUP(MID(N42,O42,P42-O42),[6]skilldef!$A:$B,2,FALSE),"-")</f>
        <v>自分自身に / 行動値設定</v>
      </c>
      <c r="T42" s="236" t="str">
        <f t="shared" si="11"/>
        <v>[effect:tolerance, target:myself, turn:-1, count:-1, tolerance_effect:all, animation:enemy_tolerance],[effect:force_change_block, new_block:damage, target:normal, count:15, val:0.05, animation:change_block],[effect:drop_block, block_type:crash, color:block_all, val:6, rate:0.1, turn:5, animation:crash_influence04]</v>
      </c>
      <c r="U42" s="235">
        <f t="shared" si="12"/>
        <v>9</v>
      </c>
      <c r="V42" s="235">
        <f t="shared" si="13"/>
        <v>18</v>
      </c>
      <c r="W42" s="235">
        <f t="shared" si="14"/>
        <v>27</v>
      </c>
      <c r="X42" s="235">
        <f t="shared" si="15"/>
        <v>33</v>
      </c>
      <c r="Y42" s="235" t="str">
        <f>IFERROR(VLOOKUP(MID(T42,W42,X42-W42),[6]skilldef!$C:$D,2,FALSE),"-") &amp; " / " &amp; IFERROR(VLOOKUP(MID(T42,U42,V42-U42),[6]skilldef!$A:$B,2,FALSE),"-")</f>
        <v>自分自身に / 状態異常耐性</v>
      </c>
      <c r="Z42" s="233"/>
      <c r="AA42" s="237"/>
      <c r="AB42" s="233"/>
    </row>
    <row r="43" spans="1:28" ht="77" customHeight="1" x14ac:dyDescent="0.25">
      <c r="A43" s="262">
        <v>47015161</v>
      </c>
      <c r="B43" s="288" t="s">
        <v>388</v>
      </c>
      <c r="C43" s="233">
        <v>3</v>
      </c>
      <c r="D43" s="233" t="s">
        <v>127</v>
      </c>
      <c r="E43" s="234" t="s">
        <v>269</v>
      </c>
      <c r="F43" s="234" t="s">
        <v>336</v>
      </c>
      <c r="G43" s="235" t="str">
        <f t="shared" si="0"/>
        <v>[effect:enemy_message, val1:1.2, val2:1.2]</v>
      </c>
      <c r="H43" s="235">
        <f t="shared" si="1"/>
        <v>9</v>
      </c>
      <c r="I43" s="235">
        <f t="shared" si="2"/>
        <v>22</v>
      </c>
      <c r="J43" s="235" t="e">
        <f t="shared" si="3"/>
        <v>#VALUE!</v>
      </c>
      <c r="K43" s="235">
        <f t="shared" si="4"/>
        <v>32</v>
      </c>
      <c r="L43" s="235" t="str">
        <f>IFERROR(VLOOKUP(MID(G43,J43,K43-J43),[6]skilldef!$C:$D,2,FALSE),"-") &amp; " / " &amp; IFERROR(VLOOKUP(MID(G43,H43,I43-H43),[6]skilldef!$A:$B,2,FALSE),"-")</f>
        <v>- / -</v>
      </c>
      <c r="M43" s="235" t="str">
        <f t="shared" si="5"/>
        <v>[effect:spread, val:0.3]</v>
      </c>
      <c r="N43" s="236" t="str">
        <f t="shared" si="36"/>
        <v>[effect:spread, val:0.3]</v>
      </c>
      <c r="O43" s="235">
        <f t="shared" si="7"/>
        <v>9</v>
      </c>
      <c r="P43" s="235">
        <f t="shared" si="8"/>
        <v>15</v>
      </c>
      <c r="Q43" s="235" t="e">
        <f t="shared" si="9"/>
        <v>#VALUE!</v>
      </c>
      <c r="R43" s="235" t="e">
        <f t="shared" si="10"/>
        <v>#VALUE!</v>
      </c>
      <c r="S43" s="235" t="str">
        <f>IFERROR(VLOOKUP(MID(N43,Q43,R43-Q43),[6]skilldef!$C:$D,2,FALSE),"-") &amp; " / " &amp; IFERROR(VLOOKUP(MID(N43,O43,P43-O43),[6]skilldef!$A:$B,2,FALSE),"-")</f>
        <v>- / 全体攻撃</v>
      </c>
      <c r="T43" s="236" t="str">
        <f t="shared" si="11"/>
        <v>none</v>
      </c>
      <c r="U43" s="235" t="e">
        <f t="shared" si="12"/>
        <v>#VALUE!</v>
      </c>
      <c r="V43" s="235">
        <f t="shared" si="13"/>
        <v>4</v>
      </c>
      <c r="W43" s="235" t="e">
        <f t="shared" si="14"/>
        <v>#VALUE!</v>
      </c>
      <c r="X43" s="235" t="e">
        <f t="shared" si="15"/>
        <v>#VALUE!</v>
      </c>
      <c r="Y43" s="235" t="str">
        <f>IFERROR(VLOOKUP(MID(T43,W43,X43-W43),[6]skilldef!$C:$D,2,FALSE),"-") &amp; " / " &amp; IFERROR(VLOOKUP(MID(T43,U43,V43-U43),[6]skilldef!$A:$B,2,FALSE),"-")</f>
        <v>- / -</v>
      </c>
      <c r="Z43" s="233"/>
      <c r="AA43" s="237"/>
      <c r="AB43" s="233"/>
    </row>
    <row r="44" spans="1:28" ht="77" customHeight="1" x14ac:dyDescent="0.25">
      <c r="A44" s="262">
        <v>47015162</v>
      </c>
      <c r="B44" s="288" t="s">
        <v>476</v>
      </c>
      <c r="C44" s="233">
        <v>3</v>
      </c>
      <c r="D44" s="233" t="s">
        <v>127</v>
      </c>
      <c r="E44" s="234" t="s">
        <v>277</v>
      </c>
      <c r="F44" s="234" t="s">
        <v>398</v>
      </c>
      <c r="G44" s="235" t="str">
        <f t="shared" si="0"/>
        <v>[effect:enemy_message, val1:1.4, val2:3.3]</v>
      </c>
      <c r="H44" s="235">
        <f t="shared" si="1"/>
        <v>9</v>
      </c>
      <c r="I44" s="235">
        <f t="shared" si="2"/>
        <v>22</v>
      </c>
      <c r="J44" s="235" t="e">
        <f t="shared" si="3"/>
        <v>#VALUE!</v>
      </c>
      <c r="K44" s="235">
        <f t="shared" si="4"/>
        <v>32</v>
      </c>
      <c r="L44" s="235" t="str">
        <f>IFERROR(VLOOKUP(MID(G44,J44,K44-J44),[6]skilldef!$C:$D,2,FALSE),"-") &amp; " / " &amp; IFERROR(VLOOKUP(MID(G44,H44,I44-H44),[6]skilldef!$A:$B,2,FALSE),"-")</f>
        <v>- / -</v>
      </c>
      <c r="M44" s="235" t="str">
        <f t="shared" si="5"/>
        <v>[effect:break_attack, target:unit_one, val:0.05, lowest_val:1500, count:-1, color:green, block01:crash],[effect:force_change_block, new_block:damage, target:block_all, ignore01:block_positive, ignore02:damage, count:3, val:0.05, animation:change_block]</v>
      </c>
      <c r="N44" s="236" t="str">
        <f t="shared" si="36"/>
        <v>[effect:break_attack, target:unit_one, val:0.05, lowest_val:1500, count:-1, color:green, block01:crash],[effect:force_change_block, new_block:damage, target:block_all, ignore01:block_positive, ignore02:damage, count:3, val:0.05, animation:change_block]</v>
      </c>
      <c r="O44" s="235">
        <f t="shared" si="7"/>
        <v>9</v>
      </c>
      <c r="P44" s="235">
        <f t="shared" si="8"/>
        <v>21</v>
      </c>
      <c r="Q44" s="235">
        <f t="shared" si="9"/>
        <v>30</v>
      </c>
      <c r="R44" s="235">
        <f t="shared" si="10"/>
        <v>38</v>
      </c>
      <c r="S44" s="235" t="str">
        <f>IFERROR(VLOOKUP(MID(N44,Q44,R44-Q44),[6]skilldef!$C:$D,2,FALSE),"-") &amp; " / " &amp; IFERROR(VLOOKUP(MID(N44,O44,P44-O44),[6]skilldef!$A:$B,2,FALSE),"-")</f>
        <v>味方単体に / -</v>
      </c>
      <c r="T44" s="236" t="str">
        <f t="shared" si="11"/>
        <v>[effect:force_change_block, new_block:damage, target:block_all, ignore01:block_positive, ignore02:damage, count:3, val:0.05, animation:change_block]</v>
      </c>
      <c r="U44" s="235">
        <f t="shared" si="12"/>
        <v>9</v>
      </c>
      <c r="V44" s="235">
        <f t="shared" si="13"/>
        <v>27</v>
      </c>
      <c r="W44" s="235">
        <f t="shared" si="14"/>
        <v>54</v>
      </c>
      <c r="X44" s="235">
        <f t="shared" si="15"/>
        <v>45</v>
      </c>
      <c r="Y44" s="235" t="str">
        <f>IFERROR(VLOOKUP(MID(T44,W44,X44-W44),[6]skilldef!$C:$D,2,FALSE),"-") &amp; " / " &amp; IFERROR(VLOOKUP(MID(T44,U44,V44-U44),[6]skilldef!$A:$B,2,FALSE),"-")</f>
        <v>- / -</v>
      </c>
      <c r="Z44" s="233"/>
      <c r="AA44" s="237"/>
      <c r="AB44" s="233"/>
    </row>
    <row r="45" spans="1:28" ht="77" customHeight="1" x14ac:dyDescent="0.25">
      <c r="A45" s="262">
        <v>47015163</v>
      </c>
      <c r="B45" s="288" t="s">
        <v>435</v>
      </c>
      <c r="C45" s="233">
        <v>3</v>
      </c>
      <c r="D45" s="233" t="s">
        <v>127</v>
      </c>
      <c r="E45" s="234" t="s">
        <v>344</v>
      </c>
      <c r="F45" s="234" t="s">
        <v>399</v>
      </c>
      <c r="G45" s="235" t="str">
        <f t="shared" si="0"/>
        <v>[effect:enemy_message, val1:1.2, val2:3.4]</v>
      </c>
      <c r="H45" s="235">
        <f t="shared" si="1"/>
        <v>9</v>
      </c>
      <c r="I45" s="235">
        <f t="shared" si="2"/>
        <v>22</v>
      </c>
      <c r="J45" s="235" t="e">
        <f t="shared" si="3"/>
        <v>#VALUE!</v>
      </c>
      <c r="K45" s="235">
        <f t="shared" si="4"/>
        <v>32</v>
      </c>
      <c r="L45" s="235" t="str">
        <f>IFERROR(VLOOKUP(MID(G45,J45,K45-J45),[6]skilldef!$C:$D,2,FALSE),"-") &amp; " / " &amp; IFERROR(VLOOKUP(MID(G45,H45,I45-H45),[6]skilldef!$A:$B,2,FALSE),"-")</f>
        <v>- / -</v>
      </c>
      <c r="M45" s="235" t="str">
        <f t="shared" si="5"/>
        <v xml:space="preserve">[effect:break_heal_ratio, target:myself, val:0.01, lowest_val:2000, count:-1, block01:block_heart, animation:enemy_heal],[effect:degrade_unit, target:unit_all, turn:4, status:heal, val:0.33, calc:mul, animation:degrade_unit_all_heal]    </v>
      </c>
      <c r="N45" s="236" t="str">
        <f t="shared" si="36"/>
        <v xml:space="preserve">[effect:break_heal_ratio, target:myself, val:0.01, lowest_val:2000, count:-1, block01:block_heart, animation:enemy_heal],[effect:degrade_unit, target:unit_all, turn:4, status:heal, val:0.33, calc:mul, animation:degrade_unit_all_heal]    </v>
      </c>
      <c r="O45" s="235">
        <f t="shared" si="7"/>
        <v>9</v>
      </c>
      <c r="P45" s="235">
        <f t="shared" si="8"/>
        <v>25</v>
      </c>
      <c r="Q45" s="235">
        <f t="shared" si="9"/>
        <v>34</v>
      </c>
      <c r="R45" s="235">
        <f t="shared" si="10"/>
        <v>40</v>
      </c>
      <c r="S45" s="235" t="str">
        <f>IFERROR(VLOOKUP(MID(N45,Q45,R45-Q45),[6]skilldef!$C:$D,2,FALSE),"-") &amp; " / " &amp; IFERROR(VLOOKUP(MID(N45,O45,P45-O45),[6]skilldef!$A:$B,2,FALSE),"-")</f>
        <v>自分自身に / -</v>
      </c>
      <c r="T45" s="236" t="str">
        <f t="shared" si="11"/>
        <v xml:space="preserve">[effect:degrade_unit, target:unit_all, turn:4, status:heal, val:0.33, calc:mul, animation:degrade_unit_all_heal]    </v>
      </c>
      <c r="U45" s="235">
        <f t="shared" si="12"/>
        <v>9</v>
      </c>
      <c r="V45" s="235">
        <f t="shared" si="13"/>
        <v>21</v>
      </c>
      <c r="W45" s="235">
        <f t="shared" si="14"/>
        <v>30</v>
      </c>
      <c r="X45" s="235">
        <f t="shared" si="15"/>
        <v>38</v>
      </c>
      <c r="Y45" s="235" t="str">
        <f>IFERROR(VLOOKUP(MID(T45,W45,X45-W45),[6]skilldef!$C:$D,2,FALSE),"-") &amp; " / " &amp; IFERROR(VLOOKUP(MID(T45,U45,V45-U45),[6]skilldef!$A:$B,2,FALSE),"-")</f>
        <v>味方全体に / ステータスDOWN</v>
      </c>
      <c r="Z45" s="233"/>
      <c r="AA45" s="237"/>
      <c r="AB45" s="233"/>
    </row>
    <row r="46" spans="1:28" ht="77" customHeight="1" x14ac:dyDescent="0.25">
      <c r="A46" s="262">
        <v>47015164</v>
      </c>
      <c r="B46" s="288" t="s">
        <v>436</v>
      </c>
      <c r="C46" s="233">
        <v>3</v>
      </c>
      <c r="D46" s="233" t="s">
        <v>127</v>
      </c>
      <c r="E46" s="234" t="s">
        <v>267</v>
      </c>
      <c r="F46" s="234" t="s">
        <v>400</v>
      </c>
      <c r="G46" s="235" t="str">
        <f t="shared" si="0"/>
        <v>[effect:enemy_message, val1:1.2, val2:2.7]</v>
      </c>
      <c r="H46" s="235">
        <f t="shared" si="1"/>
        <v>9</v>
      </c>
      <c r="I46" s="235">
        <f t="shared" si="2"/>
        <v>22</v>
      </c>
      <c r="J46" s="235" t="e">
        <f t="shared" si="3"/>
        <v>#VALUE!</v>
      </c>
      <c r="K46" s="235">
        <f t="shared" si="4"/>
        <v>32</v>
      </c>
      <c r="L46" s="235" t="str">
        <f>IFERROR(VLOOKUP(MID(G46,J46,K46-J46),[6]skilldef!$C:$D,2,FALSE),"-") &amp; " / " &amp; IFERROR(VLOOKUP(MID(G46,H46,I46-H46),[6]skilldef!$A:$B,2,FALSE),"-")</f>
        <v>- / -</v>
      </c>
      <c r="M46" s="235" t="str">
        <f t="shared" si="5"/>
        <v>[effect:enhance_enemy, target:myself, turn:1, status:defense, val:5000, calc:add, animation:enemy_enhance_defense],[effect:enemy_counter, target:myself, invoke_condition:unit_all, counter_target:attacker, turn:1, val:0.3, animation:enemy_counter]</v>
      </c>
      <c r="N46" s="236" t="str">
        <f t="shared" ref="N46" si="145">IFERROR(LEFT(M46,FIND("],",M46)+S70),M46)</f>
        <v>[effect:enhance_enemy, target:myself, turn:1, status:defense, val:5000, calc:add, animation:enemy_enhance_defense],[effect:enemy_counter, target:myself, invoke_condition:unit_all, counter_target:attacker, turn:1, val:0.3, animation:enemy_counter]</v>
      </c>
      <c r="O46" s="235">
        <f t="shared" si="7"/>
        <v>9</v>
      </c>
      <c r="P46" s="235">
        <f t="shared" si="8"/>
        <v>22</v>
      </c>
      <c r="Q46" s="235">
        <f t="shared" si="9"/>
        <v>31</v>
      </c>
      <c r="R46" s="235">
        <f t="shared" si="10"/>
        <v>37</v>
      </c>
      <c r="S46" s="235" t="str">
        <f>IFERROR(VLOOKUP(MID(N46,Q46,R46-Q46),[6]skilldef!$C:$D,2,FALSE),"-") &amp; " / " &amp; IFERROR(VLOOKUP(MID(N46,O46,P46-O46),[6]skilldef!$A:$B,2,FALSE),"-")</f>
        <v>自分自身に / ステータス強化</v>
      </c>
      <c r="T46" s="236" t="str">
        <f t="shared" si="11"/>
        <v>[effect:enemy_counter, target:myself, invoke_condition:unit_all, counter_target:attacker, turn:1, val:0.3, animation:enemy_counter]</v>
      </c>
      <c r="U46" s="235">
        <f t="shared" si="12"/>
        <v>9</v>
      </c>
      <c r="V46" s="235">
        <f t="shared" si="13"/>
        <v>22</v>
      </c>
      <c r="W46" s="235">
        <f t="shared" si="14"/>
        <v>31</v>
      </c>
      <c r="X46" s="235">
        <f t="shared" si="15"/>
        <v>37</v>
      </c>
      <c r="Y46" s="235" t="str">
        <f>IFERROR(VLOOKUP(MID(T46,W46,X46-W46),[6]skilldef!$C:$D,2,FALSE),"-") &amp; " / " &amp; IFERROR(VLOOKUP(MID(T46,U46,V46-U46),[6]skilldef!$A:$B,2,FALSE),"-")</f>
        <v>自分自身に / カウンター</v>
      </c>
      <c r="Z46" s="233"/>
      <c r="AA46" s="237"/>
      <c r="AB46" s="233"/>
    </row>
    <row r="47" spans="1:28" ht="77" customHeight="1" x14ac:dyDescent="0.25">
      <c r="A47" s="262">
        <v>47015165</v>
      </c>
      <c r="B47" s="288" t="s">
        <v>475</v>
      </c>
      <c r="C47" s="233">
        <v>3</v>
      </c>
      <c r="D47" s="233" t="s">
        <v>127</v>
      </c>
      <c r="E47" s="234" t="s">
        <v>306</v>
      </c>
      <c r="F47" s="234" t="s">
        <v>401</v>
      </c>
      <c r="G47" s="235" t="str">
        <f t="shared" si="0"/>
        <v>[effect:enemy_message, val1:1.2, val2:4.7]</v>
      </c>
      <c r="H47" s="235">
        <f t="shared" si="1"/>
        <v>9</v>
      </c>
      <c r="I47" s="235">
        <f t="shared" si="2"/>
        <v>22</v>
      </c>
      <c r="J47" s="235" t="e">
        <f t="shared" si="3"/>
        <v>#VALUE!</v>
      </c>
      <c r="K47" s="235">
        <f t="shared" si="4"/>
        <v>32</v>
      </c>
      <c r="L47" s="235" t="str">
        <f>IFERROR(VLOOKUP(MID(G47,J47,K47-J47),[6]skilldef!$C:$D,2,FALSE),"-") &amp; " / " &amp; IFERROR(VLOOKUP(MID(G47,H47,I47-H47),[6]skilldef!$A:$B,2,FALSE),"-")</f>
        <v>- / -</v>
      </c>
      <c r="M47" s="235" t="str">
        <f t="shared" si="5"/>
        <v>[effect:dark, target:unit_all, turn:2, animation:enemy_dark],[effect:change_bomb_range, target:unit_all, val:0.5, rate:1, turn:10, animation:bomb_small],[effect:force_change_block, new_block:damage, target:block_all, ignore01:block_positive, ignore02:damage, count:5, val:0.05, animation:change_block]</v>
      </c>
      <c r="N47" s="236" t="str">
        <f>IFERROR(LEFT(M47,FIND("],",M47)+#REF!),M47)</f>
        <v>[effect:dark, target:unit_all, turn:2, animation:enemy_dark],[effect:change_bomb_range, target:unit_all, val:0.5, rate:1, turn:10, animation:bomb_small],[effect:force_change_block, new_block:damage, target:block_all, ignore01:block_positive, ignore02:damage, count:5, val:0.05, animation:change_block]</v>
      </c>
      <c r="O47" s="235">
        <f t="shared" si="7"/>
        <v>9</v>
      </c>
      <c r="P47" s="235">
        <f t="shared" si="8"/>
        <v>13</v>
      </c>
      <c r="Q47" s="235">
        <f t="shared" si="9"/>
        <v>22</v>
      </c>
      <c r="R47" s="235">
        <f t="shared" si="10"/>
        <v>30</v>
      </c>
      <c r="S47" s="235" t="str">
        <f>IFERROR(VLOOKUP(MID(N47,Q47,R47-Q47),[6]skilldef!$C:$D,2,FALSE),"-") &amp; " / " &amp; IFERROR(VLOOKUP(MID(N47,O47,P47-O47),[6]skilldef!$A:$B,2,FALSE),"-")</f>
        <v>味方全体に / 暗黒</v>
      </c>
      <c r="T47" s="236" t="str">
        <f t="shared" si="11"/>
        <v>[effect:change_bomb_range, target:unit_all, val:0.5, rate:1, turn:10, animation:bomb_small],[effect:force_change_block, new_block:damage, target:block_all, ignore01:block_positive, ignore02:damage, count:5, val:0.05, animation:change_block]</v>
      </c>
      <c r="U47" s="235">
        <f t="shared" si="12"/>
        <v>9</v>
      </c>
      <c r="V47" s="235">
        <f t="shared" si="13"/>
        <v>26</v>
      </c>
      <c r="W47" s="235">
        <f t="shared" si="14"/>
        <v>35</v>
      </c>
      <c r="X47" s="235">
        <f t="shared" si="15"/>
        <v>43</v>
      </c>
      <c r="Y47" s="235" t="str">
        <f>IFERROR(VLOOKUP(MID(T47,W47,X47-W47),[6]skilldef!$C:$D,2,FALSE),"-") &amp; " / " &amp; IFERROR(VLOOKUP(MID(T47,U47,V47-U47),[6]skilldef!$A:$B,2,FALSE),"-")</f>
        <v>味方全体に / -</v>
      </c>
      <c r="Z47" s="233"/>
      <c r="AA47" s="237"/>
      <c r="AB47" s="233"/>
    </row>
    <row r="48" spans="1:28" ht="142" customHeight="1" x14ac:dyDescent="0.25">
      <c r="A48" s="198">
        <v>47015170</v>
      </c>
      <c r="B48" s="288" t="s">
        <v>500</v>
      </c>
      <c r="C48" s="233">
        <v>3</v>
      </c>
      <c r="D48" s="233" t="s">
        <v>127</v>
      </c>
      <c r="E48" s="234" t="s">
        <v>359</v>
      </c>
      <c r="F48" s="234" t="s">
        <v>502</v>
      </c>
      <c r="G48" s="235" t="str">
        <f t="shared" si="0"/>
        <v>[effect:enemy_message, val1:2.8, val2:6.4]</v>
      </c>
      <c r="H48" s="235">
        <f t="shared" si="1"/>
        <v>9</v>
      </c>
      <c r="I48" s="235">
        <f t="shared" si="2"/>
        <v>22</v>
      </c>
      <c r="J48" s="235" t="e">
        <f t="shared" si="3"/>
        <v>#VALUE!</v>
      </c>
      <c r="K48" s="235">
        <f t="shared" si="4"/>
        <v>32</v>
      </c>
      <c r="L48" s="235" t="str">
        <f>IFERROR(VLOOKUP(MID(G48,J48,K48-J48),[6]skilldef!$C:$D,2,FALSE),"-") &amp; " / " &amp; IFERROR(VLOOKUP(MID(G48,H48,I48-H48),[6]skilldef!$A:$B,2,FALSE),"-")</f>
        <v>- / -</v>
      </c>
      <c r="M48" s="235" t="str">
        <f t="shared" si="5"/>
        <v>[effect:fix_speed, target:myself, turn:1],[effect:change_range_block, block_change:1, base_type:0, square_count:3, position01:3, position02:5, position03:7, value_h01:1.0, value_h02:1.0, value_h03:1.0, value_w01:1.0, value_w02:1.0, value_w03:1.0, new_block:block_heart, target:block_all, ignore01:block_positive, ignore02:block_heart, count:0, val:0, animation:change_range_block],[effect:remove_enhancement, target:unit_all, target_effect:all, target_type:debuff, animation:frozen_wave],[effect:enhance_fever, val:333, animation:fevergauge_up03]</v>
      </c>
      <c r="N48" s="236" t="str">
        <f>IFERROR(LEFT(M48,FIND("],",M48)+S71),M48)</f>
        <v>[effect:fix_speed, target:myself, turn:1],[effect:change_range_block, block_change:1, base_type:0, square_count:3, position01:3, position02:5, position03:7, value_h01:1.0, value_h02:1.0, value_h03:1.0, value_w01:1.0, value_w02:1.0, value_w03:1.0, new_block:block_heart, target:block_all, ignore01:block_positive, ignore02:block_heart, count:0, val:0, animation:change_range_block],[effect:remove_enhancement, target:unit_all, target_effect:all, target_type:debuff, animation:frozen_wave],[effect:enhance_fever, val:333, animation:fevergauge_up03]</v>
      </c>
      <c r="O48" s="235">
        <f t="shared" si="7"/>
        <v>9</v>
      </c>
      <c r="P48" s="235">
        <f t="shared" si="8"/>
        <v>18</v>
      </c>
      <c r="Q48" s="235">
        <f t="shared" si="9"/>
        <v>27</v>
      </c>
      <c r="R48" s="235">
        <f t="shared" si="10"/>
        <v>33</v>
      </c>
      <c r="S48" s="235" t="str">
        <f>IFERROR(VLOOKUP(MID(N48,Q48,R48-Q48),[6]skilldef!$C:$D,2,FALSE),"-") &amp; " / " &amp; IFERROR(VLOOKUP(MID(N48,O48,P48-O48),[6]skilldef!$A:$B,2,FALSE),"-")</f>
        <v>自分自身に / 行動値設定</v>
      </c>
      <c r="T48" s="236" t="str">
        <f t="shared" si="11"/>
        <v>[effect:change_range_block, block_change:1, base_type:0, square_count:3, position01:3, position02:5, position03:7, value_h01:1.0, value_h02:1.0, value_h03:1.0, value_w01:1.0, value_w02:1.0, value_w03:1.0, new_block:block_heart, target:block_all, ignore01:block_positive, ignore02:block_heart, count:0, val:0, animation:change_range_block],[effect:remove_enhancement, target:unit_all, target_effect:all, target_type:debuff, animation:frozen_wave],[effect:enhance_fever, val:333, animation:fevergauge_up03]</v>
      </c>
      <c r="U48" s="235">
        <f t="shared" si="12"/>
        <v>9</v>
      </c>
      <c r="V48" s="235">
        <f t="shared" si="13"/>
        <v>27</v>
      </c>
      <c r="W48" s="235">
        <f t="shared" si="14"/>
        <v>236</v>
      </c>
      <c r="X48" s="235">
        <f t="shared" si="15"/>
        <v>43</v>
      </c>
      <c r="Y48" s="235" t="str">
        <f>IFERROR(VLOOKUP(MID(T48,W48,X48-W48),[6]skilldef!$C:$D,2,FALSE),"-") &amp; " / " &amp; IFERROR(VLOOKUP(MID(T48,U48,V48-U48),[6]skilldef!$A:$B,2,FALSE),"-")</f>
        <v>- / -</v>
      </c>
      <c r="Z48" s="233"/>
      <c r="AA48" s="237"/>
      <c r="AB48" s="233"/>
    </row>
    <row r="49" spans="1:28" ht="77" customHeight="1" x14ac:dyDescent="0.25">
      <c r="A49" s="198">
        <v>47015171</v>
      </c>
      <c r="B49" s="288" t="s">
        <v>389</v>
      </c>
      <c r="C49" s="233">
        <v>3</v>
      </c>
      <c r="D49" s="233" t="s">
        <v>127</v>
      </c>
      <c r="E49" s="234" t="s">
        <v>360</v>
      </c>
      <c r="F49" s="234" t="s">
        <v>256</v>
      </c>
      <c r="G49" s="235" t="str">
        <f t="shared" si="0"/>
        <v>[effect:enemy_message, val1:1.2, val2:1.2]</v>
      </c>
      <c r="H49" s="235">
        <f t="shared" si="1"/>
        <v>9</v>
      </c>
      <c r="I49" s="235">
        <f t="shared" si="2"/>
        <v>22</v>
      </c>
      <c r="J49" s="235" t="e">
        <f t="shared" si="3"/>
        <v>#VALUE!</v>
      </c>
      <c r="K49" s="235">
        <f t="shared" si="4"/>
        <v>32</v>
      </c>
      <c r="L49" s="235" t="str">
        <f>IFERROR(VLOOKUP(MID(G49,J49,K49-J49),[6]skilldef!$C:$D,2,FALSE),"-") &amp; " / " &amp; IFERROR(VLOOKUP(MID(G49,H49,I49-H49),[6]skilldef!$A:$B,2,FALSE),"-")</f>
        <v>- / -</v>
      </c>
      <c r="M49" s="235" t="str">
        <f t="shared" si="5"/>
        <v>[effect:rush, count:6, val:0.3]</v>
      </c>
      <c r="N49" s="236" t="str">
        <f>IFERROR(LEFT(M49,FIND("],",M49)+S74),M49)</f>
        <v>[effect:rush, count:6, val:0.3]</v>
      </c>
      <c r="O49" s="235">
        <f t="shared" si="7"/>
        <v>9</v>
      </c>
      <c r="P49" s="235">
        <f t="shared" si="8"/>
        <v>13</v>
      </c>
      <c r="Q49" s="235" t="e">
        <f t="shared" si="9"/>
        <v>#VALUE!</v>
      </c>
      <c r="R49" s="235">
        <f t="shared" si="10"/>
        <v>22</v>
      </c>
      <c r="S49" s="235" t="str">
        <f>IFERROR(VLOOKUP(MID(N49,Q49,R49-Q49),[6]skilldef!$C:$D,2,FALSE),"-") &amp; " / " &amp; IFERROR(VLOOKUP(MID(N49,O49,P49-O49),[6]skilldef!$A:$B,2,FALSE),"-")</f>
        <v>- / 連続攻撃</v>
      </c>
      <c r="T49" s="236" t="str">
        <f t="shared" si="11"/>
        <v>none</v>
      </c>
      <c r="U49" s="235" t="e">
        <f t="shared" si="12"/>
        <v>#VALUE!</v>
      </c>
      <c r="V49" s="235">
        <f t="shared" si="13"/>
        <v>4</v>
      </c>
      <c r="W49" s="235" t="e">
        <f t="shared" si="14"/>
        <v>#VALUE!</v>
      </c>
      <c r="X49" s="235" t="e">
        <f t="shared" si="15"/>
        <v>#VALUE!</v>
      </c>
      <c r="Y49" s="235" t="str">
        <f>IFERROR(VLOOKUP(MID(T49,W49,X49-W49),[6]skilldef!$C:$D,2,FALSE),"-") &amp; " / " &amp; IFERROR(VLOOKUP(MID(T49,U49,V49-U49),[6]skilldef!$A:$B,2,FALSE),"-")</f>
        <v>- / -</v>
      </c>
      <c r="Z49" s="233"/>
      <c r="AA49" s="237"/>
      <c r="AB49" s="233"/>
    </row>
    <row r="50" spans="1:28" ht="77" customHeight="1" x14ac:dyDescent="0.25">
      <c r="A50" s="198">
        <v>47015172</v>
      </c>
      <c r="B50" s="288" t="s">
        <v>479</v>
      </c>
      <c r="C50" s="233">
        <v>3</v>
      </c>
      <c r="D50" s="233" t="s">
        <v>127</v>
      </c>
      <c r="E50" s="234" t="s">
        <v>274</v>
      </c>
      <c r="F50" s="234" t="s">
        <v>402</v>
      </c>
      <c r="G50" s="235" t="str">
        <f t="shared" si="0"/>
        <v>[effect:enemy_message, val1:1.2, val2:4.0]</v>
      </c>
      <c r="H50" s="235">
        <f t="shared" si="1"/>
        <v>9</v>
      </c>
      <c r="I50" s="235">
        <f t="shared" si="2"/>
        <v>22</v>
      </c>
      <c r="J50" s="235" t="e">
        <f t="shared" si="3"/>
        <v>#VALUE!</v>
      </c>
      <c r="K50" s="235">
        <f t="shared" si="4"/>
        <v>32</v>
      </c>
      <c r="L50" s="235" t="str">
        <f>IFERROR(VLOOKUP(MID(G50,J50,K50-J50),[6]skilldef!$C:$D,2,FALSE),"-") &amp; " / " &amp; IFERROR(VLOOKUP(MID(G50,H50,I50-H50),[6]skilldef!$A:$B,2,FALSE),"-")</f>
        <v>- / -</v>
      </c>
      <c r="M50" s="235" t="str">
        <f t="shared" si="5"/>
        <v>[effect:force_change_block, new_block:damage, target:block_all, ignore01:block_heart, ignore02:block_positive, ignore03:damage, count:20, val:0.03, animation:change_block],[effect:force_change_block, new_block:crack_bomb, target:block_all, ignore01:block_positive, count:1, val:24, animation:change_block]</v>
      </c>
      <c r="N50" s="236" t="str">
        <f>IFERROR(LEFT(M50,FIND("],",M50)+S75),M50)</f>
        <v>[effect:force_change_block, new_block:damage, target:block_all, ignore01:block_heart, ignore02:block_positive, ignore03:damage, count:20, val:0.03, animation:change_block],[effect:force_change_block, new_block:crack_bomb, target:block_all, ignore01:block_positive, count:1, val:24, animation:change_block]</v>
      </c>
      <c r="O50" s="235">
        <f t="shared" si="7"/>
        <v>9</v>
      </c>
      <c r="P50" s="235">
        <f t="shared" si="8"/>
        <v>27</v>
      </c>
      <c r="Q50" s="235">
        <f t="shared" si="9"/>
        <v>54</v>
      </c>
      <c r="R50" s="235">
        <f t="shared" si="10"/>
        <v>45</v>
      </c>
      <c r="S50" s="235" t="str">
        <f>IFERROR(VLOOKUP(MID(N50,Q50,R50-Q50),[6]skilldef!$C:$D,2,FALSE),"-") &amp; " / " &amp; IFERROR(VLOOKUP(MID(N50,O50,P50-O50),[6]skilldef!$A:$B,2,FALSE),"-")</f>
        <v>- / -</v>
      </c>
      <c r="T50" s="236" t="str">
        <f t="shared" si="11"/>
        <v>[effect:force_change_block, new_block:crack_bomb, target:block_all, ignore01:block_positive, count:1, val:24, animation:change_block]</v>
      </c>
      <c r="U50" s="235">
        <f t="shared" si="12"/>
        <v>9</v>
      </c>
      <c r="V50" s="235">
        <f t="shared" si="13"/>
        <v>27</v>
      </c>
      <c r="W50" s="235">
        <f t="shared" si="14"/>
        <v>58</v>
      </c>
      <c r="X50" s="235">
        <f t="shared" si="15"/>
        <v>49</v>
      </c>
      <c r="Y50" s="235" t="str">
        <f>IFERROR(VLOOKUP(MID(T50,W50,X50-W50),[6]skilldef!$C:$D,2,FALSE),"-") &amp; " / " &amp; IFERROR(VLOOKUP(MID(T50,U50,V50-U50),[6]skilldef!$A:$B,2,FALSE),"-")</f>
        <v>- / -</v>
      </c>
      <c r="Z50" s="233"/>
      <c r="AA50" s="237"/>
      <c r="AB50" s="233"/>
    </row>
    <row r="51" spans="1:28" ht="77" customHeight="1" x14ac:dyDescent="0.25">
      <c r="A51" s="198">
        <v>47015173</v>
      </c>
      <c r="B51" s="288" t="s">
        <v>437</v>
      </c>
      <c r="C51" s="233">
        <v>3</v>
      </c>
      <c r="D51" s="233" t="s">
        <v>127</v>
      </c>
      <c r="E51" s="234" t="s">
        <v>278</v>
      </c>
      <c r="F51" s="234" t="s">
        <v>403</v>
      </c>
      <c r="G51" s="235" t="str">
        <f t="shared" si="0"/>
        <v>[effect:enemy_message, val1:1.2, val2:2.2]</v>
      </c>
      <c r="H51" s="235">
        <f t="shared" si="1"/>
        <v>9</v>
      </c>
      <c r="I51" s="235">
        <f t="shared" si="2"/>
        <v>22</v>
      </c>
      <c r="J51" s="235" t="e">
        <f t="shared" si="3"/>
        <v>#VALUE!</v>
      </c>
      <c r="K51" s="235">
        <f t="shared" si="4"/>
        <v>32</v>
      </c>
      <c r="L51" s="235" t="str">
        <f>IFERROR(VLOOKUP(MID(G51,J51,K51-J51),[6]skilldef!$C:$D,2,FALSE),"-") &amp; " / " &amp; IFERROR(VLOOKUP(MID(G51,H51,I51-H51),[6]skilldef!$A:$B,2,FALSE),"-")</f>
        <v>- / -</v>
      </c>
      <c r="M51" s="235" t="str">
        <f t="shared" si="5"/>
        <v>[effect:spread, val:0.3],[effect:hungup, target:unit_all, turn:1, rate:1, animation:hungup01]</v>
      </c>
      <c r="N51" s="236" t="str">
        <f>IFERROR(LEFT(M51,FIND("],",M51)+S76),M51)</f>
        <v>[effect:spread, val:0.3],[effect:hungup, target:unit_all, turn:1, rate:1, animation:hungup01]</v>
      </c>
      <c r="O51" s="235">
        <f t="shared" si="7"/>
        <v>9</v>
      </c>
      <c r="P51" s="235">
        <f t="shared" si="8"/>
        <v>15</v>
      </c>
      <c r="Q51" s="235">
        <f t="shared" si="9"/>
        <v>49</v>
      </c>
      <c r="R51" s="235">
        <f t="shared" si="10"/>
        <v>25</v>
      </c>
      <c r="S51" s="235" t="str">
        <f>IFERROR(VLOOKUP(MID(N51,Q51,R51-Q51),[6]skilldef!$C:$D,2,FALSE),"-") &amp; " / " &amp; IFERROR(VLOOKUP(MID(N51,O51,P51-O51),[6]skilldef!$A:$B,2,FALSE),"-")</f>
        <v>- / 全体攻撃</v>
      </c>
      <c r="T51" s="236" t="str">
        <f t="shared" si="11"/>
        <v>[effect:hungup, target:unit_all, turn:1, rate:1, animation:hungup01]</v>
      </c>
      <c r="U51" s="235">
        <f t="shared" si="12"/>
        <v>9</v>
      </c>
      <c r="V51" s="235">
        <f t="shared" si="13"/>
        <v>15</v>
      </c>
      <c r="W51" s="235">
        <f t="shared" si="14"/>
        <v>24</v>
      </c>
      <c r="X51" s="235">
        <f t="shared" si="15"/>
        <v>32</v>
      </c>
      <c r="Y51" s="235" t="str">
        <f>IFERROR(VLOOKUP(MID(T51,W51,X51-W51),[6]skilldef!$C:$D,2,FALSE),"-") &amp; " / " &amp; IFERROR(VLOOKUP(MID(T51,U51,V51-U51),[6]skilldef!$A:$B,2,FALSE),"-")</f>
        <v>味方全体に / ハングアップ</v>
      </c>
      <c r="Z51" s="233"/>
      <c r="AA51" s="237"/>
      <c r="AB51" s="233"/>
    </row>
    <row r="52" spans="1:28" ht="77" customHeight="1" x14ac:dyDescent="0.25">
      <c r="A52" s="198">
        <v>47015174</v>
      </c>
      <c r="B52" s="288" t="s">
        <v>390</v>
      </c>
      <c r="C52" s="233">
        <v>3</v>
      </c>
      <c r="D52" s="233" t="s">
        <v>127</v>
      </c>
      <c r="E52" s="234" t="s">
        <v>270</v>
      </c>
      <c r="F52" s="234" t="s">
        <v>337</v>
      </c>
      <c r="G52" s="235" t="str">
        <f t="shared" si="0"/>
        <v>[effect:enemy_message, val1:1.3, val2:2.1]</v>
      </c>
      <c r="H52" s="235">
        <f t="shared" si="1"/>
        <v>9</v>
      </c>
      <c r="I52" s="235">
        <f t="shared" si="2"/>
        <v>22</v>
      </c>
      <c r="J52" s="235" t="e">
        <f t="shared" si="3"/>
        <v>#VALUE!</v>
      </c>
      <c r="K52" s="235">
        <f t="shared" si="4"/>
        <v>32</v>
      </c>
      <c r="L52" s="235" t="str">
        <f>IFERROR(VLOOKUP(MID(G52,J52,K52-J52),[6]skilldef!$C:$D,2,FALSE),"-") &amp; " / " &amp; IFERROR(VLOOKUP(MID(G52,H52,I52-H52),[6]skilldef!$A:$B,2,FALSE),"-")</f>
        <v>- / -</v>
      </c>
      <c r="M52" s="235" t="str">
        <f t="shared" si="5"/>
        <v>[effect:damage_anti_tribe, target:unit_all, tribe:god, val1:0.7, val2:0.02]</v>
      </c>
      <c r="N52" s="236" t="str">
        <f>IFERROR(LEFT(M52,FIND("],",M52)+S78),M52)</f>
        <v>[effect:damage_anti_tribe, target:unit_all, tribe:god, val1:0.7, val2:0.02]</v>
      </c>
      <c r="O52" s="235">
        <f t="shared" si="7"/>
        <v>9</v>
      </c>
      <c r="P52" s="235">
        <f t="shared" si="8"/>
        <v>26</v>
      </c>
      <c r="Q52" s="235">
        <f t="shared" si="9"/>
        <v>35</v>
      </c>
      <c r="R52" s="235">
        <f t="shared" si="10"/>
        <v>43</v>
      </c>
      <c r="S52" s="235" t="str">
        <f>IFERROR(VLOOKUP(MID(N52,Q52,R52-Q52),[6]skilldef!$C:$D,2,FALSE),"-") &amp; " / " &amp; IFERROR(VLOOKUP(MID(N52,O52,P52-O52),[6]skilldef!$A:$B,2,FALSE),"-")</f>
        <v>味方全体に / 種族キラー</v>
      </c>
      <c r="T52" s="236" t="str">
        <f t="shared" si="11"/>
        <v>none</v>
      </c>
      <c r="U52" s="235" t="e">
        <f t="shared" si="12"/>
        <v>#VALUE!</v>
      </c>
      <c r="V52" s="235">
        <f t="shared" si="13"/>
        <v>4</v>
      </c>
      <c r="W52" s="235" t="e">
        <f t="shared" si="14"/>
        <v>#VALUE!</v>
      </c>
      <c r="X52" s="235" t="e">
        <f t="shared" si="15"/>
        <v>#VALUE!</v>
      </c>
      <c r="Y52" s="235" t="str">
        <f>IFERROR(VLOOKUP(MID(T52,W52,X52-W52),[6]skilldef!$C:$D,2,FALSE),"-") &amp; " / " &amp; IFERROR(VLOOKUP(MID(T52,U52,V52-U52),[6]skilldef!$A:$B,2,FALSE),"-")</f>
        <v>- / -</v>
      </c>
      <c r="Z52" s="233"/>
      <c r="AA52" s="237"/>
      <c r="AB52" s="233"/>
    </row>
    <row r="53" spans="1:28" ht="77" customHeight="1" x14ac:dyDescent="0.25">
      <c r="A53" s="198">
        <v>47015175</v>
      </c>
      <c r="B53" s="288" t="s">
        <v>438</v>
      </c>
      <c r="C53" s="233">
        <v>3</v>
      </c>
      <c r="D53" s="233" t="s">
        <v>127</v>
      </c>
      <c r="E53" s="234" t="s">
        <v>271</v>
      </c>
      <c r="F53" s="234" t="s">
        <v>404</v>
      </c>
      <c r="G53" s="235" t="str">
        <f t="shared" si="0"/>
        <v>[effect:enemy_message, val1:1.4, val2:4.8]</v>
      </c>
      <c r="H53" s="235">
        <f t="shared" si="1"/>
        <v>9</v>
      </c>
      <c r="I53" s="235">
        <f t="shared" si="2"/>
        <v>22</v>
      </c>
      <c r="J53" s="235" t="e">
        <f t="shared" si="3"/>
        <v>#VALUE!</v>
      </c>
      <c r="K53" s="235">
        <f t="shared" si="4"/>
        <v>32</v>
      </c>
      <c r="L53" s="235" t="str">
        <f>IFERROR(VLOOKUP(MID(G53,J53,K53-J53),[6]skilldef!$C:$D,2,FALSE),"-") &amp; " / " &amp; IFERROR(VLOOKUP(MID(G53,H53,I53-H53),[6]skilldef!$A:$B,2,FALSE),"-")</f>
        <v>- / -</v>
      </c>
      <c r="M53" s="235" t="str">
        <f t="shared" si="5"/>
        <v>[effect:change_range_block, block_change:1, base_type:1, square_count:5, position01:12, value_rad01:3.0, value_h01:1.0, value_w01:1.0, new_block:block_heart, target:block_all, ignore01:block_positive, ignore02:block_heart, count:0, val:0, animation:change_range_block],[effect:enhance_enemy, target:myself, turn:4, status:defense, val:8500, calc:add, animation:enemy_enhance_defense],[effect:degrade_unit, target:unit_all, turn:4, status:action, val:1, calc:mul, animation:enemy_tap_down]</v>
      </c>
      <c r="N53" s="236" t="str">
        <f>IFERROR(LEFT(M53,FIND("],",M53)+S82),M53)</f>
        <v>[effect:change_range_block, block_change:1, base_type:1, square_count:5, position01:12, value_rad01:3.0, value_h01:1.0, value_w01:1.0, new_block:block_heart, target:block_all, ignore01:block_positive, ignore02:block_heart, count:0, val:0, animation:change_range_block],[effect:enhance_enemy, target:myself, turn:4, status:defense, val:8500, calc:add, animation:enemy_enhance_defense],[effect:degrade_unit, target:unit_all, turn:4, status:action, val:1, calc:mul, animation:enemy_tap_down]</v>
      </c>
      <c r="O53" s="235">
        <f t="shared" si="7"/>
        <v>9</v>
      </c>
      <c r="P53" s="235">
        <f t="shared" si="8"/>
        <v>27</v>
      </c>
      <c r="Q53" s="235">
        <f t="shared" si="9"/>
        <v>166</v>
      </c>
      <c r="R53" s="235">
        <f t="shared" si="10"/>
        <v>43</v>
      </c>
      <c r="S53" s="235" t="str">
        <f>IFERROR(VLOOKUP(MID(N53,Q53,R53-Q53),[6]skilldef!$C:$D,2,FALSE),"-") &amp; " / " &amp; IFERROR(VLOOKUP(MID(N53,O53,P53-O53),[6]skilldef!$A:$B,2,FALSE),"-")</f>
        <v>- / -</v>
      </c>
      <c r="T53" s="236" t="str">
        <f t="shared" si="11"/>
        <v>[effect:enhance_enemy, target:myself, turn:4, status:defense, val:8500, calc:add, animation:enemy_enhance_defense],[effect:degrade_unit, target:unit_all, turn:4, status:action, val:1, calc:mul, animation:enemy_tap_down]</v>
      </c>
      <c r="U53" s="235">
        <f t="shared" si="12"/>
        <v>9</v>
      </c>
      <c r="V53" s="235">
        <f t="shared" si="13"/>
        <v>22</v>
      </c>
      <c r="W53" s="235">
        <f t="shared" si="14"/>
        <v>31</v>
      </c>
      <c r="X53" s="235">
        <f t="shared" si="15"/>
        <v>37</v>
      </c>
      <c r="Y53" s="235" t="str">
        <f>IFERROR(VLOOKUP(MID(T53,W53,X53-W53),[6]skilldef!$C:$D,2,FALSE),"-") &amp; " / " &amp; IFERROR(VLOOKUP(MID(T53,U53,V53-U53),[6]skilldef!$A:$B,2,FALSE),"-")</f>
        <v>自分自身に / ステータス強化</v>
      </c>
      <c r="Z53" s="233"/>
      <c r="AA53" s="237"/>
      <c r="AB53" s="233"/>
    </row>
    <row r="54" spans="1:28" ht="77" customHeight="1" x14ac:dyDescent="0.25">
      <c r="A54" s="198">
        <v>47015176</v>
      </c>
      <c r="B54" s="288" t="s">
        <v>485</v>
      </c>
      <c r="C54" s="233">
        <v>3</v>
      </c>
      <c r="D54" s="233" t="s">
        <v>127</v>
      </c>
      <c r="E54" s="234" t="s">
        <v>305</v>
      </c>
      <c r="F54" s="234" t="s">
        <v>493</v>
      </c>
      <c r="G54" s="235" t="str">
        <f t="shared" si="0"/>
        <v>[effect:enemy_message, val1:1.2, val2:2.8]</v>
      </c>
      <c r="H54" s="235">
        <f t="shared" si="1"/>
        <v>9</v>
      </c>
      <c r="I54" s="235">
        <f t="shared" si="2"/>
        <v>22</v>
      </c>
      <c r="J54" s="235" t="e">
        <f t="shared" si="3"/>
        <v>#VALUE!</v>
      </c>
      <c r="K54" s="235">
        <f t="shared" si="4"/>
        <v>32</v>
      </c>
      <c r="L54" s="235" t="str">
        <f>IFERROR(VLOOKUP(MID(G54,J54,K54-J54),[6]skilldef!$C:$D,2,FALSE),"-") &amp; " / " &amp; IFERROR(VLOOKUP(MID(G54,H54,I54-H54),[6]skilldef!$A:$B,2,FALSE),"-")</f>
        <v>- / -</v>
      </c>
      <c r="M54" s="235" t="str">
        <f t="shared" si="5"/>
        <v>[effect:fix_speed, target:myself, turn:2],[effect:enhance_fever, val:333, animation:fevergauge_up03]</v>
      </c>
      <c r="N54" s="236" t="str">
        <f>IFERROR(LEFT(M54,FIND("],",M54)+S79),M54)</f>
        <v>[effect:fix_speed, target:myself, turn:2],[effect:enhance_fever, val:333, animation:fevergauge_up03]</v>
      </c>
      <c r="O54" s="235">
        <f t="shared" si="7"/>
        <v>9</v>
      </c>
      <c r="P54" s="235">
        <f t="shared" si="8"/>
        <v>18</v>
      </c>
      <c r="Q54" s="235">
        <f t="shared" si="9"/>
        <v>27</v>
      </c>
      <c r="R54" s="235">
        <f t="shared" si="10"/>
        <v>33</v>
      </c>
      <c r="S54" s="235" t="str">
        <f>IFERROR(VLOOKUP(MID(N54,Q54,R54-Q54),[6]skilldef!$C:$D,2,FALSE),"-") &amp; " / " &amp; IFERROR(VLOOKUP(MID(N54,O54,P54-O54),[6]skilldef!$A:$B,2,FALSE),"-")</f>
        <v>自分自身に / 行動値設定</v>
      </c>
      <c r="T54" s="236" t="str">
        <f t="shared" si="11"/>
        <v>[effect:enhance_fever, val:333, animation:fevergauge_up03]</v>
      </c>
      <c r="U54" s="235">
        <f t="shared" si="12"/>
        <v>9</v>
      </c>
      <c r="V54" s="235">
        <f t="shared" si="13"/>
        <v>22</v>
      </c>
      <c r="W54" s="235" t="e">
        <f t="shared" si="14"/>
        <v>#VALUE!</v>
      </c>
      <c r="X54" s="235">
        <f t="shared" si="15"/>
        <v>31</v>
      </c>
      <c r="Y54" s="235" t="str">
        <f>IFERROR(VLOOKUP(MID(T54,W54,X54-W54),[6]skilldef!$C:$D,2,FALSE),"-") &amp; " / " &amp; IFERROR(VLOOKUP(MID(T54,U54,V54-U54),[6]skilldef!$A:$B,2,FALSE),"-")</f>
        <v>- / -</v>
      </c>
      <c r="Z54" s="233"/>
      <c r="AA54" s="237"/>
      <c r="AB54" s="233"/>
    </row>
    <row r="55" spans="1:28" ht="77" customHeight="1" x14ac:dyDescent="0.25">
      <c r="A55" s="198">
        <v>47015177</v>
      </c>
      <c r="B55" s="288" t="s">
        <v>486</v>
      </c>
      <c r="C55" s="233">
        <v>3</v>
      </c>
      <c r="D55" s="233" t="s">
        <v>127</v>
      </c>
      <c r="E55" s="234" t="s">
        <v>308</v>
      </c>
      <c r="F55" s="234" t="s">
        <v>483</v>
      </c>
      <c r="G55" s="235" t="str">
        <f t="shared" si="0"/>
        <v>[effect:enemy_message, val1:1.7, val2:3.6]</v>
      </c>
      <c r="H55" s="235">
        <f t="shared" si="1"/>
        <v>9</v>
      </c>
      <c r="I55" s="235">
        <f t="shared" si="2"/>
        <v>22</v>
      </c>
      <c r="J55" s="235" t="e">
        <f t="shared" si="3"/>
        <v>#VALUE!</v>
      </c>
      <c r="K55" s="235">
        <f t="shared" si="4"/>
        <v>32</v>
      </c>
      <c r="L55" s="235" t="str">
        <f>IFERROR(VLOOKUP(MID(G55,J55,K55-J55),[6]skilldef!$C:$D,2,FALSE),"-") &amp; " / " &amp; IFERROR(VLOOKUP(MID(G55,H55,I55-H55),[6]skilldef!$A:$B,2,FALSE),"-")</f>
        <v>- / -</v>
      </c>
      <c r="M55" s="235" t="str">
        <f t="shared" si="5"/>
        <v>[effect:spread, val:7],[effect:fix_speed, target:myself, turn:1]</v>
      </c>
      <c r="N55" s="236" t="str">
        <f>IFERROR(LEFT(M55,FIND("],",M55)+S80),M55)</f>
        <v>[effect:spread, val:7],[effect:fix_speed, target:myself, turn:1]</v>
      </c>
      <c r="O55" s="235">
        <f t="shared" si="7"/>
        <v>9</v>
      </c>
      <c r="P55" s="235">
        <f t="shared" si="8"/>
        <v>15</v>
      </c>
      <c r="Q55" s="235">
        <f t="shared" si="9"/>
        <v>50</v>
      </c>
      <c r="R55" s="235">
        <f t="shared" si="10"/>
        <v>23</v>
      </c>
      <c r="S55" s="235" t="str">
        <f>IFERROR(VLOOKUP(MID(N55,Q55,R55-Q55),[6]skilldef!$C:$D,2,FALSE),"-") &amp; " / " &amp; IFERROR(VLOOKUP(MID(N55,O55,P55-O55),[6]skilldef!$A:$B,2,FALSE),"-")</f>
        <v>- / 全体攻撃</v>
      </c>
      <c r="T55" s="236" t="str">
        <f t="shared" si="11"/>
        <v>[effect:fix_speed, target:myself, turn:1]</v>
      </c>
      <c r="U55" s="235">
        <f t="shared" si="12"/>
        <v>9</v>
      </c>
      <c r="V55" s="235">
        <f t="shared" si="13"/>
        <v>18</v>
      </c>
      <c r="W55" s="235">
        <f t="shared" si="14"/>
        <v>27</v>
      </c>
      <c r="X55" s="235">
        <f t="shared" si="15"/>
        <v>33</v>
      </c>
      <c r="Y55" s="235" t="str">
        <f>IFERROR(VLOOKUP(MID(T55,W55,X55-W55),[6]skilldef!$C:$D,2,FALSE),"-") &amp; " / " &amp; IFERROR(VLOOKUP(MID(T55,U55,V55-U55),[6]skilldef!$A:$B,2,FALSE),"-")</f>
        <v>自分自身に / 行動値設定</v>
      </c>
      <c r="Z55" s="233"/>
      <c r="AA55" s="237"/>
      <c r="AB55" s="233"/>
    </row>
    <row r="56" spans="1:28" s="280" customFormat="1" ht="77" customHeight="1" x14ac:dyDescent="0.25">
      <c r="A56" s="198">
        <v>47015178</v>
      </c>
      <c r="B56" s="288" t="s">
        <v>487</v>
      </c>
      <c r="C56" s="233">
        <v>3</v>
      </c>
      <c r="D56" s="278" t="s">
        <v>127</v>
      </c>
      <c r="E56" s="279" t="s">
        <v>327</v>
      </c>
      <c r="F56" s="280" t="s">
        <v>328</v>
      </c>
      <c r="G56" s="281" t="str">
        <f t="shared" ref="G56" si="146">IFERROR(LEFT(B56,FIND("],",B56)),B56)</f>
        <v>[effect:enemy_message, val1:2.8, val2:2.1, dead_type:escape]</v>
      </c>
      <c r="H56" s="281">
        <f t="shared" ref="H56" si="147">FIND("effect:",G56)+7</f>
        <v>9</v>
      </c>
      <c r="I56" s="281">
        <f t="shared" ref="I56" si="148">IFERROR(FIND(",",G56),LEN(G56))</f>
        <v>22</v>
      </c>
      <c r="J56" s="281" t="e">
        <f t="shared" ref="J56" si="149">FIND("target:",G56)+7</f>
        <v>#VALUE!</v>
      </c>
      <c r="K56" s="281">
        <f t="shared" ref="K56" si="150">FIND(",",G56,I56+1)</f>
        <v>32</v>
      </c>
      <c r="L56" s="281" t="str">
        <f>IFERROR(VLOOKUP(MID(G56,J56,K56-J56),[6]skilldef!$C:$D,2,FALSE),"-") &amp; " / " &amp; IFERROR(VLOOKUP(MID(G56,H56,I56-H56),[6]skilldef!$A:$B,2,FALSE),"-")</f>
        <v>- / -</v>
      </c>
      <c r="M56" s="281" t="str">
        <f t="shared" ref="M56" si="151">IFERROR(RIGHT(B56,LEN(B56)-FIND("],",B56)-1),"none")</f>
        <v>none</v>
      </c>
      <c r="N56" s="280" t="str">
        <f>IFERROR(LEFT(M56,FIND("],",M56)+S81),M56)</f>
        <v>none</v>
      </c>
      <c r="O56" s="281" t="e">
        <f t="shared" ref="O56" si="152">FIND("effect:",N56)+7</f>
        <v>#VALUE!</v>
      </c>
      <c r="P56" s="281">
        <f t="shared" ref="P56" si="153">IFERROR(FIND(",",N56),LEN(N56))</f>
        <v>4</v>
      </c>
      <c r="Q56" s="281" t="e">
        <f t="shared" ref="Q56" si="154">FIND("target:",N56)+7</f>
        <v>#VALUE!</v>
      </c>
      <c r="R56" s="281" t="e">
        <f t="shared" ref="R56" si="155">FIND(",",N56,P56+1)</f>
        <v>#VALUE!</v>
      </c>
      <c r="S56" s="281" t="str">
        <f>IFERROR(VLOOKUP(MID(N56,Q56,R56-Q56),[6]skilldef!$C:$D,2,FALSE),"-") &amp; " / " &amp; IFERROR(VLOOKUP(MID(N56,O56,P56-O56),[6]skilldef!$A:$B,2,FALSE),"-")</f>
        <v>- / -</v>
      </c>
      <c r="T56" s="280" t="str">
        <f t="shared" ref="T56" si="156">IFERROR(RIGHT(M56,LEN(M56)-FIND("],",M56)-1),"none")</f>
        <v>none</v>
      </c>
      <c r="U56" s="281" t="e">
        <f t="shared" ref="U56" si="157">FIND("effect:",T56)+7</f>
        <v>#VALUE!</v>
      </c>
      <c r="V56" s="281">
        <f t="shared" ref="V56" si="158">IFERROR(FIND(",",T56),LEN(T56))</f>
        <v>4</v>
      </c>
      <c r="W56" s="281" t="e">
        <f t="shared" ref="W56" si="159">FIND("target:",T56)+7</f>
        <v>#VALUE!</v>
      </c>
      <c r="X56" s="281" t="e">
        <f t="shared" ref="X56" si="160">FIND(",",T56,V56+1)</f>
        <v>#VALUE!</v>
      </c>
      <c r="Y56" s="281" t="str">
        <f>IFERROR(VLOOKUP(MID(T56,W56,X56-W56),[6]skilldef!$C:$D,2,FALSE),"-") &amp; " / " &amp; IFERROR(VLOOKUP(MID(T56,U56,V56-U56),[6]skilldef!$A:$B,2,FALSE),"-")</f>
        <v>- / -</v>
      </c>
      <c r="Z56" s="278"/>
      <c r="AA56" s="282"/>
      <c r="AB56" s="278"/>
    </row>
    <row r="57" spans="1:28" s="285" customFormat="1" ht="77" customHeight="1" x14ac:dyDescent="0.25">
      <c r="A57" s="261">
        <v>47015179</v>
      </c>
      <c r="B57" s="288" t="s">
        <v>488</v>
      </c>
      <c r="C57" s="233">
        <v>3</v>
      </c>
      <c r="D57" s="283" t="s">
        <v>127</v>
      </c>
      <c r="E57" s="284" t="s">
        <v>329</v>
      </c>
      <c r="F57" s="285" t="s">
        <v>330</v>
      </c>
      <c r="G57" s="286" t="str">
        <f t="shared" ref="G57:G64" si="161">IFERROR(LEFT(B57,FIND("],",B57)),B57)</f>
        <v>[effect:enemy_message, val1:1.7, val2:1.9, dead_type:escape]</v>
      </c>
      <c r="H57" s="286">
        <f t="shared" ref="H57:H64" si="162">FIND("effect:",G57)+7</f>
        <v>9</v>
      </c>
      <c r="I57" s="286">
        <f t="shared" ref="I57:I64" si="163">IFERROR(FIND(",",G57),LEN(G57))</f>
        <v>22</v>
      </c>
      <c r="J57" s="286" t="e">
        <f t="shared" ref="J57:J64" si="164">FIND("target:",G57)+7</f>
        <v>#VALUE!</v>
      </c>
      <c r="K57" s="286">
        <f t="shared" ref="K57:K64" si="165">FIND(",",G57,I57+1)</f>
        <v>32</v>
      </c>
      <c r="L57" s="286" t="str">
        <f>IFERROR(VLOOKUP(MID(G57,J57,K57-J57),[6]skilldef!$C:$D,2,FALSE),"-") &amp; " / " &amp; IFERROR(VLOOKUP(MID(G57,H57,I57-H57),[6]skilldef!$A:$B,2,FALSE),"-")</f>
        <v>- / -</v>
      </c>
      <c r="M57" s="286" t="str">
        <f t="shared" ref="M57:M64" si="166">IFERROR(RIGHT(B57,LEN(B57)-FIND("],",B57)-1),"none")</f>
        <v>none</v>
      </c>
      <c r="N57" s="285" t="str">
        <f>IFERROR(LEFT(M57,FIND("],",M57)+S83),M57)</f>
        <v>none</v>
      </c>
      <c r="O57" s="286" t="e">
        <f t="shared" ref="O57:O64" si="167">FIND("effect:",N57)+7</f>
        <v>#VALUE!</v>
      </c>
      <c r="P57" s="286">
        <f t="shared" ref="P57:P64" si="168">IFERROR(FIND(",",N57),LEN(N57))</f>
        <v>4</v>
      </c>
      <c r="Q57" s="286" t="e">
        <f t="shared" ref="Q57:Q64" si="169">FIND("target:",N57)+7</f>
        <v>#VALUE!</v>
      </c>
      <c r="R57" s="286" t="e">
        <f t="shared" ref="R57:R64" si="170">FIND(",",N57,P57+1)</f>
        <v>#VALUE!</v>
      </c>
      <c r="S57" s="286" t="str">
        <f>IFERROR(VLOOKUP(MID(N57,Q57,R57-Q57),[6]skilldef!$C:$D,2,FALSE),"-") &amp; " / " &amp; IFERROR(VLOOKUP(MID(N57,O57,P57-O57),[6]skilldef!$A:$B,2,FALSE),"-")</f>
        <v>- / -</v>
      </c>
      <c r="T57" s="285" t="str">
        <f t="shared" ref="T57:T64" si="171">IFERROR(RIGHT(M57,LEN(M57)-FIND("],",M57)-1),"none")</f>
        <v>none</v>
      </c>
      <c r="U57" s="286" t="e">
        <f t="shared" ref="U57:U64" si="172">FIND("effect:",T57)+7</f>
        <v>#VALUE!</v>
      </c>
      <c r="V57" s="286">
        <f t="shared" ref="V57:V64" si="173">IFERROR(FIND(",",T57),LEN(T57))</f>
        <v>4</v>
      </c>
      <c r="W57" s="286" t="e">
        <f t="shared" ref="W57:W64" si="174">FIND("target:",T57)+7</f>
        <v>#VALUE!</v>
      </c>
      <c r="X57" s="286" t="e">
        <f t="shared" ref="X57:X64" si="175">FIND(",",T57,V57+1)</f>
        <v>#VALUE!</v>
      </c>
      <c r="Y57" s="286" t="str">
        <f>IFERROR(VLOOKUP(MID(T57,W57,X57-W57),[6]skilldef!$C:$D,2,FALSE),"-") &amp; " / " &amp; IFERROR(VLOOKUP(MID(T57,U57,V57-U57),[6]skilldef!$A:$B,2,FALSE),"-")</f>
        <v>- / -</v>
      </c>
      <c r="Z57" s="283"/>
      <c r="AA57" s="287"/>
      <c r="AB57" s="283"/>
    </row>
    <row r="58" spans="1:28" s="285" customFormat="1" ht="77" customHeight="1" x14ac:dyDescent="0.25">
      <c r="A58" s="261">
        <v>47015180</v>
      </c>
      <c r="B58" s="288" t="s">
        <v>488</v>
      </c>
      <c r="C58" s="233">
        <v>3</v>
      </c>
      <c r="D58" s="283" t="s">
        <v>127</v>
      </c>
      <c r="E58" s="284" t="s">
        <v>329</v>
      </c>
      <c r="F58" s="285" t="s">
        <v>330</v>
      </c>
      <c r="G58" s="286" t="str">
        <f t="shared" ref="G58:G63" si="176">IFERROR(LEFT(B58,FIND("],",B58)),B58)</f>
        <v>[effect:enemy_message, val1:1.7, val2:1.9, dead_type:escape]</v>
      </c>
      <c r="H58" s="286">
        <f t="shared" ref="H58:H63" si="177">FIND("effect:",G58)+7</f>
        <v>9</v>
      </c>
      <c r="I58" s="286">
        <f t="shared" ref="I58:I63" si="178">IFERROR(FIND(",",G58),LEN(G58))</f>
        <v>22</v>
      </c>
      <c r="J58" s="286" t="e">
        <f t="shared" ref="J58:J63" si="179">FIND("target:",G58)+7</f>
        <v>#VALUE!</v>
      </c>
      <c r="K58" s="286">
        <f t="shared" ref="K58:K63" si="180">FIND(",",G58,I58+1)</f>
        <v>32</v>
      </c>
      <c r="L58" s="286" t="str">
        <f>IFERROR(VLOOKUP(MID(G58,J58,K58-J58),[6]skilldef!$C:$D,2,FALSE),"-") &amp; " / " &amp; IFERROR(VLOOKUP(MID(G58,H58,I58-H58),[6]skilldef!$A:$B,2,FALSE),"-")</f>
        <v>- / -</v>
      </c>
      <c r="M58" s="286" t="str">
        <f t="shared" ref="M58:M63" si="181">IFERROR(RIGHT(B58,LEN(B58)-FIND("],",B58)-1),"none")</f>
        <v>none</v>
      </c>
      <c r="N58" s="285" t="str">
        <f>IFERROR(LEFT(M58,FIND("],",M58)+S78),M58)</f>
        <v>none</v>
      </c>
      <c r="O58" s="286" t="e">
        <f t="shared" ref="O58:O63" si="182">FIND("effect:",N58)+7</f>
        <v>#VALUE!</v>
      </c>
      <c r="P58" s="286">
        <f t="shared" ref="P58:P63" si="183">IFERROR(FIND(",",N58),LEN(N58))</f>
        <v>4</v>
      </c>
      <c r="Q58" s="286" t="e">
        <f t="shared" ref="Q58:Q63" si="184">FIND("target:",N58)+7</f>
        <v>#VALUE!</v>
      </c>
      <c r="R58" s="286" t="e">
        <f t="shared" ref="R58:R63" si="185">FIND(",",N58,P58+1)</f>
        <v>#VALUE!</v>
      </c>
      <c r="S58" s="286" t="str">
        <f>IFERROR(VLOOKUP(MID(N58,Q58,R58-Q58),[6]skilldef!$C:$D,2,FALSE),"-") &amp; " / " &amp; IFERROR(VLOOKUP(MID(N58,O58,P58-O58),[6]skilldef!$A:$B,2,FALSE),"-")</f>
        <v>- / -</v>
      </c>
      <c r="T58" s="285" t="str">
        <f t="shared" ref="T58:T63" si="186">IFERROR(RIGHT(M58,LEN(M58)-FIND("],",M58)-1),"none")</f>
        <v>none</v>
      </c>
      <c r="U58" s="286" t="e">
        <f t="shared" ref="U58:U63" si="187">FIND("effect:",T58)+7</f>
        <v>#VALUE!</v>
      </c>
      <c r="V58" s="286">
        <f t="shared" ref="V58:V63" si="188">IFERROR(FIND(",",T58),LEN(T58))</f>
        <v>4</v>
      </c>
      <c r="W58" s="286" t="e">
        <f t="shared" ref="W58:W63" si="189">FIND("target:",T58)+7</f>
        <v>#VALUE!</v>
      </c>
      <c r="X58" s="286" t="e">
        <f t="shared" ref="X58:X63" si="190">FIND(",",T58,V58+1)</f>
        <v>#VALUE!</v>
      </c>
      <c r="Y58" s="286" t="str">
        <f>IFERROR(VLOOKUP(MID(T58,W58,X58-W58),[6]skilldef!$C:$D,2,FALSE),"-") &amp; " / " &amp; IFERROR(VLOOKUP(MID(T58,U58,V58-U58),[6]skilldef!$A:$B,2,FALSE),"-")</f>
        <v>- / -</v>
      </c>
      <c r="Z58" s="283"/>
      <c r="AA58" s="287"/>
      <c r="AB58" s="283"/>
    </row>
    <row r="59" spans="1:28" s="285" customFormat="1" ht="77" customHeight="1" x14ac:dyDescent="0.25">
      <c r="A59" s="261">
        <v>47015181</v>
      </c>
      <c r="B59" s="288" t="s">
        <v>489</v>
      </c>
      <c r="C59" s="233">
        <v>3</v>
      </c>
      <c r="D59" s="283" t="s">
        <v>127</v>
      </c>
      <c r="E59" s="284" t="s">
        <v>331</v>
      </c>
      <c r="F59" s="285" t="s">
        <v>332</v>
      </c>
      <c r="G59" s="286" t="str">
        <f t="shared" si="176"/>
        <v>[effect:enemy_message, val1:1.9, val2:2.3, dead_type:escape]</v>
      </c>
      <c r="H59" s="286">
        <f t="shared" si="177"/>
        <v>9</v>
      </c>
      <c r="I59" s="286">
        <f t="shared" si="178"/>
        <v>22</v>
      </c>
      <c r="J59" s="286" t="e">
        <f t="shared" si="179"/>
        <v>#VALUE!</v>
      </c>
      <c r="K59" s="286">
        <f t="shared" si="180"/>
        <v>32</v>
      </c>
      <c r="L59" s="286" t="str">
        <f>IFERROR(VLOOKUP(MID(G59,J59,K59-J59),[6]skilldef!$C:$D,2,FALSE),"-") &amp; " / " &amp; IFERROR(VLOOKUP(MID(G59,H59,I59-H59),[6]skilldef!$A:$B,2,FALSE),"-")</f>
        <v>- / -</v>
      </c>
      <c r="M59" s="286" t="str">
        <f t="shared" si="181"/>
        <v>none</v>
      </c>
      <c r="N59" s="285" t="str">
        <f>IFERROR(LEFT(M59,FIND("],",M59)+S82),M59)</f>
        <v>none</v>
      </c>
      <c r="O59" s="286" t="e">
        <f t="shared" si="182"/>
        <v>#VALUE!</v>
      </c>
      <c r="P59" s="286">
        <f t="shared" si="183"/>
        <v>4</v>
      </c>
      <c r="Q59" s="286" t="e">
        <f t="shared" si="184"/>
        <v>#VALUE!</v>
      </c>
      <c r="R59" s="286" t="e">
        <f t="shared" si="185"/>
        <v>#VALUE!</v>
      </c>
      <c r="S59" s="286" t="str">
        <f>IFERROR(VLOOKUP(MID(N59,Q59,R59-Q59),[6]skilldef!$C:$D,2,FALSE),"-") &amp; " / " &amp; IFERROR(VLOOKUP(MID(N59,O59,P59-O59),[6]skilldef!$A:$B,2,FALSE),"-")</f>
        <v>- / -</v>
      </c>
      <c r="T59" s="285" t="str">
        <f t="shared" si="186"/>
        <v>none</v>
      </c>
      <c r="U59" s="286" t="e">
        <f t="shared" si="187"/>
        <v>#VALUE!</v>
      </c>
      <c r="V59" s="286">
        <f t="shared" si="188"/>
        <v>4</v>
      </c>
      <c r="W59" s="286" t="e">
        <f t="shared" si="189"/>
        <v>#VALUE!</v>
      </c>
      <c r="X59" s="286" t="e">
        <f t="shared" si="190"/>
        <v>#VALUE!</v>
      </c>
      <c r="Y59" s="286" t="str">
        <f>IFERROR(VLOOKUP(MID(T59,W59,X59-W59),[6]skilldef!$C:$D,2,FALSE),"-") &amp; " / " &amp; IFERROR(VLOOKUP(MID(T59,U59,V59-U59),[6]skilldef!$A:$B,2,FALSE),"-")</f>
        <v>- / -</v>
      </c>
      <c r="Z59" s="283"/>
      <c r="AA59" s="287"/>
      <c r="AB59" s="283"/>
    </row>
    <row r="60" spans="1:28" s="285" customFormat="1" ht="77" customHeight="1" x14ac:dyDescent="0.25">
      <c r="A60" s="261">
        <v>47015182</v>
      </c>
      <c r="B60" s="288" t="s">
        <v>489</v>
      </c>
      <c r="C60" s="233">
        <v>3</v>
      </c>
      <c r="D60" s="283" t="s">
        <v>127</v>
      </c>
      <c r="E60" s="284" t="s">
        <v>331</v>
      </c>
      <c r="F60" s="285" t="s">
        <v>332</v>
      </c>
      <c r="G60" s="286" t="str">
        <f t="shared" si="176"/>
        <v>[effect:enemy_message, val1:1.9, val2:2.3, dead_type:escape]</v>
      </c>
      <c r="H60" s="286">
        <f t="shared" si="177"/>
        <v>9</v>
      </c>
      <c r="I60" s="286">
        <f t="shared" si="178"/>
        <v>22</v>
      </c>
      <c r="J60" s="286" t="e">
        <f t="shared" si="179"/>
        <v>#VALUE!</v>
      </c>
      <c r="K60" s="286">
        <f t="shared" si="180"/>
        <v>32</v>
      </c>
      <c r="L60" s="286" t="str">
        <f>IFERROR(VLOOKUP(MID(G60,J60,K60-J60),[6]skilldef!$C:$D,2,FALSE),"-") &amp; " / " &amp; IFERROR(VLOOKUP(MID(G60,H60,I60-H60),[6]skilldef!$A:$B,2,FALSE),"-")</f>
        <v>- / -</v>
      </c>
      <c r="M60" s="286" t="str">
        <f t="shared" si="181"/>
        <v>none</v>
      </c>
      <c r="N60" s="285" t="str">
        <f>IFERROR(LEFT(M60,FIND("],",M60)+S79),M60)</f>
        <v>none</v>
      </c>
      <c r="O60" s="286" t="e">
        <f t="shared" si="182"/>
        <v>#VALUE!</v>
      </c>
      <c r="P60" s="286">
        <f t="shared" si="183"/>
        <v>4</v>
      </c>
      <c r="Q60" s="286" t="e">
        <f t="shared" si="184"/>
        <v>#VALUE!</v>
      </c>
      <c r="R60" s="286" t="e">
        <f t="shared" si="185"/>
        <v>#VALUE!</v>
      </c>
      <c r="S60" s="286" t="str">
        <f>IFERROR(VLOOKUP(MID(N60,Q60,R60-Q60),[6]skilldef!$C:$D,2,FALSE),"-") &amp; " / " &amp; IFERROR(VLOOKUP(MID(N60,O60,P60-O60),[6]skilldef!$A:$B,2,FALSE),"-")</f>
        <v>- / -</v>
      </c>
      <c r="T60" s="285" t="str">
        <f t="shared" si="186"/>
        <v>none</v>
      </c>
      <c r="U60" s="286" t="e">
        <f t="shared" si="187"/>
        <v>#VALUE!</v>
      </c>
      <c r="V60" s="286">
        <f t="shared" si="188"/>
        <v>4</v>
      </c>
      <c r="W60" s="286" t="e">
        <f t="shared" si="189"/>
        <v>#VALUE!</v>
      </c>
      <c r="X60" s="286" t="e">
        <f t="shared" si="190"/>
        <v>#VALUE!</v>
      </c>
      <c r="Y60" s="286" t="str">
        <f>IFERROR(VLOOKUP(MID(T60,W60,X60-W60),[6]skilldef!$C:$D,2,FALSE),"-") &amp; " / " &amp; IFERROR(VLOOKUP(MID(T60,U60,V60-U60),[6]skilldef!$A:$B,2,FALSE),"-")</f>
        <v>- / -</v>
      </c>
      <c r="Z60" s="283"/>
      <c r="AA60" s="287"/>
      <c r="AB60" s="283"/>
    </row>
    <row r="61" spans="1:28" s="285" customFormat="1" ht="77" customHeight="1" x14ac:dyDescent="0.25">
      <c r="A61" s="261">
        <v>47015183</v>
      </c>
      <c r="B61" s="288" t="s">
        <v>490</v>
      </c>
      <c r="C61" s="233">
        <v>3</v>
      </c>
      <c r="D61" s="283" t="s">
        <v>127</v>
      </c>
      <c r="E61" s="284" t="s">
        <v>327</v>
      </c>
      <c r="F61" s="284" t="s">
        <v>365</v>
      </c>
      <c r="G61" s="286" t="str">
        <f t="shared" si="176"/>
        <v>[effect:enemy_message, val1:2.8, val2:3.4, dead_type:escape]</v>
      </c>
      <c r="H61" s="286">
        <f t="shared" si="177"/>
        <v>9</v>
      </c>
      <c r="I61" s="286">
        <f t="shared" si="178"/>
        <v>22</v>
      </c>
      <c r="J61" s="286" t="e">
        <f t="shared" si="179"/>
        <v>#VALUE!</v>
      </c>
      <c r="K61" s="286">
        <f t="shared" si="180"/>
        <v>32</v>
      </c>
      <c r="L61" s="286" t="str">
        <f>IFERROR(VLOOKUP(MID(G61,J61,K61-J61),[6]skilldef!$C:$D,2,FALSE),"-") &amp; " / " &amp; IFERROR(VLOOKUP(MID(G61,H61,I61-H61),[6]skilldef!$A:$B,2,FALSE),"-")</f>
        <v>- / -</v>
      </c>
      <c r="M61" s="286" t="str">
        <f t="shared" si="181"/>
        <v>none</v>
      </c>
      <c r="N61" s="285" t="str">
        <f>IFERROR(LEFT(M61,FIND("],",M61)+S80),M61)</f>
        <v>none</v>
      </c>
      <c r="O61" s="286" t="e">
        <f t="shared" si="182"/>
        <v>#VALUE!</v>
      </c>
      <c r="P61" s="286">
        <f t="shared" si="183"/>
        <v>4</v>
      </c>
      <c r="Q61" s="286" t="e">
        <f t="shared" si="184"/>
        <v>#VALUE!</v>
      </c>
      <c r="R61" s="286" t="e">
        <f t="shared" si="185"/>
        <v>#VALUE!</v>
      </c>
      <c r="S61" s="286" t="str">
        <f>IFERROR(VLOOKUP(MID(N61,Q61,R61-Q61),[6]skilldef!$C:$D,2,FALSE),"-") &amp; " / " &amp; IFERROR(VLOOKUP(MID(N61,O61,P61-O61),[6]skilldef!$A:$B,2,FALSE),"-")</f>
        <v>- / -</v>
      </c>
      <c r="T61" s="285" t="str">
        <f t="shared" si="186"/>
        <v>none</v>
      </c>
      <c r="U61" s="286" t="e">
        <f t="shared" si="187"/>
        <v>#VALUE!</v>
      </c>
      <c r="V61" s="286">
        <f t="shared" si="188"/>
        <v>4</v>
      </c>
      <c r="W61" s="286" t="e">
        <f t="shared" si="189"/>
        <v>#VALUE!</v>
      </c>
      <c r="X61" s="286" t="e">
        <f t="shared" si="190"/>
        <v>#VALUE!</v>
      </c>
      <c r="Y61" s="286" t="str">
        <f>IFERROR(VLOOKUP(MID(T61,W61,X61-W61),[6]skilldef!$C:$D,2,FALSE),"-") &amp; " / " &amp; IFERROR(VLOOKUP(MID(T61,U61,V61-U61),[6]skilldef!$A:$B,2,FALSE),"-")</f>
        <v>- / -</v>
      </c>
      <c r="Z61" s="283"/>
      <c r="AA61" s="287"/>
      <c r="AB61" s="283"/>
    </row>
    <row r="62" spans="1:28" s="285" customFormat="1" ht="77" customHeight="1" x14ac:dyDescent="0.25">
      <c r="A62" s="261">
        <v>47015184</v>
      </c>
      <c r="B62" s="288" t="s">
        <v>490</v>
      </c>
      <c r="C62" s="233">
        <v>3</v>
      </c>
      <c r="D62" s="283" t="s">
        <v>127</v>
      </c>
      <c r="E62" s="284" t="s">
        <v>327</v>
      </c>
      <c r="F62" s="284" t="s">
        <v>365</v>
      </c>
      <c r="G62" s="286" t="str">
        <f t="shared" si="176"/>
        <v>[effect:enemy_message, val1:2.8, val2:3.4, dead_type:escape]</v>
      </c>
      <c r="H62" s="286">
        <f t="shared" si="177"/>
        <v>9</v>
      </c>
      <c r="I62" s="286">
        <f t="shared" si="178"/>
        <v>22</v>
      </c>
      <c r="J62" s="286" t="e">
        <f t="shared" si="179"/>
        <v>#VALUE!</v>
      </c>
      <c r="K62" s="286">
        <f t="shared" si="180"/>
        <v>32</v>
      </c>
      <c r="L62" s="286" t="str">
        <f>IFERROR(VLOOKUP(MID(G62,J62,K62-J62),[6]skilldef!$C:$D,2,FALSE),"-") &amp; " / " &amp; IFERROR(VLOOKUP(MID(G62,H62,I62-H62),[6]skilldef!$A:$B,2,FALSE),"-")</f>
        <v>- / -</v>
      </c>
      <c r="M62" s="286" t="str">
        <f t="shared" si="181"/>
        <v>none</v>
      </c>
      <c r="N62" s="285" t="str">
        <f>IFERROR(LEFT(M62,FIND("],",M62)+S81),M62)</f>
        <v>none</v>
      </c>
      <c r="O62" s="286" t="e">
        <f t="shared" si="182"/>
        <v>#VALUE!</v>
      </c>
      <c r="P62" s="286">
        <f t="shared" si="183"/>
        <v>4</v>
      </c>
      <c r="Q62" s="286" t="e">
        <f t="shared" si="184"/>
        <v>#VALUE!</v>
      </c>
      <c r="R62" s="286" t="e">
        <f t="shared" si="185"/>
        <v>#VALUE!</v>
      </c>
      <c r="S62" s="286" t="str">
        <f>IFERROR(VLOOKUP(MID(N62,Q62,R62-Q62),[6]skilldef!$C:$D,2,FALSE),"-") &amp; " / " &amp; IFERROR(VLOOKUP(MID(N62,O62,P62-O62),[6]skilldef!$A:$B,2,FALSE),"-")</f>
        <v>- / -</v>
      </c>
      <c r="T62" s="285" t="str">
        <f t="shared" si="186"/>
        <v>none</v>
      </c>
      <c r="U62" s="286" t="e">
        <f t="shared" si="187"/>
        <v>#VALUE!</v>
      </c>
      <c r="V62" s="286">
        <f t="shared" si="188"/>
        <v>4</v>
      </c>
      <c r="W62" s="286" t="e">
        <f t="shared" si="189"/>
        <v>#VALUE!</v>
      </c>
      <c r="X62" s="286" t="e">
        <f t="shared" si="190"/>
        <v>#VALUE!</v>
      </c>
      <c r="Y62" s="286" t="str">
        <f>IFERROR(VLOOKUP(MID(T62,W62,X62-W62),[6]skilldef!$C:$D,2,FALSE),"-") &amp; " / " &amp; IFERROR(VLOOKUP(MID(T62,U62,V62-U62),[6]skilldef!$A:$B,2,FALSE),"-")</f>
        <v>- / -</v>
      </c>
      <c r="Z62" s="283"/>
      <c r="AA62" s="287"/>
      <c r="AB62" s="283"/>
    </row>
    <row r="63" spans="1:28" s="285" customFormat="1" ht="77" customHeight="1" x14ac:dyDescent="0.25">
      <c r="A63" s="261">
        <v>47015185</v>
      </c>
      <c r="B63" s="288" t="s">
        <v>490</v>
      </c>
      <c r="C63" s="233">
        <v>3</v>
      </c>
      <c r="D63" s="283" t="s">
        <v>127</v>
      </c>
      <c r="E63" s="284" t="s">
        <v>327</v>
      </c>
      <c r="F63" s="284" t="s">
        <v>365</v>
      </c>
      <c r="G63" s="286" t="str">
        <f t="shared" si="176"/>
        <v>[effect:enemy_message, val1:2.8, val2:3.4, dead_type:escape]</v>
      </c>
      <c r="H63" s="286">
        <f t="shared" si="177"/>
        <v>9</v>
      </c>
      <c r="I63" s="286">
        <f t="shared" si="178"/>
        <v>22</v>
      </c>
      <c r="J63" s="286" t="e">
        <f t="shared" si="179"/>
        <v>#VALUE!</v>
      </c>
      <c r="K63" s="286">
        <f t="shared" si="180"/>
        <v>32</v>
      </c>
      <c r="L63" s="286" t="str">
        <f>IFERROR(VLOOKUP(MID(G63,J63,K63-J63),[6]skilldef!$C:$D,2,FALSE),"-") &amp; " / " &amp; IFERROR(VLOOKUP(MID(G63,H63,I63-H63),[6]skilldef!$A:$B,2,FALSE),"-")</f>
        <v>- / -</v>
      </c>
      <c r="M63" s="286" t="str">
        <f t="shared" si="181"/>
        <v>none</v>
      </c>
      <c r="N63" s="285" t="str">
        <f t="shared" ref="N63:N71" si="191">IFERROR(LEFT(M63,FIND("],",M63)+S83),M63)</f>
        <v>none</v>
      </c>
      <c r="O63" s="286" t="e">
        <f t="shared" si="182"/>
        <v>#VALUE!</v>
      </c>
      <c r="P63" s="286">
        <f t="shared" si="183"/>
        <v>4</v>
      </c>
      <c r="Q63" s="286" t="e">
        <f t="shared" si="184"/>
        <v>#VALUE!</v>
      </c>
      <c r="R63" s="286" t="e">
        <f t="shared" si="185"/>
        <v>#VALUE!</v>
      </c>
      <c r="S63" s="286" t="str">
        <f>IFERROR(VLOOKUP(MID(N63,Q63,R63-Q63),[6]skilldef!$C:$D,2,FALSE),"-") &amp; " / " &amp; IFERROR(VLOOKUP(MID(N63,O63,P63-O63),[6]skilldef!$A:$B,2,FALSE),"-")</f>
        <v>- / -</v>
      </c>
      <c r="T63" s="285" t="str">
        <f t="shared" si="186"/>
        <v>none</v>
      </c>
      <c r="U63" s="286" t="e">
        <f t="shared" si="187"/>
        <v>#VALUE!</v>
      </c>
      <c r="V63" s="286">
        <f t="shared" si="188"/>
        <v>4</v>
      </c>
      <c r="W63" s="286" t="e">
        <f t="shared" si="189"/>
        <v>#VALUE!</v>
      </c>
      <c r="X63" s="286" t="e">
        <f t="shared" si="190"/>
        <v>#VALUE!</v>
      </c>
      <c r="Y63" s="286" t="str">
        <f>IFERROR(VLOOKUP(MID(T63,W63,X63-W63),[6]skilldef!$C:$D,2,FALSE),"-") &amp; " / " &amp; IFERROR(VLOOKUP(MID(T63,U63,V63-U63),[6]skilldef!$A:$B,2,FALSE),"-")</f>
        <v>- / -</v>
      </c>
      <c r="Z63" s="283"/>
      <c r="AA63" s="287"/>
      <c r="AB63" s="283"/>
    </row>
    <row r="64" spans="1:28" s="285" customFormat="1" ht="77" customHeight="1" x14ac:dyDescent="0.25">
      <c r="A64" s="261">
        <v>47015186</v>
      </c>
      <c r="B64" s="288" t="s">
        <v>490</v>
      </c>
      <c r="C64" s="233">
        <v>3</v>
      </c>
      <c r="D64" s="283" t="s">
        <v>127</v>
      </c>
      <c r="E64" s="284" t="s">
        <v>327</v>
      </c>
      <c r="F64" s="284" t="s">
        <v>365</v>
      </c>
      <c r="G64" s="286" t="str">
        <f t="shared" si="161"/>
        <v>[effect:enemy_message, val1:2.8, val2:3.4, dead_type:escape]</v>
      </c>
      <c r="H64" s="286">
        <f t="shared" si="162"/>
        <v>9</v>
      </c>
      <c r="I64" s="286">
        <f t="shared" si="163"/>
        <v>22</v>
      </c>
      <c r="J64" s="286" t="e">
        <f t="shared" si="164"/>
        <v>#VALUE!</v>
      </c>
      <c r="K64" s="286">
        <f t="shared" si="165"/>
        <v>32</v>
      </c>
      <c r="L64" s="286" t="str">
        <f>IFERROR(VLOOKUP(MID(G64,J64,K64-J64),[6]skilldef!$C:$D,2,FALSE),"-") &amp; " / " &amp; IFERROR(VLOOKUP(MID(G64,H64,I64-H64),[6]skilldef!$A:$B,2,FALSE),"-")</f>
        <v>- / -</v>
      </c>
      <c r="M64" s="286" t="str">
        <f t="shared" si="166"/>
        <v>none</v>
      </c>
      <c r="N64" s="285" t="str">
        <f t="shared" si="191"/>
        <v>none</v>
      </c>
      <c r="O64" s="286" t="e">
        <f t="shared" si="167"/>
        <v>#VALUE!</v>
      </c>
      <c r="P64" s="286">
        <f t="shared" si="168"/>
        <v>4</v>
      </c>
      <c r="Q64" s="286" t="e">
        <f t="shared" si="169"/>
        <v>#VALUE!</v>
      </c>
      <c r="R64" s="286" t="e">
        <f t="shared" si="170"/>
        <v>#VALUE!</v>
      </c>
      <c r="S64" s="286" t="str">
        <f>IFERROR(VLOOKUP(MID(N64,Q64,R64-Q64),[6]skilldef!$C:$D,2,FALSE),"-") &amp; " / " &amp; IFERROR(VLOOKUP(MID(N64,O64,P64-O64),[6]skilldef!$A:$B,2,FALSE),"-")</f>
        <v>- / -</v>
      </c>
      <c r="T64" s="285" t="str">
        <f t="shared" si="171"/>
        <v>none</v>
      </c>
      <c r="U64" s="286" t="e">
        <f t="shared" si="172"/>
        <v>#VALUE!</v>
      </c>
      <c r="V64" s="286">
        <f t="shared" si="173"/>
        <v>4</v>
      </c>
      <c r="W64" s="286" t="e">
        <f t="shared" si="174"/>
        <v>#VALUE!</v>
      </c>
      <c r="X64" s="286" t="e">
        <f t="shared" si="175"/>
        <v>#VALUE!</v>
      </c>
      <c r="Y64" s="286" t="str">
        <f>IFERROR(VLOOKUP(MID(T64,W64,X64-W64),[6]skilldef!$C:$D,2,FALSE),"-") &amp; " / " &amp; IFERROR(VLOOKUP(MID(T64,U64,V64-U64),[6]skilldef!$A:$B,2,FALSE),"-")</f>
        <v>- / -</v>
      </c>
      <c r="Z64" s="283"/>
      <c r="AA64" s="287"/>
      <c r="AB64" s="283"/>
    </row>
    <row r="65" spans="1:28" s="285" customFormat="1" ht="77" customHeight="1" x14ac:dyDescent="0.25">
      <c r="A65" s="261">
        <v>47015187</v>
      </c>
      <c r="B65" s="288" t="s">
        <v>490</v>
      </c>
      <c r="C65" s="233">
        <v>3</v>
      </c>
      <c r="D65" s="283" t="s">
        <v>127</v>
      </c>
      <c r="E65" s="284" t="s">
        <v>327</v>
      </c>
      <c r="F65" s="284" t="s">
        <v>365</v>
      </c>
      <c r="G65" s="286" t="str">
        <f t="shared" ref="G65:G68" si="192">IFERROR(LEFT(B65,FIND("],",B65)),B65)</f>
        <v>[effect:enemy_message, val1:2.8, val2:3.4, dead_type:escape]</v>
      </c>
      <c r="H65" s="286">
        <f t="shared" ref="H65:H68" si="193">FIND("effect:",G65)+7</f>
        <v>9</v>
      </c>
      <c r="I65" s="286">
        <f t="shared" ref="I65:I68" si="194">IFERROR(FIND(",",G65),LEN(G65))</f>
        <v>22</v>
      </c>
      <c r="J65" s="286" t="e">
        <f t="shared" ref="J65:J68" si="195">FIND("target:",G65)+7</f>
        <v>#VALUE!</v>
      </c>
      <c r="K65" s="286">
        <f t="shared" ref="K65:K68" si="196">FIND(",",G65,I65+1)</f>
        <v>32</v>
      </c>
      <c r="L65" s="286" t="str">
        <f>IFERROR(VLOOKUP(MID(G65,J65,K65-J65),[6]skilldef!$C:$D,2,FALSE),"-") &amp; " / " &amp; IFERROR(VLOOKUP(MID(G65,H65,I65-H65),[6]skilldef!$A:$B,2,FALSE),"-")</f>
        <v>- / -</v>
      </c>
      <c r="M65" s="286" t="str">
        <f t="shared" ref="M65:M68" si="197">IFERROR(RIGHT(B65,LEN(B65)-FIND("],",B65)-1),"none")</f>
        <v>none</v>
      </c>
      <c r="N65" s="285" t="str">
        <f t="shared" si="191"/>
        <v>none</v>
      </c>
      <c r="O65" s="286" t="e">
        <f t="shared" ref="O65:O68" si="198">FIND("effect:",N65)+7</f>
        <v>#VALUE!</v>
      </c>
      <c r="P65" s="286">
        <f t="shared" ref="P65:P68" si="199">IFERROR(FIND(",",N65),LEN(N65))</f>
        <v>4</v>
      </c>
      <c r="Q65" s="286" t="e">
        <f t="shared" ref="Q65:Q68" si="200">FIND("target:",N65)+7</f>
        <v>#VALUE!</v>
      </c>
      <c r="R65" s="286" t="e">
        <f t="shared" ref="R65:R68" si="201">FIND(",",N65,P65+1)</f>
        <v>#VALUE!</v>
      </c>
      <c r="S65" s="286" t="str">
        <f>IFERROR(VLOOKUP(MID(N65,Q65,R65-Q65),[6]skilldef!$C:$D,2,FALSE),"-") &amp; " / " &amp; IFERROR(VLOOKUP(MID(N65,O65,P65-O65),[6]skilldef!$A:$B,2,FALSE),"-")</f>
        <v>- / -</v>
      </c>
      <c r="T65" s="285" t="str">
        <f t="shared" ref="T65:T68" si="202">IFERROR(RIGHT(M65,LEN(M65)-FIND("],",M65)-1),"none")</f>
        <v>none</v>
      </c>
      <c r="U65" s="286" t="e">
        <f t="shared" ref="U65:U68" si="203">FIND("effect:",T65)+7</f>
        <v>#VALUE!</v>
      </c>
      <c r="V65" s="286">
        <f t="shared" ref="V65:V68" si="204">IFERROR(FIND(",",T65),LEN(T65))</f>
        <v>4</v>
      </c>
      <c r="W65" s="286" t="e">
        <f t="shared" ref="W65:W68" si="205">FIND("target:",T65)+7</f>
        <v>#VALUE!</v>
      </c>
      <c r="X65" s="286" t="e">
        <f t="shared" ref="X65:X68" si="206">FIND(",",T65,V65+1)</f>
        <v>#VALUE!</v>
      </c>
      <c r="Y65" s="286" t="str">
        <f>IFERROR(VLOOKUP(MID(T65,W65,X65-W65),[6]skilldef!$C:$D,2,FALSE),"-") &amp; " / " &amp; IFERROR(VLOOKUP(MID(T65,U65,V65-U65),[6]skilldef!$A:$B,2,FALSE),"-")</f>
        <v>- / -</v>
      </c>
      <c r="Z65" s="283"/>
      <c r="AA65" s="287"/>
      <c r="AB65" s="283"/>
    </row>
    <row r="66" spans="1:28" s="285" customFormat="1" ht="77" customHeight="1" x14ac:dyDescent="0.25">
      <c r="A66" s="261">
        <v>47015188</v>
      </c>
      <c r="B66" s="288" t="s">
        <v>490</v>
      </c>
      <c r="C66" s="233">
        <v>3</v>
      </c>
      <c r="D66" s="283" t="s">
        <v>127</v>
      </c>
      <c r="E66" s="284" t="s">
        <v>327</v>
      </c>
      <c r="F66" s="284" t="s">
        <v>365</v>
      </c>
      <c r="G66" s="286" t="str">
        <f t="shared" si="192"/>
        <v>[effect:enemy_message, val1:2.8, val2:3.4, dead_type:escape]</v>
      </c>
      <c r="H66" s="286">
        <f t="shared" si="193"/>
        <v>9</v>
      </c>
      <c r="I66" s="286">
        <f t="shared" si="194"/>
        <v>22</v>
      </c>
      <c r="J66" s="286" t="e">
        <f t="shared" si="195"/>
        <v>#VALUE!</v>
      </c>
      <c r="K66" s="286">
        <f t="shared" si="196"/>
        <v>32</v>
      </c>
      <c r="L66" s="286" t="str">
        <f>IFERROR(VLOOKUP(MID(G66,J66,K66-J66),[6]skilldef!$C:$D,2,FALSE),"-") &amp; " / " &amp; IFERROR(VLOOKUP(MID(G66,H66,I66-H66),[6]skilldef!$A:$B,2,FALSE),"-")</f>
        <v>- / -</v>
      </c>
      <c r="M66" s="286" t="str">
        <f t="shared" si="197"/>
        <v>none</v>
      </c>
      <c r="N66" s="285" t="str">
        <f t="shared" si="191"/>
        <v>none</v>
      </c>
      <c r="O66" s="286" t="e">
        <f t="shared" si="198"/>
        <v>#VALUE!</v>
      </c>
      <c r="P66" s="286">
        <f t="shared" si="199"/>
        <v>4</v>
      </c>
      <c r="Q66" s="286" t="e">
        <f t="shared" si="200"/>
        <v>#VALUE!</v>
      </c>
      <c r="R66" s="286" t="e">
        <f t="shared" si="201"/>
        <v>#VALUE!</v>
      </c>
      <c r="S66" s="286" t="str">
        <f>IFERROR(VLOOKUP(MID(N66,Q66,R66-Q66),[6]skilldef!$C:$D,2,FALSE),"-") &amp; " / " &amp; IFERROR(VLOOKUP(MID(N66,O66,P66-O66),[6]skilldef!$A:$B,2,FALSE),"-")</f>
        <v>- / -</v>
      </c>
      <c r="T66" s="285" t="str">
        <f t="shared" si="202"/>
        <v>none</v>
      </c>
      <c r="U66" s="286" t="e">
        <f t="shared" si="203"/>
        <v>#VALUE!</v>
      </c>
      <c r="V66" s="286">
        <f t="shared" si="204"/>
        <v>4</v>
      </c>
      <c r="W66" s="286" t="e">
        <f t="shared" si="205"/>
        <v>#VALUE!</v>
      </c>
      <c r="X66" s="286" t="e">
        <f t="shared" si="206"/>
        <v>#VALUE!</v>
      </c>
      <c r="Y66" s="286" t="str">
        <f>IFERROR(VLOOKUP(MID(T66,W66,X66-W66),[6]skilldef!$C:$D,2,FALSE),"-") &amp; " / " &amp; IFERROR(VLOOKUP(MID(T66,U66,V66-U66),[6]skilldef!$A:$B,2,FALSE),"-")</f>
        <v>- / -</v>
      </c>
      <c r="Z66" s="283"/>
      <c r="AA66" s="287"/>
      <c r="AB66" s="283"/>
    </row>
    <row r="67" spans="1:28" s="285" customFormat="1" ht="77" customHeight="1" x14ac:dyDescent="0.25">
      <c r="A67" s="261">
        <v>47015189</v>
      </c>
      <c r="B67" s="288" t="s">
        <v>490</v>
      </c>
      <c r="C67" s="233">
        <v>3</v>
      </c>
      <c r="D67" s="283" t="s">
        <v>127</v>
      </c>
      <c r="E67" s="284" t="s">
        <v>327</v>
      </c>
      <c r="F67" s="284" t="s">
        <v>365</v>
      </c>
      <c r="G67" s="286" t="str">
        <f t="shared" si="192"/>
        <v>[effect:enemy_message, val1:2.8, val2:3.4, dead_type:escape]</v>
      </c>
      <c r="H67" s="286">
        <f t="shared" si="193"/>
        <v>9</v>
      </c>
      <c r="I67" s="286">
        <f t="shared" si="194"/>
        <v>22</v>
      </c>
      <c r="J67" s="286" t="e">
        <f t="shared" si="195"/>
        <v>#VALUE!</v>
      </c>
      <c r="K67" s="286">
        <f t="shared" si="196"/>
        <v>32</v>
      </c>
      <c r="L67" s="286" t="str">
        <f>IFERROR(VLOOKUP(MID(G67,J67,K67-J67),[6]skilldef!$C:$D,2,FALSE),"-") &amp; " / " &amp; IFERROR(VLOOKUP(MID(G67,H67,I67-H67),[6]skilldef!$A:$B,2,FALSE),"-")</f>
        <v>- / -</v>
      </c>
      <c r="M67" s="286" t="str">
        <f t="shared" si="197"/>
        <v>none</v>
      </c>
      <c r="N67" s="285" t="str">
        <f t="shared" si="191"/>
        <v>none</v>
      </c>
      <c r="O67" s="286" t="e">
        <f t="shared" si="198"/>
        <v>#VALUE!</v>
      </c>
      <c r="P67" s="286">
        <f t="shared" si="199"/>
        <v>4</v>
      </c>
      <c r="Q67" s="286" t="e">
        <f t="shared" si="200"/>
        <v>#VALUE!</v>
      </c>
      <c r="R67" s="286" t="e">
        <f t="shared" si="201"/>
        <v>#VALUE!</v>
      </c>
      <c r="S67" s="286" t="str">
        <f>IFERROR(VLOOKUP(MID(N67,Q67,R67-Q67),[6]skilldef!$C:$D,2,FALSE),"-") &amp; " / " &amp; IFERROR(VLOOKUP(MID(N67,O67,P67-O67),[6]skilldef!$A:$B,2,FALSE),"-")</f>
        <v>- / -</v>
      </c>
      <c r="T67" s="285" t="str">
        <f t="shared" si="202"/>
        <v>none</v>
      </c>
      <c r="U67" s="286" t="e">
        <f t="shared" si="203"/>
        <v>#VALUE!</v>
      </c>
      <c r="V67" s="286">
        <f t="shared" si="204"/>
        <v>4</v>
      </c>
      <c r="W67" s="286" t="e">
        <f t="shared" si="205"/>
        <v>#VALUE!</v>
      </c>
      <c r="X67" s="286" t="e">
        <f t="shared" si="206"/>
        <v>#VALUE!</v>
      </c>
      <c r="Y67" s="286" t="str">
        <f>IFERROR(VLOOKUP(MID(T67,W67,X67-W67),[6]skilldef!$C:$D,2,FALSE),"-") &amp; " / " &amp; IFERROR(VLOOKUP(MID(T67,U67,V67-U67),[6]skilldef!$A:$B,2,FALSE),"-")</f>
        <v>- / -</v>
      </c>
      <c r="Z67" s="283"/>
      <c r="AA67" s="287"/>
      <c r="AB67" s="283"/>
    </row>
    <row r="68" spans="1:28" s="285" customFormat="1" ht="77" customHeight="1" x14ac:dyDescent="0.25">
      <c r="A68" s="261">
        <v>47015190</v>
      </c>
      <c r="B68" s="288" t="s">
        <v>491</v>
      </c>
      <c r="C68" s="233">
        <v>3</v>
      </c>
      <c r="D68" s="283" t="s">
        <v>127</v>
      </c>
      <c r="E68" s="284" t="s">
        <v>361</v>
      </c>
      <c r="F68" s="285" t="s">
        <v>334</v>
      </c>
      <c r="G68" s="286" t="str">
        <f t="shared" si="192"/>
        <v>[effect:enemy_message, val1:1.7, val2:2.2, dead_type:escape]</v>
      </c>
      <c r="H68" s="286">
        <f t="shared" si="193"/>
        <v>9</v>
      </c>
      <c r="I68" s="286">
        <f t="shared" si="194"/>
        <v>22</v>
      </c>
      <c r="J68" s="286" t="e">
        <f t="shared" si="195"/>
        <v>#VALUE!</v>
      </c>
      <c r="K68" s="286">
        <f t="shared" si="196"/>
        <v>32</v>
      </c>
      <c r="L68" s="286" t="str">
        <f>IFERROR(VLOOKUP(MID(G68,J68,K68-J68),[6]skilldef!$C:$D,2,FALSE),"-") &amp; " / " &amp; IFERROR(VLOOKUP(MID(G68,H68,I68-H68),[6]skilldef!$A:$B,2,FALSE),"-")</f>
        <v>- / -</v>
      </c>
      <c r="M68" s="286" t="str">
        <f t="shared" si="197"/>
        <v>none</v>
      </c>
      <c r="N68" s="285" t="str">
        <f t="shared" si="191"/>
        <v>none</v>
      </c>
      <c r="O68" s="286" t="e">
        <f t="shared" si="198"/>
        <v>#VALUE!</v>
      </c>
      <c r="P68" s="286">
        <f t="shared" si="199"/>
        <v>4</v>
      </c>
      <c r="Q68" s="286" t="e">
        <f t="shared" si="200"/>
        <v>#VALUE!</v>
      </c>
      <c r="R68" s="286" t="e">
        <f t="shared" si="201"/>
        <v>#VALUE!</v>
      </c>
      <c r="S68" s="286" t="str">
        <f>IFERROR(VLOOKUP(MID(N68,Q68,R68-Q68),[6]skilldef!$C:$D,2,FALSE),"-") &amp; " / " &amp; IFERROR(VLOOKUP(MID(N68,O68,P68-O68),[6]skilldef!$A:$B,2,FALSE),"-")</f>
        <v>- / -</v>
      </c>
      <c r="T68" s="285" t="str">
        <f t="shared" si="202"/>
        <v>none</v>
      </c>
      <c r="U68" s="286" t="e">
        <f t="shared" si="203"/>
        <v>#VALUE!</v>
      </c>
      <c r="V68" s="286">
        <f t="shared" si="204"/>
        <v>4</v>
      </c>
      <c r="W68" s="286" t="e">
        <f t="shared" si="205"/>
        <v>#VALUE!</v>
      </c>
      <c r="X68" s="286" t="e">
        <f t="shared" si="206"/>
        <v>#VALUE!</v>
      </c>
      <c r="Y68" s="286" t="str">
        <f>IFERROR(VLOOKUP(MID(T68,W68,X68-W68),[6]skilldef!$C:$D,2,FALSE),"-") &amp; " / " &amp; IFERROR(VLOOKUP(MID(T68,U68,V68-U68),[6]skilldef!$A:$B,2,FALSE),"-")</f>
        <v>- / -</v>
      </c>
      <c r="Z68" s="283"/>
      <c r="AA68" s="287"/>
      <c r="AB68" s="283"/>
    </row>
    <row r="69" spans="1:28" s="285" customFormat="1" ht="77" customHeight="1" x14ac:dyDescent="0.25">
      <c r="A69" s="261">
        <v>47015191</v>
      </c>
      <c r="B69" s="288" t="s">
        <v>491</v>
      </c>
      <c r="C69" s="233">
        <v>3</v>
      </c>
      <c r="D69" s="283" t="s">
        <v>127</v>
      </c>
      <c r="E69" s="284" t="s">
        <v>361</v>
      </c>
      <c r="F69" s="285" t="s">
        <v>334</v>
      </c>
      <c r="G69" s="286" t="str">
        <f t="shared" ref="G69:G136" si="207">IFERROR(LEFT(B69,FIND("],",B69)),B69)</f>
        <v>[effect:enemy_message, val1:1.7, val2:2.2, dead_type:escape]</v>
      </c>
      <c r="H69" s="286">
        <f t="shared" ref="H69:H136" si="208">FIND("effect:",G69)+7</f>
        <v>9</v>
      </c>
      <c r="I69" s="286">
        <f t="shared" ref="I69:I136" si="209">IFERROR(FIND(",",G69),LEN(G69))</f>
        <v>22</v>
      </c>
      <c r="J69" s="286" t="e">
        <f t="shared" ref="J69:J136" si="210">FIND("target:",G69)+7</f>
        <v>#VALUE!</v>
      </c>
      <c r="K69" s="286">
        <f t="shared" ref="K69:K136" si="211">FIND(",",G69,I69+1)</f>
        <v>32</v>
      </c>
      <c r="L69" s="286" t="str">
        <f>IFERROR(VLOOKUP(MID(G69,J69,K69-J69),[6]skilldef!$C:$D,2,FALSE),"-") &amp; " / " &amp; IFERROR(VLOOKUP(MID(G69,H69,I69-H69),[6]skilldef!$A:$B,2,FALSE),"-")</f>
        <v>- / -</v>
      </c>
      <c r="M69" s="286" t="str">
        <f t="shared" ref="M69:M136" si="212">IFERROR(RIGHT(B69,LEN(B69)-FIND("],",B69)-1),"none")</f>
        <v>none</v>
      </c>
      <c r="N69" s="285" t="str">
        <f t="shared" si="191"/>
        <v>none</v>
      </c>
      <c r="O69" s="286" t="e">
        <f t="shared" ref="O69:O136" si="213">FIND("effect:",N69)+7</f>
        <v>#VALUE!</v>
      </c>
      <c r="P69" s="286">
        <f t="shared" ref="P69:P136" si="214">IFERROR(FIND(",",N69),LEN(N69))</f>
        <v>4</v>
      </c>
      <c r="Q69" s="286" t="e">
        <f t="shared" ref="Q69:Q136" si="215">FIND("target:",N69)+7</f>
        <v>#VALUE!</v>
      </c>
      <c r="R69" s="286" t="e">
        <f t="shared" ref="R69:R136" si="216">FIND(",",N69,P69+1)</f>
        <v>#VALUE!</v>
      </c>
      <c r="S69" s="286" t="str">
        <f>IFERROR(VLOOKUP(MID(N69,Q69,R69-Q69),[6]skilldef!$C:$D,2,FALSE),"-") &amp; " / " &amp; IFERROR(VLOOKUP(MID(N69,O69,P69-O69),[6]skilldef!$A:$B,2,FALSE),"-")</f>
        <v>- / -</v>
      </c>
      <c r="T69" s="285" t="str">
        <f t="shared" ref="T69:T136" si="217">IFERROR(RIGHT(M69,LEN(M69)-FIND("],",M69)-1),"none")</f>
        <v>none</v>
      </c>
      <c r="U69" s="286" t="e">
        <f t="shared" ref="U69:U136" si="218">FIND("effect:",T69)+7</f>
        <v>#VALUE!</v>
      </c>
      <c r="V69" s="286">
        <f t="shared" ref="V69:V136" si="219">IFERROR(FIND(",",T69),LEN(T69))</f>
        <v>4</v>
      </c>
      <c r="W69" s="286" t="e">
        <f t="shared" ref="W69:W136" si="220">FIND("target:",T69)+7</f>
        <v>#VALUE!</v>
      </c>
      <c r="X69" s="286" t="e">
        <f t="shared" ref="X69:X136" si="221">FIND(",",T69,V69+1)</f>
        <v>#VALUE!</v>
      </c>
      <c r="Y69" s="286" t="str">
        <f>IFERROR(VLOOKUP(MID(T69,W69,X69-W69),[6]skilldef!$C:$D,2,FALSE),"-") &amp; " / " &amp; IFERROR(VLOOKUP(MID(T69,U69,V69-U69),[6]skilldef!$A:$B,2,FALSE),"-")</f>
        <v>- / -</v>
      </c>
      <c r="Z69" s="283"/>
      <c r="AA69" s="287"/>
      <c r="AB69" s="283"/>
    </row>
    <row r="70" spans="1:28" s="285" customFormat="1" ht="77" customHeight="1" x14ac:dyDescent="0.25">
      <c r="A70" s="261">
        <v>47015192</v>
      </c>
      <c r="B70" s="288" t="s">
        <v>491</v>
      </c>
      <c r="C70" s="233">
        <v>3</v>
      </c>
      <c r="D70" s="283" t="s">
        <v>127</v>
      </c>
      <c r="E70" s="284" t="s">
        <v>361</v>
      </c>
      <c r="F70" s="285" t="s">
        <v>334</v>
      </c>
      <c r="G70" s="286" t="str">
        <f t="shared" si="207"/>
        <v>[effect:enemy_message, val1:1.7, val2:2.2, dead_type:escape]</v>
      </c>
      <c r="H70" s="286">
        <f t="shared" si="208"/>
        <v>9</v>
      </c>
      <c r="I70" s="286">
        <f t="shared" si="209"/>
        <v>22</v>
      </c>
      <c r="J70" s="286" t="e">
        <f t="shared" si="210"/>
        <v>#VALUE!</v>
      </c>
      <c r="K70" s="286">
        <f t="shared" si="211"/>
        <v>32</v>
      </c>
      <c r="L70" s="286" t="str">
        <f>IFERROR(VLOOKUP(MID(G70,J70,K70-J70),[6]skilldef!$C:$D,2,FALSE),"-") &amp; " / " &amp; IFERROR(VLOOKUP(MID(G70,H70,I70-H70),[6]skilldef!$A:$B,2,FALSE),"-")</f>
        <v>- / -</v>
      </c>
      <c r="M70" s="286" t="str">
        <f t="shared" si="212"/>
        <v>none</v>
      </c>
      <c r="N70" s="285" t="str">
        <f t="shared" si="191"/>
        <v>none</v>
      </c>
      <c r="O70" s="286" t="e">
        <f t="shared" si="213"/>
        <v>#VALUE!</v>
      </c>
      <c r="P70" s="286">
        <f t="shared" si="214"/>
        <v>4</v>
      </c>
      <c r="Q70" s="286" t="e">
        <f t="shared" si="215"/>
        <v>#VALUE!</v>
      </c>
      <c r="R70" s="286" t="e">
        <f t="shared" si="216"/>
        <v>#VALUE!</v>
      </c>
      <c r="S70" s="286" t="str">
        <f>IFERROR(VLOOKUP(MID(N70,Q70,R70-Q70),[6]skilldef!$C:$D,2,FALSE),"-") &amp; " / " &amp; IFERROR(VLOOKUP(MID(N70,O70,P70-O70),[6]skilldef!$A:$B,2,FALSE),"-")</f>
        <v>- / -</v>
      </c>
      <c r="T70" s="285" t="str">
        <f t="shared" si="217"/>
        <v>none</v>
      </c>
      <c r="U70" s="286" t="e">
        <f t="shared" si="218"/>
        <v>#VALUE!</v>
      </c>
      <c r="V70" s="286">
        <f t="shared" si="219"/>
        <v>4</v>
      </c>
      <c r="W70" s="286" t="e">
        <f t="shared" si="220"/>
        <v>#VALUE!</v>
      </c>
      <c r="X70" s="286" t="e">
        <f t="shared" si="221"/>
        <v>#VALUE!</v>
      </c>
      <c r="Y70" s="286" t="str">
        <f>IFERROR(VLOOKUP(MID(T70,W70,X70-W70),[6]skilldef!$C:$D,2,FALSE),"-") &amp; " / " &amp; IFERROR(VLOOKUP(MID(T70,U70,V70-U70),[6]skilldef!$A:$B,2,FALSE),"-")</f>
        <v>- / -</v>
      </c>
      <c r="Z70" s="283"/>
      <c r="AA70" s="287"/>
      <c r="AB70" s="283"/>
    </row>
    <row r="71" spans="1:28" s="285" customFormat="1" ht="77" customHeight="1" x14ac:dyDescent="0.25">
      <c r="A71" s="261">
        <v>47015193</v>
      </c>
      <c r="B71" s="288" t="s">
        <v>491</v>
      </c>
      <c r="C71" s="233">
        <v>3</v>
      </c>
      <c r="D71" s="283" t="s">
        <v>127</v>
      </c>
      <c r="E71" s="284" t="s">
        <v>361</v>
      </c>
      <c r="F71" s="285" t="s">
        <v>334</v>
      </c>
      <c r="G71" s="286" t="str">
        <f t="shared" ref="G71:G72" si="222">IFERROR(LEFT(B71,FIND("],",B71)),B71)</f>
        <v>[effect:enemy_message, val1:1.7, val2:2.2, dead_type:escape]</v>
      </c>
      <c r="H71" s="286">
        <f t="shared" ref="H71:H73" si="223">FIND("effect:",G71)+7</f>
        <v>9</v>
      </c>
      <c r="I71" s="286">
        <f t="shared" ref="I71:I73" si="224">IFERROR(FIND(",",G71),LEN(G71))</f>
        <v>22</v>
      </c>
      <c r="J71" s="286" t="e">
        <f t="shared" ref="J71:J73" si="225">FIND("target:",G71)+7</f>
        <v>#VALUE!</v>
      </c>
      <c r="K71" s="286">
        <f t="shared" ref="K71:K73" si="226">FIND(",",G71,I71+1)</f>
        <v>32</v>
      </c>
      <c r="L71" s="286" t="str">
        <f>IFERROR(VLOOKUP(MID(G71,J71,K71-J71),[6]skilldef!$C:$D,2,FALSE),"-") &amp; " / " &amp; IFERROR(VLOOKUP(MID(G71,H71,I71-H71),[6]skilldef!$A:$B,2,FALSE),"-")</f>
        <v>- / -</v>
      </c>
      <c r="M71" s="286" t="str">
        <f t="shared" ref="M71:M72" si="227">IFERROR(RIGHT(B71,LEN(B71)-FIND("],",B71)-1),"none")</f>
        <v>none</v>
      </c>
      <c r="N71" s="285" t="str">
        <f t="shared" si="191"/>
        <v>none</v>
      </c>
      <c r="O71" s="286" t="e">
        <f t="shared" ref="O71:O73" si="228">FIND("effect:",N71)+7</f>
        <v>#VALUE!</v>
      </c>
      <c r="P71" s="286">
        <f t="shared" ref="P71:P73" si="229">IFERROR(FIND(",",N71),LEN(N71))</f>
        <v>4</v>
      </c>
      <c r="Q71" s="286" t="e">
        <f t="shared" ref="Q71:Q73" si="230">FIND("target:",N71)+7</f>
        <v>#VALUE!</v>
      </c>
      <c r="R71" s="286" t="e">
        <f t="shared" ref="R71:R73" si="231">FIND(",",N71,P71+1)</f>
        <v>#VALUE!</v>
      </c>
      <c r="S71" s="286" t="str">
        <f>IFERROR(VLOOKUP(MID(N71,Q71,R71-Q71),[6]skilldef!$C:$D,2,FALSE),"-") &amp; " / " &amp; IFERROR(VLOOKUP(MID(N71,O71,P71-O71),[6]skilldef!$A:$B,2,FALSE),"-")</f>
        <v>- / -</v>
      </c>
      <c r="T71" s="285" t="str">
        <f t="shared" ref="T71:T73" si="232">IFERROR(RIGHT(M71,LEN(M71)-FIND("],",M71)-1),"none")</f>
        <v>none</v>
      </c>
      <c r="U71" s="286" t="e">
        <f t="shared" ref="U71:U73" si="233">FIND("effect:",T71)+7</f>
        <v>#VALUE!</v>
      </c>
      <c r="V71" s="286">
        <f t="shared" ref="V71:V73" si="234">IFERROR(FIND(",",T71),LEN(T71))</f>
        <v>4</v>
      </c>
      <c r="W71" s="286" t="e">
        <f t="shared" ref="W71:W73" si="235">FIND("target:",T71)+7</f>
        <v>#VALUE!</v>
      </c>
      <c r="X71" s="286" t="e">
        <f t="shared" ref="X71:X73" si="236">FIND(",",T71,V71+1)</f>
        <v>#VALUE!</v>
      </c>
      <c r="Y71" s="286" t="str">
        <f>IFERROR(VLOOKUP(MID(T71,W71,X71-W71),[6]skilldef!$C:$D,2,FALSE),"-") &amp; " / " &amp; IFERROR(VLOOKUP(MID(T71,U71,V71-U71),[6]skilldef!$A:$B,2,FALSE),"-")</f>
        <v>- / -</v>
      </c>
      <c r="Z71" s="283"/>
      <c r="AA71" s="287"/>
      <c r="AB71" s="283"/>
    </row>
    <row r="72" spans="1:28" ht="77" customHeight="1" x14ac:dyDescent="0.25">
      <c r="A72" s="259">
        <v>47015200</v>
      </c>
      <c r="B72" s="291" t="s">
        <v>377</v>
      </c>
      <c r="C72" s="233">
        <v>3</v>
      </c>
      <c r="D72" s="233" t="s">
        <v>127</v>
      </c>
      <c r="E72" s="234" t="s">
        <v>282</v>
      </c>
      <c r="F72" s="271" t="s">
        <v>369</v>
      </c>
      <c r="G72" s="235" t="str">
        <f t="shared" si="222"/>
        <v>[effect:enemy_message, val1:2.2, val2:1.9]</v>
      </c>
      <c r="H72" s="235">
        <f t="shared" si="223"/>
        <v>9</v>
      </c>
      <c r="I72" s="235">
        <f t="shared" si="224"/>
        <v>22</v>
      </c>
      <c r="J72" s="235" t="e">
        <f t="shared" si="225"/>
        <v>#VALUE!</v>
      </c>
      <c r="K72" s="235">
        <f t="shared" si="226"/>
        <v>32</v>
      </c>
      <c r="L72" s="235" t="str">
        <f>IFERROR(VLOOKUP(MID(G72,J72,K72-J72),[6]skilldef!$C:$D,2,FALSE),"-") &amp; " / " &amp; IFERROR(VLOOKUP(MID(G72,H72,I72-H72),[6]skilldef!$A:$B,2,FALSE),"-")</f>
        <v>- / -</v>
      </c>
      <c r="M72" s="235" t="str">
        <f t="shared" si="227"/>
        <v>[effect:sp_boost, target:unit_all, val:2, animation:sp_boost_one02]</v>
      </c>
      <c r="N72" s="236" t="str">
        <f t="shared" ref="N72:N77" si="237">IFERROR(LEFT(M72,FIND("],",M72)+S85),M72)</f>
        <v>[effect:sp_boost, target:unit_all, val:2, animation:sp_boost_one02]</v>
      </c>
      <c r="O72" s="235">
        <f t="shared" si="228"/>
        <v>9</v>
      </c>
      <c r="P72" s="235">
        <f t="shared" si="229"/>
        <v>17</v>
      </c>
      <c r="Q72" s="235">
        <f t="shared" si="230"/>
        <v>26</v>
      </c>
      <c r="R72" s="235">
        <f t="shared" si="231"/>
        <v>34</v>
      </c>
      <c r="S72" s="235" t="str">
        <f>IFERROR(VLOOKUP(MID(N72,Q72,R72-Q72),[6]skilldef!$C:$D,2,FALSE),"-") &amp; " / " &amp; IFERROR(VLOOKUP(MID(N72,O72,P72-O72),[6]skilldef!$A:$B,2,FALSE),"-")</f>
        <v>味方全体に / -</v>
      </c>
      <c r="T72" s="236" t="str">
        <f t="shared" si="232"/>
        <v>none</v>
      </c>
      <c r="U72" s="235" t="e">
        <f t="shared" si="233"/>
        <v>#VALUE!</v>
      </c>
      <c r="V72" s="235">
        <f t="shared" si="234"/>
        <v>4</v>
      </c>
      <c r="W72" s="235" t="e">
        <f t="shared" si="235"/>
        <v>#VALUE!</v>
      </c>
      <c r="X72" s="235" t="e">
        <f t="shared" si="236"/>
        <v>#VALUE!</v>
      </c>
      <c r="Y72" s="235" t="str">
        <f>IFERROR(VLOOKUP(MID(T72,W72,X72-W72),[6]skilldef!$C:$D,2,FALSE),"-") &amp; " / " &amp; IFERROR(VLOOKUP(MID(T72,U72,V72-U72),[6]skilldef!$A:$B,2,FALSE),"-")</f>
        <v>- / -</v>
      </c>
      <c r="Z72" s="233"/>
      <c r="AA72" s="237"/>
      <c r="AB72" s="233"/>
    </row>
    <row r="73" spans="1:28" ht="77" customHeight="1" x14ac:dyDescent="0.25">
      <c r="A73" s="260">
        <v>47015201</v>
      </c>
      <c r="B73" s="291" t="s">
        <v>377</v>
      </c>
      <c r="C73" s="233">
        <v>3</v>
      </c>
      <c r="D73" s="233" t="s">
        <v>127</v>
      </c>
      <c r="E73" s="234" t="s">
        <v>282</v>
      </c>
      <c r="F73" s="271" t="s">
        <v>369</v>
      </c>
      <c r="G73" s="235" t="str">
        <f>IFERROR(LEFT(B75,FIND("],",B75)),B75)</f>
        <v>[effect:enemy_message, val1:1.2, val2:1.6]</v>
      </c>
      <c r="H73" s="235">
        <f t="shared" si="223"/>
        <v>9</v>
      </c>
      <c r="I73" s="235">
        <f t="shared" si="224"/>
        <v>22</v>
      </c>
      <c r="J73" s="235" t="e">
        <f t="shared" si="225"/>
        <v>#VALUE!</v>
      </c>
      <c r="K73" s="235">
        <f t="shared" si="226"/>
        <v>32</v>
      </c>
      <c r="L73" s="235" t="str">
        <f>IFERROR(VLOOKUP(MID(G73,J73,K73-J73),[6]skilldef!$C:$D,2,FALSE),"-") &amp; " / " &amp; IFERROR(VLOOKUP(MID(G73,H73,I73-H73),[6]skilldef!$A:$B,2,FALSE),"-")</f>
        <v>- / -</v>
      </c>
      <c r="M73" s="235" t="str">
        <f>IFERROR(RIGHT(B75,LEN(B75)-FIND("],",B75)-1),"none")</f>
        <v>[effect:damage_anti_tribe, target:unit_one, tribe:god, val1:2, val2:0.8]</v>
      </c>
      <c r="N73" s="236" t="str">
        <f t="shared" si="237"/>
        <v>[effect:damage_anti_tribe, target:unit_one, tribe:god, val1:2, val2:0.8]</v>
      </c>
      <c r="O73" s="235">
        <f t="shared" si="228"/>
        <v>9</v>
      </c>
      <c r="P73" s="235">
        <f t="shared" si="229"/>
        <v>26</v>
      </c>
      <c r="Q73" s="235">
        <f t="shared" si="230"/>
        <v>35</v>
      </c>
      <c r="R73" s="235">
        <f t="shared" si="231"/>
        <v>43</v>
      </c>
      <c r="S73" s="235" t="str">
        <f>IFERROR(VLOOKUP(MID(N73,Q73,R73-Q73),[6]skilldef!$C:$D,2,FALSE),"-") &amp; " / " &amp; IFERROR(VLOOKUP(MID(N73,O73,P73-O73),[6]skilldef!$A:$B,2,FALSE),"-")</f>
        <v>味方単体に / 種族キラー</v>
      </c>
      <c r="T73" s="236" t="str">
        <f t="shared" si="232"/>
        <v>none</v>
      </c>
      <c r="U73" s="235" t="e">
        <f t="shared" si="233"/>
        <v>#VALUE!</v>
      </c>
      <c r="V73" s="235">
        <f t="shared" si="234"/>
        <v>4</v>
      </c>
      <c r="W73" s="235" t="e">
        <f t="shared" si="235"/>
        <v>#VALUE!</v>
      </c>
      <c r="X73" s="235" t="e">
        <f t="shared" si="236"/>
        <v>#VALUE!</v>
      </c>
      <c r="Y73" s="235" t="str">
        <f>IFERROR(VLOOKUP(MID(T73,W73,X73-W73),[6]skilldef!$C:$D,2,FALSE),"-") &amp; " / " &amp; IFERROR(VLOOKUP(MID(T73,U73,V73-U73),[6]skilldef!$A:$B,2,FALSE),"-")</f>
        <v>- / -</v>
      </c>
      <c r="Z73" s="233"/>
      <c r="AA73" s="237"/>
      <c r="AB73" s="233"/>
    </row>
    <row r="74" spans="1:28" ht="77" customHeight="1" x14ac:dyDescent="0.25">
      <c r="A74" s="259">
        <v>47015202</v>
      </c>
      <c r="B74" s="289" t="s">
        <v>378</v>
      </c>
      <c r="C74" s="233">
        <v>3</v>
      </c>
      <c r="D74" s="233" t="s">
        <v>127</v>
      </c>
      <c r="E74" s="234" t="s">
        <v>349</v>
      </c>
      <c r="F74" s="271" t="s">
        <v>370</v>
      </c>
      <c r="G74" s="235" t="str">
        <f t="shared" si="207"/>
        <v>[effect:enemy_message, val1:1.2, val2:2.0]</v>
      </c>
      <c r="H74" s="235">
        <f t="shared" si="208"/>
        <v>9</v>
      </c>
      <c r="I74" s="235">
        <f t="shared" si="209"/>
        <v>22</v>
      </c>
      <c r="J74" s="235" t="e">
        <f t="shared" si="210"/>
        <v>#VALUE!</v>
      </c>
      <c r="K74" s="235">
        <f t="shared" si="211"/>
        <v>32</v>
      </c>
      <c r="L74" s="235" t="str">
        <f>IFERROR(VLOOKUP(MID(G74,J74,K74-J74),[6]skilldef!$C:$D,2,FALSE),"-") &amp; " / " &amp; IFERROR(VLOOKUP(MID(G74,H74,I74-H74),[6]skilldef!$A:$B,2,FALSE),"-")</f>
        <v>- / -</v>
      </c>
      <c r="M74" s="235" t="str">
        <f t="shared" si="212"/>
        <v>[effect:degrade_unit, target:unit_all, turn:5, status:heal, val:0.2, calc:mul, animation:degrade_unit_all_heal]</v>
      </c>
      <c r="N74" s="236" t="str">
        <f t="shared" si="237"/>
        <v>[effect:degrade_unit, target:unit_all, turn:5, status:heal, val:0.2, calc:mul, animation:degrade_unit_all_heal]</v>
      </c>
      <c r="O74" s="235">
        <f t="shared" si="213"/>
        <v>9</v>
      </c>
      <c r="P74" s="235">
        <f t="shared" si="214"/>
        <v>21</v>
      </c>
      <c r="Q74" s="235">
        <f t="shared" si="215"/>
        <v>30</v>
      </c>
      <c r="R74" s="235">
        <f t="shared" si="216"/>
        <v>38</v>
      </c>
      <c r="S74" s="235" t="str">
        <f>IFERROR(VLOOKUP(MID(N74,Q74,R74-Q74),[6]skilldef!$C:$D,2,FALSE),"-") &amp; " / " &amp; IFERROR(VLOOKUP(MID(N74,O74,P74-O74),[6]skilldef!$A:$B,2,FALSE),"-")</f>
        <v>味方全体に / ステータスDOWN</v>
      </c>
      <c r="T74" s="236" t="str">
        <f t="shared" si="217"/>
        <v>none</v>
      </c>
      <c r="U74" s="235" t="e">
        <f t="shared" si="218"/>
        <v>#VALUE!</v>
      </c>
      <c r="V74" s="235">
        <f t="shared" si="219"/>
        <v>4</v>
      </c>
      <c r="W74" s="235" t="e">
        <f t="shared" si="220"/>
        <v>#VALUE!</v>
      </c>
      <c r="X74" s="235" t="e">
        <f t="shared" si="221"/>
        <v>#VALUE!</v>
      </c>
      <c r="Y74" s="235" t="str">
        <f>IFERROR(VLOOKUP(MID(T74,W74,X74-W74),[6]skilldef!$C:$D,2,FALSE),"-") &amp; " / " &amp; IFERROR(VLOOKUP(MID(T74,U74,V74-U74),[6]skilldef!$A:$B,2,FALSE),"-")</f>
        <v>- / -</v>
      </c>
      <c r="Z74" s="233"/>
      <c r="AA74" s="237"/>
      <c r="AB74" s="233"/>
    </row>
    <row r="75" spans="1:28" ht="77" customHeight="1" x14ac:dyDescent="0.25">
      <c r="A75" s="260">
        <v>47015203</v>
      </c>
      <c r="B75" s="289" t="s">
        <v>379</v>
      </c>
      <c r="C75" s="233">
        <v>3</v>
      </c>
      <c r="D75" s="233" t="s">
        <v>127</v>
      </c>
      <c r="E75" s="234" t="s">
        <v>259</v>
      </c>
      <c r="F75" s="271" t="s">
        <v>372</v>
      </c>
      <c r="G75" s="235" t="str">
        <f>IFERROR(LEFT(B77,FIND("],",B77)),B77)</f>
        <v>[effect:enemy_message, val1:1.2, val2:1.3]</v>
      </c>
      <c r="H75" s="235">
        <f t="shared" si="208"/>
        <v>9</v>
      </c>
      <c r="I75" s="235">
        <f t="shared" si="209"/>
        <v>22</v>
      </c>
      <c r="J75" s="235" t="e">
        <f t="shared" si="210"/>
        <v>#VALUE!</v>
      </c>
      <c r="K75" s="235">
        <f t="shared" si="211"/>
        <v>32</v>
      </c>
      <c r="L75" s="235" t="str">
        <f>IFERROR(VLOOKUP(MID(G75,J75,K75-J75),[6]skilldef!$C:$D,2,FALSE),"-") &amp; " / " &amp; IFERROR(VLOOKUP(MID(G75,H75,I75-H75),[6]skilldef!$A:$B,2,FALSE),"-")</f>
        <v>- / -</v>
      </c>
      <c r="M75" s="235" t="str">
        <f>IFERROR(RIGHT(B77,LEN(B77)-FIND("],",B77)-1),"none")</f>
        <v>[effect:enhance_enemy, target:enemy_all, turn:3, status:attack, val:0.2, calc:mul, animation:enemy_enhance_attack]</v>
      </c>
      <c r="N75" s="236" t="str">
        <f t="shared" si="237"/>
        <v>[effect:enhance_enemy, target:enemy_all, turn:3, status:attack, val:0.2, calc:mul, animation:enemy_enhance_attack]</v>
      </c>
      <c r="O75" s="235">
        <f t="shared" si="213"/>
        <v>9</v>
      </c>
      <c r="P75" s="235">
        <f t="shared" si="214"/>
        <v>22</v>
      </c>
      <c r="Q75" s="235">
        <f t="shared" si="215"/>
        <v>31</v>
      </c>
      <c r="R75" s="235">
        <f t="shared" si="216"/>
        <v>40</v>
      </c>
      <c r="S75" s="235" t="str">
        <f>IFERROR(VLOOKUP(MID(N75,Q75,R75-Q75),[6]skilldef!$C:$D,2,FALSE),"-") &amp; " / " &amp; IFERROR(VLOOKUP(MID(N75,O75,P75-O75),[6]skilldef!$A:$B,2,FALSE),"-")</f>
        <v>敵全体に / ステータス強化</v>
      </c>
      <c r="T75" s="236" t="str">
        <f t="shared" si="217"/>
        <v>none</v>
      </c>
      <c r="U75" s="235" t="e">
        <f t="shared" si="218"/>
        <v>#VALUE!</v>
      </c>
      <c r="V75" s="235">
        <f t="shared" si="219"/>
        <v>4</v>
      </c>
      <c r="W75" s="235" t="e">
        <f t="shared" si="220"/>
        <v>#VALUE!</v>
      </c>
      <c r="X75" s="235" t="e">
        <f t="shared" si="221"/>
        <v>#VALUE!</v>
      </c>
      <c r="Y75" s="235" t="str">
        <f>IFERROR(VLOOKUP(MID(T75,W75,X75-W75),[6]skilldef!$C:$D,2,FALSE),"-") &amp; " / " &amp; IFERROR(VLOOKUP(MID(T75,U75,V75-U75),[6]skilldef!$A:$B,2,FALSE),"-")</f>
        <v>- / -</v>
      </c>
      <c r="Z75" s="233"/>
      <c r="AA75" s="237"/>
      <c r="AB75" s="233"/>
    </row>
    <row r="76" spans="1:28" ht="77" customHeight="1" x14ac:dyDescent="0.25">
      <c r="A76" s="259">
        <v>47015204</v>
      </c>
      <c r="B76" s="289" t="s">
        <v>380</v>
      </c>
      <c r="C76" s="233">
        <v>3</v>
      </c>
      <c r="D76" s="233" t="s">
        <v>127</v>
      </c>
      <c r="E76" s="234" t="s">
        <v>258</v>
      </c>
      <c r="F76" s="271" t="s">
        <v>371</v>
      </c>
      <c r="G76" s="235" t="str">
        <f>IFERROR(LEFT(B75,FIND("],",B75)),B75)</f>
        <v>[effect:enemy_message, val1:1.2, val2:1.6]</v>
      </c>
      <c r="H76" s="235">
        <f t="shared" si="208"/>
        <v>9</v>
      </c>
      <c r="I76" s="235">
        <f t="shared" si="209"/>
        <v>22</v>
      </c>
      <c r="J76" s="235" t="e">
        <f t="shared" si="210"/>
        <v>#VALUE!</v>
      </c>
      <c r="K76" s="235">
        <f t="shared" si="211"/>
        <v>32</v>
      </c>
      <c r="L76" s="235" t="str">
        <f>IFERROR(VLOOKUP(MID(G76,J76,K76-J76),[6]skilldef!$C:$D,2,FALSE),"-") &amp; " / " &amp; IFERROR(VLOOKUP(MID(G76,H76,I76-H76),[6]skilldef!$A:$B,2,FALSE),"-")</f>
        <v>- / -</v>
      </c>
      <c r="M76" s="235" t="str">
        <f>IFERROR(RIGHT(B75,LEN(B75)-FIND("],",B75)-1),"none")</f>
        <v>[effect:damage_anti_tribe, target:unit_one, tribe:god, val1:2, val2:0.8]</v>
      </c>
      <c r="N76" s="236" t="str">
        <f t="shared" si="237"/>
        <v>[effect:damage_anti_tribe, target:unit_one, tribe:god, val1:2, val2:0.8]</v>
      </c>
      <c r="O76" s="235">
        <f t="shared" si="213"/>
        <v>9</v>
      </c>
      <c r="P76" s="235">
        <f t="shared" si="214"/>
        <v>26</v>
      </c>
      <c r="Q76" s="235">
        <f t="shared" si="215"/>
        <v>35</v>
      </c>
      <c r="R76" s="235">
        <f t="shared" si="216"/>
        <v>43</v>
      </c>
      <c r="S76" s="235" t="str">
        <f>IFERROR(VLOOKUP(MID(N76,Q76,R76-Q76),[6]skilldef!$C:$D,2,FALSE),"-") &amp; " / " &amp; IFERROR(VLOOKUP(MID(N76,O76,P76-O76),[6]skilldef!$A:$B,2,FALSE),"-")</f>
        <v>味方単体に / 種族キラー</v>
      </c>
      <c r="T76" s="236" t="str">
        <f t="shared" si="217"/>
        <v>none</v>
      </c>
      <c r="U76" s="235" t="e">
        <f t="shared" si="218"/>
        <v>#VALUE!</v>
      </c>
      <c r="V76" s="235">
        <f t="shared" si="219"/>
        <v>4</v>
      </c>
      <c r="W76" s="235" t="e">
        <f t="shared" si="220"/>
        <v>#VALUE!</v>
      </c>
      <c r="X76" s="235" t="e">
        <f t="shared" si="221"/>
        <v>#VALUE!</v>
      </c>
      <c r="Y76" s="235" t="str">
        <f>IFERROR(VLOOKUP(MID(T76,W76,X76-W76),[6]skilldef!$C:$D,2,FALSE),"-") &amp; " / " &amp; IFERROR(VLOOKUP(MID(T76,U76,V76-U76),[6]skilldef!$A:$B,2,FALSE),"-")</f>
        <v>- / -</v>
      </c>
      <c r="Z76" s="233"/>
      <c r="AA76" s="237"/>
      <c r="AB76" s="233"/>
    </row>
    <row r="77" spans="1:28" ht="77" customHeight="1" x14ac:dyDescent="0.25">
      <c r="A77" s="259">
        <v>47015205</v>
      </c>
      <c r="B77" s="289" t="s">
        <v>381</v>
      </c>
      <c r="C77" s="233">
        <v>3</v>
      </c>
      <c r="D77" s="233" t="s">
        <v>127</v>
      </c>
      <c r="E77" s="234" t="s">
        <v>280</v>
      </c>
      <c r="F77" s="271" t="s">
        <v>373</v>
      </c>
      <c r="G77" s="235" t="str">
        <f>IFERROR(LEFT(B76,FIND("],",B76)),B76)</f>
        <v>[effect:enemy_message, val1:1.2, val2:2.8]</v>
      </c>
      <c r="H77" s="235">
        <f t="shared" ref="H77" si="238">FIND("effect:",G77)+7</f>
        <v>9</v>
      </c>
      <c r="I77" s="235">
        <f t="shared" ref="I77" si="239">IFERROR(FIND(",",G77),LEN(G77))</f>
        <v>22</v>
      </c>
      <c r="J77" s="235" t="e">
        <f t="shared" ref="J77" si="240">FIND("target:",G77)+7</f>
        <v>#VALUE!</v>
      </c>
      <c r="K77" s="235">
        <f t="shared" ref="K77" si="241">FIND(",",G77,I77+1)</f>
        <v>32</v>
      </c>
      <c r="L77" s="235" t="str">
        <f>IFERROR(VLOOKUP(MID(G77,J77,K77-J77),[6]skilldef!$C:$D,2,FALSE),"-") &amp; " / " &amp; IFERROR(VLOOKUP(MID(G77,H77,I77-H77),[6]skilldef!$A:$B,2,FALSE),"-")</f>
        <v>- / -</v>
      </c>
      <c r="M77" s="235" t="str">
        <f>IFERROR(RIGHT(B76,LEN(B76)-FIND("],",B76)-1),"none")</f>
        <v>[effect:attack_break, target:unit_blue, turn:2, val:0.2, calc:mul, animation:attack_break02],[effect:rush, count:1, val:1]</v>
      </c>
      <c r="N77" s="236" t="str">
        <f t="shared" si="237"/>
        <v>[effect:attack_break, target:unit_blue, turn:2, val:0.2, calc:mul, animation:attack_break02],[effect:rush, count:1, val:1]</v>
      </c>
      <c r="O77" s="235">
        <f t="shared" ref="O77" si="242">FIND("effect:",N77)+7</f>
        <v>9</v>
      </c>
      <c r="P77" s="235">
        <f t="shared" ref="P77" si="243">IFERROR(FIND(",",N77),LEN(N77))</f>
        <v>21</v>
      </c>
      <c r="Q77" s="235">
        <f t="shared" ref="Q77" si="244">FIND("target:",N77)+7</f>
        <v>30</v>
      </c>
      <c r="R77" s="235">
        <f t="shared" ref="R77" si="245">FIND(",",N77,P77+1)</f>
        <v>39</v>
      </c>
      <c r="S77" s="235" t="str">
        <f>IFERROR(VLOOKUP(MID(N77,Q77,R77-Q77),[6]skilldef!$C:$D,2,FALSE),"-") &amp; " / " &amp; IFERROR(VLOOKUP(MID(N77,O77,P77-O77),[6]skilldef!$A:$B,2,FALSE),"-")</f>
        <v>青の味方に / -</v>
      </c>
      <c r="T77" s="236" t="str">
        <f t="shared" ref="T77" si="246">IFERROR(RIGHT(M77,LEN(M77)-FIND("],",M77)-1),"none")</f>
        <v>[effect:rush, count:1, val:1]</v>
      </c>
      <c r="U77" s="235">
        <f t="shared" ref="U77" si="247">FIND("effect:",T77)+7</f>
        <v>9</v>
      </c>
      <c r="V77" s="235">
        <f t="shared" ref="V77" si="248">IFERROR(FIND(",",T77),LEN(T77))</f>
        <v>13</v>
      </c>
      <c r="W77" s="235" t="e">
        <f t="shared" ref="W77" si="249">FIND("target:",T77)+7</f>
        <v>#VALUE!</v>
      </c>
      <c r="X77" s="235">
        <f t="shared" ref="X77" si="250">FIND(",",T77,V77+1)</f>
        <v>22</v>
      </c>
      <c r="Y77" s="235" t="str">
        <f>IFERROR(VLOOKUP(MID(T77,W77,X77-W77),[6]skilldef!$C:$D,2,FALSE),"-") &amp; " / " &amp; IFERROR(VLOOKUP(MID(T77,U77,V77-U77),[6]skilldef!$A:$B,2,FALSE),"-")</f>
        <v>- / 連続攻撃</v>
      </c>
      <c r="Z77" s="233"/>
      <c r="AA77" s="237"/>
      <c r="AB77" s="233"/>
    </row>
    <row r="78" spans="1:28" ht="77" customHeight="1" x14ac:dyDescent="0.25">
      <c r="A78" s="262">
        <v>47015210</v>
      </c>
      <c r="B78" s="289" t="s">
        <v>382</v>
      </c>
      <c r="C78" s="233">
        <v>3</v>
      </c>
      <c r="D78" s="233" t="s">
        <v>127</v>
      </c>
      <c r="E78" s="234" t="s">
        <v>281</v>
      </c>
      <c r="F78" s="234" t="s">
        <v>368</v>
      </c>
      <c r="G78" s="235" t="str">
        <f t="shared" si="207"/>
        <v>[effect:enemy_message, val1:2.3, val2:2.8]</v>
      </c>
      <c r="H78" s="235">
        <f t="shared" si="208"/>
        <v>9</v>
      </c>
      <c r="I78" s="235">
        <f t="shared" si="209"/>
        <v>22</v>
      </c>
      <c r="J78" s="235" t="e">
        <f t="shared" si="210"/>
        <v>#VALUE!</v>
      </c>
      <c r="K78" s="235">
        <f t="shared" si="211"/>
        <v>32</v>
      </c>
      <c r="L78" s="235" t="str">
        <f>IFERROR(VLOOKUP(MID(G78,J78,K78-J78),[6]skilldef!$C:$D,2,FALSE),"-") &amp; " / " &amp; IFERROR(VLOOKUP(MID(G78,H78,I78-H78),[6]skilldef!$A:$B,2,FALSE),"-")</f>
        <v>- / -</v>
      </c>
      <c r="M78" s="235" t="str">
        <f t="shared" si="212"/>
        <v>[effect:force_change_block, new_block:block_red, target:block_green, count:0, val:0, animation:change_block],[effect:virus, turn:10, rate:1, val:0.05, animation:enemy_virus]</v>
      </c>
      <c r="N78" s="236" t="str">
        <f>IFERROR(LEFT(M78,FIND("],",M78)+S89),M78)</f>
        <v>[effect:force_change_block, new_block:block_red, target:block_green, count:0, val:0, animation:change_block],[effect:virus, turn:10, rate:1, val:0.05, animation:enemy_virus]</v>
      </c>
      <c r="O78" s="235">
        <f t="shared" si="213"/>
        <v>9</v>
      </c>
      <c r="P78" s="235">
        <f t="shared" si="214"/>
        <v>27</v>
      </c>
      <c r="Q78" s="235">
        <f t="shared" si="215"/>
        <v>57</v>
      </c>
      <c r="R78" s="235">
        <f t="shared" si="216"/>
        <v>48</v>
      </c>
      <c r="S78" s="235" t="str">
        <f>IFERROR(VLOOKUP(MID(N78,Q78,R78-Q78),[6]skilldef!$C:$D,2,FALSE),"-") &amp; " / " &amp; IFERROR(VLOOKUP(MID(N78,O78,P78-O78),[6]skilldef!$A:$B,2,FALSE),"-")</f>
        <v>- / -</v>
      </c>
      <c r="T78" s="236" t="str">
        <f t="shared" si="217"/>
        <v>[effect:virus, turn:10, rate:1, val:0.05, animation:enemy_virus]</v>
      </c>
      <c r="U78" s="235">
        <f t="shared" si="218"/>
        <v>9</v>
      </c>
      <c r="V78" s="235">
        <f t="shared" si="219"/>
        <v>14</v>
      </c>
      <c r="W78" s="235" t="e">
        <f t="shared" si="220"/>
        <v>#VALUE!</v>
      </c>
      <c r="X78" s="235">
        <f t="shared" si="221"/>
        <v>23</v>
      </c>
      <c r="Y78" s="235" t="str">
        <f>IFERROR(VLOOKUP(MID(T78,W78,X78-W78),[6]skilldef!$C:$D,2,FALSE),"-") &amp; " / " &amp; IFERROR(VLOOKUP(MID(T78,U78,V78-U78),[6]skilldef!$A:$B,2,FALSE),"-")</f>
        <v>- / ウィルス</v>
      </c>
      <c r="Z78" s="233"/>
      <c r="AA78" s="237"/>
      <c r="AB78" s="233"/>
    </row>
    <row r="79" spans="1:28" ht="77" customHeight="1" x14ac:dyDescent="0.25">
      <c r="A79" s="262">
        <v>47015211</v>
      </c>
      <c r="B79" s="289" t="s">
        <v>382</v>
      </c>
      <c r="C79" s="233">
        <v>3</v>
      </c>
      <c r="D79" s="233" t="s">
        <v>127</v>
      </c>
      <c r="E79" s="234" t="s">
        <v>281</v>
      </c>
      <c r="F79" s="234" t="s">
        <v>368</v>
      </c>
      <c r="G79" s="235" t="str">
        <f>IFERROR(LEFT(B81,FIND("],",B81)),B81)</f>
        <v>[effect:enemy_message, val1:1.2, val2:2.2]</v>
      </c>
      <c r="H79" s="235">
        <f t="shared" si="208"/>
        <v>9</v>
      </c>
      <c r="I79" s="235">
        <f t="shared" si="209"/>
        <v>22</v>
      </c>
      <c r="J79" s="235" t="e">
        <f t="shared" si="210"/>
        <v>#VALUE!</v>
      </c>
      <c r="K79" s="235">
        <f t="shared" si="211"/>
        <v>32</v>
      </c>
      <c r="L79" s="235" t="str">
        <f>IFERROR(VLOOKUP(MID(G79,J79,K79-J79),[6]skilldef!$C:$D,2,FALSE),"-") &amp; " / " &amp; IFERROR(VLOOKUP(MID(G79,H79,I79-H79),[6]skilldef!$A:$B,2,FALSE),"-")</f>
        <v>- / -</v>
      </c>
      <c r="M79" s="235" t="str">
        <f>IFERROR(RIGHT(B81,LEN(B81)-FIND("],",B81)-1),"none")</f>
        <v>[effect:damage_anti_abnormal, target:unit_all, target_effect01:virus, val1:0.2, val2:0.1]</v>
      </c>
      <c r="N79" s="236" t="str">
        <f>IFERROR(LEFT(M79,FIND("],",M79)+S91),M79)</f>
        <v>[effect:damage_anti_abnormal, target:unit_all, target_effect01:virus, val1:0.2, val2:0.1]</v>
      </c>
      <c r="O79" s="235">
        <f t="shared" si="213"/>
        <v>9</v>
      </c>
      <c r="P79" s="235">
        <f t="shared" si="214"/>
        <v>29</v>
      </c>
      <c r="Q79" s="235">
        <f t="shared" si="215"/>
        <v>38</v>
      </c>
      <c r="R79" s="235">
        <f t="shared" si="216"/>
        <v>46</v>
      </c>
      <c r="S79" s="235" t="str">
        <f>IFERROR(VLOOKUP(MID(N79,Q79,R79-Q79),[6]skilldef!$C:$D,2,FALSE),"-") &amp; " / " &amp; IFERROR(VLOOKUP(MID(N79,O79,P79-O79),[6]skilldef!$A:$B,2,FALSE),"-")</f>
        <v>味方全体に / -</v>
      </c>
      <c r="T79" s="236" t="str">
        <f t="shared" si="217"/>
        <v>none</v>
      </c>
      <c r="U79" s="235" t="e">
        <f t="shared" si="218"/>
        <v>#VALUE!</v>
      </c>
      <c r="V79" s="235">
        <f t="shared" si="219"/>
        <v>4</v>
      </c>
      <c r="W79" s="235" t="e">
        <f t="shared" si="220"/>
        <v>#VALUE!</v>
      </c>
      <c r="X79" s="235" t="e">
        <f t="shared" si="221"/>
        <v>#VALUE!</v>
      </c>
      <c r="Y79" s="235" t="str">
        <f>IFERROR(VLOOKUP(MID(T79,W79,X79-W79),[6]skilldef!$C:$D,2,FALSE),"-") &amp; " / " &amp; IFERROR(VLOOKUP(MID(T79,U79,V79-U79),[6]skilldef!$A:$B,2,FALSE),"-")</f>
        <v>- / -</v>
      </c>
      <c r="Z79" s="233"/>
      <c r="AA79" s="237"/>
      <c r="AB79" s="233"/>
    </row>
    <row r="80" spans="1:28" ht="77" customHeight="1" x14ac:dyDescent="0.25">
      <c r="A80" s="262">
        <v>47015212</v>
      </c>
      <c r="B80" s="289" t="s">
        <v>383</v>
      </c>
      <c r="C80" s="233">
        <v>3</v>
      </c>
      <c r="D80" s="233" t="s">
        <v>127</v>
      </c>
      <c r="E80" s="234" t="s">
        <v>350</v>
      </c>
      <c r="F80" s="234" t="s">
        <v>289</v>
      </c>
      <c r="G80" s="235" t="str">
        <f>IFERROR(LEFT(B82,FIND("],",B82)),B82)</f>
        <v>[effect:enemy_message, val1:1.2, val2:2.4]</v>
      </c>
      <c r="H80" s="235">
        <f t="shared" si="208"/>
        <v>9</v>
      </c>
      <c r="I80" s="235">
        <f t="shared" si="209"/>
        <v>22</v>
      </c>
      <c r="J80" s="235" t="e">
        <f t="shared" si="210"/>
        <v>#VALUE!</v>
      </c>
      <c r="K80" s="235">
        <f t="shared" si="211"/>
        <v>32</v>
      </c>
      <c r="L80" s="235" t="str">
        <f>IFERROR(VLOOKUP(MID(G80,J80,K80-J80),[6]skilldef!$C:$D,2,FALSE),"-") &amp; " / " &amp; IFERROR(VLOOKUP(MID(G80,H80,I80-H80),[6]skilldef!$A:$B,2,FALSE),"-")</f>
        <v>- / -</v>
      </c>
      <c r="M80" s="235" t="str">
        <f>IFERROR(RIGHT(B82,LEN(B82)-FIND("],",B82)-1),"none")</f>
        <v>[effect:spread, val:0.3],[effect:force_change_block, new_block:damage, target:normal, count:3, val:0.04, animation:change_block]</v>
      </c>
      <c r="N80" s="236" t="str">
        <f>IFERROR(LEFT(M80,FIND("],",M80)+S92),M80)</f>
        <v>[effect:spread, val:0.3],[effect:force_change_block, new_block:damage, target:normal, count:3, val:0.04, animation:change_block]</v>
      </c>
      <c r="O80" s="235">
        <f t="shared" si="213"/>
        <v>9</v>
      </c>
      <c r="P80" s="235">
        <f t="shared" si="214"/>
        <v>15</v>
      </c>
      <c r="Q80" s="235">
        <f t="shared" si="215"/>
        <v>79</v>
      </c>
      <c r="R80" s="235">
        <f t="shared" si="216"/>
        <v>25</v>
      </c>
      <c r="S80" s="235" t="str">
        <f>IFERROR(VLOOKUP(MID(N80,Q80,R80-Q80),[6]skilldef!$C:$D,2,FALSE),"-") &amp; " / " &amp; IFERROR(VLOOKUP(MID(N80,O80,P80-O80),[6]skilldef!$A:$B,2,FALSE),"-")</f>
        <v>- / 全体攻撃</v>
      </c>
      <c r="T80" s="236" t="str">
        <f t="shared" si="217"/>
        <v>[effect:force_change_block, new_block:damage, target:normal, count:3, val:0.04, animation:change_block]</v>
      </c>
      <c r="U80" s="235">
        <f t="shared" si="218"/>
        <v>9</v>
      </c>
      <c r="V80" s="235">
        <f t="shared" si="219"/>
        <v>27</v>
      </c>
      <c r="W80" s="235">
        <f t="shared" si="220"/>
        <v>54</v>
      </c>
      <c r="X80" s="235">
        <f t="shared" si="221"/>
        <v>45</v>
      </c>
      <c r="Y80" s="235" t="str">
        <f>IFERROR(VLOOKUP(MID(T80,W80,X80-W80),[6]skilldef!$C:$D,2,FALSE),"-") &amp; " / " &amp; IFERROR(VLOOKUP(MID(T80,U80,V80-U80),[6]skilldef!$A:$B,2,FALSE),"-")</f>
        <v>- / -</v>
      </c>
      <c r="Z80" s="233"/>
      <c r="AA80" s="237"/>
      <c r="AB80" s="233"/>
    </row>
    <row r="81" spans="1:28" ht="77" customHeight="1" x14ac:dyDescent="0.25">
      <c r="A81" s="262">
        <v>47015213</v>
      </c>
      <c r="B81" s="289" t="s">
        <v>384</v>
      </c>
      <c r="C81" s="233">
        <v>3</v>
      </c>
      <c r="D81" s="233" t="s">
        <v>127</v>
      </c>
      <c r="E81" s="234" t="s">
        <v>352</v>
      </c>
      <c r="F81" s="266" t="s">
        <v>335</v>
      </c>
      <c r="G81" s="235" t="str">
        <f>IFERROR(LEFT(B79,FIND("],",B79)),B79)</f>
        <v>[effect:enemy_message, val1:2.3, val2:2.8]</v>
      </c>
      <c r="H81" s="235">
        <f t="shared" si="208"/>
        <v>9</v>
      </c>
      <c r="I81" s="235">
        <f t="shared" si="209"/>
        <v>22</v>
      </c>
      <c r="J81" s="235" t="e">
        <f t="shared" si="210"/>
        <v>#VALUE!</v>
      </c>
      <c r="K81" s="235">
        <f t="shared" si="211"/>
        <v>32</v>
      </c>
      <c r="L81" s="235" t="str">
        <f>IFERROR(VLOOKUP(MID(G81,J81,K81-J81),[6]skilldef!$C:$D,2,FALSE),"-") &amp; " / " &amp; IFERROR(VLOOKUP(MID(G81,H81,I81-H81),[6]skilldef!$A:$B,2,FALSE),"-")</f>
        <v>- / -</v>
      </c>
      <c r="M81" s="235" t="str">
        <f>IFERROR(RIGHT(B79,LEN(B79)-FIND("],",B79)-1),"none")</f>
        <v>[effect:force_change_block, new_block:block_red, target:block_green, count:0, val:0, animation:change_block],[effect:virus, turn:10, rate:1, val:0.05, animation:enemy_virus]</v>
      </c>
      <c r="N81" s="236" t="str">
        <f>IFERROR(LEFT(M81,FIND("],",M81)+S93),M81)</f>
        <v>[effect:force_change_block, new_block:block_red, target:block_green, count:0, val:0, animation:change_block],[effect:virus, turn:10, rate:1, val:0.05, animation:enemy_virus]</v>
      </c>
      <c r="O81" s="235">
        <f t="shared" si="213"/>
        <v>9</v>
      </c>
      <c r="P81" s="235">
        <f t="shared" si="214"/>
        <v>27</v>
      </c>
      <c r="Q81" s="235">
        <f t="shared" si="215"/>
        <v>57</v>
      </c>
      <c r="R81" s="235">
        <f t="shared" si="216"/>
        <v>48</v>
      </c>
      <c r="S81" s="235" t="str">
        <f>IFERROR(VLOOKUP(MID(N81,Q81,R81-Q81),[6]skilldef!$C:$D,2,FALSE),"-") &amp; " / " &amp; IFERROR(VLOOKUP(MID(N81,O81,P81-O81),[6]skilldef!$A:$B,2,FALSE),"-")</f>
        <v>- / -</v>
      </c>
      <c r="T81" s="236" t="str">
        <f t="shared" si="217"/>
        <v>[effect:virus, turn:10, rate:1, val:0.05, animation:enemy_virus]</v>
      </c>
      <c r="U81" s="235">
        <f t="shared" si="218"/>
        <v>9</v>
      </c>
      <c r="V81" s="235">
        <f t="shared" si="219"/>
        <v>14</v>
      </c>
      <c r="W81" s="235" t="e">
        <f t="shared" si="220"/>
        <v>#VALUE!</v>
      </c>
      <c r="X81" s="235">
        <f t="shared" si="221"/>
        <v>23</v>
      </c>
      <c r="Y81" s="235" t="str">
        <f>IFERROR(VLOOKUP(MID(T81,W81,X81-W81),[6]skilldef!$C:$D,2,FALSE),"-") &amp; " / " &amp; IFERROR(VLOOKUP(MID(T81,U81,V81-U81),[6]skilldef!$A:$B,2,FALSE),"-")</f>
        <v>- / ウィルス</v>
      </c>
      <c r="Z81" s="233"/>
      <c r="AA81" s="237"/>
      <c r="AB81" s="233"/>
    </row>
    <row r="82" spans="1:28" ht="77" customHeight="1" x14ac:dyDescent="0.25">
      <c r="A82" s="262">
        <v>47015214</v>
      </c>
      <c r="B82" s="289" t="s">
        <v>405</v>
      </c>
      <c r="C82" s="233">
        <v>3</v>
      </c>
      <c r="D82" s="233" t="s">
        <v>127</v>
      </c>
      <c r="E82" s="234" t="s">
        <v>351</v>
      </c>
      <c r="F82" s="272" t="s">
        <v>496</v>
      </c>
      <c r="G82" s="235" t="str">
        <f>IFERROR(LEFT(B80,FIND("],",B80)),B80)</f>
        <v>[effect:enemy_message, val1:1.2, val2:1.5]</v>
      </c>
      <c r="H82" s="235">
        <f>FIND("effect:",G82)+7</f>
        <v>9</v>
      </c>
      <c r="I82" s="235">
        <f>IFERROR(FIND(",",G82),LEN(G82))</f>
        <v>22</v>
      </c>
      <c r="J82" s="235" t="e">
        <f>FIND("target:",G82)+7</f>
        <v>#VALUE!</v>
      </c>
      <c r="K82" s="235">
        <f>FIND(",",G82,I82+1)</f>
        <v>32</v>
      </c>
      <c r="L82" s="235" t="str">
        <f>IFERROR(VLOOKUP(MID(G82,J82,K82-J82),[6]skilldef!$C:$D,2,FALSE),"-") &amp; " / " &amp; IFERROR(VLOOKUP(MID(G82,H82,I82-H82),[6]skilldef!$A:$B,2,FALSE),"-")</f>
        <v>- / -</v>
      </c>
      <c r="M82" s="235" t="str">
        <f>IFERROR(RIGHT(B80,LEN(B80)-FIND("],",B80)-1),"none")</f>
        <v>[effect:virus, turn:10, rate:1, val:0.05, animation:enemy_virus]</v>
      </c>
      <c r="N82" s="236" t="str">
        <f>IFERROR(LEFT(M82,FIND("],",M82)+S90),M82)</f>
        <v>[effect:virus, turn:10, rate:1, val:0.05, animation:enemy_virus]</v>
      </c>
      <c r="O82" s="235">
        <f>FIND("effect:",N82)+7</f>
        <v>9</v>
      </c>
      <c r="P82" s="235">
        <f>IFERROR(FIND(",",N82),LEN(N82))</f>
        <v>14</v>
      </c>
      <c r="Q82" s="235" t="e">
        <f>FIND("target:",N82)+7</f>
        <v>#VALUE!</v>
      </c>
      <c r="R82" s="235">
        <f>FIND(",",N82,P82+1)</f>
        <v>23</v>
      </c>
      <c r="S82" s="235" t="str">
        <f>IFERROR(VLOOKUP(MID(N82,Q82,R82-Q82),[6]skilldef!$C:$D,2,FALSE),"-") &amp; " / " &amp; IFERROR(VLOOKUP(MID(N82,O82,P82-O82),[6]skilldef!$A:$B,2,FALSE),"-")</f>
        <v>- / ウィルス</v>
      </c>
      <c r="T82" s="236" t="str">
        <f>IFERROR(RIGHT(M82,LEN(M82)-FIND("],",M82)-1),"none")</f>
        <v>none</v>
      </c>
      <c r="U82" s="235" t="e">
        <f>FIND("effect:",T82)+7</f>
        <v>#VALUE!</v>
      </c>
      <c r="V82" s="235">
        <f>IFERROR(FIND(",",T82),LEN(T82))</f>
        <v>4</v>
      </c>
      <c r="W82" s="235" t="e">
        <f>FIND("target:",T82)+7</f>
        <v>#VALUE!</v>
      </c>
      <c r="X82" s="235" t="e">
        <f>FIND(",",T82,V82+1)</f>
        <v>#VALUE!</v>
      </c>
      <c r="Y82" s="235" t="str">
        <f>IFERROR(VLOOKUP(MID(T82,W82,X82-W82),[6]skilldef!$C:$D,2,FALSE),"-") &amp; " / " &amp; IFERROR(VLOOKUP(MID(T82,U82,V82-U82),[6]skilldef!$A:$B,2,FALSE),"-")</f>
        <v>- / -</v>
      </c>
      <c r="Z82" s="233"/>
      <c r="AA82" s="237"/>
      <c r="AB82" s="233"/>
    </row>
    <row r="83" spans="1:28" ht="77" customHeight="1" x14ac:dyDescent="0.25">
      <c r="A83" s="263">
        <v>47015220</v>
      </c>
      <c r="B83" s="289" t="s">
        <v>393</v>
      </c>
      <c r="C83" s="233">
        <v>3</v>
      </c>
      <c r="D83" s="233" t="s">
        <v>127</v>
      </c>
      <c r="E83" s="234" t="s">
        <v>257</v>
      </c>
      <c r="F83" s="234" t="s">
        <v>374</v>
      </c>
      <c r="G83" s="235" t="str">
        <f t="shared" si="207"/>
        <v>[effect:enemy_message, val1:1.6, val2:3.3]</v>
      </c>
      <c r="H83" s="235">
        <f t="shared" si="208"/>
        <v>9</v>
      </c>
      <c r="I83" s="235">
        <f t="shared" si="209"/>
        <v>22</v>
      </c>
      <c r="J83" s="235" t="e">
        <f t="shared" si="210"/>
        <v>#VALUE!</v>
      </c>
      <c r="K83" s="235">
        <f t="shared" si="211"/>
        <v>32</v>
      </c>
      <c r="L83" s="235" t="str">
        <f>IFERROR(VLOOKUP(MID(G83,J83,K83-J83),[6]skilldef!$C:$D,2,FALSE),"-") &amp; " / " &amp; IFERROR(VLOOKUP(MID(G83,H83,I83-H83),[6]skilldef!$A:$B,2,FALSE),"-")</f>
        <v>- / -</v>
      </c>
      <c r="M83" s="235" t="str">
        <f t="shared" si="212"/>
        <v>[effect:fix_speed, target:myself, turn:2],[effect:tolerance, target:myself, turn:-1, count:-1, tolerance_effect:all, animation:enemy_tolerance],[effect:enemy_counter, target:myself, invoke_condition:unit_all, counter_target:attacker, turn:2, val:0.5, animation:enemy_counter],[effect:enhance_enemy, target:myself, turn:2, status:attack, val:0.2, calc:mul, animation:enemy_enhance_attack]</v>
      </c>
      <c r="N83" s="236" t="str">
        <f t="shared" ref="N83:N86" si="251">IFERROR(LEFT(M83,FIND("],",M83)+S93),M83)</f>
        <v>[effect:fix_speed, target:myself, turn:2],[effect:tolerance, target:myself, turn:-1, count:-1, tolerance_effect:all, animation:enemy_tolerance],[effect:enemy_counter, target:myself, invoke_condition:unit_all, counter_target:attacker, turn:2, val:0.5, animation:enemy_counter],[effect:enhance_enemy, target:myself, turn:2, status:attack, val:0.2, calc:mul, animation:enemy_enhance_attack]</v>
      </c>
      <c r="O83" s="235">
        <f t="shared" si="213"/>
        <v>9</v>
      </c>
      <c r="P83" s="235">
        <f t="shared" si="214"/>
        <v>18</v>
      </c>
      <c r="Q83" s="235">
        <f t="shared" si="215"/>
        <v>27</v>
      </c>
      <c r="R83" s="235">
        <f t="shared" si="216"/>
        <v>33</v>
      </c>
      <c r="S83" s="235" t="str">
        <f>IFERROR(VLOOKUP(MID(N83,Q83,R83-Q83),[6]skilldef!$C:$D,2,FALSE),"-") &amp; " / " &amp; IFERROR(VLOOKUP(MID(N83,O83,P83-O83),[6]skilldef!$A:$B,2,FALSE),"-")</f>
        <v>自分自身に / 行動値設定</v>
      </c>
      <c r="T83" s="236" t="str">
        <f t="shared" si="217"/>
        <v>[effect:tolerance, target:myself, turn:-1, count:-1, tolerance_effect:all, animation:enemy_tolerance],[effect:enemy_counter, target:myself, invoke_condition:unit_all, counter_target:attacker, turn:2, val:0.5, animation:enemy_counter],[effect:enhance_enemy, target:myself, turn:2, status:attack, val:0.2, calc:mul, animation:enemy_enhance_attack]</v>
      </c>
      <c r="U83" s="235">
        <f t="shared" si="218"/>
        <v>9</v>
      </c>
      <c r="V83" s="235">
        <f t="shared" si="219"/>
        <v>18</v>
      </c>
      <c r="W83" s="235">
        <f t="shared" si="220"/>
        <v>27</v>
      </c>
      <c r="X83" s="235">
        <f t="shared" si="221"/>
        <v>33</v>
      </c>
      <c r="Y83" s="235" t="str">
        <f>IFERROR(VLOOKUP(MID(T83,W83,X83-W83),[6]skilldef!$C:$D,2,FALSE),"-") &amp; " / " &amp; IFERROR(VLOOKUP(MID(T83,U83,V83-U83),[6]skilldef!$A:$B,2,FALSE),"-")</f>
        <v>自分自身に / 状態異常耐性</v>
      </c>
      <c r="Z83" s="233"/>
      <c r="AA83" s="237"/>
      <c r="AB83" s="233"/>
    </row>
    <row r="84" spans="1:28" ht="77" customHeight="1" x14ac:dyDescent="0.25">
      <c r="A84" s="260">
        <v>47015221</v>
      </c>
      <c r="B84" s="289" t="s">
        <v>407</v>
      </c>
      <c r="C84" s="233">
        <v>3</v>
      </c>
      <c r="D84" s="233" t="s">
        <v>127</v>
      </c>
      <c r="E84" s="234" t="s">
        <v>303</v>
      </c>
      <c r="F84" s="266" t="s">
        <v>406</v>
      </c>
      <c r="G84" s="235" t="str">
        <f t="shared" si="207"/>
        <v>[effect:enemy_message, val1:1.2, val2:1.2]</v>
      </c>
      <c r="H84" s="235">
        <f t="shared" si="208"/>
        <v>9</v>
      </c>
      <c r="I84" s="235">
        <f t="shared" si="209"/>
        <v>22</v>
      </c>
      <c r="J84" s="235" t="e">
        <f t="shared" si="210"/>
        <v>#VALUE!</v>
      </c>
      <c r="K84" s="235">
        <f t="shared" si="211"/>
        <v>32</v>
      </c>
      <c r="L84" s="235" t="str">
        <f>IFERROR(VLOOKUP(MID(G84,J84,K84-J84),[6]skilldef!$C:$D,2,FALSE),"-") &amp; " / " &amp; IFERROR(VLOOKUP(MID(G84,H84,I84-H84),[6]skilldef!$A:$B,2,FALSE),"-")</f>
        <v>- / -</v>
      </c>
      <c r="M84" s="235" t="str">
        <f t="shared" si="212"/>
        <v>[effect:dark, target:unit_all, turn:2, animation:enemy_dark]</v>
      </c>
      <c r="N84" s="236" t="str">
        <f t="shared" si="251"/>
        <v>[effect:dark, target:unit_all, turn:2, animation:enemy_dark]</v>
      </c>
      <c r="O84" s="235">
        <f t="shared" si="213"/>
        <v>9</v>
      </c>
      <c r="P84" s="235">
        <f t="shared" si="214"/>
        <v>13</v>
      </c>
      <c r="Q84" s="235">
        <f t="shared" si="215"/>
        <v>22</v>
      </c>
      <c r="R84" s="235">
        <f t="shared" si="216"/>
        <v>30</v>
      </c>
      <c r="S84" s="235" t="str">
        <f>IFERROR(VLOOKUP(MID(N84,Q84,R84-Q84),[6]skilldef!$C:$D,2,FALSE),"-") &amp; " / " &amp; IFERROR(VLOOKUP(MID(N84,O84,P84-O84),[6]skilldef!$A:$B,2,FALSE),"-")</f>
        <v>味方全体に / 暗黒</v>
      </c>
      <c r="T84" s="236" t="str">
        <f t="shared" si="217"/>
        <v>none</v>
      </c>
      <c r="U84" s="235" t="e">
        <f t="shared" si="218"/>
        <v>#VALUE!</v>
      </c>
      <c r="V84" s="235">
        <f t="shared" si="219"/>
        <v>4</v>
      </c>
      <c r="W84" s="235" t="e">
        <f t="shared" si="220"/>
        <v>#VALUE!</v>
      </c>
      <c r="X84" s="235" t="e">
        <f t="shared" si="221"/>
        <v>#VALUE!</v>
      </c>
      <c r="Y84" s="235" t="str">
        <f>IFERROR(VLOOKUP(MID(T84,W84,X84-W84),[6]skilldef!$C:$D,2,FALSE),"-") &amp; " / " &amp; IFERROR(VLOOKUP(MID(T84,U84,V84-U84),[6]skilldef!$A:$B,2,FALSE),"-")</f>
        <v>- / -</v>
      </c>
      <c r="Z84" s="233"/>
      <c r="AA84" s="237"/>
      <c r="AB84" s="233"/>
    </row>
    <row r="85" spans="1:28" ht="77" customHeight="1" x14ac:dyDescent="0.25">
      <c r="A85" s="263">
        <v>47015222</v>
      </c>
      <c r="B85" s="289" t="s">
        <v>494</v>
      </c>
      <c r="C85" s="233">
        <v>3</v>
      </c>
      <c r="D85" s="233" t="s">
        <v>127</v>
      </c>
      <c r="E85" s="234" t="s">
        <v>260</v>
      </c>
      <c r="F85" s="234" t="s">
        <v>376</v>
      </c>
      <c r="G85" s="235" t="str">
        <f t="shared" si="207"/>
        <v>[effect:enemy_message, val1:1.2, val2:3.7]</v>
      </c>
      <c r="H85" s="235">
        <f t="shared" si="208"/>
        <v>9</v>
      </c>
      <c r="I85" s="235">
        <f t="shared" si="209"/>
        <v>22</v>
      </c>
      <c r="J85" s="235" t="e">
        <f t="shared" si="210"/>
        <v>#VALUE!</v>
      </c>
      <c r="K85" s="235">
        <f t="shared" si="211"/>
        <v>32</v>
      </c>
      <c r="L85" s="235" t="str">
        <f>IFERROR(VLOOKUP(MID(G85,J85,K85-J85),[6]skilldef!$C:$D,2,FALSE),"-") &amp; " / " &amp; IFERROR(VLOOKUP(MID(G85,H85,I85-H85),[6]skilldef!$A:$B,2,FALSE),"-")</f>
        <v>- / -</v>
      </c>
      <c r="M85" s="235" t="str">
        <f t="shared" si="212"/>
        <v>[effect:hungup, target:unit_all, turn:1, rate:1, animation:hungup01],[effect:force_change_block, new_block:damage, target:block_blue, count:4, val:0.04, animation:change_block]</v>
      </c>
      <c r="N85" s="236" t="str">
        <f t="shared" si="251"/>
        <v>[effect:hungup, target:unit_all, turn:1, rate:1, animation:hungup01],[effect:force_change_block, new_block:damage, target:block_blue, count:4, val:0.04, animation:change_block]</v>
      </c>
      <c r="O85" s="235">
        <f t="shared" si="213"/>
        <v>9</v>
      </c>
      <c r="P85" s="235">
        <f t="shared" si="214"/>
        <v>15</v>
      </c>
      <c r="Q85" s="235">
        <f t="shared" si="215"/>
        <v>24</v>
      </c>
      <c r="R85" s="235">
        <f t="shared" si="216"/>
        <v>32</v>
      </c>
      <c r="S85" s="235" t="str">
        <f>IFERROR(VLOOKUP(MID(N85,Q85,R85-Q85),[6]skilldef!$C:$D,2,FALSE),"-") &amp; " / " &amp; IFERROR(VLOOKUP(MID(N85,O85,P85-O85),[6]skilldef!$A:$B,2,FALSE),"-")</f>
        <v>味方全体に / ハングアップ</v>
      </c>
      <c r="T85" s="236" t="str">
        <f t="shared" si="217"/>
        <v>[effect:force_change_block, new_block:damage, target:block_blue, count:4, val:0.04, animation:change_block]</v>
      </c>
      <c r="U85" s="235">
        <f t="shared" si="218"/>
        <v>9</v>
      </c>
      <c r="V85" s="235">
        <f t="shared" si="219"/>
        <v>27</v>
      </c>
      <c r="W85" s="235">
        <f t="shared" si="220"/>
        <v>54</v>
      </c>
      <c r="X85" s="235">
        <f t="shared" si="221"/>
        <v>45</v>
      </c>
      <c r="Y85" s="235" t="str">
        <f>IFERROR(VLOOKUP(MID(T85,W85,X85-W85),[6]skilldef!$C:$D,2,FALSE),"-") &amp; " / " &amp; IFERROR(VLOOKUP(MID(T85,U85,V85-U85),[6]skilldef!$A:$B,2,FALSE),"-")</f>
        <v>- / -</v>
      </c>
      <c r="Z85" s="233"/>
      <c r="AA85" s="237"/>
      <c r="AB85" s="233"/>
    </row>
    <row r="86" spans="1:28" ht="77" customHeight="1" x14ac:dyDescent="0.25">
      <c r="A86" s="260">
        <v>47015223</v>
      </c>
      <c r="B86" s="289" t="s">
        <v>409</v>
      </c>
      <c r="C86" s="233">
        <v>3</v>
      </c>
      <c r="D86" s="233" t="s">
        <v>127</v>
      </c>
      <c r="E86" s="234" t="s">
        <v>261</v>
      </c>
      <c r="F86" s="234" t="s">
        <v>408</v>
      </c>
      <c r="G86" s="235" t="str">
        <f t="shared" si="207"/>
        <v>[effect:enemy_message, val1:1.2, val2:2.6]</v>
      </c>
      <c r="H86" s="235">
        <f t="shared" si="208"/>
        <v>9</v>
      </c>
      <c r="I86" s="235">
        <f t="shared" si="209"/>
        <v>22</v>
      </c>
      <c r="J86" s="235" t="e">
        <f t="shared" si="210"/>
        <v>#VALUE!</v>
      </c>
      <c r="K86" s="235">
        <f t="shared" si="211"/>
        <v>32</v>
      </c>
      <c r="L86" s="235" t="str">
        <f>IFERROR(VLOOKUP(MID(G86,J86,K86-J86),[6]skilldef!$C:$D,2,FALSE),"-") &amp; " / " &amp; IFERROR(VLOOKUP(MID(G86,H86,I86-H86),[6]skilldef!$A:$B,2,FALSE),"-")</f>
        <v>- / -</v>
      </c>
      <c r="M86" s="235" t="str">
        <f t="shared" si="212"/>
        <v>[effect:spread, val:0.3],[effect:force_change_block, new_block:damage, target:block_heart, count:3, val:0.04, animation:change_block]</v>
      </c>
      <c r="N86" s="236" t="str">
        <f t="shared" si="251"/>
        <v>[effect:spread, val:0.3],[effect:force_change_block, new_block:damage, target:block_heart, count:3, val:0.04, animation:change_block]</v>
      </c>
      <c r="O86" s="235">
        <f t="shared" si="213"/>
        <v>9</v>
      </c>
      <c r="P86" s="235">
        <f t="shared" si="214"/>
        <v>15</v>
      </c>
      <c r="Q86" s="235">
        <f t="shared" si="215"/>
        <v>79</v>
      </c>
      <c r="R86" s="235">
        <f t="shared" si="216"/>
        <v>25</v>
      </c>
      <c r="S86" s="235" t="str">
        <f>IFERROR(VLOOKUP(MID(N86,Q86,R86-Q86),[6]skilldef!$C:$D,2,FALSE),"-") &amp; " / " &amp; IFERROR(VLOOKUP(MID(N86,O86,P86-O86),[6]skilldef!$A:$B,2,FALSE),"-")</f>
        <v>- / 全体攻撃</v>
      </c>
      <c r="T86" s="236" t="str">
        <f t="shared" si="217"/>
        <v>[effect:force_change_block, new_block:damage, target:block_heart, count:3, val:0.04, animation:change_block]</v>
      </c>
      <c r="U86" s="235">
        <f t="shared" si="218"/>
        <v>9</v>
      </c>
      <c r="V86" s="235">
        <f t="shared" si="219"/>
        <v>27</v>
      </c>
      <c r="W86" s="235">
        <f t="shared" si="220"/>
        <v>54</v>
      </c>
      <c r="X86" s="235">
        <f t="shared" si="221"/>
        <v>45</v>
      </c>
      <c r="Y86" s="235" t="str">
        <f>IFERROR(VLOOKUP(MID(T86,W86,X86-W86),[6]skilldef!$C:$D,2,FALSE),"-") &amp; " / " &amp; IFERROR(VLOOKUP(MID(T86,U86,V86-U86),[6]skilldef!$A:$B,2,FALSE),"-")</f>
        <v>- / -</v>
      </c>
      <c r="Z86" s="233"/>
      <c r="AA86" s="237"/>
      <c r="AB86" s="233"/>
    </row>
    <row r="87" spans="1:28" ht="77" customHeight="1" x14ac:dyDescent="0.25">
      <c r="A87" s="263">
        <v>47015224</v>
      </c>
      <c r="B87" s="289" t="s">
        <v>410</v>
      </c>
      <c r="C87" s="233">
        <v>3</v>
      </c>
      <c r="D87" s="233" t="s">
        <v>127</v>
      </c>
      <c r="E87" s="234" t="s">
        <v>266</v>
      </c>
      <c r="F87" s="234" t="s">
        <v>447</v>
      </c>
      <c r="G87" s="235" t="str">
        <f t="shared" si="207"/>
        <v>[effect:enemy_message, val1:1.2, val2:3.3]</v>
      </c>
      <c r="H87" s="235">
        <f t="shared" si="208"/>
        <v>9</v>
      </c>
      <c r="I87" s="235">
        <f t="shared" si="209"/>
        <v>22</v>
      </c>
      <c r="J87" s="235" t="e">
        <f t="shared" si="210"/>
        <v>#VALUE!</v>
      </c>
      <c r="K87" s="235">
        <f t="shared" si="211"/>
        <v>32</v>
      </c>
      <c r="L87" s="235" t="str">
        <f>IFERROR(VLOOKUP(MID(G87,J87,K87-J87),[6]skilldef!$C:$D,2,FALSE),"-") &amp; " / " &amp; IFERROR(VLOOKUP(MID(G87,H87,I87-H87),[6]skilldef!$A:$B,2,FALSE),"-")</f>
        <v>- / -</v>
      </c>
      <c r="M87" s="235" t="str">
        <f t="shared" si="212"/>
        <v>[effect:damage_gravity, val:0.3, animation:fevergauge_down],[effect:force_change_block, new_block:damage, target:normal, count:4, val:0.04, animation:change_block]</v>
      </c>
      <c r="N87" s="236" t="str">
        <f t="shared" ref="N87:N96" si="252">IFERROR(LEFT(M87,FIND("],",M87)+S112),M87)</f>
        <v>[effect:damage_gravity, val:0.3, animation:fevergauge_down],[effect:force_change_block, new_block:damage, target:normal, count:4, val:0.04, animation:change_block]</v>
      </c>
      <c r="O87" s="235">
        <f t="shared" si="213"/>
        <v>9</v>
      </c>
      <c r="P87" s="235">
        <f t="shared" si="214"/>
        <v>23</v>
      </c>
      <c r="Q87" s="235">
        <f t="shared" si="215"/>
        <v>114</v>
      </c>
      <c r="R87" s="235">
        <f t="shared" si="216"/>
        <v>32</v>
      </c>
      <c r="S87" s="235" t="str">
        <f>IFERROR(VLOOKUP(MID(N87,Q87,R87-Q87),[6]skilldef!$C:$D,2,FALSE),"-") &amp; " / " &amp; IFERROR(VLOOKUP(MID(N87,O87,P87-O87),[6]skilldef!$A:$B,2,FALSE),"-")</f>
        <v>- / 割合ダメージ</v>
      </c>
      <c r="T87" s="236" t="str">
        <f t="shared" si="217"/>
        <v>[effect:force_change_block, new_block:damage, target:normal, count:4, val:0.04, animation:change_block]</v>
      </c>
      <c r="U87" s="235">
        <f t="shared" si="218"/>
        <v>9</v>
      </c>
      <c r="V87" s="235">
        <f t="shared" si="219"/>
        <v>27</v>
      </c>
      <c r="W87" s="235">
        <f t="shared" si="220"/>
        <v>54</v>
      </c>
      <c r="X87" s="235">
        <f t="shared" si="221"/>
        <v>45</v>
      </c>
      <c r="Y87" s="235" t="str">
        <f>IFERROR(VLOOKUP(MID(T87,W87,X87-W87),[6]skilldef!$C:$D,2,FALSE),"-") &amp; " / " &amp; IFERROR(VLOOKUP(MID(T87,U87,V87-U87),[6]skilldef!$A:$B,2,FALSE),"-")</f>
        <v>- / -</v>
      </c>
      <c r="Z87" s="233"/>
      <c r="AA87" s="237"/>
      <c r="AB87" s="233"/>
    </row>
    <row r="88" spans="1:28" ht="77" customHeight="1" x14ac:dyDescent="0.25">
      <c r="A88" s="262">
        <v>47015230</v>
      </c>
      <c r="B88" s="289" t="s">
        <v>450</v>
      </c>
      <c r="C88" s="233">
        <v>3</v>
      </c>
      <c r="D88" s="233" t="s">
        <v>127</v>
      </c>
      <c r="E88" s="234" t="s">
        <v>275</v>
      </c>
      <c r="F88" s="234" t="s">
        <v>396</v>
      </c>
      <c r="G88" s="235" t="str">
        <f t="shared" si="207"/>
        <v>[effect:enemy_message, val1:1.4, val2:3.6]</v>
      </c>
      <c r="H88" s="235">
        <f t="shared" si="208"/>
        <v>9</v>
      </c>
      <c r="I88" s="235">
        <f t="shared" si="209"/>
        <v>22</v>
      </c>
      <c r="J88" s="235" t="e">
        <f t="shared" si="210"/>
        <v>#VALUE!</v>
      </c>
      <c r="K88" s="235">
        <f t="shared" si="211"/>
        <v>32</v>
      </c>
      <c r="L88" s="235" t="str">
        <f>IFERROR(VLOOKUP(MID(G88,J88,K88-J88),[6]skilldef!$C:$D,2,FALSE),"-") &amp; " / " &amp; IFERROR(VLOOKUP(MID(G88,H88,I88-H88),[6]skilldef!$A:$B,2,FALSE),"-")</f>
        <v>- / -</v>
      </c>
      <c r="M88" s="235" t="str">
        <f t="shared" si="212"/>
        <v>[effect:fix_speed, target:myself, turn:2],[effect:damage_gravity, val:0.2, animation:fevergauge_down],[effect:tolerance, target:myself, turn:-1, count:-1, tolerance_effect:all, animation:enemy_tolerance]</v>
      </c>
      <c r="N88" s="236" t="str">
        <f t="shared" si="252"/>
        <v>[effect:fix_speed, target:myself, turn:2],[effect:damage_gravity, val:0.2, animation:fevergauge_down],[effect:tolerance, target:myself, turn:-1, count:-1, tolerance_effect:all, animation:enemy_tolerance]</v>
      </c>
      <c r="O88" s="235">
        <f t="shared" si="213"/>
        <v>9</v>
      </c>
      <c r="P88" s="235">
        <f t="shared" si="214"/>
        <v>18</v>
      </c>
      <c r="Q88" s="235">
        <f t="shared" si="215"/>
        <v>27</v>
      </c>
      <c r="R88" s="235">
        <f t="shared" si="216"/>
        <v>33</v>
      </c>
      <c r="S88" s="235" t="str">
        <f>IFERROR(VLOOKUP(MID(N88,Q88,R88-Q88),[6]skilldef!$C:$D,2,FALSE),"-") &amp; " / " &amp; IFERROR(VLOOKUP(MID(N88,O88,P88-O88),[6]skilldef!$A:$B,2,FALSE),"-")</f>
        <v>自分自身に / 行動値設定</v>
      </c>
      <c r="T88" s="236" t="str">
        <f t="shared" si="217"/>
        <v>[effect:damage_gravity, val:0.2, animation:fevergauge_down],[effect:tolerance, target:myself, turn:-1, count:-1, tolerance_effect:all, animation:enemy_tolerance]</v>
      </c>
      <c r="U88" s="235">
        <f t="shared" si="218"/>
        <v>9</v>
      </c>
      <c r="V88" s="235">
        <f t="shared" si="219"/>
        <v>23</v>
      </c>
      <c r="W88" s="235">
        <f t="shared" si="220"/>
        <v>87</v>
      </c>
      <c r="X88" s="235">
        <f t="shared" si="221"/>
        <v>32</v>
      </c>
      <c r="Y88" s="235" t="str">
        <f>IFERROR(VLOOKUP(MID(T88,W88,X88-W88),[6]skilldef!$C:$D,2,FALSE),"-") &amp; " / " &amp; IFERROR(VLOOKUP(MID(T88,U88,V88-U88),[6]skilldef!$A:$B,2,FALSE),"-")</f>
        <v>- / 割合ダメージ</v>
      </c>
      <c r="Z88" s="233"/>
      <c r="AA88" s="237"/>
      <c r="AB88" s="233"/>
    </row>
    <row r="89" spans="1:28" ht="77" customHeight="1" x14ac:dyDescent="0.25">
      <c r="A89" s="262">
        <v>47015231</v>
      </c>
      <c r="B89" s="289" t="s">
        <v>353</v>
      </c>
      <c r="C89" s="233">
        <v>3</v>
      </c>
      <c r="D89" s="233" t="s">
        <v>127</v>
      </c>
      <c r="E89" s="234" t="s">
        <v>262</v>
      </c>
      <c r="F89" s="234" t="s">
        <v>314</v>
      </c>
      <c r="G89" s="235" t="str">
        <f t="shared" si="207"/>
        <v>[effect:enemy_message, val1:1.2, val2:1.2]</v>
      </c>
      <c r="H89" s="235">
        <f t="shared" si="208"/>
        <v>9</v>
      </c>
      <c r="I89" s="235">
        <f t="shared" si="209"/>
        <v>22</v>
      </c>
      <c r="J89" s="235" t="e">
        <f t="shared" si="210"/>
        <v>#VALUE!</v>
      </c>
      <c r="K89" s="235">
        <f t="shared" si="211"/>
        <v>32</v>
      </c>
      <c r="L89" s="235" t="str">
        <f>IFERROR(VLOOKUP(MID(G89,J89,K89-J89),[6]skilldef!$C:$D,2,FALSE),"-") &amp; " / " &amp; IFERROR(VLOOKUP(MID(G89,H89,I89-H89),[6]skilldef!$A:$B,2,FALSE),"-")</f>
        <v>- / -</v>
      </c>
      <c r="M89" s="235" t="str">
        <f t="shared" si="212"/>
        <v>[effect:break_attack, target:unit_one, val:0.2, lowest_val:1500, count:-1, color:green, block01:block_blue]</v>
      </c>
      <c r="N89" s="236" t="str">
        <f t="shared" si="252"/>
        <v>[effect:break_attack, target:unit_one, val:0.2, lowest_val:1500, count:-1, color:green, block01:block_blue]</v>
      </c>
      <c r="O89" s="235">
        <f t="shared" si="213"/>
        <v>9</v>
      </c>
      <c r="P89" s="235">
        <f t="shared" si="214"/>
        <v>21</v>
      </c>
      <c r="Q89" s="235">
        <f t="shared" si="215"/>
        <v>30</v>
      </c>
      <c r="R89" s="235">
        <f t="shared" si="216"/>
        <v>38</v>
      </c>
      <c r="S89" s="235" t="str">
        <f>IFERROR(VLOOKUP(MID(N89,Q89,R89-Q89),[6]skilldef!$C:$D,2,FALSE),"-") &amp; " / " &amp; IFERROR(VLOOKUP(MID(N89,O89,P89-O89),[6]skilldef!$A:$B,2,FALSE),"-")</f>
        <v>味方単体に / -</v>
      </c>
      <c r="T89" s="236" t="str">
        <f t="shared" si="217"/>
        <v>none</v>
      </c>
      <c r="U89" s="235" t="e">
        <f t="shared" si="218"/>
        <v>#VALUE!</v>
      </c>
      <c r="V89" s="235">
        <f t="shared" si="219"/>
        <v>4</v>
      </c>
      <c r="W89" s="235" t="e">
        <f t="shared" si="220"/>
        <v>#VALUE!</v>
      </c>
      <c r="X89" s="235" t="e">
        <f t="shared" si="221"/>
        <v>#VALUE!</v>
      </c>
      <c r="Y89" s="235" t="str">
        <f>IFERROR(VLOOKUP(MID(T89,W89,X89-W89),[6]skilldef!$C:$D,2,FALSE),"-") &amp; " / " &amp; IFERROR(VLOOKUP(MID(T89,U89,V89-U89),[6]skilldef!$A:$B,2,FALSE),"-")</f>
        <v>- / -</v>
      </c>
      <c r="Z89" s="233"/>
      <c r="AA89" s="237"/>
      <c r="AB89" s="233"/>
    </row>
    <row r="90" spans="1:28" ht="77" customHeight="1" x14ac:dyDescent="0.25">
      <c r="A90" s="262">
        <v>47015232</v>
      </c>
      <c r="B90" s="289" t="s">
        <v>392</v>
      </c>
      <c r="C90" s="233">
        <v>3</v>
      </c>
      <c r="D90" s="233" t="s">
        <v>127</v>
      </c>
      <c r="E90" s="234" t="s">
        <v>263</v>
      </c>
      <c r="F90" s="234" t="s">
        <v>286</v>
      </c>
      <c r="G90" s="235" t="str">
        <f t="shared" si="207"/>
        <v>[effect:enemy_message, val1:1.2, val2:1.8]</v>
      </c>
      <c r="H90" s="235">
        <f t="shared" si="208"/>
        <v>9</v>
      </c>
      <c r="I90" s="235">
        <f t="shared" si="209"/>
        <v>22</v>
      </c>
      <c r="J90" s="235" t="e">
        <f t="shared" si="210"/>
        <v>#VALUE!</v>
      </c>
      <c r="K90" s="235">
        <f t="shared" si="211"/>
        <v>32</v>
      </c>
      <c r="L90" s="235" t="str">
        <f>IFERROR(VLOOKUP(MID(G90,J90,K90-J90),[6]skilldef!$C:$D,2,FALSE),"-") &amp; " / " &amp; IFERROR(VLOOKUP(MID(G90,H90,I90-H90),[6]skilldef!$A:$B,2,FALSE),"-")</f>
        <v>- / -</v>
      </c>
      <c r="M90" s="235" t="str">
        <f t="shared" si="212"/>
        <v>[effect:rush, count:1, val:0.5],[effect:change_range_block, block_change:1, base_type:0, square_count:5, position01:6, position02:13, position03:16, value_h01:3, value_h02:1, value_h03:1, value_w01:3, value_w02:1, value_w03:3, new_block:green, target:block_all, ignore01:block_positive, ignore02:block_green, count:0, val:0, animation:change_range_block]</v>
      </c>
      <c r="N90" s="236" t="str">
        <f t="shared" si="252"/>
        <v>[effect:rush, count:1, val:0.5],[effect:change_range_block, block_change:1, base_type:0, square_count:5, position01:6, position02:13, position03:16, value_h01:3, value_h02:1, value_h03:1, value_w01:3, value_w02:1, value_w03:3, new_block:green, target:block_all, ignore01:block_positive, ignore02:block_green, count:0, val:0, animation:change_range_block]</v>
      </c>
      <c r="O90" s="235">
        <f t="shared" si="213"/>
        <v>9</v>
      </c>
      <c r="P90" s="235">
        <f t="shared" si="214"/>
        <v>13</v>
      </c>
      <c r="Q90" s="235">
        <f t="shared" si="215"/>
        <v>252</v>
      </c>
      <c r="R90" s="235">
        <f t="shared" si="216"/>
        <v>22</v>
      </c>
      <c r="S90" s="235" t="str">
        <f>IFERROR(VLOOKUP(MID(N90,Q90,R90-Q90),[6]skilldef!$C:$D,2,FALSE),"-") &amp; " / " &amp; IFERROR(VLOOKUP(MID(N90,O90,P90-O90),[6]skilldef!$A:$B,2,FALSE),"-")</f>
        <v>- / 連続攻撃</v>
      </c>
      <c r="T90" s="236" t="str">
        <f t="shared" si="217"/>
        <v>[effect:change_range_block, block_change:1, base_type:0, square_count:5, position01:6, position02:13, position03:16, value_h01:3, value_h02:1, value_h03:1, value_w01:3, value_w02:1, value_w03:3, new_block:green, target:block_all, ignore01:block_positive, ignore02:block_green, count:0, val:0, animation:change_range_block]</v>
      </c>
      <c r="U90" s="235">
        <f t="shared" si="218"/>
        <v>9</v>
      </c>
      <c r="V90" s="235">
        <f t="shared" si="219"/>
        <v>27</v>
      </c>
      <c r="W90" s="235">
        <f t="shared" si="220"/>
        <v>220</v>
      </c>
      <c r="X90" s="235">
        <f t="shared" si="221"/>
        <v>43</v>
      </c>
      <c r="Y90" s="235" t="str">
        <f>IFERROR(VLOOKUP(MID(T90,W90,X90-W90),[6]skilldef!$C:$D,2,FALSE),"-") &amp; " / " &amp; IFERROR(VLOOKUP(MID(T90,U90,V90-U90),[6]skilldef!$A:$B,2,FALSE),"-")</f>
        <v>- / -</v>
      </c>
      <c r="Z90" s="233"/>
      <c r="AA90" s="237"/>
      <c r="AB90" s="233"/>
    </row>
    <row r="91" spans="1:28" ht="77" customHeight="1" x14ac:dyDescent="0.25">
      <c r="A91" s="262">
        <v>47015233</v>
      </c>
      <c r="B91" s="289" t="s">
        <v>463</v>
      </c>
      <c r="C91" s="233">
        <v>3</v>
      </c>
      <c r="D91" s="233" t="s">
        <v>127</v>
      </c>
      <c r="E91" s="234" t="s">
        <v>264</v>
      </c>
      <c r="F91" s="234" t="s">
        <v>461</v>
      </c>
      <c r="G91" s="235" t="str">
        <f t="shared" si="207"/>
        <v>[effect:enemy_message, val1:1.2, val2:1.9]</v>
      </c>
      <c r="H91" s="235">
        <f t="shared" si="208"/>
        <v>9</v>
      </c>
      <c r="I91" s="235">
        <f t="shared" si="209"/>
        <v>22</v>
      </c>
      <c r="J91" s="235" t="e">
        <f t="shared" si="210"/>
        <v>#VALUE!</v>
      </c>
      <c r="K91" s="235">
        <f t="shared" si="211"/>
        <v>32</v>
      </c>
      <c r="L91" s="235" t="str">
        <f>IFERROR(VLOOKUP(MID(G91,J91,K91-J91),[6]skilldef!$C:$D,2,FALSE),"-") &amp; " / " &amp; IFERROR(VLOOKUP(MID(G91,H91,I91-H91),[6]skilldef!$A:$B,2,FALSE),"-")</f>
        <v>- / -</v>
      </c>
      <c r="M91" s="235" t="str">
        <f t="shared" si="212"/>
        <v>[effect:force_change_block, new_block:damage, target:normal, count:8, val:0.04, animation:change_block]</v>
      </c>
      <c r="N91" s="236" t="str">
        <f t="shared" si="252"/>
        <v>[effect:force_change_block, new_block:damage, target:normal, count:8, val:0.04, animation:change_block]</v>
      </c>
      <c r="O91" s="235">
        <f t="shared" si="213"/>
        <v>9</v>
      </c>
      <c r="P91" s="235">
        <f t="shared" si="214"/>
        <v>27</v>
      </c>
      <c r="Q91" s="235">
        <f t="shared" si="215"/>
        <v>54</v>
      </c>
      <c r="R91" s="235">
        <f t="shared" si="216"/>
        <v>45</v>
      </c>
      <c r="S91" s="235" t="str">
        <f>IFERROR(VLOOKUP(MID(N91,Q91,R91-Q91),[6]skilldef!$C:$D,2,FALSE),"-") &amp; " / " &amp; IFERROR(VLOOKUP(MID(N91,O91,P91-O91),[6]skilldef!$A:$B,2,FALSE),"-")</f>
        <v>- / -</v>
      </c>
      <c r="T91" s="236" t="str">
        <f t="shared" si="217"/>
        <v>none</v>
      </c>
      <c r="U91" s="235" t="e">
        <f t="shared" si="218"/>
        <v>#VALUE!</v>
      </c>
      <c r="V91" s="235">
        <f t="shared" si="219"/>
        <v>4</v>
      </c>
      <c r="W91" s="235" t="e">
        <f t="shared" si="220"/>
        <v>#VALUE!</v>
      </c>
      <c r="X91" s="235" t="e">
        <f t="shared" si="221"/>
        <v>#VALUE!</v>
      </c>
      <c r="Y91" s="235" t="str">
        <f>IFERROR(VLOOKUP(MID(T91,W91,X91-W91),[6]skilldef!$C:$D,2,FALSE),"-") &amp; " / " &amp; IFERROR(VLOOKUP(MID(T91,U91,V91-U91),[6]skilldef!$A:$B,2,FALSE),"-")</f>
        <v>- / -</v>
      </c>
      <c r="Z91" s="233"/>
      <c r="AA91" s="237"/>
      <c r="AB91" s="233"/>
    </row>
    <row r="92" spans="1:28" ht="77" customHeight="1" x14ac:dyDescent="0.25">
      <c r="A92" s="262">
        <v>47015234</v>
      </c>
      <c r="B92" s="289" t="s">
        <v>431</v>
      </c>
      <c r="C92" s="233">
        <v>3</v>
      </c>
      <c r="D92" s="233" t="s">
        <v>127</v>
      </c>
      <c r="E92" s="234" t="s">
        <v>265</v>
      </c>
      <c r="F92" s="234" t="s">
        <v>391</v>
      </c>
      <c r="G92" s="235" t="str">
        <f t="shared" si="207"/>
        <v>[effect:enemy_message, val1:1.2, val2:2.3]</v>
      </c>
      <c r="H92" s="235">
        <f t="shared" si="208"/>
        <v>9</v>
      </c>
      <c r="I92" s="235">
        <f t="shared" si="209"/>
        <v>22</v>
      </c>
      <c r="J92" s="235" t="e">
        <f t="shared" si="210"/>
        <v>#VALUE!</v>
      </c>
      <c r="K92" s="235">
        <f t="shared" si="211"/>
        <v>32</v>
      </c>
      <c r="L92" s="235" t="str">
        <f>IFERROR(VLOOKUP(MID(G92,J92,K92-J92),[6]skilldef!$C:$D,2,FALSE),"-") &amp; " / " &amp; IFERROR(VLOOKUP(MID(G92,H92,I92-H92),[6]skilldef!$A:$B,2,FALSE),"-")</f>
        <v>- / -</v>
      </c>
      <c r="M92" s="235" t="str">
        <f t="shared" si="212"/>
        <v>[effect:freq_turn, target:myself, turn:-1, val:1, animation:enemy_freq_turn],[effect:drop_block, block_type:crash, color:block_all, val:6, rate:0.1, turn:5, animation:crash_influence04]</v>
      </c>
      <c r="N92" s="236" t="str">
        <f t="shared" si="252"/>
        <v>[effect:freq_turn, target:myself, turn:-1, val:1, animation:enemy_freq_turn],[effect:drop_block, block_type:crash, color:block_all, val:6, rate:0.1, turn:5, animation:crash_influence04]</v>
      </c>
      <c r="O92" s="235">
        <f t="shared" si="213"/>
        <v>9</v>
      </c>
      <c r="P92" s="235">
        <f t="shared" si="214"/>
        <v>18</v>
      </c>
      <c r="Q92" s="235">
        <f t="shared" si="215"/>
        <v>27</v>
      </c>
      <c r="R92" s="235">
        <f t="shared" si="216"/>
        <v>33</v>
      </c>
      <c r="S92" s="235" t="str">
        <f>IFERROR(VLOOKUP(MID(N92,Q92,R92-Q92),[6]skilldef!$C:$D,2,FALSE),"-") &amp; " / " &amp; IFERROR(VLOOKUP(MID(N92,O92,P92-O92),[6]skilldef!$A:$B,2,FALSE),"-")</f>
        <v>自分自身に / 攻撃頻度がUP</v>
      </c>
      <c r="T92" s="236" t="str">
        <f t="shared" si="217"/>
        <v>[effect:drop_block, block_type:crash, color:block_all, val:6, rate:0.1, turn:5, animation:crash_influence04]</v>
      </c>
      <c r="U92" s="235">
        <f t="shared" si="218"/>
        <v>9</v>
      </c>
      <c r="V92" s="235">
        <f t="shared" si="219"/>
        <v>19</v>
      </c>
      <c r="W92" s="235" t="e">
        <f t="shared" si="220"/>
        <v>#VALUE!</v>
      </c>
      <c r="X92" s="235">
        <f t="shared" si="221"/>
        <v>37</v>
      </c>
      <c r="Y92" s="235" t="str">
        <f>IFERROR(VLOOKUP(MID(T92,W92,X92-W92),[6]skilldef!$C:$D,2,FALSE),"-") &amp; " / " &amp; IFERROR(VLOOKUP(MID(T92,U92,V92-U92),[6]skilldef!$A:$B,2,FALSE),"-")</f>
        <v>- / 特定ブロックの割合ドロップ</v>
      </c>
      <c r="Z92" s="233"/>
      <c r="AA92" s="237"/>
      <c r="AB92" s="233"/>
    </row>
    <row r="93" spans="1:28" ht="77" customHeight="1" x14ac:dyDescent="0.25">
      <c r="A93" s="260">
        <v>47015240</v>
      </c>
      <c r="B93" s="289" t="s">
        <v>432</v>
      </c>
      <c r="C93" s="233">
        <v>3</v>
      </c>
      <c r="D93" s="233" t="s">
        <v>127</v>
      </c>
      <c r="E93" s="234" t="s">
        <v>304</v>
      </c>
      <c r="F93" s="234" t="s">
        <v>449</v>
      </c>
      <c r="G93" s="235" t="str">
        <f t="shared" si="207"/>
        <v>[effect:enemy_message, val1:2.0, val2:4.9]</v>
      </c>
      <c r="H93" s="235">
        <f t="shared" si="208"/>
        <v>9</v>
      </c>
      <c r="I93" s="235">
        <f t="shared" si="209"/>
        <v>22</v>
      </c>
      <c r="J93" s="235" t="e">
        <f t="shared" si="210"/>
        <v>#VALUE!</v>
      </c>
      <c r="K93" s="235">
        <f t="shared" si="211"/>
        <v>32</v>
      </c>
      <c r="L93" s="235" t="str">
        <f>IFERROR(VLOOKUP(MID(G93,J93,K93-J93),[6]skilldef!$C:$D,2,FALSE),"-") &amp; " / " &amp; IFERROR(VLOOKUP(MID(G93,H93,I93-H93),[6]skilldef!$A:$B,2,FALSE),"-")</f>
        <v>- / -</v>
      </c>
      <c r="M93" s="235" t="str">
        <f t="shared" si="212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N93" s="236" t="str">
        <f t="shared" si="252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O93" s="235">
        <f t="shared" si="213"/>
        <v>9</v>
      </c>
      <c r="P93" s="235">
        <f t="shared" si="214"/>
        <v>18</v>
      </c>
      <c r="Q93" s="235">
        <f t="shared" si="215"/>
        <v>27</v>
      </c>
      <c r="R93" s="235">
        <f t="shared" si="216"/>
        <v>33</v>
      </c>
      <c r="S93" s="235" t="str">
        <f>IFERROR(VLOOKUP(MID(N93,Q93,R93-Q93),[6]skilldef!$C:$D,2,FALSE),"-") &amp; " / " &amp; IFERROR(VLOOKUP(MID(N93,O93,P93-O93),[6]skilldef!$A:$B,2,FALSE),"-")</f>
        <v>自分自身に / 行動値設定</v>
      </c>
      <c r="T93" s="236" t="str">
        <f t="shared" si="217"/>
        <v>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U93" s="235">
        <f t="shared" si="218"/>
        <v>9</v>
      </c>
      <c r="V93" s="235">
        <f t="shared" si="219"/>
        <v>18</v>
      </c>
      <c r="W93" s="235">
        <f t="shared" si="220"/>
        <v>27</v>
      </c>
      <c r="X93" s="235">
        <f t="shared" si="221"/>
        <v>33</v>
      </c>
      <c r="Y93" s="235" t="str">
        <f>IFERROR(VLOOKUP(MID(T93,W93,X93-W93),[6]skilldef!$C:$D,2,FALSE),"-") &amp; " / " &amp; IFERROR(VLOOKUP(MID(T93,U93,V93-U93),[6]skilldef!$A:$B,2,FALSE),"-")</f>
        <v>自分自身に / 状態異常耐性</v>
      </c>
      <c r="Z93" s="233"/>
      <c r="AA93" s="237"/>
      <c r="AB93" s="233"/>
    </row>
    <row r="94" spans="1:28" ht="77" customHeight="1" x14ac:dyDescent="0.25">
      <c r="A94" s="260">
        <v>47015241</v>
      </c>
      <c r="B94" s="289" t="s">
        <v>433</v>
      </c>
      <c r="C94" s="233">
        <v>3</v>
      </c>
      <c r="D94" s="233" t="s">
        <v>127</v>
      </c>
      <c r="E94" s="273" t="s">
        <v>276</v>
      </c>
      <c r="F94" s="271" t="s">
        <v>395</v>
      </c>
      <c r="G94" s="235" t="str">
        <f t="shared" si="207"/>
        <v>[effect:enemy_message, val1:1.2, val2:1.6]</v>
      </c>
      <c r="H94" s="235">
        <f t="shared" si="208"/>
        <v>9</v>
      </c>
      <c r="I94" s="235">
        <f t="shared" si="209"/>
        <v>22</v>
      </c>
      <c r="J94" s="235" t="e">
        <f t="shared" si="210"/>
        <v>#VALUE!</v>
      </c>
      <c r="K94" s="235">
        <f t="shared" si="211"/>
        <v>32</v>
      </c>
      <c r="L94" s="235" t="str">
        <f>IFERROR(VLOOKUP(MID(G94,J94,K94-J94),[6]skilldef!$C:$D,2,FALSE),"-") &amp; " / " &amp; IFERROR(VLOOKUP(MID(G94,H94,I94-H94),[6]skilldef!$A:$B,2,FALSE),"-")</f>
        <v>- / -</v>
      </c>
      <c r="M94" s="235" t="str">
        <f t="shared" si="212"/>
        <v>[effect:break_attack, target:unit_one, val:0.2, lowest_val:500, count:-1, color:green, block01:block_green],[effect:heal, target:myself, val:0.02, animation:enemy_heal]</v>
      </c>
      <c r="N94" s="236" t="str">
        <f t="shared" si="252"/>
        <v>[effect:break_attack, target:unit_one, val:0.2, lowest_val:500, count:-1, color:green, block01:block_green],[effect:heal, target:myself, val:0.02, animation:enemy_heal]</v>
      </c>
      <c r="O94" s="235">
        <f t="shared" si="213"/>
        <v>9</v>
      </c>
      <c r="P94" s="235">
        <f t="shared" si="214"/>
        <v>21</v>
      </c>
      <c r="Q94" s="235">
        <f t="shared" si="215"/>
        <v>30</v>
      </c>
      <c r="R94" s="235">
        <f t="shared" si="216"/>
        <v>38</v>
      </c>
      <c r="S94" s="235" t="str">
        <f>IFERROR(VLOOKUP(MID(N94,Q94,R94-Q94),[6]skilldef!$C:$D,2,FALSE),"-") &amp; " / " &amp; IFERROR(VLOOKUP(MID(N94,O94,P94-O94),[6]skilldef!$A:$B,2,FALSE),"-")</f>
        <v>味方単体に / -</v>
      </c>
      <c r="T94" s="236" t="str">
        <f t="shared" si="217"/>
        <v>[effect:heal, target:myself, val:0.02, animation:enemy_heal]</v>
      </c>
      <c r="U94" s="235">
        <f t="shared" si="218"/>
        <v>9</v>
      </c>
      <c r="V94" s="235">
        <f t="shared" si="219"/>
        <v>13</v>
      </c>
      <c r="W94" s="235">
        <f t="shared" si="220"/>
        <v>22</v>
      </c>
      <c r="X94" s="235">
        <f t="shared" si="221"/>
        <v>28</v>
      </c>
      <c r="Y94" s="235" t="str">
        <f>IFERROR(VLOOKUP(MID(T94,W94,X94-W94),[6]skilldef!$C:$D,2,FALSE),"-") &amp; " / " &amp; IFERROR(VLOOKUP(MID(T94,U94,V94-U94),[6]skilldef!$A:$B,2,FALSE),"-")</f>
        <v>自分自身に / 回復</v>
      </c>
      <c r="Z94" s="233"/>
      <c r="AA94" s="237"/>
      <c r="AB94" s="233"/>
    </row>
    <row r="95" spans="1:28" ht="77" customHeight="1" x14ac:dyDescent="0.25">
      <c r="A95" s="260">
        <v>47015242</v>
      </c>
      <c r="B95" s="289" t="s">
        <v>387</v>
      </c>
      <c r="C95" s="233">
        <v>3</v>
      </c>
      <c r="D95" s="233" t="s">
        <v>127</v>
      </c>
      <c r="E95" s="234" t="s">
        <v>366</v>
      </c>
      <c r="F95" s="271" t="s">
        <v>394</v>
      </c>
      <c r="G95" s="235" t="str">
        <f t="shared" si="207"/>
        <v>[effect:enemy_message, val1:1.3, val2:1.9]</v>
      </c>
      <c r="H95" s="235">
        <f t="shared" si="208"/>
        <v>9</v>
      </c>
      <c r="I95" s="235">
        <f t="shared" si="209"/>
        <v>22</v>
      </c>
      <c r="J95" s="235" t="e">
        <f t="shared" si="210"/>
        <v>#VALUE!</v>
      </c>
      <c r="K95" s="235">
        <f t="shared" si="211"/>
        <v>32</v>
      </c>
      <c r="L95" s="235" t="str">
        <f>IFERROR(VLOOKUP(MID(G95,J95,K95-J95),[6]skilldef!$C:$D,2,FALSE),"-") &amp; " / " &amp; IFERROR(VLOOKUP(MID(G95,H95,I95-H95),[6]skilldef!$A:$B,2,FALSE),"-")</f>
        <v>- / -</v>
      </c>
      <c r="M95" s="235" t="str">
        <f t="shared" si="212"/>
        <v>[effect:damage_abnormal, target:unit_all, val:0.07, status:virus, turn:2, val_abnormal:0.07, animation:enemy_virus]</v>
      </c>
      <c r="N95" s="236" t="str">
        <f t="shared" si="252"/>
        <v>[effect:damage_abnormal, target:unit_all, val:0.07, status:virus, turn:2, val_abnormal:0.07, animation:enemy_virus]</v>
      </c>
      <c r="O95" s="235">
        <f t="shared" si="213"/>
        <v>9</v>
      </c>
      <c r="P95" s="235">
        <f t="shared" si="214"/>
        <v>24</v>
      </c>
      <c r="Q95" s="235">
        <f t="shared" si="215"/>
        <v>33</v>
      </c>
      <c r="R95" s="235">
        <f t="shared" si="216"/>
        <v>41</v>
      </c>
      <c r="S95" s="235" t="str">
        <f>IFERROR(VLOOKUP(MID(N95,Q95,R95-Q95),[6]skilldef!$C:$D,2,FALSE),"-") &amp; " / " &amp; IFERROR(VLOOKUP(MID(N95,O95,P95-O95),[6]skilldef!$A:$B,2,FALSE),"-")</f>
        <v>味方全体に / -</v>
      </c>
      <c r="T95" s="236" t="str">
        <f t="shared" si="217"/>
        <v>none</v>
      </c>
      <c r="U95" s="235" t="e">
        <f t="shared" si="218"/>
        <v>#VALUE!</v>
      </c>
      <c r="V95" s="235">
        <f t="shared" si="219"/>
        <v>4</v>
      </c>
      <c r="W95" s="235" t="e">
        <f t="shared" si="220"/>
        <v>#VALUE!</v>
      </c>
      <c r="X95" s="235" t="e">
        <f t="shared" si="221"/>
        <v>#VALUE!</v>
      </c>
      <c r="Y95" s="235" t="str">
        <f>IFERROR(VLOOKUP(MID(T95,W95,X95-W95),[6]skilldef!$C:$D,2,FALSE),"-") &amp; " / " &amp; IFERROR(VLOOKUP(MID(T95,U95,V95-U95),[6]skilldef!$A:$B,2,FALSE),"-")</f>
        <v>- / -</v>
      </c>
      <c r="Z95" s="233"/>
      <c r="AA95" s="237"/>
      <c r="AB95" s="233"/>
    </row>
    <row r="96" spans="1:28" ht="77" customHeight="1" x14ac:dyDescent="0.25">
      <c r="A96" s="260">
        <v>47015243</v>
      </c>
      <c r="B96" s="289" t="s">
        <v>439</v>
      </c>
      <c r="C96" s="233">
        <v>3</v>
      </c>
      <c r="D96" s="233" t="s">
        <v>127</v>
      </c>
      <c r="E96" s="234" t="s">
        <v>345</v>
      </c>
      <c r="F96" s="234" t="s">
        <v>456</v>
      </c>
      <c r="G96" s="235" t="str">
        <f t="shared" si="207"/>
        <v>[effect:enemy_message, val1:1.2, val2:2.7]</v>
      </c>
      <c r="H96" s="235">
        <f t="shared" si="208"/>
        <v>9</v>
      </c>
      <c r="I96" s="235">
        <f t="shared" si="209"/>
        <v>22</v>
      </c>
      <c r="J96" s="235" t="e">
        <f t="shared" si="210"/>
        <v>#VALUE!</v>
      </c>
      <c r="K96" s="235">
        <f t="shared" si="211"/>
        <v>32</v>
      </c>
      <c r="L96" s="235" t="str">
        <f>IFERROR(VLOOKUP(MID(G96,J96,K96-J96),[6]skilldef!$C:$D,2,FALSE),"-") &amp; " / " &amp; IFERROR(VLOOKUP(MID(G96,H96,I96-H96),[6]skilldef!$A:$B,2,FALSE),"-")</f>
        <v>- / -</v>
      </c>
      <c r="M96" s="235" t="str">
        <f t="shared" si="212"/>
        <v>[effect:freq_turn, target:myself, turn:-1, val:1, animation:enemy_freq_turn],[effect:force_change_block, new_block:damage, target:normal, count:3, val:0.04, animation:change_block]</v>
      </c>
      <c r="N96" s="236" t="str">
        <f t="shared" si="252"/>
        <v>[effect:freq_turn, target:myself, turn:-1, val:1, animation:enemy_freq_turn],[effect:force_change_block, new_block:damage, target:normal, count:3, val:0.04, animation:change_block]</v>
      </c>
      <c r="O96" s="235">
        <f t="shared" si="213"/>
        <v>9</v>
      </c>
      <c r="P96" s="235">
        <f t="shared" si="214"/>
        <v>18</v>
      </c>
      <c r="Q96" s="235">
        <f t="shared" si="215"/>
        <v>27</v>
      </c>
      <c r="R96" s="235">
        <f t="shared" si="216"/>
        <v>33</v>
      </c>
      <c r="S96" s="235" t="str">
        <f>IFERROR(VLOOKUP(MID(N96,Q96,R96-Q96),[6]skilldef!$C:$D,2,FALSE),"-") &amp; " / " &amp; IFERROR(VLOOKUP(MID(N96,O96,P96-O96),[6]skilldef!$A:$B,2,FALSE),"-")</f>
        <v>自分自身に / 攻撃頻度がUP</v>
      </c>
      <c r="T96" s="236" t="str">
        <f t="shared" si="217"/>
        <v>[effect:force_change_block, new_block:damage, target:normal, count:3, val:0.04, animation:change_block]</v>
      </c>
      <c r="U96" s="235">
        <f t="shared" si="218"/>
        <v>9</v>
      </c>
      <c r="V96" s="235">
        <f t="shared" si="219"/>
        <v>27</v>
      </c>
      <c r="W96" s="235">
        <f t="shared" si="220"/>
        <v>54</v>
      </c>
      <c r="X96" s="235">
        <f t="shared" si="221"/>
        <v>45</v>
      </c>
      <c r="Y96" s="235" t="str">
        <f>IFERROR(VLOOKUP(MID(T96,W96,X96-W96),[6]skilldef!$C:$D,2,FALSE),"-") &amp; " / " &amp; IFERROR(VLOOKUP(MID(T96,U96,V96-U96),[6]skilldef!$A:$B,2,FALSE),"-")</f>
        <v>- / -</v>
      </c>
      <c r="Z96" s="233"/>
      <c r="AA96" s="237"/>
      <c r="AB96" s="233"/>
    </row>
    <row r="97" spans="1:28" s="276" customFormat="1" ht="77" customHeight="1" x14ac:dyDescent="0.25">
      <c r="A97" s="260">
        <v>47015244</v>
      </c>
      <c r="B97" s="290" t="s">
        <v>432</v>
      </c>
      <c r="C97" s="233">
        <v>3</v>
      </c>
      <c r="D97" s="274" t="s">
        <v>127</v>
      </c>
      <c r="E97" s="275" t="s">
        <v>357</v>
      </c>
      <c r="F97" s="275" t="s">
        <v>466</v>
      </c>
      <c r="G97" s="275" t="str">
        <f t="shared" si="207"/>
        <v>[effect:enemy_message, val1:2.0, val2:4.9]</v>
      </c>
      <c r="H97" s="275">
        <f t="shared" si="208"/>
        <v>9</v>
      </c>
      <c r="I97" s="275">
        <f t="shared" si="209"/>
        <v>22</v>
      </c>
      <c r="J97" s="275" t="e">
        <f t="shared" si="210"/>
        <v>#VALUE!</v>
      </c>
      <c r="K97" s="275">
        <f t="shared" si="211"/>
        <v>32</v>
      </c>
      <c r="L97" s="275" t="str">
        <f>IFERROR(VLOOKUP(MID(G97,J97,K97-J97),[6]skilldef!$C:$D,2,FALSE),"-") &amp; " / " &amp; IFERROR(VLOOKUP(MID(G97,H97,I97-H97),[6]skilldef!$A:$B,2,FALSE),"-")</f>
        <v>- / -</v>
      </c>
      <c r="M97" s="275" t="str">
        <f t="shared" si="212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N97" s="276" t="str">
        <f t="shared" ref="N97:N102" si="253">IFERROR(LEFT(M97,FIND("],",M97)+S120),M97)</f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O97" s="275">
        <f t="shared" si="213"/>
        <v>9</v>
      </c>
      <c r="P97" s="275">
        <f t="shared" si="214"/>
        <v>18</v>
      </c>
      <c r="Q97" s="275">
        <f t="shared" si="215"/>
        <v>27</v>
      </c>
      <c r="R97" s="275">
        <f t="shared" si="216"/>
        <v>33</v>
      </c>
      <c r="S97" s="275" t="str">
        <f>IFERROR(VLOOKUP(MID(N97,Q97,R97-Q97),[6]skilldef!$C:$D,2,FALSE),"-") &amp; " / " &amp; IFERROR(VLOOKUP(MID(N97,O97,P97-O97),[6]skilldef!$A:$B,2,FALSE),"-")</f>
        <v>自分自身に / 行動値設定</v>
      </c>
      <c r="T97" s="276" t="str">
        <f t="shared" si="217"/>
        <v>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U97" s="275">
        <f t="shared" si="218"/>
        <v>9</v>
      </c>
      <c r="V97" s="275">
        <f t="shared" si="219"/>
        <v>18</v>
      </c>
      <c r="W97" s="275">
        <f t="shared" si="220"/>
        <v>27</v>
      </c>
      <c r="X97" s="275">
        <f t="shared" si="221"/>
        <v>33</v>
      </c>
      <c r="Y97" s="275" t="str">
        <f>IFERROR(VLOOKUP(MID(T97,W97,X97-W97),[6]skilldef!$C:$D,2,FALSE),"-") &amp; " / " &amp; IFERROR(VLOOKUP(MID(T97,U97,V97-U97),[6]skilldef!$A:$B,2,FALSE),"-")</f>
        <v>自分自身に / 状態異常耐性</v>
      </c>
      <c r="Z97" s="274"/>
      <c r="AA97" s="277"/>
      <c r="AB97" s="274"/>
    </row>
    <row r="98" spans="1:28" s="276" customFormat="1" ht="77" customHeight="1" x14ac:dyDescent="0.25">
      <c r="A98" s="260">
        <v>47015245</v>
      </c>
      <c r="B98" s="290" t="s">
        <v>432</v>
      </c>
      <c r="C98" s="233">
        <v>3</v>
      </c>
      <c r="D98" s="274" t="s">
        <v>127</v>
      </c>
      <c r="E98" s="275" t="s">
        <v>357</v>
      </c>
      <c r="F98" s="275" t="s">
        <v>466</v>
      </c>
      <c r="G98" s="275" t="str">
        <f t="shared" si="207"/>
        <v>[effect:enemy_message, val1:2.0, val2:4.9]</v>
      </c>
      <c r="H98" s="275">
        <f t="shared" si="208"/>
        <v>9</v>
      </c>
      <c r="I98" s="275">
        <f t="shared" si="209"/>
        <v>22</v>
      </c>
      <c r="J98" s="275" t="e">
        <f t="shared" si="210"/>
        <v>#VALUE!</v>
      </c>
      <c r="K98" s="275">
        <f t="shared" si="211"/>
        <v>32</v>
      </c>
      <c r="L98" s="275" t="str">
        <f>IFERROR(VLOOKUP(MID(G98,J98,K98-J98),[6]skilldef!$C:$D,2,FALSE),"-") &amp; " / " &amp; IFERROR(VLOOKUP(MID(G98,H98,I98-H98),[6]skilldef!$A:$B,2,FALSE),"-")</f>
        <v>- / -</v>
      </c>
      <c r="M98" s="275" t="str">
        <f t="shared" si="212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N98" s="276" t="str">
        <f t="shared" si="253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O98" s="275">
        <f t="shared" si="213"/>
        <v>9</v>
      </c>
      <c r="P98" s="275">
        <f t="shared" si="214"/>
        <v>18</v>
      </c>
      <c r="Q98" s="275">
        <f t="shared" si="215"/>
        <v>27</v>
      </c>
      <c r="R98" s="275">
        <f t="shared" si="216"/>
        <v>33</v>
      </c>
      <c r="S98" s="275" t="str">
        <f>IFERROR(VLOOKUP(MID(N98,Q98,R98-Q98),[6]skilldef!$C:$D,2,FALSE),"-") &amp; " / " &amp; IFERROR(VLOOKUP(MID(N98,O98,P98-O98),[6]skilldef!$A:$B,2,FALSE),"-")</f>
        <v>自分自身に / 行動値設定</v>
      </c>
      <c r="T98" s="276" t="str">
        <f t="shared" si="217"/>
        <v>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U98" s="275">
        <f t="shared" si="218"/>
        <v>9</v>
      </c>
      <c r="V98" s="275">
        <f t="shared" si="219"/>
        <v>18</v>
      </c>
      <c r="W98" s="275">
        <f t="shared" si="220"/>
        <v>27</v>
      </c>
      <c r="X98" s="275">
        <f t="shared" si="221"/>
        <v>33</v>
      </c>
      <c r="Y98" s="275" t="str">
        <f>IFERROR(VLOOKUP(MID(T98,W98,X98-W98),[6]skilldef!$C:$D,2,FALSE),"-") &amp; " / " &amp; IFERROR(VLOOKUP(MID(T98,U98,V98-U98),[6]skilldef!$A:$B,2,FALSE),"-")</f>
        <v>自分自身に / 状態異常耐性</v>
      </c>
      <c r="Z98" s="274"/>
      <c r="AA98" s="277"/>
      <c r="AB98" s="274"/>
    </row>
    <row r="99" spans="1:28" s="276" customFormat="1" ht="77" customHeight="1" x14ac:dyDescent="0.25">
      <c r="A99" s="260">
        <v>47015246</v>
      </c>
      <c r="B99" s="290" t="s">
        <v>432</v>
      </c>
      <c r="C99" s="233">
        <v>3</v>
      </c>
      <c r="D99" s="274" t="s">
        <v>127</v>
      </c>
      <c r="E99" s="275" t="s">
        <v>321</v>
      </c>
      <c r="F99" s="275" t="s">
        <v>467</v>
      </c>
      <c r="G99" s="275" t="str">
        <f t="shared" si="207"/>
        <v>[effect:enemy_message, val1:2.0, val2:4.9]</v>
      </c>
      <c r="H99" s="275">
        <f t="shared" si="208"/>
        <v>9</v>
      </c>
      <c r="I99" s="275">
        <f t="shared" si="209"/>
        <v>22</v>
      </c>
      <c r="J99" s="275" t="e">
        <f t="shared" si="210"/>
        <v>#VALUE!</v>
      </c>
      <c r="K99" s="275">
        <f t="shared" si="211"/>
        <v>32</v>
      </c>
      <c r="L99" s="275" t="str">
        <f>IFERROR(VLOOKUP(MID(G99,J99,K99-J99),[6]skilldef!$C:$D,2,FALSE),"-") &amp; " / " &amp; IFERROR(VLOOKUP(MID(G99,H99,I99-H99),[6]skilldef!$A:$B,2,FALSE),"-")</f>
        <v>- / -</v>
      </c>
      <c r="M99" s="275" t="str">
        <f t="shared" si="212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N99" s="276" t="str">
        <f t="shared" si="253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O99" s="275">
        <f t="shared" si="213"/>
        <v>9</v>
      </c>
      <c r="P99" s="275">
        <f t="shared" si="214"/>
        <v>18</v>
      </c>
      <c r="Q99" s="275">
        <f t="shared" si="215"/>
        <v>27</v>
      </c>
      <c r="R99" s="275">
        <f t="shared" si="216"/>
        <v>33</v>
      </c>
      <c r="S99" s="275" t="str">
        <f>IFERROR(VLOOKUP(MID(N99,Q99,R99-Q99),[6]skilldef!$C:$D,2,FALSE),"-") &amp; " / " &amp; IFERROR(VLOOKUP(MID(N99,O99,P99-O99),[6]skilldef!$A:$B,2,FALSE),"-")</f>
        <v>自分自身に / 行動値設定</v>
      </c>
      <c r="T99" s="276" t="str">
        <f t="shared" si="217"/>
        <v>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U99" s="275">
        <f t="shared" si="218"/>
        <v>9</v>
      </c>
      <c r="V99" s="275">
        <f t="shared" si="219"/>
        <v>18</v>
      </c>
      <c r="W99" s="275">
        <f t="shared" si="220"/>
        <v>27</v>
      </c>
      <c r="X99" s="275">
        <f t="shared" si="221"/>
        <v>33</v>
      </c>
      <c r="Y99" s="275" t="str">
        <f>IFERROR(VLOOKUP(MID(T99,W99,X99-W99),[6]skilldef!$C:$D,2,FALSE),"-") &amp; " / " &amp; IFERROR(VLOOKUP(MID(T99,U99,V99-U99),[6]skilldef!$A:$B,2,FALSE),"-")</f>
        <v>自分自身に / 状態異常耐性</v>
      </c>
      <c r="Z99" s="274"/>
      <c r="AA99" s="277"/>
      <c r="AB99" s="274"/>
    </row>
    <row r="100" spans="1:28" s="276" customFormat="1" ht="77" customHeight="1" x14ac:dyDescent="0.25">
      <c r="A100" s="260">
        <v>47015247</v>
      </c>
      <c r="B100" s="290" t="s">
        <v>432</v>
      </c>
      <c r="C100" s="233">
        <v>3</v>
      </c>
      <c r="D100" s="274" t="s">
        <v>127</v>
      </c>
      <c r="E100" s="275" t="s">
        <v>321</v>
      </c>
      <c r="F100" s="275" t="s">
        <v>470</v>
      </c>
      <c r="G100" s="275" t="str">
        <f t="shared" si="207"/>
        <v>[effect:enemy_message, val1:2.0, val2:4.9]</v>
      </c>
      <c r="H100" s="275">
        <f t="shared" si="208"/>
        <v>9</v>
      </c>
      <c r="I100" s="275">
        <f t="shared" si="209"/>
        <v>22</v>
      </c>
      <c r="J100" s="275" t="e">
        <f t="shared" si="210"/>
        <v>#VALUE!</v>
      </c>
      <c r="K100" s="275">
        <f t="shared" si="211"/>
        <v>32</v>
      </c>
      <c r="L100" s="275" t="str">
        <f>IFERROR(VLOOKUP(MID(G100,J100,K100-J100),[6]skilldef!$C:$D,2,FALSE),"-") &amp; " / " &amp; IFERROR(VLOOKUP(MID(G100,H100,I100-H100),[6]skilldef!$A:$B,2,FALSE),"-")</f>
        <v>- / -</v>
      </c>
      <c r="M100" s="275" t="str">
        <f t="shared" si="212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N100" s="276" t="str">
        <f t="shared" si="253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O100" s="275">
        <f t="shared" si="213"/>
        <v>9</v>
      </c>
      <c r="P100" s="275">
        <f t="shared" si="214"/>
        <v>18</v>
      </c>
      <c r="Q100" s="275">
        <f t="shared" si="215"/>
        <v>27</v>
      </c>
      <c r="R100" s="275">
        <f t="shared" si="216"/>
        <v>33</v>
      </c>
      <c r="S100" s="275" t="str">
        <f>IFERROR(VLOOKUP(MID(N100,Q100,R100-Q100),[6]skilldef!$C:$D,2,FALSE),"-") &amp; " / " &amp; IFERROR(VLOOKUP(MID(N100,O100,P100-O100),[6]skilldef!$A:$B,2,FALSE),"-")</f>
        <v>自分自身に / 行動値設定</v>
      </c>
      <c r="T100" s="276" t="str">
        <f t="shared" si="217"/>
        <v>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U100" s="275">
        <f t="shared" si="218"/>
        <v>9</v>
      </c>
      <c r="V100" s="275">
        <f t="shared" si="219"/>
        <v>18</v>
      </c>
      <c r="W100" s="275">
        <f t="shared" si="220"/>
        <v>27</v>
      </c>
      <c r="X100" s="275">
        <f t="shared" si="221"/>
        <v>33</v>
      </c>
      <c r="Y100" s="275" t="str">
        <f>IFERROR(VLOOKUP(MID(T100,W100,X100-W100),[6]skilldef!$C:$D,2,FALSE),"-") &amp; " / " &amp; IFERROR(VLOOKUP(MID(T100,U100,V100-U100),[6]skilldef!$A:$B,2,FALSE),"-")</f>
        <v>自分自身に / 状態異常耐性</v>
      </c>
      <c r="Z100" s="274"/>
      <c r="AA100" s="277"/>
      <c r="AB100" s="274"/>
    </row>
    <row r="101" spans="1:28" s="276" customFormat="1" ht="77" customHeight="1" x14ac:dyDescent="0.25">
      <c r="A101" s="260">
        <v>47015248</v>
      </c>
      <c r="B101" s="290" t="s">
        <v>432</v>
      </c>
      <c r="C101" s="233">
        <v>3</v>
      </c>
      <c r="D101" s="274" t="s">
        <v>127</v>
      </c>
      <c r="E101" s="275" t="s">
        <v>324</v>
      </c>
      <c r="F101" s="275" t="s">
        <v>468</v>
      </c>
      <c r="G101" s="275" t="str">
        <f t="shared" si="207"/>
        <v>[effect:enemy_message, val1:2.0, val2:4.9]</v>
      </c>
      <c r="H101" s="275">
        <f t="shared" si="208"/>
        <v>9</v>
      </c>
      <c r="I101" s="275">
        <f t="shared" si="209"/>
        <v>22</v>
      </c>
      <c r="J101" s="275" t="e">
        <f t="shared" si="210"/>
        <v>#VALUE!</v>
      </c>
      <c r="K101" s="275">
        <f t="shared" si="211"/>
        <v>32</v>
      </c>
      <c r="L101" s="275" t="str">
        <f>IFERROR(VLOOKUP(MID(G101,J101,K101-J101),[6]skilldef!$C:$D,2,FALSE),"-") &amp; " / " &amp; IFERROR(VLOOKUP(MID(G101,H101,I101-H101),[6]skilldef!$A:$B,2,FALSE),"-")</f>
        <v>- / -</v>
      </c>
      <c r="M101" s="275" t="str">
        <f t="shared" si="212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N101" s="276" t="str">
        <f t="shared" si="253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O101" s="275">
        <f t="shared" si="213"/>
        <v>9</v>
      </c>
      <c r="P101" s="275">
        <f t="shared" si="214"/>
        <v>18</v>
      </c>
      <c r="Q101" s="275">
        <f t="shared" si="215"/>
        <v>27</v>
      </c>
      <c r="R101" s="275">
        <f t="shared" si="216"/>
        <v>33</v>
      </c>
      <c r="S101" s="275" t="str">
        <f>IFERROR(VLOOKUP(MID(N101,Q101,R101-Q101),[6]skilldef!$C:$D,2,FALSE),"-") &amp; " / " &amp; IFERROR(VLOOKUP(MID(N101,O101,P101-O101),[6]skilldef!$A:$B,2,FALSE),"-")</f>
        <v>自分自身に / 行動値設定</v>
      </c>
      <c r="T101" s="276" t="str">
        <f t="shared" si="217"/>
        <v>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U101" s="275">
        <f t="shared" si="218"/>
        <v>9</v>
      </c>
      <c r="V101" s="275">
        <f t="shared" si="219"/>
        <v>18</v>
      </c>
      <c r="W101" s="275">
        <f t="shared" si="220"/>
        <v>27</v>
      </c>
      <c r="X101" s="275">
        <f t="shared" si="221"/>
        <v>33</v>
      </c>
      <c r="Y101" s="275" t="str">
        <f>IFERROR(VLOOKUP(MID(T101,W101,X101-W101),[6]skilldef!$C:$D,2,FALSE),"-") &amp; " / " &amp; IFERROR(VLOOKUP(MID(T101,U101,V101-U101),[6]skilldef!$A:$B,2,FALSE),"-")</f>
        <v>自分自身に / 状態異常耐性</v>
      </c>
      <c r="Z101" s="274"/>
      <c r="AA101" s="277"/>
      <c r="AB101" s="274"/>
    </row>
    <row r="102" spans="1:28" s="276" customFormat="1" ht="77" customHeight="1" x14ac:dyDescent="0.25">
      <c r="A102" s="260">
        <v>47015249</v>
      </c>
      <c r="B102" s="290" t="s">
        <v>432</v>
      </c>
      <c r="C102" s="233">
        <v>3</v>
      </c>
      <c r="D102" s="274" t="s">
        <v>127</v>
      </c>
      <c r="E102" s="275" t="s">
        <v>324</v>
      </c>
      <c r="F102" s="275" t="s">
        <v>469</v>
      </c>
      <c r="G102" s="275" t="str">
        <f t="shared" si="207"/>
        <v>[effect:enemy_message, val1:2.0, val2:4.9]</v>
      </c>
      <c r="H102" s="275">
        <f t="shared" si="208"/>
        <v>9</v>
      </c>
      <c r="I102" s="275">
        <f t="shared" si="209"/>
        <v>22</v>
      </c>
      <c r="J102" s="275" t="e">
        <f t="shared" si="210"/>
        <v>#VALUE!</v>
      </c>
      <c r="K102" s="275">
        <f t="shared" si="211"/>
        <v>32</v>
      </c>
      <c r="L102" s="275" t="str">
        <f>IFERROR(VLOOKUP(MID(G102,J102,K102-J102),[6]skilldef!$C:$D,2,FALSE),"-") &amp; " / " &amp; IFERROR(VLOOKUP(MID(G102,H102,I102-H102),[6]skilldef!$A:$B,2,FALSE),"-")</f>
        <v>- / -</v>
      </c>
      <c r="M102" s="275" t="str">
        <f t="shared" si="212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N102" s="276" t="str">
        <f t="shared" si="253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O102" s="275">
        <f t="shared" si="213"/>
        <v>9</v>
      </c>
      <c r="P102" s="275">
        <f t="shared" si="214"/>
        <v>18</v>
      </c>
      <c r="Q102" s="275">
        <f t="shared" si="215"/>
        <v>27</v>
      </c>
      <c r="R102" s="275">
        <f t="shared" si="216"/>
        <v>33</v>
      </c>
      <c r="S102" s="275" t="str">
        <f>IFERROR(VLOOKUP(MID(N102,Q102,R102-Q102),[6]skilldef!$C:$D,2,FALSE),"-") &amp; " / " &amp; IFERROR(VLOOKUP(MID(N102,O102,P102-O102),[6]skilldef!$A:$B,2,FALSE),"-")</f>
        <v>自分自身に / 行動値設定</v>
      </c>
      <c r="T102" s="276" t="str">
        <f t="shared" si="217"/>
        <v>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U102" s="275">
        <f t="shared" si="218"/>
        <v>9</v>
      </c>
      <c r="V102" s="275">
        <f t="shared" si="219"/>
        <v>18</v>
      </c>
      <c r="W102" s="275">
        <f t="shared" si="220"/>
        <v>27</v>
      </c>
      <c r="X102" s="275">
        <f t="shared" si="221"/>
        <v>33</v>
      </c>
      <c r="Y102" s="275" t="str">
        <f>IFERROR(VLOOKUP(MID(T102,W102,X102-W102),[6]skilldef!$C:$D,2,FALSE),"-") &amp; " / " &amp; IFERROR(VLOOKUP(MID(T102,U102,V102-U102),[6]skilldef!$A:$B,2,FALSE),"-")</f>
        <v>自分自身に / 状態異常耐性</v>
      </c>
      <c r="Z102" s="274"/>
      <c r="AA102" s="277"/>
      <c r="AB102" s="274"/>
    </row>
    <row r="103" spans="1:28" s="276" customFormat="1" ht="77" customHeight="1" x14ac:dyDescent="0.25">
      <c r="A103" s="260">
        <v>47015250</v>
      </c>
      <c r="B103" s="290" t="s">
        <v>432</v>
      </c>
      <c r="C103" s="233">
        <v>3</v>
      </c>
      <c r="D103" s="274" t="s">
        <v>127</v>
      </c>
      <c r="E103" s="275" t="s">
        <v>324</v>
      </c>
      <c r="F103" s="275" t="s">
        <v>469</v>
      </c>
      <c r="G103" s="275" t="str">
        <f t="shared" si="207"/>
        <v>[effect:enemy_message, val1:2.0, val2:4.9]</v>
      </c>
      <c r="H103" s="275">
        <f t="shared" si="208"/>
        <v>9</v>
      </c>
      <c r="I103" s="275">
        <f t="shared" si="209"/>
        <v>22</v>
      </c>
      <c r="J103" s="275" t="e">
        <f t="shared" si="210"/>
        <v>#VALUE!</v>
      </c>
      <c r="K103" s="275">
        <f t="shared" si="211"/>
        <v>32</v>
      </c>
      <c r="L103" s="275" t="str">
        <f>IFERROR(VLOOKUP(MID(G103,J103,K103-J103),[6]skilldef!$C:$D,2,FALSE),"-") &amp; " / " &amp; IFERROR(VLOOKUP(MID(G103,H103,I103-H103),[6]skilldef!$A:$B,2,FALSE),"-")</f>
        <v>- / -</v>
      </c>
      <c r="M103" s="275" t="str">
        <f t="shared" si="212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N103" s="276" t="str">
        <f t="shared" ref="N103" si="254">IFERROR(LEFT(M103,FIND("],",M103)+S142),M103)</f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O103" s="275">
        <f t="shared" si="213"/>
        <v>9</v>
      </c>
      <c r="P103" s="275">
        <f t="shared" si="214"/>
        <v>18</v>
      </c>
      <c r="Q103" s="275">
        <f t="shared" si="215"/>
        <v>27</v>
      </c>
      <c r="R103" s="275">
        <f t="shared" si="216"/>
        <v>33</v>
      </c>
      <c r="S103" s="275" t="str">
        <f>IFERROR(VLOOKUP(MID(N103,Q103,R103-Q103),[6]skilldef!$C:$D,2,FALSE),"-") &amp; " / " &amp; IFERROR(VLOOKUP(MID(N103,O103,P103-O103),[6]skilldef!$A:$B,2,FALSE),"-")</f>
        <v>自分自身に / 行動値設定</v>
      </c>
      <c r="T103" s="276" t="str">
        <f t="shared" si="217"/>
        <v>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U103" s="275">
        <f t="shared" si="218"/>
        <v>9</v>
      </c>
      <c r="V103" s="275">
        <f t="shared" si="219"/>
        <v>18</v>
      </c>
      <c r="W103" s="275">
        <f t="shared" si="220"/>
        <v>27</v>
      </c>
      <c r="X103" s="275">
        <f t="shared" si="221"/>
        <v>33</v>
      </c>
      <c r="Y103" s="275" t="str">
        <f>IFERROR(VLOOKUP(MID(T103,W103,X103-W103),[6]skilldef!$C:$D,2,FALSE),"-") &amp; " / " &amp; IFERROR(VLOOKUP(MID(T103,U103,V103-U103),[6]skilldef!$A:$B,2,FALSE),"-")</f>
        <v>自分自身に / 状態異常耐性</v>
      </c>
      <c r="Z103" s="274"/>
      <c r="AA103" s="277"/>
      <c r="AB103" s="274"/>
    </row>
    <row r="104" spans="1:28" s="276" customFormat="1" ht="77" customHeight="1" x14ac:dyDescent="0.25">
      <c r="A104" s="260">
        <v>47015251</v>
      </c>
      <c r="B104" s="290" t="s">
        <v>432</v>
      </c>
      <c r="C104" s="233">
        <v>3</v>
      </c>
      <c r="D104" s="274" t="s">
        <v>127</v>
      </c>
      <c r="E104" s="275" t="s">
        <v>324</v>
      </c>
      <c r="F104" s="275" t="s">
        <v>469</v>
      </c>
      <c r="G104" s="275" t="str">
        <f t="shared" si="207"/>
        <v>[effect:enemy_message, val1:2.0, val2:4.9]</v>
      </c>
      <c r="H104" s="275">
        <f t="shared" si="208"/>
        <v>9</v>
      </c>
      <c r="I104" s="275">
        <f t="shared" si="209"/>
        <v>22</v>
      </c>
      <c r="J104" s="275" t="e">
        <f t="shared" si="210"/>
        <v>#VALUE!</v>
      </c>
      <c r="K104" s="275">
        <f t="shared" si="211"/>
        <v>32</v>
      </c>
      <c r="L104" s="275" t="str">
        <f>IFERROR(VLOOKUP(MID(G104,J104,K104-J104),[6]skilldef!$C:$D,2,FALSE),"-") &amp; " / " &amp; IFERROR(VLOOKUP(MID(G104,H104,I104-H104),[6]skilldef!$A:$B,2,FALSE),"-")</f>
        <v>- / -</v>
      </c>
      <c r="M104" s="275" t="str">
        <f t="shared" si="212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N104" s="276" t="str">
        <f>IFERROR(LEFT(M104,FIND("],",M104)+S147),M104)</f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O104" s="275">
        <f t="shared" si="213"/>
        <v>9</v>
      </c>
      <c r="P104" s="275">
        <f t="shared" si="214"/>
        <v>18</v>
      </c>
      <c r="Q104" s="275">
        <f t="shared" si="215"/>
        <v>27</v>
      </c>
      <c r="R104" s="275">
        <f t="shared" si="216"/>
        <v>33</v>
      </c>
      <c r="S104" s="275" t="str">
        <f>IFERROR(VLOOKUP(MID(N104,Q104,R104-Q104),[6]skilldef!$C:$D,2,FALSE),"-") &amp; " / " &amp; IFERROR(VLOOKUP(MID(N104,O104,P104-O104),[6]skilldef!$A:$B,2,FALSE),"-")</f>
        <v>自分自身に / 行動値設定</v>
      </c>
      <c r="T104" s="276" t="str">
        <f t="shared" si="217"/>
        <v>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U104" s="275">
        <f t="shared" si="218"/>
        <v>9</v>
      </c>
      <c r="V104" s="275">
        <f t="shared" si="219"/>
        <v>18</v>
      </c>
      <c r="W104" s="275">
        <f t="shared" si="220"/>
        <v>27</v>
      </c>
      <c r="X104" s="275">
        <f t="shared" si="221"/>
        <v>33</v>
      </c>
      <c r="Y104" s="275" t="str">
        <f>IFERROR(VLOOKUP(MID(T104,W104,X104-W104),[6]skilldef!$C:$D,2,FALSE),"-") &amp; " / " &amp; IFERROR(VLOOKUP(MID(T104,U104,V104-U104),[6]skilldef!$A:$B,2,FALSE),"-")</f>
        <v>自分自身に / 状態異常耐性</v>
      </c>
      <c r="Z104" s="274"/>
      <c r="AA104" s="277"/>
      <c r="AB104" s="274"/>
    </row>
    <row r="105" spans="1:28" s="276" customFormat="1" ht="77" customHeight="1" x14ac:dyDescent="0.25">
      <c r="A105" s="260">
        <v>47015252</v>
      </c>
      <c r="B105" s="290" t="s">
        <v>432</v>
      </c>
      <c r="C105" s="233">
        <v>3</v>
      </c>
      <c r="D105" s="274" t="s">
        <v>127</v>
      </c>
      <c r="E105" s="275" t="s">
        <v>324</v>
      </c>
      <c r="F105" s="275" t="s">
        <v>469</v>
      </c>
      <c r="G105" s="275" t="str">
        <f t="shared" si="207"/>
        <v>[effect:enemy_message, val1:2.0, val2:4.9]</v>
      </c>
      <c r="H105" s="275">
        <f t="shared" si="208"/>
        <v>9</v>
      </c>
      <c r="I105" s="275">
        <f t="shared" si="209"/>
        <v>22</v>
      </c>
      <c r="J105" s="275" t="e">
        <f t="shared" si="210"/>
        <v>#VALUE!</v>
      </c>
      <c r="K105" s="275">
        <f t="shared" si="211"/>
        <v>32</v>
      </c>
      <c r="L105" s="275" t="str">
        <f>IFERROR(VLOOKUP(MID(G105,J105,K105-J105),[6]skilldef!$C:$D,2,FALSE),"-") &amp; " / " &amp; IFERROR(VLOOKUP(MID(G105,H105,I105-H105),[6]skilldef!$A:$B,2,FALSE),"-")</f>
        <v>- / -</v>
      </c>
      <c r="M105" s="275" t="str">
        <f t="shared" si="212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N105" s="276" t="str">
        <f>IFERROR(LEFT(M105,FIND("],",M105)+S143),M105)</f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O105" s="275">
        <f t="shared" si="213"/>
        <v>9</v>
      </c>
      <c r="P105" s="275">
        <f t="shared" si="214"/>
        <v>18</v>
      </c>
      <c r="Q105" s="275">
        <f t="shared" si="215"/>
        <v>27</v>
      </c>
      <c r="R105" s="275">
        <f t="shared" si="216"/>
        <v>33</v>
      </c>
      <c r="S105" s="275" t="str">
        <f>IFERROR(VLOOKUP(MID(N105,Q105,R105-Q105),[6]skilldef!$C:$D,2,FALSE),"-") &amp; " / " &amp; IFERROR(VLOOKUP(MID(N105,O105,P105-O105),[6]skilldef!$A:$B,2,FALSE),"-")</f>
        <v>自分自身に / 行動値設定</v>
      </c>
      <c r="T105" s="276" t="str">
        <f t="shared" si="217"/>
        <v>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U105" s="275">
        <f t="shared" si="218"/>
        <v>9</v>
      </c>
      <c r="V105" s="275">
        <f t="shared" si="219"/>
        <v>18</v>
      </c>
      <c r="W105" s="275">
        <f t="shared" si="220"/>
        <v>27</v>
      </c>
      <c r="X105" s="275">
        <f t="shared" si="221"/>
        <v>33</v>
      </c>
      <c r="Y105" s="275" t="str">
        <f>IFERROR(VLOOKUP(MID(T105,W105,X105-W105),[6]skilldef!$C:$D,2,FALSE),"-") &amp; " / " &amp; IFERROR(VLOOKUP(MID(T105,U105,V105-U105),[6]skilldef!$A:$B,2,FALSE),"-")</f>
        <v>自分自身に / 状態異常耐性</v>
      </c>
      <c r="Z105" s="274"/>
      <c r="AA105" s="277"/>
      <c r="AB105" s="274"/>
    </row>
    <row r="106" spans="1:28" s="276" customFormat="1" ht="77" customHeight="1" x14ac:dyDescent="0.25">
      <c r="A106" s="260">
        <v>47015253</v>
      </c>
      <c r="B106" s="290" t="s">
        <v>432</v>
      </c>
      <c r="C106" s="233">
        <v>3</v>
      </c>
      <c r="D106" s="274" t="s">
        <v>127</v>
      </c>
      <c r="E106" s="275" t="s">
        <v>324</v>
      </c>
      <c r="F106" s="275" t="s">
        <v>469</v>
      </c>
      <c r="G106" s="275" t="str">
        <f t="shared" si="207"/>
        <v>[effect:enemy_message, val1:2.0, val2:4.9]</v>
      </c>
      <c r="H106" s="275">
        <f t="shared" si="208"/>
        <v>9</v>
      </c>
      <c r="I106" s="275">
        <f t="shared" si="209"/>
        <v>22</v>
      </c>
      <c r="J106" s="275" t="e">
        <f t="shared" si="210"/>
        <v>#VALUE!</v>
      </c>
      <c r="K106" s="275">
        <f t="shared" si="211"/>
        <v>32</v>
      </c>
      <c r="L106" s="275" t="str">
        <f>IFERROR(VLOOKUP(MID(G106,J106,K106-J106),[6]skilldef!$C:$D,2,FALSE),"-") &amp; " / " &amp; IFERROR(VLOOKUP(MID(G106,H106,I106-H106),[6]skilldef!$A:$B,2,FALSE),"-")</f>
        <v>- / -</v>
      </c>
      <c r="M106" s="275" t="str">
        <f t="shared" si="212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N106" s="276" t="str">
        <f>IFERROR(LEFT(M106,FIND("],",M106)+S144),M106)</f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O106" s="275">
        <f t="shared" si="213"/>
        <v>9</v>
      </c>
      <c r="P106" s="275">
        <f t="shared" si="214"/>
        <v>18</v>
      </c>
      <c r="Q106" s="275">
        <f t="shared" si="215"/>
        <v>27</v>
      </c>
      <c r="R106" s="275">
        <f t="shared" si="216"/>
        <v>33</v>
      </c>
      <c r="S106" s="275" t="str">
        <f>IFERROR(VLOOKUP(MID(N106,Q106,R106-Q106),[6]skilldef!$C:$D,2,FALSE),"-") &amp; " / " &amp; IFERROR(VLOOKUP(MID(N106,O106,P106-O106),[6]skilldef!$A:$B,2,FALSE),"-")</f>
        <v>自分自身に / 行動値設定</v>
      </c>
      <c r="T106" s="276" t="str">
        <f t="shared" si="217"/>
        <v>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U106" s="275">
        <f t="shared" si="218"/>
        <v>9</v>
      </c>
      <c r="V106" s="275">
        <f t="shared" si="219"/>
        <v>18</v>
      </c>
      <c r="W106" s="275">
        <f t="shared" si="220"/>
        <v>27</v>
      </c>
      <c r="X106" s="275">
        <f t="shared" si="221"/>
        <v>33</v>
      </c>
      <c r="Y106" s="275" t="str">
        <f>IFERROR(VLOOKUP(MID(T106,W106,X106-W106),[6]skilldef!$C:$D,2,FALSE),"-") &amp; " / " &amp; IFERROR(VLOOKUP(MID(T106,U106,V106-U106),[6]skilldef!$A:$B,2,FALSE),"-")</f>
        <v>自分自身に / 状態異常耐性</v>
      </c>
      <c r="Z106" s="274"/>
      <c r="AA106" s="277"/>
      <c r="AB106" s="274"/>
    </row>
    <row r="107" spans="1:28" s="276" customFormat="1" ht="77" customHeight="1" x14ac:dyDescent="0.25">
      <c r="A107" s="260">
        <v>47015254</v>
      </c>
      <c r="B107" s="290" t="s">
        <v>432</v>
      </c>
      <c r="C107" s="233">
        <v>3</v>
      </c>
      <c r="D107" s="274" t="s">
        <v>127</v>
      </c>
      <c r="E107" s="275" t="s">
        <v>324</v>
      </c>
      <c r="F107" s="275" t="s">
        <v>469</v>
      </c>
      <c r="G107" s="275" t="str">
        <f t="shared" si="207"/>
        <v>[effect:enemy_message, val1:2.0, val2:4.9]</v>
      </c>
      <c r="H107" s="275">
        <f t="shared" si="208"/>
        <v>9</v>
      </c>
      <c r="I107" s="275">
        <f t="shared" si="209"/>
        <v>22</v>
      </c>
      <c r="J107" s="275" t="e">
        <f t="shared" si="210"/>
        <v>#VALUE!</v>
      </c>
      <c r="K107" s="275">
        <f t="shared" si="211"/>
        <v>32</v>
      </c>
      <c r="L107" s="275" t="str">
        <f>IFERROR(VLOOKUP(MID(G107,J107,K107-J107),[6]skilldef!$C:$D,2,FALSE),"-") &amp; " / " &amp; IFERROR(VLOOKUP(MID(G107,H107,I107-H107),[6]skilldef!$A:$B,2,FALSE),"-")</f>
        <v>- / -</v>
      </c>
      <c r="M107" s="275" t="str">
        <f t="shared" si="212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N107" s="276" t="str">
        <f>IFERROR(LEFT(M107,FIND("],",M107)+S145),M107)</f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O107" s="275">
        <f t="shared" si="213"/>
        <v>9</v>
      </c>
      <c r="P107" s="275">
        <f t="shared" si="214"/>
        <v>18</v>
      </c>
      <c r="Q107" s="275">
        <f t="shared" si="215"/>
        <v>27</v>
      </c>
      <c r="R107" s="275">
        <f t="shared" si="216"/>
        <v>33</v>
      </c>
      <c r="S107" s="275" t="str">
        <f>IFERROR(VLOOKUP(MID(N107,Q107,R107-Q107),[6]skilldef!$C:$D,2,FALSE),"-") &amp; " / " &amp; IFERROR(VLOOKUP(MID(N107,O107,P107-O107),[6]skilldef!$A:$B,2,FALSE),"-")</f>
        <v>自分自身に / 行動値設定</v>
      </c>
      <c r="T107" s="276" t="str">
        <f t="shared" si="217"/>
        <v>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U107" s="275">
        <f t="shared" si="218"/>
        <v>9</v>
      </c>
      <c r="V107" s="275">
        <f t="shared" si="219"/>
        <v>18</v>
      </c>
      <c r="W107" s="275">
        <f t="shared" si="220"/>
        <v>27</v>
      </c>
      <c r="X107" s="275">
        <f t="shared" si="221"/>
        <v>33</v>
      </c>
      <c r="Y107" s="275" t="str">
        <f>IFERROR(VLOOKUP(MID(T107,W107,X107-W107),[6]skilldef!$C:$D,2,FALSE),"-") &amp; " / " &amp; IFERROR(VLOOKUP(MID(T107,U107,V107-U107),[6]skilldef!$A:$B,2,FALSE),"-")</f>
        <v>自分自身に / 状態異常耐性</v>
      </c>
      <c r="Z107" s="274"/>
      <c r="AA107" s="277"/>
      <c r="AB107" s="274"/>
    </row>
    <row r="108" spans="1:28" s="276" customFormat="1" ht="77" customHeight="1" x14ac:dyDescent="0.25">
      <c r="A108" s="260">
        <v>47015255</v>
      </c>
      <c r="B108" s="290" t="s">
        <v>432</v>
      </c>
      <c r="C108" s="233">
        <v>3</v>
      </c>
      <c r="D108" s="274" t="s">
        <v>127</v>
      </c>
      <c r="E108" s="275" t="s">
        <v>358</v>
      </c>
      <c r="F108" s="275" t="s">
        <v>471</v>
      </c>
      <c r="G108" s="275" t="str">
        <f t="shared" si="207"/>
        <v>[effect:enemy_message, val1:2.0, val2:4.9]</v>
      </c>
      <c r="H108" s="275">
        <f t="shared" si="208"/>
        <v>9</v>
      </c>
      <c r="I108" s="275">
        <f t="shared" si="209"/>
        <v>22</v>
      </c>
      <c r="J108" s="275" t="e">
        <f t="shared" si="210"/>
        <v>#VALUE!</v>
      </c>
      <c r="K108" s="275">
        <f t="shared" si="211"/>
        <v>32</v>
      </c>
      <c r="L108" s="275" t="str">
        <f>IFERROR(VLOOKUP(MID(G108,J108,K108-J108),[6]skilldef!$C:$D,2,FALSE),"-") &amp; " / " &amp; IFERROR(VLOOKUP(MID(G108,H108,I108-H108),[6]skilldef!$A:$B,2,FALSE),"-")</f>
        <v>- / -</v>
      </c>
      <c r="M108" s="275" t="str">
        <f t="shared" si="212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N108" s="276" t="str">
        <f>IFERROR(LEFT(M108,FIND("],",M108)+S146),M108)</f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O108" s="275">
        <f t="shared" si="213"/>
        <v>9</v>
      </c>
      <c r="P108" s="275">
        <f t="shared" si="214"/>
        <v>18</v>
      </c>
      <c r="Q108" s="275">
        <f t="shared" si="215"/>
        <v>27</v>
      </c>
      <c r="R108" s="275">
        <f t="shared" si="216"/>
        <v>33</v>
      </c>
      <c r="S108" s="275" t="str">
        <f>IFERROR(VLOOKUP(MID(N108,Q108,R108-Q108),[6]skilldef!$C:$D,2,FALSE),"-") &amp; " / " &amp; IFERROR(VLOOKUP(MID(N108,O108,P108-O108),[6]skilldef!$A:$B,2,FALSE),"-")</f>
        <v>自分自身に / 行動値設定</v>
      </c>
      <c r="T108" s="276" t="str">
        <f t="shared" si="217"/>
        <v>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U108" s="275">
        <f t="shared" si="218"/>
        <v>9</v>
      </c>
      <c r="V108" s="275">
        <f t="shared" si="219"/>
        <v>18</v>
      </c>
      <c r="W108" s="275">
        <f t="shared" si="220"/>
        <v>27</v>
      </c>
      <c r="X108" s="275">
        <f t="shared" si="221"/>
        <v>33</v>
      </c>
      <c r="Y108" s="275" t="str">
        <f>IFERROR(VLOOKUP(MID(T108,W108,X108-W108),[6]skilldef!$C:$D,2,FALSE),"-") &amp; " / " &amp; IFERROR(VLOOKUP(MID(T108,U108,V108-U108),[6]skilldef!$A:$B,2,FALSE),"-")</f>
        <v>自分自身に / 状態異常耐性</v>
      </c>
      <c r="Z108" s="274"/>
      <c r="AA108" s="277"/>
      <c r="AB108" s="274"/>
    </row>
    <row r="109" spans="1:28" s="276" customFormat="1" ht="77" customHeight="1" x14ac:dyDescent="0.25">
      <c r="A109" s="260">
        <v>47015256</v>
      </c>
      <c r="B109" s="290" t="s">
        <v>432</v>
      </c>
      <c r="C109" s="233">
        <v>3</v>
      </c>
      <c r="D109" s="274" t="s">
        <v>127</v>
      </c>
      <c r="E109" s="275" t="s">
        <v>358</v>
      </c>
      <c r="F109" s="275" t="s">
        <v>471</v>
      </c>
      <c r="G109" s="275" t="str">
        <f t="shared" si="207"/>
        <v>[effect:enemy_message, val1:2.0, val2:4.9]</v>
      </c>
      <c r="H109" s="275">
        <f t="shared" si="208"/>
        <v>9</v>
      </c>
      <c r="I109" s="275">
        <f t="shared" si="209"/>
        <v>22</v>
      </c>
      <c r="J109" s="275" t="e">
        <f t="shared" si="210"/>
        <v>#VALUE!</v>
      </c>
      <c r="K109" s="275">
        <f t="shared" si="211"/>
        <v>32</v>
      </c>
      <c r="L109" s="275" t="str">
        <f>IFERROR(VLOOKUP(MID(G109,J109,K109-J109),[6]skilldef!$C:$D,2,FALSE),"-") &amp; " / " &amp; IFERROR(VLOOKUP(MID(G109,H109,I109-H109),[6]skilldef!$A:$B,2,FALSE),"-")</f>
        <v>- / -</v>
      </c>
      <c r="M109" s="275" t="str">
        <f t="shared" si="212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N109" s="276" t="str">
        <f>IFERROR(LEFT(M109,FIND("],",M109)+S148),M109)</f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O109" s="275">
        <f t="shared" si="213"/>
        <v>9</v>
      </c>
      <c r="P109" s="275">
        <f t="shared" si="214"/>
        <v>18</v>
      </c>
      <c r="Q109" s="275">
        <f t="shared" si="215"/>
        <v>27</v>
      </c>
      <c r="R109" s="275">
        <f t="shared" si="216"/>
        <v>33</v>
      </c>
      <c r="S109" s="275" t="str">
        <f>IFERROR(VLOOKUP(MID(N109,Q109,R109-Q109),[6]skilldef!$C:$D,2,FALSE),"-") &amp; " / " &amp; IFERROR(VLOOKUP(MID(N109,O109,P109-O109),[6]skilldef!$A:$B,2,FALSE),"-")</f>
        <v>自分自身に / 行動値設定</v>
      </c>
      <c r="T109" s="276" t="str">
        <f t="shared" si="217"/>
        <v>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U109" s="275">
        <f t="shared" si="218"/>
        <v>9</v>
      </c>
      <c r="V109" s="275">
        <f t="shared" si="219"/>
        <v>18</v>
      </c>
      <c r="W109" s="275">
        <f t="shared" si="220"/>
        <v>27</v>
      </c>
      <c r="X109" s="275">
        <f t="shared" si="221"/>
        <v>33</v>
      </c>
      <c r="Y109" s="275" t="str">
        <f>IFERROR(VLOOKUP(MID(T109,W109,X109-W109),[6]skilldef!$C:$D,2,FALSE),"-") &amp; " / " &amp; IFERROR(VLOOKUP(MID(T109,U109,V109-U109),[6]skilldef!$A:$B,2,FALSE),"-")</f>
        <v>自分自身に / 状態異常耐性</v>
      </c>
      <c r="Z109" s="274"/>
      <c r="AA109" s="277"/>
      <c r="AB109" s="274"/>
    </row>
    <row r="110" spans="1:28" s="276" customFormat="1" ht="77" customHeight="1" x14ac:dyDescent="0.25">
      <c r="A110" s="260">
        <v>47015257</v>
      </c>
      <c r="B110" s="290" t="s">
        <v>432</v>
      </c>
      <c r="C110" s="233">
        <v>3</v>
      </c>
      <c r="D110" s="274" t="s">
        <v>127</v>
      </c>
      <c r="E110" s="275" t="s">
        <v>358</v>
      </c>
      <c r="F110" s="275" t="s">
        <v>471</v>
      </c>
      <c r="G110" s="275" t="str">
        <f t="shared" ref="G110:G111" si="255">IFERROR(LEFT(B110,FIND("],",B110)),B110)</f>
        <v>[effect:enemy_message, val1:2.0, val2:4.9]</v>
      </c>
      <c r="H110" s="275">
        <f t="shared" ref="H110:H111" si="256">FIND("effect:",G110)+7</f>
        <v>9</v>
      </c>
      <c r="I110" s="275">
        <f t="shared" ref="I110:I111" si="257">IFERROR(FIND(",",G110),LEN(G110))</f>
        <v>22</v>
      </c>
      <c r="J110" s="275" t="e">
        <f t="shared" ref="J110:J111" si="258">FIND("target:",G110)+7</f>
        <v>#VALUE!</v>
      </c>
      <c r="K110" s="275">
        <f t="shared" ref="K110:K111" si="259">FIND(",",G110,I110+1)</f>
        <v>32</v>
      </c>
      <c r="L110" s="275" t="str">
        <f>IFERROR(VLOOKUP(MID(G110,J110,K110-J110),[6]skilldef!$C:$D,2,FALSE),"-") &amp; " / " &amp; IFERROR(VLOOKUP(MID(G110,H110,I110-H110),[6]skilldef!$A:$B,2,FALSE),"-")</f>
        <v>- / -</v>
      </c>
      <c r="M110" s="275" t="str">
        <f t="shared" ref="M110:M111" si="260">IFERROR(RIGHT(B110,LEN(B110)-FIND("],",B110)-1),"none")</f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N110" s="276" t="str">
        <f>IFERROR(LEFT(M110,FIND("],",M110)+S148),M110)</f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O110" s="275">
        <f t="shared" ref="O110:O111" si="261">FIND("effect:",N110)+7</f>
        <v>9</v>
      </c>
      <c r="P110" s="275">
        <f t="shared" ref="P110:P111" si="262">IFERROR(FIND(",",N110),LEN(N110))</f>
        <v>18</v>
      </c>
      <c r="Q110" s="275">
        <f t="shared" ref="Q110:Q111" si="263">FIND("target:",N110)+7</f>
        <v>27</v>
      </c>
      <c r="R110" s="275">
        <f t="shared" ref="R110:R111" si="264">FIND(",",N110,P110+1)</f>
        <v>33</v>
      </c>
      <c r="S110" s="275" t="str">
        <f>IFERROR(VLOOKUP(MID(N110,Q110,R110-Q110),[6]skilldef!$C:$D,2,FALSE),"-") &amp; " / " &amp; IFERROR(VLOOKUP(MID(N110,O110,P110-O110),[6]skilldef!$A:$B,2,FALSE),"-")</f>
        <v>自分自身に / 行動値設定</v>
      </c>
      <c r="T110" s="276" t="str">
        <f t="shared" ref="T110:T111" si="265">IFERROR(RIGHT(M110,LEN(M110)-FIND("],",M110)-1),"none")</f>
        <v>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U110" s="275">
        <f t="shared" ref="U110:U111" si="266">FIND("effect:",T110)+7</f>
        <v>9</v>
      </c>
      <c r="V110" s="275">
        <f t="shared" ref="V110:V111" si="267">IFERROR(FIND(",",T110),LEN(T110))</f>
        <v>18</v>
      </c>
      <c r="W110" s="275">
        <f t="shared" ref="W110:W111" si="268">FIND("target:",T110)+7</f>
        <v>27</v>
      </c>
      <c r="X110" s="275">
        <f t="shared" ref="X110:X111" si="269">FIND(",",T110,V110+1)</f>
        <v>33</v>
      </c>
      <c r="Y110" s="275" t="str">
        <f>IFERROR(VLOOKUP(MID(T110,W110,X110-W110),[6]skilldef!$C:$D,2,FALSE),"-") &amp; " / " &amp; IFERROR(VLOOKUP(MID(T110,U110,V110-U110),[6]skilldef!$A:$B,2,FALSE),"-")</f>
        <v>自分自身に / 状態異常耐性</v>
      </c>
      <c r="Z110" s="274"/>
      <c r="AA110" s="277"/>
      <c r="AB110" s="274"/>
    </row>
    <row r="111" spans="1:28" s="276" customFormat="1" ht="77" customHeight="1" x14ac:dyDescent="0.25">
      <c r="A111" s="260">
        <v>47015258</v>
      </c>
      <c r="B111" s="290" t="s">
        <v>432</v>
      </c>
      <c r="C111" s="233">
        <v>3</v>
      </c>
      <c r="D111" s="274" t="s">
        <v>127</v>
      </c>
      <c r="E111" s="275" t="s">
        <v>358</v>
      </c>
      <c r="F111" s="275" t="s">
        <v>471</v>
      </c>
      <c r="G111" s="275" t="str">
        <f t="shared" si="255"/>
        <v>[effect:enemy_message, val1:2.0, val2:4.9]</v>
      </c>
      <c r="H111" s="275">
        <f t="shared" si="256"/>
        <v>9</v>
      </c>
      <c r="I111" s="275">
        <f t="shared" si="257"/>
        <v>22</v>
      </c>
      <c r="J111" s="275" t="e">
        <f t="shared" si="258"/>
        <v>#VALUE!</v>
      </c>
      <c r="K111" s="275">
        <f t="shared" si="259"/>
        <v>32</v>
      </c>
      <c r="L111" s="275" t="str">
        <f>IFERROR(VLOOKUP(MID(G111,J111,K111-J111),[6]skilldef!$C:$D,2,FALSE),"-") &amp; " / " &amp; IFERROR(VLOOKUP(MID(G111,H111,I111-H111),[6]skilldef!$A:$B,2,FALSE),"-")</f>
        <v>- / -</v>
      </c>
      <c r="M111" s="275" t="str">
        <f t="shared" si="260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N111" s="276" t="str">
        <f>IFERROR(LEFT(M111,FIND("],",M111)+S150),M111)</f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O111" s="275">
        <f t="shared" si="261"/>
        <v>9</v>
      </c>
      <c r="P111" s="275">
        <f t="shared" si="262"/>
        <v>18</v>
      </c>
      <c r="Q111" s="275">
        <f t="shared" si="263"/>
        <v>27</v>
      </c>
      <c r="R111" s="275">
        <f t="shared" si="264"/>
        <v>33</v>
      </c>
      <c r="S111" s="275" t="str">
        <f>IFERROR(VLOOKUP(MID(N111,Q111,R111-Q111),[6]skilldef!$C:$D,2,FALSE),"-") &amp; " / " &amp; IFERROR(VLOOKUP(MID(N111,O111,P111-O111),[6]skilldef!$A:$B,2,FALSE),"-")</f>
        <v>自分自身に / 行動値設定</v>
      </c>
      <c r="T111" s="276" t="str">
        <f t="shared" si="265"/>
        <v>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U111" s="275">
        <f t="shared" si="266"/>
        <v>9</v>
      </c>
      <c r="V111" s="275">
        <f t="shared" si="267"/>
        <v>18</v>
      </c>
      <c r="W111" s="275">
        <f t="shared" si="268"/>
        <v>27</v>
      </c>
      <c r="X111" s="275">
        <f t="shared" si="269"/>
        <v>33</v>
      </c>
      <c r="Y111" s="275" t="str">
        <f>IFERROR(VLOOKUP(MID(T111,W111,X111-W111),[6]skilldef!$C:$D,2,FALSE),"-") &amp; " / " &amp; IFERROR(VLOOKUP(MID(T111,U111,V111-U111),[6]skilldef!$A:$B,2,FALSE),"-")</f>
        <v>自分自身に / 状態異常耐性</v>
      </c>
      <c r="Z111" s="274"/>
      <c r="AA111" s="277"/>
      <c r="AB111" s="274"/>
    </row>
    <row r="112" spans="1:28" ht="77" customHeight="1" x14ac:dyDescent="0.25">
      <c r="A112" s="262">
        <v>47015260</v>
      </c>
      <c r="B112" s="289" t="s">
        <v>451</v>
      </c>
      <c r="C112" s="233">
        <v>3</v>
      </c>
      <c r="D112" s="233" t="s">
        <v>127</v>
      </c>
      <c r="E112" s="234" t="s">
        <v>268</v>
      </c>
      <c r="F112" s="234" t="s">
        <v>411</v>
      </c>
      <c r="G112" s="235" t="str">
        <f t="shared" si="207"/>
        <v>[effect:enemy_message, val1:1.2, val2:4.5]</v>
      </c>
      <c r="H112" s="235">
        <f t="shared" si="208"/>
        <v>9</v>
      </c>
      <c r="I112" s="235">
        <f t="shared" si="209"/>
        <v>22</v>
      </c>
      <c r="J112" s="235" t="e">
        <f t="shared" si="210"/>
        <v>#VALUE!</v>
      </c>
      <c r="K112" s="235">
        <f t="shared" si="211"/>
        <v>32</v>
      </c>
      <c r="L112" s="235" t="str">
        <f>IFERROR(VLOOKUP(MID(G112,J112,K112-J112),[6]skilldef!$C:$D,2,FALSE),"-") &amp; " / " &amp; IFERROR(VLOOKUP(MID(G112,H112,I112-H112),[6]skilldef!$A:$B,2,FALSE),"-")</f>
        <v>- / -</v>
      </c>
      <c r="M112" s="235" t="str">
        <f t="shared" si="212"/>
        <v>[effect:fix_speed, target:myself, turn:1],[effect:tolerance, target:myself, turn:-1, count:-1, tolerance_effect:all, animation:enemy_tolerance],[effect:force_change_block, new_block:damage, target:normal, count:8, val:0.04, animation:change_block],[effect:drop_block, block_type:crash, color:block_all, val:6, rate:0.1, turn:5, animation:crash_influence04]</v>
      </c>
      <c r="N112" s="236" t="str">
        <f t="shared" ref="N112:N115" si="270">IFERROR(LEFT(M112,FIND("],",M112)+S122),M112)</f>
        <v>[effect:fix_speed, target:myself, turn:1],[effect:tolerance, target:myself, turn:-1, count:-1, tolerance_effect:all, animation:enemy_tolerance],[effect:force_change_block, new_block:damage, target:normal, count:8, val:0.04, animation:change_block],[effect:drop_block, block_type:crash, color:block_all, val:6, rate:0.1, turn:5, animation:crash_influence04]</v>
      </c>
      <c r="O112" s="235">
        <f t="shared" si="213"/>
        <v>9</v>
      </c>
      <c r="P112" s="235">
        <f t="shared" si="214"/>
        <v>18</v>
      </c>
      <c r="Q112" s="235">
        <f t="shared" si="215"/>
        <v>27</v>
      </c>
      <c r="R112" s="235">
        <f t="shared" si="216"/>
        <v>33</v>
      </c>
      <c r="S112" s="235" t="str">
        <f>IFERROR(VLOOKUP(MID(N112,Q112,R112-Q112),[6]skilldef!$C:$D,2,FALSE),"-") &amp; " / " &amp; IFERROR(VLOOKUP(MID(N112,O112,P112-O112),[6]skilldef!$A:$B,2,FALSE),"-")</f>
        <v>自分自身に / 行動値設定</v>
      </c>
      <c r="T112" s="236" t="str">
        <f t="shared" si="217"/>
        <v>[effect:tolerance, target:myself, turn:-1, count:-1, tolerance_effect:all, animation:enemy_tolerance],[effect:force_change_block, new_block:damage, target:normal, count:8, val:0.04, animation:change_block],[effect:drop_block, block_type:crash, color:block_all, val:6, rate:0.1, turn:5, animation:crash_influence04]</v>
      </c>
      <c r="U112" s="235">
        <f t="shared" si="218"/>
        <v>9</v>
      </c>
      <c r="V112" s="235">
        <f t="shared" si="219"/>
        <v>18</v>
      </c>
      <c r="W112" s="235">
        <f t="shared" si="220"/>
        <v>27</v>
      </c>
      <c r="X112" s="235">
        <f t="shared" si="221"/>
        <v>33</v>
      </c>
      <c r="Y112" s="235" t="str">
        <f>IFERROR(VLOOKUP(MID(T112,W112,X112-W112),[6]skilldef!$C:$D,2,FALSE),"-") &amp; " / " &amp; IFERROR(VLOOKUP(MID(T112,U112,V112-U112),[6]skilldef!$A:$B,2,FALSE),"-")</f>
        <v>自分自身に / 状態異常耐性</v>
      </c>
      <c r="Z112" s="233"/>
      <c r="AA112" s="237"/>
      <c r="AB112" s="233"/>
    </row>
    <row r="113" spans="1:28" ht="77" customHeight="1" x14ac:dyDescent="0.25">
      <c r="A113" s="262">
        <v>47015261</v>
      </c>
      <c r="B113" s="289" t="s">
        <v>388</v>
      </c>
      <c r="C113" s="233">
        <v>3</v>
      </c>
      <c r="D113" s="233" t="s">
        <v>127</v>
      </c>
      <c r="E113" s="234" t="s">
        <v>269</v>
      </c>
      <c r="F113" s="234" t="s">
        <v>336</v>
      </c>
      <c r="G113" s="235" t="str">
        <f t="shared" si="207"/>
        <v>[effect:enemy_message, val1:1.2, val2:1.2]</v>
      </c>
      <c r="H113" s="235">
        <f t="shared" si="208"/>
        <v>9</v>
      </c>
      <c r="I113" s="235">
        <f t="shared" si="209"/>
        <v>22</v>
      </c>
      <c r="J113" s="235" t="e">
        <f t="shared" si="210"/>
        <v>#VALUE!</v>
      </c>
      <c r="K113" s="235">
        <f t="shared" si="211"/>
        <v>32</v>
      </c>
      <c r="L113" s="235" t="str">
        <f>IFERROR(VLOOKUP(MID(G113,J113,K113-J113),[6]skilldef!$C:$D,2,FALSE),"-") &amp; " / " &amp; IFERROR(VLOOKUP(MID(G113,H113,I113-H113),[6]skilldef!$A:$B,2,FALSE),"-")</f>
        <v>- / -</v>
      </c>
      <c r="M113" s="235" t="str">
        <f t="shared" si="212"/>
        <v>[effect:spread, val:0.3]</v>
      </c>
      <c r="N113" s="236" t="str">
        <f t="shared" si="270"/>
        <v>[effect:spread, val:0.3]</v>
      </c>
      <c r="O113" s="235">
        <f t="shared" si="213"/>
        <v>9</v>
      </c>
      <c r="P113" s="235">
        <f t="shared" si="214"/>
        <v>15</v>
      </c>
      <c r="Q113" s="235" t="e">
        <f t="shared" si="215"/>
        <v>#VALUE!</v>
      </c>
      <c r="R113" s="235" t="e">
        <f t="shared" si="216"/>
        <v>#VALUE!</v>
      </c>
      <c r="S113" s="235" t="str">
        <f>IFERROR(VLOOKUP(MID(N113,Q113,R113-Q113),[6]skilldef!$C:$D,2,FALSE),"-") &amp; " / " &amp; IFERROR(VLOOKUP(MID(N113,O113,P113-O113),[6]skilldef!$A:$B,2,FALSE),"-")</f>
        <v>- / 全体攻撃</v>
      </c>
      <c r="T113" s="236" t="str">
        <f t="shared" si="217"/>
        <v>none</v>
      </c>
      <c r="U113" s="235" t="e">
        <f t="shared" si="218"/>
        <v>#VALUE!</v>
      </c>
      <c r="V113" s="235">
        <f t="shared" si="219"/>
        <v>4</v>
      </c>
      <c r="W113" s="235" t="e">
        <f t="shared" si="220"/>
        <v>#VALUE!</v>
      </c>
      <c r="X113" s="235" t="e">
        <f t="shared" si="221"/>
        <v>#VALUE!</v>
      </c>
      <c r="Y113" s="235" t="str">
        <f>IFERROR(VLOOKUP(MID(T113,W113,X113-W113),[6]skilldef!$C:$D,2,FALSE),"-") &amp; " / " &amp; IFERROR(VLOOKUP(MID(T113,U113,V113-U113),[6]skilldef!$A:$B,2,FALSE),"-")</f>
        <v>- / -</v>
      </c>
      <c r="Z113" s="233"/>
      <c r="AA113" s="237"/>
      <c r="AB113" s="233"/>
    </row>
    <row r="114" spans="1:28" ht="77" customHeight="1" x14ac:dyDescent="0.25">
      <c r="A114" s="262">
        <v>47015262</v>
      </c>
      <c r="B114" s="289" t="s">
        <v>472</v>
      </c>
      <c r="C114" s="233">
        <v>3</v>
      </c>
      <c r="D114" s="233" t="s">
        <v>127</v>
      </c>
      <c r="E114" s="234" t="s">
        <v>277</v>
      </c>
      <c r="F114" s="234" t="s">
        <v>412</v>
      </c>
      <c r="G114" s="235" t="str">
        <f t="shared" si="207"/>
        <v>[effect:enemy_message, val1:1.4, val2:3.3]</v>
      </c>
      <c r="H114" s="235">
        <f t="shared" si="208"/>
        <v>9</v>
      </c>
      <c r="I114" s="235">
        <f t="shared" si="209"/>
        <v>22</v>
      </c>
      <c r="J114" s="235" t="e">
        <f t="shared" si="210"/>
        <v>#VALUE!</v>
      </c>
      <c r="K114" s="235">
        <f t="shared" si="211"/>
        <v>32</v>
      </c>
      <c r="L114" s="235" t="str">
        <f>IFERROR(VLOOKUP(MID(G114,J114,K114-J114),[6]skilldef!$C:$D,2,FALSE),"-") &amp; " / " &amp; IFERROR(VLOOKUP(MID(G114,H114,I114-H114),[6]skilldef!$A:$B,2,FALSE),"-")</f>
        <v>- / -</v>
      </c>
      <c r="M114" s="235" t="str">
        <f t="shared" si="212"/>
        <v>[effect:break_attack, target:unit_one, val:0.05, lowest_val:1500, count:-1, color:green, block01:crash],[effect:force_change_block, new_block:damage, target:block_all, ignore01:block_positive, ignore02:damage, count:2, val:0.04, animation:change_block]</v>
      </c>
      <c r="N114" s="236" t="str">
        <f t="shared" si="270"/>
        <v>[effect:break_attack, target:unit_one, val:0.05, lowest_val:1500, count:-1, color:green, block01:crash],[effect:force_change_block, new_block:damage, target:block_all, ignore01:block_positive, ignore02:damage, count:2, val:0.04, animation:change_block]</v>
      </c>
      <c r="O114" s="235">
        <f t="shared" si="213"/>
        <v>9</v>
      </c>
      <c r="P114" s="235">
        <f t="shared" si="214"/>
        <v>21</v>
      </c>
      <c r="Q114" s="235">
        <f t="shared" si="215"/>
        <v>30</v>
      </c>
      <c r="R114" s="235">
        <f t="shared" si="216"/>
        <v>38</v>
      </c>
      <c r="S114" s="235" t="str">
        <f>IFERROR(VLOOKUP(MID(N114,Q114,R114-Q114),[6]skilldef!$C:$D,2,FALSE),"-") &amp; " / " &amp; IFERROR(VLOOKUP(MID(N114,O114,P114-O114),[6]skilldef!$A:$B,2,FALSE),"-")</f>
        <v>味方単体に / -</v>
      </c>
      <c r="T114" s="236" t="str">
        <f t="shared" si="217"/>
        <v>[effect:force_change_block, new_block:damage, target:block_all, ignore01:block_positive, ignore02:damage, count:2, val:0.04, animation:change_block]</v>
      </c>
      <c r="U114" s="235">
        <f t="shared" si="218"/>
        <v>9</v>
      </c>
      <c r="V114" s="235">
        <f t="shared" si="219"/>
        <v>27</v>
      </c>
      <c r="W114" s="235">
        <f t="shared" si="220"/>
        <v>54</v>
      </c>
      <c r="X114" s="235">
        <f t="shared" si="221"/>
        <v>45</v>
      </c>
      <c r="Y114" s="235" t="str">
        <f>IFERROR(VLOOKUP(MID(T114,W114,X114-W114),[6]skilldef!$C:$D,2,FALSE),"-") &amp; " / " &amp; IFERROR(VLOOKUP(MID(T114,U114,V114-U114),[6]skilldef!$A:$B,2,FALSE),"-")</f>
        <v>- / -</v>
      </c>
      <c r="Z114" s="233"/>
      <c r="AA114" s="237"/>
      <c r="AB114" s="233"/>
    </row>
    <row r="115" spans="1:28" ht="77" customHeight="1" x14ac:dyDescent="0.25">
      <c r="A115" s="262">
        <v>47015263</v>
      </c>
      <c r="B115" s="289" t="s">
        <v>440</v>
      </c>
      <c r="C115" s="233">
        <v>3</v>
      </c>
      <c r="D115" s="233" t="s">
        <v>127</v>
      </c>
      <c r="E115" s="234" t="s">
        <v>344</v>
      </c>
      <c r="F115" s="234" t="s">
        <v>413</v>
      </c>
      <c r="G115" s="235" t="str">
        <f t="shared" si="207"/>
        <v>[effect:enemy_message, val1:1.2, val2:3.4]</v>
      </c>
      <c r="H115" s="235">
        <f t="shared" si="208"/>
        <v>9</v>
      </c>
      <c r="I115" s="235">
        <f t="shared" si="209"/>
        <v>22</v>
      </c>
      <c r="J115" s="235" t="e">
        <f t="shared" si="210"/>
        <v>#VALUE!</v>
      </c>
      <c r="K115" s="235">
        <f t="shared" si="211"/>
        <v>32</v>
      </c>
      <c r="L115" s="235" t="str">
        <f>IFERROR(VLOOKUP(MID(G115,J115,K115-J115),[6]skilldef!$C:$D,2,FALSE),"-") &amp; " / " &amp; IFERROR(VLOOKUP(MID(G115,H115,I115-H115),[6]skilldef!$A:$B,2,FALSE),"-")</f>
        <v>- / -</v>
      </c>
      <c r="M115" s="235" t="str">
        <f t="shared" si="212"/>
        <v xml:space="preserve">[effect:break_heal_ratio, target:myself, val:0.01, lowest_val:2000, count:-1, block01:block_heart, animation:enemy_heal],[effect:degrade_unit, target:unit_all, turn:4, status:heal, val:0.25, calc:mul, animation:degrade_unit_all_heal]    </v>
      </c>
      <c r="N115" s="236" t="str">
        <f t="shared" si="270"/>
        <v xml:space="preserve">[effect:break_heal_ratio, target:myself, val:0.01, lowest_val:2000, count:-1, block01:block_heart, animation:enemy_heal],[effect:degrade_unit, target:unit_all, turn:4, status:heal, val:0.25, calc:mul, animation:degrade_unit_all_heal]    </v>
      </c>
      <c r="O115" s="235">
        <f t="shared" si="213"/>
        <v>9</v>
      </c>
      <c r="P115" s="235">
        <f t="shared" si="214"/>
        <v>25</v>
      </c>
      <c r="Q115" s="235">
        <f t="shared" si="215"/>
        <v>34</v>
      </c>
      <c r="R115" s="235">
        <f t="shared" si="216"/>
        <v>40</v>
      </c>
      <c r="S115" s="235" t="str">
        <f>IFERROR(VLOOKUP(MID(N115,Q115,R115-Q115),[6]skilldef!$C:$D,2,FALSE),"-") &amp; " / " &amp; IFERROR(VLOOKUP(MID(N115,O115,P115-O115),[6]skilldef!$A:$B,2,FALSE),"-")</f>
        <v>自分自身に / -</v>
      </c>
      <c r="T115" s="236" t="str">
        <f t="shared" si="217"/>
        <v xml:space="preserve">[effect:degrade_unit, target:unit_all, turn:4, status:heal, val:0.25, calc:mul, animation:degrade_unit_all_heal]    </v>
      </c>
      <c r="U115" s="235">
        <f t="shared" si="218"/>
        <v>9</v>
      </c>
      <c r="V115" s="235">
        <f t="shared" si="219"/>
        <v>21</v>
      </c>
      <c r="W115" s="235">
        <f t="shared" si="220"/>
        <v>30</v>
      </c>
      <c r="X115" s="235">
        <f t="shared" si="221"/>
        <v>38</v>
      </c>
      <c r="Y115" s="235" t="str">
        <f>IFERROR(VLOOKUP(MID(T115,W115,X115-W115),[6]skilldef!$C:$D,2,FALSE),"-") &amp; " / " &amp; IFERROR(VLOOKUP(MID(T115,U115,V115-U115),[6]skilldef!$A:$B,2,FALSE),"-")</f>
        <v>味方全体に / ステータスDOWN</v>
      </c>
      <c r="Z115" s="233"/>
      <c r="AA115" s="237"/>
      <c r="AB115" s="233"/>
    </row>
    <row r="116" spans="1:28" ht="77" customHeight="1" x14ac:dyDescent="0.25">
      <c r="A116" s="262">
        <v>47015264</v>
      </c>
      <c r="B116" s="289" t="s">
        <v>441</v>
      </c>
      <c r="C116" s="233">
        <v>3</v>
      </c>
      <c r="D116" s="233" t="s">
        <v>127</v>
      </c>
      <c r="E116" s="234" t="s">
        <v>267</v>
      </c>
      <c r="F116" s="234" t="s">
        <v>414</v>
      </c>
      <c r="G116" s="235" t="str">
        <f t="shared" si="207"/>
        <v>[effect:enemy_message, val1:1.2, val2:2.7]</v>
      </c>
      <c r="H116" s="235">
        <f t="shared" si="208"/>
        <v>9</v>
      </c>
      <c r="I116" s="235">
        <f t="shared" si="209"/>
        <v>22</v>
      </c>
      <c r="J116" s="235" t="e">
        <f t="shared" si="210"/>
        <v>#VALUE!</v>
      </c>
      <c r="K116" s="235">
        <f t="shared" si="211"/>
        <v>32</v>
      </c>
      <c r="L116" s="235" t="str">
        <f>IFERROR(VLOOKUP(MID(G116,J116,K116-J116),[6]skilldef!$C:$D,2,FALSE),"-") &amp; " / " &amp; IFERROR(VLOOKUP(MID(G116,H116,I116-H116),[6]skilldef!$A:$B,2,FALSE),"-")</f>
        <v>- / -</v>
      </c>
      <c r="M116" s="235" t="str">
        <f t="shared" si="212"/>
        <v>[effect:enhance_enemy, target:myself, turn:1, status:defense, val:2500, calc:add, animation:enemy_enhance_defense],[effect:enemy_counter, target:myself, invoke_condition:unit_all, counter_target:attacker, turn:1, val:0.3, animation:enemy_counter]</v>
      </c>
      <c r="N116" s="236" t="str">
        <f t="shared" ref="N116" si="271">IFERROR(LEFT(M116,FIND("],",M116)+S142),M116)</f>
        <v>[effect:enhance_enemy, target:myself, turn:1, status:defense, val:2500, calc:add, animation:enemy_enhance_defense],[effect:enemy_counter, target:myself, invoke_condition:unit_all, counter_target:attacker, turn:1, val:0.3, animation:enemy_counter]</v>
      </c>
      <c r="O116" s="235">
        <f t="shared" si="213"/>
        <v>9</v>
      </c>
      <c r="P116" s="235">
        <f t="shared" si="214"/>
        <v>22</v>
      </c>
      <c r="Q116" s="235">
        <f t="shared" si="215"/>
        <v>31</v>
      </c>
      <c r="R116" s="235">
        <f t="shared" si="216"/>
        <v>37</v>
      </c>
      <c r="S116" s="235" t="str">
        <f>IFERROR(VLOOKUP(MID(N116,Q116,R116-Q116),[6]skilldef!$C:$D,2,FALSE),"-") &amp; " / " &amp; IFERROR(VLOOKUP(MID(N116,O116,P116-O116),[6]skilldef!$A:$B,2,FALSE),"-")</f>
        <v>自分自身に / ステータス強化</v>
      </c>
      <c r="T116" s="236" t="str">
        <f t="shared" si="217"/>
        <v>[effect:enemy_counter, target:myself, invoke_condition:unit_all, counter_target:attacker, turn:1, val:0.3, animation:enemy_counter]</v>
      </c>
      <c r="U116" s="235">
        <f t="shared" si="218"/>
        <v>9</v>
      </c>
      <c r="V116" s="235">
        <f t="shared" si="219"/>
        <v>22</v>
      </c>
      <c r="W116" s="235">
        <f t="shared" si="220"/>
        <v>31</v>
      </c>
      <c r="X116" s="235">
        <f t="shared" si="221"/>
        <v>37</v>
      </c>
      <c r="Y116" s="235" t="str">
        <f>IFERROR(VLOOKUP(MID(T116,W116,X116-W116),[6]skilldef!$C:$D,2,FALSE),"-") &amp; " / " &amp; IFERROR(VLOOKUP(MID(T116,U116,V116-U116),[6]skilldef!$A:$B,2,FALSE),"-")</f>
        <v>自分自身に / カウンター</v>
      </c>
      <c r="Z116" s="233"/>
      <c r="AA116" s="237"/>
      <c r="AB116" s="233"/>
    </row>
    <row r="117" spans="1:28" ht="77" customHeight="1" x14ac:dyDescent="0.25">
      <c r="A117" s="262">
        <v>47015265</v>
      </c>
      <c r="B117" s="289" t="s">
        <v>477</v>
      </c>
      <c r="C117" s="233">
        <v>3</v>
      </c>
      <c r="D117" s="233" t="s">
        <v>127</v>
      </c>
      <c r="E117" s="234" t="s">
        <v>306</v>
      </c>
      <c r="F117" s="234" t="s">
        <v>415</v>
      </c>
      <c r="G117" s="235" t="str">
        <f t="shared" si="207"/>
        <v>[effect:enemy_message, val1:1.2, val2:4.7]</v>
      </c>
      <c r="H117" s="235">
        <f t="shared" si="208"/>
        <v>9</v>
      </c>
      <c r="I117" s="235">
        <f t="shared" si="209"/>
        <v>22</v>
      </c>
      <c r="J117" s="235" t="e">
        <f t="shared" si="210"/>
        <v>#VALUE!</v>
      </c>
      <c r="K117" s="235">
        <f t="shared" si="211"/>
        <v>32</v>
      </c>
      <c r="L117" s="235" t="str">
        <f>IFERROR(VLOOKUP(MID(G117,J117,K117-J117),[6]skilldef!$C:$D,2,FALSE),"-") &amp; " / " &amp; IFERROR(VLOOKUP(MID(G117,H117,I117-H117),[6]skilldef!$A:$B,2,FALSE),"-")</f>
        <v>- / -</v>
      </c>
      <c r="M117" s="235" t="str">
        <f t="shared" si="212"/>
        <v>[effect:dark, target:unit_all, turn:2, animation:enemy_dark],[effect:change_bomb_range, target:unit_all, val:0.5, rate:1, turn:10, animation:bomb_small],[effect:force_change_block, new_block:damage, target:block_all, ignore01:block_positive, ignore02:damage, count:3, val:0.04, animation:change_block]</v>
      </c>
      <c r="N117" s="236" t="str">
        <f>IFERROR(LEFT(M117,FIND("],",M117)+S147),M117)</f>
        <v>[effect:dark, target:unit_all, turn:2, animation:enemy_dark],[effect:change_bomb_range, target:unit_all, val:0.5, rate:1, turn:10, animation:bomb_small],[effect:force_change_block, new_block:damage, target:block_all, ignore01:block_positive, ignore02:damage, count:3, val:0.04, animation:change_block]</v>
      </c>
      <c r="O117" s="235">
        <f t="shared" si="213"/>
        <v>9</v>
      </c>
      <c r="P117" s="235">
        <f t="shared" si="214"/>
        <v>13</v>
      </c>
      <c r="Q117" s="235">
        <f t="shared" si="215"/>
        <v>22</v>
      </c>
      <c r="R117" s="235">
        <f t="shared" si="216"/>
        <v>30</v>
      </c>
      <c r="S117" s="235" t="str">
        <f>IFERROR(VLOOKUP(MID(N117,Q117,R117-Q117),[6]skilldef!$C:$D,2,FALSE),"-") &amp; " / " &amp; IFERROR(VLOOKUP(MID(N117,O117,P117-O117),[6]skilldef!$A:$B,2,FALSE),"-")</f>
        <v>味方全体に / 暗黒</v>
      </c>
      <c r="T117" s="236" t="str">
        <f t="shared" si="217"/>
        <v>[effect:change_bomb_range, target:unit_all, val:0.5, rate:1, turn:10, animation:bomb_small],[effect:force_change_block, new_block:damage, target:block_all, ignore01:block_positive, ignore02:damage, count:3, val:0.04, animation:change_block]</v>
      </c>
      <c r="U117" s="235">
        <f t="shared" si="218"/>
        <v>9</v>
      </c>
      <c r="V117" s="235">
        <f t="shared" si="219"/>
        <v>26</v>
      </c>
      <c r="W117" s="235">
        <f t="shared" si="220"/>
        <v>35</v>
      </c>
      <c r="X117" s="235">
        <f t="shared" si="221"/>
        <v>43</v>
      </c>
      <c r="Y117" s="235" t="str">
        <f>IFERROR(VLOOKUP(MID(T117,W117,X117-W117),[6]skilldef!$C:$D,2,FALSE),"-") &amp; " / " &amp; IFERROR(VLOOKUP(MID(T117,U117,V117-U117),[6]skilldef!$A:$B,2,FALSE),"-")</f>
        <v>味方全体に / -</v>
      </c>
      <c r="Z117" s="233"/>
      <c r="AA117" s="237"/>
      <c r="AB117" s="233"/>
    </row>
    <row r="118" spans="1:28" ht="125" customHeight="1" x14ac:dyDescent="0.25">
      <c r="A118" s="198">
        <v>47015270</v>
      </c>
      <c r="B118" s="288" t="s">
        <v>500</v>
      </c>
      <c r="C118" s="233">
        <v>3</v>
      </c>
      <c r="D118" s="233" t="s">
        <v>127</v>
      </c>
      <c r="E118" s="234" t="s">
        <v>359</v>
      </c>
      <c r="F118" s="234" t="s">
        <v>501</v>
      </c>
      <c r="G118" s="235" t="str">
        <f t="shared" si="207"/>
        <v>[effect:enemy_message, val1:2.8, val2:6.4]</v>
      </c>
      <c r="H118" s="235">
        <f t="shared" si="208"/>
        <v>9</v>
      </c>
      <c r="I118" s="235">
        <f t="shared" si="209"/>
        <v>22</v>
      </c>
      <c r="J118" s="235" t="e">
        <f t="shared" si="210"/>
        <v>#VALUE!</v>
      </c>
      <c r="K118" s="235">
        <f t="shared" si="211"/>
        <v>32</v>
      </c>
      <c r="L118" s="235" t="str">
        <f>IFERROR(VLOOKUP(MID(G118,J118,K118-J118),[6]skilldef!$C:$D,2,FALSE),"-") &amp; " / " &amp; IFERROR(VLOOKUP(MID(G118,H118,I118-H118),[6]skilldef!$A:$B,2,FALSE),"-")</f>
        <v>- / -</v>
      </c>
      <c r="M118" s="235" t="str">
        <f t="shared" si="212"/>
        <v>[effect:fix_speed, target:myself, turn:1],[effect:change_range_block, block_change:1, base_type:0, square_count:3, position01:3, position02:5, position03:7, value_h01:1.0, value_h02:1.0, value_h03:1.0, value_w01:1.0, value_w02:1.0, value_w03:1.0, new_block:block_heart, target:block_all, ignore01:block_positive, ignore02:block_heart, count:0, val:0, animation:change_range_block],[effect:remove_enhancement, target:unit_all, target_effect:all, target_type:debuff, animation:frozen_wave],[effect:enhance_fever, val:333, animation:fevergauge_up03]</v>
      </c>
      <c r="N118" s="236" t="str">
        <f>IFERROR(LEFT(M118,FIND("],",M118)+S143),M118)</f>
        <v>[effect:fix_speed, target:myself, turn:1],[effect:change_range_block, block_change:1, base_type:0, square_count:3, position01:3, position02:5, position03:7, value_h01:1.0, value_h02:1.0, value_h03:1.0, value_w01:1.0, value_w02:1.0, value_w03:1.0, new_block:block_heart, target:block_all, ignore01:block_positive, ignore02:block_heart, count:0, val:0, animation:change_range_block],[effect:remove_enhancement, target:unit_all, target_effect:all, target_type:debuff, animation:frozen_wave],[effect:enhance_fever, val:333, animation:fevergauge_up03]</v>
      </c>
      <c r="O118" s="235">
        <f t="shared" si="213"/>
        <v>9</v>
      </c>
      <c r="P118" s="235">
        <f t="shared" si="214"/>
        <v>18</v>
      </c>
      <c r="Q118" s="235">
        <f t="shared" si="215"/>
        <v>27</v>
      </c>
      <c r="R118" s="235">
        <f t="shared" si="216"/>
        <v>33</v>
      </c>
      <c r="S118" s="235" t="str">
        <f>IFERROR(VLOOKUP(MID(N118,Q118,R118-Q118),[6]skilldef!$C:$D,2,FALSE),"-") &amp; " / " &amp; IFERROR(VLOOKUP(MID(N118,O118,P118-O118),[6]skilldef!$A:$B,2,FALSE),"-")</f>
        <v>自分自身に / 行動値設定</v>
      </c>
      <c r="T118" s="236" t="str">
        <f t="shared" si="217"/>
        <v>[effect:change_range_block, block_change:1, base_type:0, square_count:3, position01:3, position02:5, position03:7, value_h01:1.0, value_h02:1.0, value_h03:1.0, value_w01:1.0, value_w02:1.0, value_w03:1.0, new_block:block_heart, target:block_all, ignore01:block_positive, ignore02:block_heart, count:0, val:0, animation:change_range_block],[effect:remove_enhancement, target:unit_all, target_effect:all, target_type:debuff, animation:frozen_wave],[effect:enhance_fever, val:333, animation:fevergauge_up03]</v>
      </c>
      <c r="U118" s="235">
        <f t="shared" si="218"/>
        <v>9</v>
      </c>
      <c r="V118" s="235">
        <f t="shared" si="219"/>
        <v>27</v>
      </c>
      <c r="W118" s="235">
        <f t="shared" si="220"/>
        <v>236</v>
      </c>
      <c r="X118" s="235">
        <f t="shared" si="221"/>
        <v>43</v>
      </c>
      <c r="Y118" s="235" t="str">
        <f>IFERROR(VLOOKUP(MID(T118,W118,X118-W118),[6]skilldef!$C:$D,2,FALSE),"-") &amp; " / " &amp; IFERROR(VLOOKUP(MID(T118,U118,V118-U118),[6]skilldef!$A:$B,2,FALSE),"-")</f>
        <v>- / -</v>
      </c>
      <c r="Z118" s="233"/>
      <c r="AA118" s="237"/>
      <c r="AB118" s="233"/>
    </row>
    <row r="119" spans="1:28" ht="77" customHeight="1" x14ac:dyDescent="0.25">
      <c r="A119" s="198">
        <v>47015271</v>
      </c>
      <c r="B119" s="289" t="s">
        <v>389</v>
      </c>
      <c r="C119" s="233">
        <v>3</v>
      </c>
      <c r="D119" s="233" t="s">
        <v>127</v>
      </c>
      <c r="E119" s="234" t="s">
        <v>360</v>
      </c>
      <c r="F119" s="234" t="s">
        <v>256</v>
      </c>
      <c r="G119" s="235" t="str">
        <f t="shared" si="207"/>
        <v>[effect:enemy_message, val1:1.2, val2:1.2]</v>
      </c>
      <c r="H119" s="235">
        <f t="shared" si="208"/>
        <v>9</v>
      </c>
      <c r="I119" s="235">
        <f t="shared" si="209"/>
        <v>22</v>
      </c>
      <c r="J119" s="235" t="e">
        <f t="shared" si="210"/>
        <v>#VALUE!</v>
      </c>
      <c r="K119" s="235">
        <f t="shared" si="211"/>
        <v>32</v>
      </c>
      <c r="L119" s="235" t="str">
        <f>IFERROR(VLOOKUP(MID(G119,J119,K119-J119),[6]skilldef!$C:$D,2,FALSE),"-") &amp; " / " &amp; IFERROR(VLOOKUP(MID(G119,H119,I119-H119),[6]skilldef!$A:$B,2,FALSE),"-")</f>
        <v>- / -</v>
      </c>
      <c r="M119" s="235" t="str">
        <f t="shared" si="212"/>
        <v>[effect:rush, count:6, val:0.3]</v>
      </c>
      <c r="N119" s="236" t="str">
        <f>IFERROR(LEFT(M119,FIND("],",M119)+S144),M119)</f>
        <v>[effect:rush, count:6, val:0.3]</v>
      </c>
      <c r="O119" s="235">
        <f t="shared" si="213"/>
        <v>9</v>
      </c>
      <c r="P119" s="235">
        <f t="shared" si="214"/>
        <v>13</v>
      </c>
      <c r="Q119" s="235" t="e">
        <f t="shared" si="215"/>
        <v>#VALUE!</v>
      </c>
      <c r="R119" s="235">
        <f t="shared" si="216"/>
        <v>22</v>
      </c>
      <c r="S119" s="235" t="str">
        <f>IFERROR(VLOOKUP(MID(N119,Q119,R119-Q119),[6]skilldef!$C:$D,2,FALSE),"-") &amp; " / " &amp; IFERROR(VLOOKUP(MID(N119,O119,P119-O119),[6]skilldef!$A:$B,2,FALSE),"-")</f>
        <v>- / 連続攻撃</v>
      </c>
      <c r="T119" s="236" t="str">
        <f t="shared" si="217"/>
        <v>none</v>
      </c>
      <c r="U119" s="235" t="e">
        <f t="shared" si="218"/>
        <v>#VALUE!</v>
      </c>
      <c r="V119" s="235">
        <f t="shared" si="219"/>
        <v>4</v>
      </c>
      <c r="W119" s="235" t="e">
        <f t="shared" si="220"/>
        <v>#VALUE!</v>
      </c>
      <c r="X119" s="235" t="e">
        <f t="shared" si="221"/>
        <v>#VALUE!</v>
      </c>
      <c r="Y119" s="235" t="str">
        <f>IFERROR(VLOOKUP(MID(T119,W119,X119-W119),[6]skilldef!$C:$D,2,FALSE),"-") &amp; " / " &amp; IFERROR(VLOOKUP(MID(T119,U119,V119-U119),[6]skilldef!$A:$B,2,FALSE),"-")</f>
        <v>- / -</v>
      </c>
      <c r="Z119" s="233"/>
      <c r="AA119" s="237"/>
      <c r="AB119" s="233"/>
    </row>
    <row r="120" spans="1:28" ht="77" customHeight="1" x14ac:dyDescent="0.25">
      <c r="A120" s="198">
        <v>47015272</v>
      </c>
      <c r="B120" s="289" t="s">
        <v>480</v>
      </c>
      <c r="C120" s="233">
        <v>3</v>
      </c>
      <c r="D120" s="233" t="s">
        <v>127</v>
      </c>
      <c r="E120" s="234" t="s">
        <v>274</v>
      </c>
      <c r="F120" s="234" t="s">
        <v>416</v>
      </c>
      <c r="G120" s="235" t="str">
        <f t="shared" si="207"/>
        <v>[effect:enemy_message, val1:1.2, val2:4.0]</v>
      </c>
      <c r="H120" s="235">
        <f t="shared" si="208"/>
        <v>9</v>
      </c>
      <c r="I120" s="235">
        <f t="shared" si="209"/>
        <v>22</v>
      </c>
      <c r="J120" s="235" t="e">
        <f t="shared" si="210"/>
        <v>#VALUE!</v>
      </c>
      <c r="K120" s="235">
        <f t="shared" si="211"/>
        <v>32</v>
      </c>
      <c r="L120" s="235" t="str">
        <f>IFERROR(VLOOKUP(MID(G120,J120,K120-J120),[6]skilldef!$C:$D,2,FALSE),"-") &amp; " / " &amp; IFERROR(VLOOKUP(MID(G120,H120,I120-H120),[6]skilldef!$A:$B,2,FALSE),"-")</f>
        <v>- / -</v>
      </c>
      <c r="M120" s="235" t="str">
        <f t="shared" si="212"/>
        <v>[effect:force_change_block, new_block:damage, target:block_all, ignore01:block_heart, ignore02:block_positive, ignore03:damage, count:10, val:0.03, animation:change_block],[effect:force_change_block, new_block:crack_bomb, target:block_all, ignore01:block_positive, count:1, val:24, animation:change_block]</v>
      </c>
      <c r="N120" s="236" t="str">
        <f>IFERROR(LEFT(M120,FIND("],",M120)+S145),M120)</f>
        <v>[effect:force_change_block, new_block:damage, target:block_all, ignore01:block_heart, ignore02:block_positive, ignore03:damage, count:10, val:0.03, animation:change_block],[effect:force_change_block, new_block:crack_bomb, target:block_all, ignore01:block_positive, count:1, val:24, animation:change_block]</v>
      </c>
      <c r="O120" s="235">
        <f t="shared" si="213"/>
        <v>9</v>
      </c>
      <c r="P120" s="235">
        <f t="shared" si="214"/>
        <v>27</v>
      </c>
      <c r="Q120" s="235">
        <f t="shared" si="215"/>
        <v>54</v>
      </c>
      <c r="R120" s="235">
        <f t="shared" si="216"/>
        <v>45</v>
      </c>
      <c r="S120" s="235" t="str">
        <f>IFERROR(VLOOKUP(MID(N120,Q120,R120-Q120),[6]skilldef!$C:$D,2,FALSE),"-") &amp; " / " &amp; IFERROR(VLOOKUP(MID(N120,O120,P120-O120),[6]skilldef!$A:$B,2,FALSE),"-")</f>
        <v>- / -</v>
      </c>
      <c r="T120" s="236" t="str">
        <f t="shared" si="217"/>
        <v>[effect:force_change_block, new_block:crack_bomb, target:block_all, ignore01:block_positive, count:1, val:24, animation:change_block]</v>
      </c>
      <c r="U120" s="235">
        <f t="shared" si="218"/>
        <v>9</v>
      </c>
      <c r="V120" s="235">
        <f t="shared" si="219"/>
        <v>27</v>
      </c>
      <c r="W120" s="235">
        <f t="shared" si="220"/>
        <v>58</v>
      </c>
      <c r="X120" s="235">
        <f t="shared" si="221"/>
        <v>49</v>
      </c>
      <c r="Y120" s="235" t="str">
        <f>IFERROR(VLOOKUP(MID(T120,W120,X120-W120),[6]skilldef!$C:$D,2,FALSE),"-") &amp; " / " &amp; IFERROR(VLOOKUP(MID(T120,U120,V120-U120),[6]skilldef!$A:$B,2,FALSE),"-")</f>
        <v>- / -</v>
      </c>
      <c r="Z120" s="233"/>
      <c r="AA120" s="237"/>
      <c r="AB120" s="233"/>
    </row>
    <row r="121" spans="1:28" ht="77" customHeight="1" x14ac:dyDescent="0.25">
      <c r="A121" s="198">
        <v>47015273</v>
      </c>
      <c r="B121" s="289" t="s">
        <v>437</v>
      </c>
      <c r="C121" s="233">
        <v>3</v>
      </c>
      <c r="D121" s="233" t="s">
        <v>127</v>
      </c>
      <c r="E121" s="234" t="s">
        <v>278</v>
      </c>
      <c r="F121" s="234" t="s">
        <v>403</v>
      </c>
      <c r="G121" s="235" t="str">
        <f t="shared" si="207"/>
        <v>[effect:enemy_message, val1:1.2, val2:2.2]</v>
      </c>
      <c r="H121" s="235">
        <f t="shared" si="208"/>
        <v>9</v>
      </c>
      <c r="I121" s="235">
        <f t="shared" si="209"/>
        <v>22</v>
      </c>
      <c r="J121" s="235" t="e">
        <f t="shared" si="210"/>
        <v>#VALUE!</v>
      </c>
      <c r="K121" s="235">
        <f t="shared" si="211"/>
        <v>32</v>
      </c>
      <c r="L121" s="235" t="str">
        <f>IFERROR(VLOOKUP(MID(G121,J121,K121-J121),[6]skilldef!$C:$D,2,FALSE),"-") &amp; " / " &amp; IFERROR(VLOOKUP(MID(G121,H121,I121-H121),[6]skilldef!$A:$B,2,FALSE),"-")</f>
        <v>- / -</v>
      </c>
      <c r="M121" s="235" t="str">
        <f t="shared" si="212"/>
        <v>[effect:spread, val:0.3],[effect:hungup, target:unit_all, turn:1, rate:1, animation:hungup01]</v>
      </c>
      <c r="N121" s="236" t="str">
        <f>IFERROR(LEFT(M121,FIND("],",M121)+S146),M121)</f>
        <v>[effect:spread, val:0.3],[effect:hungup, target:unit_all, turn:1, rate:1, animation:hungup01]</v>
      </c>
      <c r="O121" s="235">
        <f t="shared" si="213"/>
        <v>9</v>
      </c>
      <c r="P121" s="235">
        <f t="shared" si="214"/>
        <v>15</v>
      </c>
      <c r="Q121" s="235">
        <f t="shared" si="215"/>
        <v>49</v>
      </c>
      <c r="R121" s="235">
        <f t="shared" si="216"/>
        <v>25</v>
      </c>
      <c r="S121" s="235" t="str">
        <f>IFERROR(VLOOKUP(MID(N121,Q121,R121-Q121),[6]skilldef!$C:$D,2,FALSE),"-") &amp; " / " &amp; IFERROR(VLOOKUP(MID(N121,O121,P121-O121),[6]skilldef!$A:$B,2,FALSE),"-")</f>
        <v>- / 全体攻撃</v>
      </c>
      <c r="T121" s="236" t="str">
        <f t="shared" si="217"/>
        <v>[effect:hungup, target:unit_all, turn:1, rate:1, animation:hungup01]</v>
      </c>
      <c r="U121" s="235">
        <f t="shared" si="218"/>
        <v>9</v>
      </c>
      <c r="V121" s="235">
        <f t="shared" si="219"/>
        <v>15</v>
      </c>
      <c r="W121" s="235">
        <f t="shared" si="220"/>
        <v>24</v>
      </c>
      <c r="X121" s="235">
        <f t="shared" si="221"/>
        <v>32</v>
      </c>
      <c r="Y121" s="235" t="str">
        <f>IFERROR(VLOOKUP(MID(T121,W121,X121-W121),[6]skilldef!$C:$D,2,FALSE),"-") &amp; " / " &amp; IFERROR(VLOOKUP(MID(T121,U121,V121-U121),[6]skilldef!$A:$B,2,FALSE),"-")</f>
        <v>味方全体に / ハングアップ</v>
      </c>
      <c r="Z121" s="233"/>
      <c r="AA121" s="237"/>
      <c r="AB121" s="233"/>
    </row>
    <row r="122" spans="1:28" ht="77" customHeight="1" x14ac:dyDescent="0.25">
      <c r="A122" s="198">
        <v>47015274</v>
      </c>
      <c r="B122" s="289" t="s">
        <v>390</v>
      </c>
      <c r="C122" s="233">
        <v>3</v>
      </c>
      <c r="D122" s="233" t="s">
        <v>127</v>
      </c>
      <c r="E122" s="234" t="s">
        <v>270</v>
      </c>
      <c r="F122" s="234" t="s">
        <v>337</v>
      </c>
      <c r="G122" s="235" t="str">
        <f t="shared" si="207"/>
        <v>[effect:enemy_message, val1:1.3, val2:2.1]</v>
      </c>
      <c r="H122" s="235">
        <f t="shared" si="208"/>
        <v>9</v>
      </c>
      <c r="I122" s="235">
        <f t="shared" si="209"/>
        <v>22</v>
      </c>
      <c r="J122" s="235" t="e">
        <f t="shared" si="210"/>
        <v>#VALUE!</v>
      </c>
      <c r="K122" s="235">
        <f t="shared" si="211"/>
        <v>32</v>
      </c>
      <c r="L122" s="235" t="str">
        <f>IFERROR(VLOOKUP(MID(G122,J122,K122-J122),[6]skilldef!$C:$D,2,FALSE),"-") &amp; " / " &amp; IFERROR(VLOOKUP(MID(G122,H122,I122-H122),[6]skilldef!$A:$B,2,FALSE),"-")</f>
        <v>- / -</v>
      </c>
      <c r="M122" s="235" t="str">
        <f t="shared" si="212"/>
        <v>[effect:damage_anti_tribe, target:unit_all, tribe:god, val1:0.7, val2:0.02]</v>
      </c>
      <c r="N122" s="236" t="str">
        <f>IFERROR(LEFT(M122,FIND("],",M122)+S148),M122)</f>
        <v>[effect:damage_anti_tribe, target:unit_all, tribe:god, val1:0.7, val2:0.02]</v>
      </c>
      <c r="O122" s="235">
        <f t="shared" si="213"/>
        <v>9</v>
      </c>
      <c r="P122" s="235">
        <f t="shared" si="214"/>
        <v>26</v>
      </c>
      <c r="Q122" s="235">
        <f t="shared" si="215"/>
        <v>35</v>
      </c>
      <c r="R122" s="235">
        <f t="shared" si="216"/>
        <v>43</v>
      </c>
      <c r="S122" s="235" t="str">
        <f>IFERROR(VLOOKUP(MID(N122,Q122,R122-Q122),[6]skilldef!$C:$D,2,FALSE),"-") &amp; " / " &amp; IFERROR(VLOOKUP(MID(N122,O122,P122-O122),[6]skilldef!$A:$B,2,FALSE),"-")</f>
        <v>味方全体に / 種族キラー</v>
      </c>
      <c r="T122" s="236" t="str">
        <f t="shared" si="217"/>
        <v>none</v>
      </c>
      <c r="U122" s="235" t="e">
        <f t="shared" si="218"/>
        <v>#VALUE!</v>
      </c>
      <c r="V122" s="235">
        <f t="shared" si="219"/>
        <v>4</v>
      </c>
      <c r="W122" s="235" t="e">
        <f t="shared" si="220"/>
        <v>#VALUE!</v>
      </c>
      <c r="X122" s="235" t="e">
        <f t="shared" si="221"/>
        <v>#VALUE!</v>
      </c>
      <c r="Y122" s="235" t="str">
        <f>IFERROR(VLOOKUP(MID(T122,W122,X122-W122),[6]skilldef!$C:$D,2,FALSE),"-") &amp; " / " &amp; IFERROR(VLOOKUP(MID(T122,U122,V122-U122),[6]skilldef!$A:$B,2,FALSE),"-")</f>
        <v>- / -</v>
      </c>
      <c r="Z122" s="233"/>
      <c r="AA122" s="237"/>
      <c r="AB122" s="233"/>
    </row>
    <row r="123" spans="1:28" ht="77" customHeight="1" x14ac:dyDescent="0.25">
      <c r="A123" s="198">
        <v>47015275</v>
      </c>
      <c r="B123" s="289" t="s">
        <v>442</v>
      </c>
      <c r="C123" s="233">
        <v>3</v>
      </c>
      <c r="D123" s="233" t="s">
        <v>127</v>
      </c>
      <c r="E123" s="234" t="s">
        <v>271</v>
      </c>
      <c r="F123" s="234" t="s">
        <v>417</v>
      </c>
      <c r="G123" s="235" t="str">
        <f t="shared" si="207"/>
        <v>[effect:enemy_message, val1:1.4, val2:4.8]</v>
      </c>
      <c r="H123" s="235">
        <f t="shared" si="208"/>
        <v>9</v>
      </c>
      <c r="I123" s="235">
        <f t="shared" si="209"/>
        <v>22</v>
      </c>
      <c r="J123" s="235" t="e">
        <f t="shared" si="210"/>
        <v>#VALUE!</v>
      </c>
      <c r="K123" s="235">
        <f t="shared" si="211"/>
        <v>32</v>
      </c>
      <c r="L123" s="235" t="str">
        <f>IFERROR(VLOOKUP(MID(G123,J123,K123-J123),[6]skilldef!$C:$D,2,FALSE),"-") &amp; " / " &amp; IFERROR(VLOOKUP(MID(G123,H123,I123-H123),[6]skilldef!$A:$B,2,FALSE),"-")</f>
        <v>- / -</v>
      </c>
      <c r="M123" s="235" t="str">
        <f t="shared" si="212"/>
        <v>[effect:change_range_block, block_change:1, base_type:1, square_count:5, position01:12, value_rad01:3.0, value_h01:1.0, value_w01:1.0, new_block:block_heart, target:block_all, ignore01:block_positive, ignore02:block_heart, count:0, val:0, animation:change_range_block],[effect:enhance_enemy, target:myself, turn:4, status:defense, val:4500, calc:add, animation:enemy_enhance_defense],[effect:degrade_unit, target:unit_all, turn:4, status:action, val:1, calc:mul, animation:enemy_tap_down]</v>
      </c>
      <c r="N123" s="236" t="str">
        <f>IFERROR(LEFT(M123,FIND("],",M123)+S152),M123)</f>
        <v>[effect:change_range_block, block_change:1, base_type:1, square_count:5, position01:12, value_rad01:3.0, value_h01:1.0, value_w01:1.0, new_block:block_heart, target:block_all, ignore01:block_positive, ignore02:block_heart, count:0, val:0, animation:change_range_block],[effect:enhance_enemy, target:myself, turn:4, status:defense, val:4500, calc:add, animation:enemy_enhance_defense],[effect:degrade_unit, target:unit_all, turn:4, status:action, val:1, calc:mul, animation:enemy_tap_down]</v>
      </c>
      <c r="O123" s="235">
        <f t="shared" si="213"/>
        <v>9</v>
      </c>
      <c r="P123" s="235">
        <f t="shared" si="214"/>
        <v>27</v>
      </c>
      <c r="Q123" s="235">
        <f t="shared" si="215"/>
        <v>166</v>
      </c>
      <c r="R123" s="235">
        <f t="shared" si="216"/>
        <v>43</v>
      </c>
      <c r="S123" s="235" t="str">
        <f>IFERROR(VLOOKUP(MID(N123,Q123,R123-Q123),[6]skilldef!$C:$D,2,FALSE),"-") &amp; " / " &amp; IFERROR(VLOOKUP(MID(N123,O123,P123-O123),[6]skilldef!$A:$B,2,FALSE),"-")</f>
        <v>- / -</v>
      </c>
      <c r="T123" s="236" t="str">
        <f t="shared" si="217"/>
        <v>[effect:enhance_enemy, target:myself, turn:4, status:defense, val:4500, calc:add, animation:enemy_enhance_defense],[effect:degrade_unit, target:unit_all, turn:4, status:action, val:1, calc:mul, animation:enemy_tap_down]</v>
      </c>
      <c r="U123" s="235">
        <f t="shared" si="218"/>
        <v>9</v>
      </c>
      <c r="V123" s="235">
        <f t="shared" si="219"/>
        <v>22</v>
      </c>
      <c r="W123" s="235">
        <f t="shared" si="220"/>
        <v>31</v>
      </c>
      <c r="X123" s="235">
        <f t="shared" si="221"/>
        <v>37</v>
      </c>
      <c r="Y123" s="235" t="str">
        <f>IFERROR(VLOOKUP(MID(T123,W123,X123-W123),[6]skilldef!$C:$D,2,FALSE),"-") &amp; " / " &amp; IFERROR(VLOOKUP(MID(T123,U123,V123-U123),[6]skilldef!$A:$B,2,FALSE),"-")</f>
        <v>自分自身に / ステータス強化</v>
      </c>
      <c r="Z123" s="233"/>
      <c r="AA123" s="237"/>
      <c r="AB123" s="233"/>
    </row>
    <row r="124" spans="1:28" ht="77" customHeight="1" x14ac:dyDescent="0.25">
      <c r="A124" s="198">
        <v>47015276</v>
      </c>
      <c r="B124" s="289" t="s">
        <v>485</v>
      </c>
      <c r="C124" s="233">
        <v>3</v>
      </c>
      <c r="D124" s="233" t="s">
        <v>127</v>
      </c>
      <c r="E124" s="234" t="s">
        <v>305</v>
      </c>
      <c r="F124" s="234" t="s">
        <v>493</v>
      </c>
      <c r="G124" s="235" t="str">
        <f t="shared" si="207"/>
        <v>[effect:enemy_message, val1:1.2, val2:2.8]</v>
      </c>
      <c r="H124" s="235">
        <f t="shared" si="208"/>
        <v>9</v>
      </c>
      <c r="I124" s="235">
        <f t="shared" si="209"/>
        <v>22</v>
      </c>
      <c r="J124" s="235" t="e">
        <f t="shared" si="210"/>
        <v>#VALUE!</v>
      </c>
      <c r="K124" s="235">
        <f t="shared" si="211"/>
        <v>32</v>
      </c>
      <c r="L124" s="235" t="str">
        <f>IFERROR(VLOOKUP(MID(G124,J124,K124-J124),[6]skilldef!$C:$D,2,FALSE),"-") &amp; " / " &amp; IFERROR(VLOOKUP(MID(G124,H124,I124-H124),[6]skilldef!$A:$B,2,FALSE),"-")</f>
        <v>- / -</v>
      </c>
      <c r="M124" s="235" t="str">
        <f t="shared" si="212"/>
        <v>[effect:fix_speed, target:myself, turn:2],[effect:enhance_fever, val:333, animation:fevergauge_up03]</v>
      </c>
      <c r="N124" s="236" t="str">
        <f>IFERROR(LEFT(M124,FIND("],",M124)+S149),M124)</f>
        <v>[effect:fix_speed, target:myself, turn:2],[effect:enhance_fever, val:333, animation:fevergauge_up03]</v>
      </c>
      <c r="O124" s="235">
        <f t="shared" si="213"/>
        <v>9</v>
      </c>
      <c r="P124" s="235">
        <f t="shared" si="214"/>
        <v>18</v>
      </c>
      <c r="Q124" s="235">
        <f t="shared" si="215"/>
        <v>27</v>
      </c>
      <c r="R124" s="235">
        <f t="shared" si="216"/>
        <v>33</v>
      </c>
      <c r="S124" s="235" t="str">
        <f>IFERROR(VLOOKUP(MID(N124,Q124,R124-Q124),[6]skilldef!$C:$D,2,FALSE),"-") &amp; " / " &amp; IFERROR(VLOOKUP(MID(N124,O124,P124-O124),[6]skilldef!$A:$B,2,FALSE),"-")</f>
        <v>自分自身に / 行動値設定</v>
      </c>
      <c r="T124" s="236" t="str">
        <f t="shared" si="217"/>
        <v>[effect:enhance_fever, val:333, animation:fevergauge_up03]</v>
      </c>
      <c r="U124" s="235">
        <f t="shared" si="218"/>
        <v>9</v>
      </c>
      <c r="V124" s="235">
        <f t="shared" si="219"/>
        <v>22</v>
      </c>
      <c r="W124" s="235" t="e">
        <f t="shared" si="220"/>
        <v>#VALUE!</v>
      </c>
      <c r="X124" s="235">
        <f t="shared" si="221"/>
        <v>31</v>
      </c>
      <c r="Y124" s="235" t="str">
        <f>IFERROR(VLOOKUP(MID(T124,W124,X124-W124),[6]skilldef!$C:$D,2,FALSE),"-") &amp; " / " &amp; IFERROR(VLOOKUP(MID(T124,U124,V124-U124),[6]skilldef!$A:$B,2,FALSE),"-")</f>
        <v>- / -</v>
      </c>
      <c r="Z124" s="233"/>
      <c r="AA124" s="237"/>
      <c r="AB124" s="233"/>
    </row>
    <row r="125" spans="1:28" ht="77" customHeight="1" x14ac:dyDescent="0.25">
      <c r="A125" s="198">
        <v>47015277</v>
      </c>
      <c r="B125" s="289" t="s">
        <v>486</v>
      </c>
      <c r="C125" s="233">
        <v>3</v>
      </c>
      <c r="D125" s="233" t="s">
        <v>127</v>
      </c>
      <c r="E125" s="234" t="s">
        <v>308</v>
      </c>
      <c r="F125" s="234" t="s">
        <v>484</v>
      </c>
      <c r="G125" s="235" t="str">
        <f t="shared" si="207"/>
        <v>[effect:enemy_message, val1:1.7, val2:3.6]</v>
      </c>
      <c r="H125" s="235">
        <f t="shared" si="208"/>
        <v>9</v>
      </c>
      <c r="I125" s="235">
        <f t="shared" si="209"/>
        <v>22</v>
      </c>
      <c r="J125" s="235" t="e">
        <f t="shared" si="210"/>
        <v>#VALUE!</v>
      </c>
      <c r="K125" s="235">
        <f t="shared" si="211"/>
        <v>32</v>
      </c>
      <c r="L125" s="235" t="str">
        <f>IFERROR(VLOOKUP(MID(G125,J125,K125-J125),[6]skilldef!$C:$D,2,FALSE),"-") &amp; " / " &amp; IFERROR(VLOOKUP(MID(G125,H125,I125-H125),[6]skilldef!$A:$B,2,FALSE),"-")</f>
        <v>- / -</v>
      </c>
      <c r="M125" s="235" t="str">
        <f t="shared" si="212"/>
        <v>[effect:spread, val:7],[effect:fix_speed, target:myself, turn:1]</v>
      </c>
      <c r="N125" s="236" t="str">
        <f>IFERROR(LEFT(M125,FIND("],",M125)+S150),M125)</f>
        <v>[effect:spread, val:7],[effect:fix_speed, target:myself, turn:1]</v>
      </c>
      <c r="O125" s="235">
        <f t="shared" si="213"/>
        <v>9</v>
      </c>
      <c r="P125" s="235">
        <f t="shared" si="214"/>
        <v>15</v>
      </c>
      <c r="Q125" s="235">
        <f t="shared" si="215"/>
        <v>50</v>
      </c>
      <c r="R125" s="235">
        <f t="shared" si="216"/>
        <v>23</v>
      </c>
      <c r="S125" s="235" t="str">
        <f>IFERROR(VLOOKUP(MID(N125,Q125,R125-Q125),[6]skilldef!$C:$D,2,FALSE),"-") &amp; " / " &amp; IFERROR(VLOOKUP(MID(N125,O125,P125-O125),[6]skilldef!$A:$B,2,FALSE),"-")</f>
        <v>- / 全体攻撃</v>
      </c>
      <c r="T125" s="236" t="str">
        <f t="shared" si="217"/>
        <v>[effect:fix_speed, target:myself, turn:1]</v>
      </c>
      <c r="U125" s="235">
        <f t="shared" si="218"/>
        <v>9</v>
      </c>
      <c r="V125" s="235">
        <f t="shared" si="219"/>
        <v>18</v>
      </c>
      <c r="W125" s="235">
        <f t="shared" si="220"/>
        <v>27</v>
      </c>
      <c r="X125" s="235">
        <f t="shared" si="221"/>
        <v>33</v>
      </c>
      <c r="Y125" s="235" t="str">
        <f>IFERROR(VLOOKUP(MID(T125,W125,X125-W125),[6]skilldef!$C:$D,2,FALSE),"-") &amp; " / " &amp; IFERROR(VLOOKUP(MID(T125,U125,V125-U125),[6]skilldef!$A:$B,2,FALSE),"-")</f>
        <v>自分自身に / 行動値設定</v>
      </c>
      <c r="Z125" s="233"/>
      <c r="AA125" s="237"/>
      <c r="AB125" s="233"/>
    </row>
    <row r="126" spans="1:28" s="280" customFormat="1" ht="77" customHeight="1" x14ac:dyDescent="0.25">
      <c r="A126" s="198">
        <v>47015278</v>
      </c>
      <c r="B126" s="288" t="s">
        <v>487</v>
      </c>
      <c r="C126" s="233">
        <v>3</v>
      </c>
      <c r="D126" s="278" t="s">
        <v>127</v>
      </c>
      <c r="E126" s="279" t="s">
        <v>327</v>
      </c>
      <c r="F126" s="280" t="s">
        <v>328</v>
      </c>
      <c r="G126" s="281" t="str">
        <f t="shared" si="207"/>
        <v>[effect:enemy_message, val1:2.8, val2:2.1, dead_type:escape]</v>
      </c>
      <c r="H126" s="281">
        <f t="shared" si="208"/>
        <v>9</v>
      </c>
      <c r="I126" s="281">
        <f t="shared" si="209"/>
        <v>22</v>
      </c>
      <c r="J126" s="281" t="e">
        <f t="shared" si="210"/>
        <v>#VALUE!</v>
      </c>
      <c r="K126" s="281">
        <f t="shared" si="211"/>
        <v>32</v>
      </c>
      <c r="L126" s="281" t="str">
        <f>IFERROR(VLOOKUP(MID(G126,J126,K126-J126),[6]skilldef!$C:$D,2,FALSE),"-") &amp; " / " &amp; IFERROR(VLOOKUP(MID(G126,H126,I126-H126),[6]skilldef!$A:$B,2,FALSE),"-")</f>
        <v>- / -</v>
      </c>
      <c r="M126" s="281" t="str">
        <f t="shared" si="212"/>
        <v>none</v>
      </c>
      <c r="N126" s="280" t="str">
        <f>IFERROR(LEFT(M126,FIND("],",M126)+S151),M126)</f>
        <v>none</v>
      </c>
      <c r="O126" s="281" t="e">
        <f t="shared" si="213"/>
        <v>#VALUE!</v>
      </c>
      <c r="P126" s="281">
        <f t="shared" si="214"/>
        <v>4</v>
      </c>
      <c r="Q126" s="281" t="e">
        <f t="shared" si="215"/>
        <v>#VALUE!</v>
      </c>
      <c r="R126" s="281" t="e">
        <f t="shared" si="216"/>
        <v>#VALUE!</v>
      </c>
      <c r="S126" s="281" t="str">
        <f>IFERROR(VLOOKUP(MID(N126,Q126,R126-Q126),[6]skilldef!$C:$D,2,FALSE),"-") &amp; " / " &amp; IFERROR(VLOOKUP(MID(N126,O126,P126-O126),[6]skilldef!$A:$B,2,FALSE),"-")</f>
        <v>- / -</v>
      </c>
      <c r="T126" s="280" t="str">
        <f t="shared" si="217"/>
        <v>none</v>
      </c>
      <c r="U126" s="281" t="e">
        <f t="shared" si="218"/>
        <v>#VALUE!</v>
      </c>
      <c r="V126" s="281">
        <f t="shared" si="219"/>
        <v>4</v>
      </c>
      <c r="W126" s="281" t="e">
        <f t="shared" si="220"/>
        <v>#VALUE!</v>
      </c>
      <c r="X126" s="281" t="e">
        <f t="shared" si="221"/>
        <v>#VALUE!</v>
      </c>
      <c r="Y126" s="281" t="str">
        <f>IFERROR(VLOOKUP(MID(T126,W126,X126-W126),[6]skilldef!$C:$D,2,FALSE),"-") &amp; " / " &amp; IFERROR(VLOOKUP(MID(T126,U126,V126-U126),[6]skilldef!$A:$B,2,FALSE),"-")</f>
        <v>- / -</v>
      </c>
      <c r="Z126" s="278"/>
      <c r="AA126" s="282"/>
      <c r="AB126" s="278"/>
    </row>
    <row r="127" spans="1:28" s="285" customFormat="1" ht="77" customHeight="1" x14ac:dyDescent="0.25">
      <c r="A127" s="198">
        <v>47015279</v>
      </c>
      <c r="B127" s="288" t="s">
        <v>488</v>
      </c>
      <c r="C127" s="233">
        <v>3</v>
      </c>
      <c r="D127" s="283" t="s">
        <v>127</v>
      </c>
      <c r="E127" s="284" t="s">
        <v>329</v>
      </c>
      <c r="F127" s="285" t="s">
        <v>330</v>
      </c>
      <c r="G127" s="286" t="str">
        <f t="shared" si="207"/>
        <v>[effect:enemy_message, val1:1.7, val2:1.9, dead_type:escape]</v>
      </c>
      <c r="H127" s="286">
        <f t="shared" si="208"/>
        <v>9</v>
      </c>
      <c r="I127" s="286">
        <f t="shared" si="209"/>
        <v>22</v>
      </c>
      <c r="J127" s="286" t="e">
        <f t="shared" si="210"/>
        <v>#VALUE!</v>
      </c>
      <c r="K127" s="286">
        <f t="shared" si="211"/>
        <v>32</v>
      </c>
      <c r="L127" s="286" t="str">
        <f>IFERROR(VLOOKUP(MID(G127,J127,K127-J127),[6]skilldef!$C:$D,2,FALSE),"-") &amp; " / " &amp; IFERROR(VLOOKUP(MID(G127,H127,I127-H127),[6]skilldef!$A:$B,2,FALSE),"-")</f>
        <v>- / -</v>
      </c>
      <c r="M127" s="286" t="str">
        <f t="shared" si="212"/>
        <v>none</v>
      </c>
      <c r="N127" s="285" t="str">
        <f>IFERROR(LEFT(M127,FIND("],",M127)+S153),M127)</f>
        <v>none</v>
      </c>
      <c r="O127" s="286" t="e">
        <f t="shared" si="213"/>
        <v>#VALUE!</v>
      </c>
      <c r="P127" s="286">
        <f t="shared" si="214"/>
        <v>4</v>
      </c>
      <c r="Q127" s="286" t="e">
        <f t="shared" si="215"/>
        <v>#VALUE!</v>
      </c>
      <c r="R127" s="286" t="e">
        <f t="shared" si="216"/>
        <v>#VALUE!</v>
      </c>
      <c r="S127" s="286" t="str">
        <f>IFERROR(VLOOKUP(MID(N127,Q127,R127-Q127),[6]skilldef!$C:$D,2,FALSE),"-") &amp; " / " &amp; IFERROR(VLOOKUP(MID(N127,O127,P127-O127),[6]skilldef!$A:$B,2,FALSE),"-")</f>
        <v>- / -</v>
      </c>
      <c r="T127" s="285" t="str">
        <f t="shared" si="217"/>
        <v>none</v>
      </c>
      <c r="U127" s="286" t="e">
        <f t="shared" si="218"/>
        <v>#VALUE!</v>
      </c>
      <c r="V127" s="286">
        <f t="shared" si="219"/>
        <v>4</v>
      </c>
      <c r="W127" s="286" t="e">
        <f t="shared" si="220"/>
        <v>#VALUE!</v>
      </c>
      <c r="X127" s="286" t="e">
        <f t="shared" si="221"/>
        <v>#VALUE!</v>
      </c>
      <c r="Y127" s="286" t="str">
        <f>IFERROR(VLOOKUP(MID(T127,W127,X127-W127),[6]skilldef!$C:$D,2,FALSE),"-") &amp; " / " &amp; IFERROR(VLOOKUP(MID(T127,U127,V127-U127),[6]skilldef!$A:$B,2,FALSE),"-")</f>
        <v>- / -</v>
      </c>
      <c r="Z127" s="283"/>
      <c r="AA127" s="287"/>
      <c r="AB127" s="283"/>
    </row>
    <row r="128" spans="1:28" s="285" customFormat="1" ht="77" customHeight="1" x14ac:dyDescent="0.25">
      <c r="A128" s="198">
        <v>47015280</v>
      </c>
      <c r="B128" s="288" t="s">
        <v>488</v>
      </c>
      <c r="C128" s="233">
        <v>3</v>
      </c>
      <c r="D128" s="283" t="s">
        <v>127</v>
      </c>
      <c r="E128" s="284" t="s">
        <v>329</v>
      </c>
      <c r="F128" s="285" t="s">
        <v>330</v>
      </c>
      <c r="G128" s="286" t="str">
        <f t="shared" si="207"/>
        <v>[effect:enemy_message, val1:1.7, val2:1.9, dead_type:escape]</v>
      </c>
      <c r="H128" s="286">
        <f t="shared" si="208"/>
        <v>9</v>
      </c>
      <c r="I128" s="286">
        <f t="shared" si="209"/>
        <v>22</v>
      </c>
      <c r="J128" s="286" t="e">
        <f t="shared" si="210"/>
        <v>#VALUE!</v>
      </c>
      <c r="K128" s="286">
        <f t="shared" si="211"/>
        <v>32</v>
      </c>
      <c r="L128" s="286" t="str">
        <f>IFERROR(VLOOKUP(MID(G128,J128,K128-J128),[6]skilldef!$C:$D,2,FALSE),"-") &amp; " / " &amp; IFERROR(VLOOKUP(MID(G128,H128,I128-H128),[6]skilldef!$A:$B,2,FALSE),"-")</f>
        <v>- / -</v>
      </c>
      <c r="M128" s="286" t="str">
        <f t="shared" si="212"/>
        <v>none</v>
      </c>
      <c r="N128" s="285" t="str">
        <f>IFERROR(LEFT(M128,FIND("],",M128)+S148),M128)</f>
        <v>none</v>
      </c>
      <c r="O128" s="286" t="e">
        <f t="shared" si="213"/>
        <v>#VALUE!</v>
      </c>
      <c r="P128" s="286">
        <f t="shared" si="214"/>
        <v>4</v>
      </c>
      <c r="Q128" s="286" t="e">
        <f t="shared" si="215"/>
        <v>#VALUE!</v>
      </c>
      <c r="R128" s="286" t="e">
        <f t="shared" si="216"/>
        <v>#VALUE!</v>
      </c>
      <c r="S128" s="286" t="str">
        <f>IFERROR(VLOOKUP(MID(N128,Q128,R128-Q128),[6]skilldef!$C:$D,2,FALSE),"-") &amp; " / " &amp; IFERROR(VLOOKUP(MID(N128,O128,P128-O128),[6]skilldef!$A:$B,2,FALSE),"-")</f>
        <v>- / -</v>
      </c>
      <c r="T128" s="285" t="str">
        <f t="shared" si="217"/>
        <v>none</v>
      </c>
      <c r="U128" s="286" t="e">
        <f t="shared" si="218"/>
        <v>#VALUE!</v>
      </c>
      <c r="V128" s="286">
        <f t="shared" si="219"/>
        <v>4</v>
      </c>
      <c r="W128" s="286" t="e">
        <f t="shared" si="220"/>
        <v>#VALUE!</v>
      </c>
      <c r="X128" s="286" t="e">
        <f t="shared" si="221"/>
        <v>#VALUE!</v>
      </c>
      <c r="Y128" s="286" t="str">
        <f>IFERROR(VLOOKUP(MID(T128,W128,X128-W128),[6]skilldef!$C:$D,2,FALSE),"-") &amp; " / " &amp; IFERROR(VLOOKUP(MID(T128,U128,V128-U128),[6]skilldef!$A:$B,2,FALSE),"-")</f>
        <v>- / -</v>
      </c>
      <c r="Z128" s="283"/>
      <c r="AA128" s="287"/>
      <c r="AB128" s="283"/>
    </row>
    <row r="129" spans="1:28" s="285" customFormat="1" ht="77" customHeight="1" x14ac:dyDescent="0.25">
      <c r="A129" s="198">
        <v>47015281</v>
      </c>
      <c r="B129" s="288" t="s">
        <v>489</v>
      </c>
      <c r="C129" s="233">
        <v>3</v>
      </c>
      <c r="D129" s="283" t="s">
        <v>127</v>
      </c>
      <c r="E129" s="284" t="s">
        <v>331</v>
      </c>
      <c r="F129" s="285" t="s">
        <v>332</v>
      </c>
      <c r="G129" s="286" t="str">
        <f t="shared" si="207"/>
        <v>[effect:enemy_message, val1:1.9, val2:2.3, dead_type:escape]</v>
      </c>
      <c r="H129" s="286">
        <f t="shared" si="208"/>
        <v>9</v>
      </c>
      <c r="I129" s="286">
        <f t="shared" si="209"/>
        <v>22</v>
      </c>
      <c r="J129" s="286" t="e">
        <f t="shared" si="210"/>
        <v>#VALUE!</v>
      </c>
      <c r="K129" s="286">
        <f t="shared" si="211"/>
        <v>32</v>
      </c>
      <c r="L129" s="286" t="str">
        <f>IFERROR(VLOOKUP(MID(G129,J129,K129-J129),[6]skilldef!$C:$D,2,FALSE),"-") &amp; " / " &amp; IFERROR(VLOOKUP(MID(G129,H129,I129-H129),[6]skilldef!$A:$B,2,FALSE),"-")</f>
        <v>- / -</v>
      </c>
      <c r="M129" s="286" t="str">
        <f t="shared" si="212"/>
        <v>none</v>
      </c>
      <c r="N129" s="285" t="str">
        <f>IFERROR(LEFT(M129,FIND("],",M129)+S152),M129)</f>
        <v>none</v>
      </c>
      <c r="O129" s="286" t="e">
        <f t="shared" si="213"/>
        <v>#VALUE!</v>
      </c>
      <c r="P129" s="286">
        <f t="shared" si="214"/>
        <v>4</v>
      </c>
      <c r="Q129" s="286" t="e">
        <f t="shared" si="215"/>
        <v>#VALUE!</v>
      </c>
      <c r="R129" s="286" t="e">
        <f t="shared" si="216"/>
        <v>#VALUE!</v>
      </c>
      <c r="S129" s="286" t="str">
        <f>IFERROR(VLOOKUP(MID(N129,Q129,R129-Q129),[6]skilldef!$C:$D,2,FALSE),"-") &amp; " / " &amp; IFERROR(VLOOKUP(MID(N129,O129,P129-O129),[6]skilldef!$A:$B,2,FALSE),"-")</f>
        <v>- / -</v>
      </c>
      <c r="T129" s="285" t="str">
        <f t="shared" si="217"/>
        <v>none</v>
      </c>
      <c r="U129" s="286" t="e">
        <f t="shared" si="218"/>
        <v>#VALUE!</v>
      </c>
      <c r="V129" s="286">
        <f t="shared" si="219"/>
        <v>4</v>
      </c>
      <c r="W129" s="286" t="e">
        <f t="shared" si="220"/>
        <v>#VALUE!</v>
      </c>
      <c r="X129" s="286" t="e">
        <f t="shared" si="221"/>
        <v>#VALUE!</v>
      </c>
      <c r="Y129" s="286" t="str">
        <f>IFERROR(VLOOKUP(MID(T129,W129,X129-W129),[6]skilldef!$C:$D,2,FALSE),"-") &amp; " / " &amp; IFERROR(VLOOKUP(MID(T129,U129,V129-U129),[6]skilldef!$A:$B,2,FALSE),"-")</f>
        <v>- / -</v>
      </c>
      <c r="Z129" s="283"/>
      <c r="AA129" s="287"/>
      <c r="AB129" s="283"/>
    </row>
    <row r="130" spans="1:28" s="285" customFormat="1" ht="77" customHeight="1" x14ac:dyDescent="0.25">
      <c r="A130" s="198">
        <v>47015282</v>
      </c>
      <c r="B130" s="288" t="s">
        <v>489</v>
      </c>
      <c r="C130" s="233">
        <v>3</v>
      </c>
      <c r="D130" s="283" t="s">
        <v>127</v>
      </c>
      <c r="E130" s="284" t="s">
        <v>331</v>
      </c>
      <c r="F130" s="285" t="s">
        <v>332</v>
      </c>
      <c r="G130" s="286" t="str">
        <f t="shared" si="207"/>
        <v>[effect:enemy_message, val1:1.9, val2:2.3, dead_type:escape]</v>
      </c>
      <c r="H130" s="286">
        <f t="shared" si="208"/>
        <v>9</v>
      </c>
      <c r="I130" s="286">
        <f t="shared" si="209"/>
        <v>22</v>
      </c>
      <c r="J130" s="286" t="e">
        <f t="shared" si="210"/>
        <v>#VALUE!</v>
      </c>
      <c r="K130" s="286">
        <f t="shared" si="211"/>
        <v>32</v>
      </c>
      <c r="L130" s="286" t="str">
        <f>IFERROR(VLOOKUP(MID(G130,J130,K130-J130),[6]skilldef!$C:$D,2,FALSE),"-") &amp; " / " &amp; IFERROR(VLOOKUP(MID(G130,H130,I130-H130),[6]skilldef!$A:$B,2,FALSE),"-")</f>
        <v>- / -</v>
      </c>
      <c r="M130" s="286" t="str">
        <f t="shared" si="212"/>
        <v>none</v>
      </c>
      <c r="N130" s="285" t="str">
        <f>IFERROR(LEFT(M130,FIND("],",M130)+S149),M130)</f>
        <v>none</v>
      </c>
      <c r="O130" s="286" t="e">
        <f t="shared" si="213"/>
        <v>#VALUE!</v>
      </c>
      <c r="P130" s="286">
        <f t="shared" si="214"/>
        <v>4</v>
      </c>
      <c r="Q130" s="286" t="e">
        <f t="shared" si="215"/>
        <v>#VALUE!</v>
      </c>
      <c r="R130" s="286" t="e">
        <f t="shared" si="216"/>
        <v>#VALUE!</v>
      </c>
      <c r="S130" s="286" t="str">
        <f>IFERROR(VLOOKUP(MID(N130,Q130,R130-Q130),[6]skilldef!$C:$D,2,FALSE),"-") &amp; " / " &amp; IFERROR(VLOOKUP(MID(N130,O130,P130-O130),[6]skilldef!$A:$B,2,FALSE),"-")</f>
        <v>- / -</v>
      </c>
      <c r="T130" s="285" t="str">
        <f t="shared" si="217"/>
        <v>none</v>
      </c>
      <c r="U130" s="286" t="e">
        <f t="shared" si="218"/>
        <v>#VALUE!</v>
      </c>
      <c r="V130" s="286">
        <f t="shared" si="219"/>
        <v>4</v>
      </c>
      <c r="W130" s="286" t="e">
        <f t="shared" si="220"/>
        <v>#VALUE!</v>
      </c>
      <c r="X130" s="286" t="e">
        <f t="shared" si="221"/>
        <v>#VALUE!</v>
      </c>
      <c r="Y130" s="286" t="str">
        <f>IFERROR(VLOOKUP(MID(T130,W130,X130-W130),[6]skilldef!$C:$D,2,FALSE),"-") &amp; " / " &amp; IFERROR(VLOOKUP(MID(T130,U130,V130-U130),[6]skilldef!$A:$B,2,FALSE),"-")</f>
        <v>- / -</v>
      </c>
      <c r="Z130" s="283"/>
      <c r="AA130" s="287"/>
      <c r="AB130" s="283"/>
    </row>
    <row r="131" spans="1:28" s="285" customFormat="1" ht="77" customHeight="1" x14ac:dyDescent="0.25">
      <c r="A131" s="198">
        <v>47015283</v>
      </c>
      <c r="B131" s="288" t="s">
        <v>490</v>
      </c>
      <c r="C131" s="233">
        <v>3</v>
      </c>
      <c r="D131" s="283" t="s">
        <v>127</v>
      </c>
      <c r="E131" s="284" t="s">
        <v>327</v>
      </c>
      <c r="F131" s="284" t="s">
        <v>365</v>
      </c>
      <c r="G131" s="286" t="str">
        <f t="shared" si="207"/>
        <v>[effect:enemy_message, val1:2.8, val2:3.4, dead_type:escape]</v>
      </c>
      <c r="H131" s="286">
        <f t="shared" si="208"/>
        <v>9</v>
      </c>
      <c r="I131" s="286">
        <f t="shared" si="209"/>
        <v>22</v>
      </c>
      <c r="J131" s="286" t="e">
        <f t="shared" si="210"/>
        <v>#VALUE!</v>
      </c>
      <c r="K131" s="286">
        <f t="shared" si="211"/>
        <v>32</v>
      </c>
      <c r="L131" s="286" t="str">
        <f>IFERROR(VLOOKUP(MID(G131,J131,K131-J131),[6]skilldef!$C:$D,2,FALSE),"-") &amp; " / " &amp; IFERROR(VLOOKUP(MID(G131,H131,I131-H131),[6]skilldef!$A:$B,2,FALSE),"-")</f>
        <v>- / -</v>
      </c>
      <c r="M131" s="286" t="str">
        <f t="shared" si="212"/>
        <v>none</v>
      </c>
      <c r="N131" s="285" t="str">
        <f>IFERROR(LEFT(M131,FIND("],",M131)+S150),M131)</f>
        <v>none</v>
      </c>
      <c r="O131" s="286" t="e">
        <f t="shared" si="213"/>
        <v>#VALUE!</v>
      </c>
      <c r="P131" s="286">
        <f t="shared" si="214"/>
        <v>4</v>
      </c>
      <c r="Q131" s="286" t="e">
        <f t="shared" si="215"/>
        <v>#VALUE!</v>
      </c>
      <c r="R131" s="286" t="e">
        <f t="shared" si="216"/>
        <v>#VALUE!</v>
      </c>
      <c r="S131" s="286" t="str">
        <f>IFERROR(VLOOKUP(MID(N131,Q131,R131-Q131),[6]skilldef!$C:$D,2,FALSE),"-") &amp; " / " &amp; IFERROR(VLOOKUP(MID(N131,O131,P131-O131),[6]skilldef!$A:$B,2,FALSE),"-")</f>
        <v>- / -</v>
      </c>
      <c r="T131" s="285" t="str">
        <f t="shared" si="217"/>
        <v>none</v>
      </c>
      <c r="U131" s="286" t="e">
        <f t="shared" si="218"/>
        <v>#VALUE!</v>
      </c>
      <c r="V131" s="286">
        <f t="shared" si="219"/>
        <v>4</v>
      </c>
      <c r="W131" s="286" t="e">
        <f t="shared" si="220"/>
        <v>#VALUE!</v>
      </c>
      <c r="X131" s="286" t="e">
        <f t="shared" si="221"/>
        <v>#VALUE!</v>
      </c>
      <c r="Y131" s="286" t="str">
        <f>IFERROR(VLOOKUP(MID(T131,W131,X131-W131),[6]skilldef!$C:$D,2,FALSE),"-") &amp; " / " &amp; IFERROR(VLOOKUP(MID(T131,U131,V131-U131),[6]skilldef!$A:$B,2,FALSE),"-")</f>
        <v>- / -</v>
      </c>
      <c r="Z131" s="283"/>
      <c r="AA131" s="287"/>
      <c r="AB131" s="283"/>
    </row>
    <row r="132" spans="1:28" s="285" customFormat="1" ht="77" customHeight="1" x14ac:dyDescent="0.25">
      <c r="A132" s="198">
        <v>47015284</v>
      </c>
      <c r="B132" s="288" t="s">
        <v>490</v>
      </c>
      <c r="C132" s="233">
        <v>3</v>
      </c>
      <c r="D132" s="283" t="s">
        <v>127</v>
      </c>
      <c r="E132" s="284" t="s">
        <v>327</v>
      </c>
      <c r="F132" s="284" t="s">
        <v>365</v>
      </c>
      <c r="G132" s="286" t="str">
        <f t="shared" si="207"/>
        <v>[effect:enemy_message, val1:2.8, val2:3.4, dead_type:escape]</v>
      </c>
      <c r="H132" s="286">
        <f t="shared" si="208"/>
        <v>9</v>
      </c>
      <c r="I132" s="286">
        <f t="shared" si="209"/>
        <v>22</v>
      </c>
      <c r="J132" s="286" t="e">
        <f t="shared" si="210"/>
        <v>#VALUE!</v>
      </c>
      <c r="K132" s="286">
        <f t="shared" si="211"/>
        <v>32</v>
      </c>
      <c r="L132" s="286" t="str">
        <f>IFERROR(VLOOKUP(MID(G132,J132,K132-J132),[6]skilldef!$C:$D,2,FALSE),"-") &amp; " / " &amp; IFERROR(VLOOKUP(MID(G132,H132,I132-H132),[6]skilldef!$A:$B,2,FALSE),"-")</f>
        <v>- / -</v>
      </c>
      <c r="M132" s="286" t="str">
        <f t="shared" si="212"/>
        <v>none</v>
      </c>
      <c r="N132" s="285" t="str">
        <f>IFERROR(LEFT(M132,FIND("],",M132)+S151),M132)</f>
        <v>none</v>
      </c>
      <c r="O132" s="286" t="e">
        <f t="shared" si="213"/>
        <v>#VALUE!</v>
      </c>
      <c r="P132" s="286">
        <f t="shared" si="214"/>
        <v>4</v>
      </c>
      <c r="Q132" s="286" t="e">
        <f t="shared" si="215"/>
        <v>#VALUE!</v>
      </c>
      <c r="R132" s="286" t="e">
        <f t="shared" si="216"/>
        <v>#VALUE!</v>
      </c>
      <c r="S132" s="286" t="str">
        <f>IFERROR(VLOOKUP(MID(N132,Q132,R132-Q132),[6]skilldef!$C:$D,2,FALSE),"-") &amp; " / " &amp; IFERROR(VLOOKUP(MID(N132,O132,P132-O132),[6]skilldef!$A:$B,2,FALSE),"-")</f>
        <v>- / -</v>
      </c>
      <c r="T132" s="285" t="str">
        <f t="shared" si="217"/>
        <v>none</v>
      </c>
      <c r="U132" s="286" t="e">
        <f t="shared" si="218"/>
        <v>#VALUE!</v>
      </c>
      <c r="V132" s="286">
        <f t="shared" si="219"/>
        <v>4</v>
      </c>
      <c r="W132" s="286" t="e">
        <f t="shared" si="220"/>
        <v>#VALUE!</v>
      </c>
      <c r="X132" s="286" t="e">
        <f t="shared" si="221"/>
        <v>#VALUE!</v>
      </c>
      <c r="Y132" s="286" t="str">
        <f>IFERROR(VLOOKUP(MID(T132,W132,X132-W132),[6]skilldef!$C:$D,2,FALSE),"-") &amp; " / " &amp; IFERROR(VLOOKUP(MID(T132,U132,V132-U132),[6]skilldef!$A:$B,2,FALSE),"-")</f>
        <v>- / -</v>
      </c>
      <c r="Z132" s="283"/>
      <c r="AA132" s="287"/>
      <c r="AB132" s="283"/>
    </row>
    <row r="133" spans="1:28" s="285" customFormat="1" ht="77" customHeight="1" x14ac:dyDescent="0.25">
      <c r="A133" s="198">
        <v>47015285</v>
      </c>
      <c r="B133" s="288" t="s">
        <v>490</v>
      </c>
      <c r="C133" s="233">
        <v>3</v>
      </c>
      <c r="D133" s="283" t="s">
        <v>127</v>
      </c>
      <c r="E133" s="284" t="s">
        <v>327</v>
      </c>
      <c r="F133" s="284" t="s">
        <v>365</v>
      </c>
      <c r="G133" s="286" t="str">
        <f t="shared" si="207"/>
        <v>[effect:enemy_message, val1:2.8, val2:3.4, dead_type:escape]</v>
      </c>
      <c r="H133" s="286">
        <f t="shared" si="208"/>
        <v>9</v>
      </c>
      <c r="I133" s="286">
        <f t="shared" si="209"/>
        <v>22</v>
      </c>
      <c r="J133" s="286" t="e">
        <f t="shared" si="210"/>
        <v>#VALUE!</v>
      </c>
      <c r="K133" s="286">
        <f t="shared" si="211"/>
        <v>32</v>
      </c>
      <c r="L133" s="286" t="str">
        <f>IFERROR(VLOOKUP(MID(G133,J133,K133-J133),[6]skilldef!$C:$D,2,FALSE),"-") &amp; " / " &amp; IFERROR(VLOOKUP(MID(G133,H133,I133-H133),[6]skilldef!$A:$B,2,FALSE),"-")</f>
        <v>- / -</v>
      </c>
      <c r="M133" s="286" t="str">
        <f t="shared" si="212"/>
        <v>none</v>
      </c>
      <c r="N133" s="285" t="str">
        <f t="shared" ref="N133:N141" si="272">IFERROR(LEFT(M133,FIND("],",M133)+S153),M133)</f>
        <v>none</v>
      </c>
      <c r="O133" s="286" t="e">
        <f t="shared" si="213"/>
        <v>#VALUE!</v>
      </c>
      <c r="P133" s="286">
        <f t="shared" si="214"/>
        <v>4</v>
      </c>
      <c r="Q133" s="286" t="e">
        <f t="shared" si="215"/>
        <v>#VALUE!</v>
      </c>
      <c r="R133" s="286" t="e">
        <f t="shared" si="216"/>
        <v>#VALUE!</v>
      </c>
      <c r="S133" s="286" t="str">
        <f>IFERROR(VLOOKUP(MID(N133,Q133,R133-Q133),[6]skilldef!$C:$D,2,FALSE),"-") &amp; " / " &amp; IFERROR(VLOOKUP(MID(N133,O133,P133-O133),[6]skilldef!$A:$B,2,FALSE),"-")</f>
        <v>- / -</v>
      </c>
      <c r="T133" s="285" t="str">
        <f t="shared" si="217"/>
        <v>none</v>
      </c>
      <c r="U133" s="286" t="e">
        <f t="shared" si="218"/>
        <v>#VALUE!</v>
      </c>
      <c r="V133" s="286">
        <f t="shared" si="219"/>
        <v>4</v>
      </c>
      <c r="W133" s="286" t="e">
        <f t="shared" si="220"/>
        <v>#VALUE!</v>
      </c>
      <c r="X133" s="286" t="e">
        <f t="shared" si="221"/>
        <v>#VALUE!</v>
      </c>
      <c r="Y133" s="286" t="str">
        <f>IFERROR(VLOOKUP(MID(T133,W133,X133-W133),[6]skilldef!$C:$D,2,FALSE),"-") &amp; " / " &amp; IFERROR(VLOOKUP(MID(T133,U133,V133-U133),[6]skilldef!$A:$B,2,FALSE),"-")</f>
        <v>- / -</v>
      </c>
      <c r="Z133" s="283"/>
      <c r="AA133" s="287"/>
      <c r="AB133" s="283"/>
    </row>
    <row r="134" spans="1:28" s="285" customFormat="1" ht="77" customHeight="1" x14ac:dyDescent="0.25">
      <c r="A134" s="198">
        <v>47015286</v>
      </c>
      <c r="B134" s="288" t="s">
        <v>490</v>
      </c>
      <c r="C134" s="233">
        <v>3</v>
      </c>
      <c r="D134" s="283" t="s">
        <v>127</v>
      </c>
      <c r="E134" s="284" t="s">
        <v>327</v>
      </c>
      <c r="F134" s="284" t="s">
        <v>365</v>
      </c>
      <c r="G134" s="286" t="str">
        <f t="shared" si="207"/>
        <v>[effect:enemy_message, val1:2.8, val2:3.4, dead_type:escape]</v>
      </c>
      <c r="H134" s="286">
        <f t="shared" si="208"/>
        <v>9</v>
      </c>
      <c r="I134" s="286">
        <f t="shared" si="209"/>
        <v>22</v>
      </c>
      <c r="J134" s="286" t="e">
        <f t="shared" si="210"/>
        <v>#VALUE!</v>
      </c>
      <c r="K134" s="286">
        <f t="shared" si="211"/>
        <v>32</v>
      </c>
      <c r="L134" s="286" t="str">
        <f>IFERROR(VLOOKUP(MID(G134,J134,K134-J134),[6]skilldef!$C:$D,2,FALSE),"-") &amp; " / " &amp; IFERROR(VLOOKUP(MID(G134,H134,I134-H134),[6]skilldef!$A:$B,2,FALSE),"-")</f>
        <v>- / -</v>
      </c>
      <c r="M134" s="286" t="str">
        <f t="shared" si="212"/>
        <v>none</v>
      </c>
      <c r="N134" s="285" t="str">
        <f t="shared" si="272"/>
        <v>none</v>
      </c>
      <c r="O134" s="286" t="e">
        <f t="shared" si="213"/>
        <v>#VALUE!</v>
      </c>
      <c r="P134" s="286">
        <f t="shared" si="214"/>
        <v>4</v>
      </c>
      <c r="Q134" s="286" t="e">
        <f t="shared" si="215"/>
        <v>#VALUE!</v>
      </c>
      <c r="R134" s="286" t="e">
        <f t="shared" si="216"/>
        <v>#VALUE!</v>
      </c>
      <c r="S134" s="286" t="str">
        <f>IFERROR(VLOOKUP(MID(N134,Q134,R134-Q134),[6]skilldef!$C:$D,2,FALSE),"-") &amp; " / " &amp; IFERROR(VLOOKUP(MID(N134,O134,P134-O134),[6]skilldef!$A:$B,2,FALSE),"-")</f>
        <v>- / -</v>
      </c>
      <c r="T134" s="285" t="str">
        <f t="shared" si="217"/>
        <v>none</v>
      </c>
      <c r="U134" s="286" t="e">
        <f t="shared" si="218"/>
        <v>#VALUE!</v>
      </c>
      <c r="V134" s="286">
        <f t="shared" si="219"/>
        <v>4</v>
      </c>
      <c r="W134" s="286" t="e">
        <f t="shared" si="220"/>
        <v>#VALUE!</v>
      </c>
      <c r="X134" s="286" t="e">
        <f t="shared" si="221"/>
        <v>#VALUE!</v>
      </c>
      <c r="Y134" s="286" t="str">
        <f>IFERROR(VLOOKUP(MID(T134,W134,X134-W134),[6]skilldef!$C:$D,2,FALSE),"-") &amp; " / " &amp; IFERROR(VLOOKUP(MID(T134,U134,V134-U134),[6]skilldef!$A:$B,2,FALSE),"-")</f>
        <v>- / -</v>
      </c>
      <c r="Z134" s="283"/>
      <c r="AA134" s="287"/>
      <c r="AB134" s="283"/>
    </row>
    <row r="135" spans="1:28" s="285" customFormat="1" ht="77" customHeight="1" x14ac:dyDescent="0.25">
      <c r="A135" s="198">
        <v>47015287</v>
      </c>
      <c r="B135" s="288" t="s">
        <v>490</v>
      </c>
      <c r="C135" s="233">
        <v>3</v>
      </c>
      <c r="D135" s="283" t="s">
        <v>127</v>
      </c>
      <c r="E135" s="284" t="s">
        <v>327</v>
      </c>
      <c r="F135" s="284" t="s">
        <v>365</v>
      </c>
      <c r="G135" s="286" t="str">
        <f t="shared" si="207"/>
        <v>[effect:enemy_message, val1:2.8, val2:3.4, dead_type:escape]</v>
      </c>
      <c r="H135" s="286">
        <f t="shared" si="208"/>
        <v>9</v>
      </c>
      <c r="I135" s="286">
        <f t="shared" si="209"/>
        <v>22</v>
      </c>
      <c r="J135" s="286" t="e">
        <f t="shared" si="210"/>
        <v>#VALUE!</v>
      </c>
      <c r="K135" s="286">
        <f t="shared" si="211"/>
        <v>32</v>
      </c>
      <c r="L135" s="286" t="str">
        <f>IFERROR(VLOOKUP(MID(G135,J135,K135-J135),[6]skilldef!$C:$D,2,FALSE),"-") &amp; " / " &amp; IFERROR(VLOOKUP(MID(G135,H135,I135-H135),[6]skilldef!$A:$B,2,FALSE),"-")</f>
        <v>- / -</v>
      </c>
      <c r="M135" s="286" t="str">
        <f t="shared" si="212"/>
        <v>none</v>
      </c>
      <c r="N135" s="285" t="str">
        <f t="shared" si="272"/>
        <v>none</v>
      </c>
      <c r="O135" s="286" t="e">
        <f t="shared" si="213"/>
        <v>#VALUE!</v>
      </c>
      <c r="P135" s="286">
        <f t="shared" si="214"/>
        <v>4</v>
      </c>
      <c r="Q135" s="286" t="e">
        <f t="shared" si="215"/>
        <v>#VALUE!</v>
      </c>
      <c r="R135" s="286" t="e">
        <f t="shared" si="216"/>
        <v>#VALUE!</v>
      </c>
      <c r="S135" s="286" t="str">
        <f>IFERROR(VLOOKUP(MID(N135,Q135,R135-Q135),[6]skilldef!$C:$D,2,FALSE),"-") &amp; " / " &amp; IFERROR(VLOOKUP(MID(N135,O135,P135-O135),[6]skilldef!$A:$B,2,FALSE),"-")</f>
        <v>- / -</v>
      </c>
      <c r="T135" s="285" t="str">
        <f t="shared" si="217"/>
        <v>none</v>
      </c>
      <c r="U135" s="286" t="e">
        <f t="shared" si="218"/>
        <v>#VALUE!</v>
      </c>
      <c r="V135" s="286">
        <f t="shared" si="219"/>
        <v>4</v>
      </c>
      <c r="W135" s="286" t="e">
        <f t="shared" si="220"/>
        <v>#VALUE!</v>
      </c>
      <c r="X135" s="286" t="e">
        <f t="shared" si="221"/>
        <v>#VALUE!</v>
      </c>
      <c r="Y135" s="286" t="str">
        <f>IFERROR(VLOOKUP(MID(T135,W135,X135-W135),[6]skilldef!$C:$D,2,FALSE),"-") &amp; " / " &amp; IFERROR(VLOOKUP(MID(T135,U135,V135-U135),[6]skilldef!$A:$B,2,FALSE),"-")</f>
        <v>- / -</v>
      </c>
      <c r="Z135" s="283"/>
      <c r="AA135" s="287"/>
      <c r="AB135" s="283"/>
    </row>
    <row r="136" spans="1:28" s="285" customFormat="1" ht="77" customHeight="1" x14ac:dyDescent="0.25">
      <c r="A136" s="198">
        <v>47015288</v>
      </c>
      <c r="B136" s="288" t="s">
        <v>490</v>
      </c>
      <c r="C136" s="233">
        <v>3</v>
      </c>
      <c r="D136" s="283" t="s">
        <v>127</v>
      </c>
      <c r="E136" s="284" t="s">
        <v>327</v>
      </c>
      <c r="F136" s="284" t="s">
        <v>365</v>
      </c>
      <c r="G136" s="286" t="str">
        <f t="shared" si="207"/>
        <v>[effect:enemy_message, val1:2.8, val2:3.4, dead_type:escape]</v>
      </c>
      <c r="H136" s="286">
        <f t="shared" si="208"/>
        <v>9</v>
      </c>
      <c r="I136" s="286">
        <f t="shared" si="209"/>
        <v>22</v>
      </c>
      <c r="J136" s="286" t="e">
        <f t="shared" si="210"/>
        <v>#VALUE!</v>
      </c>
      <c r="K136" s="286">
        <f t="shared" si="211"/>
        <v>32</v>
      </c>
      <c r="L136" s="286" t="str">
        <f>IFERROR(VLOOKUP(MID(G136,J136,K136-J136),[6]skilldef!$C:$D,2,FALSE),"-") &amp; " / " &amp; IFERROR(VLOOKUP(MID(G136,H136,I136-H136),[6]skilldef!$A:$B,2,FALSE),"-")</f>
        <v>- / -</v>
      </c>
      <c r="M136" s="286" t="str">
        <f t="shared" si="212"/>
        <v>none</v>
      </c>
      <c r="N136" s="285" t="str">
        <f t="shared" si="272"/>
        <v>none</v>
      </c>
      <c r="O136" s="286" t="e">
        <f t="shared" si="213"/>
        <v>#VALUE!</v>
      </c>
      <c r="P136" s="286">
        <f t="shared" si="214"/>
        <v>4</v>
      </c>
      <c r="Q136" s="286" t="e">
        <f t="shared" si="215"/>
        <v>#VALUE!</v>
      </c>
      <c r="R136" s="286" t="e">
        <f t="shared" si="216"/>
        <v>#VALUE!</v>
      </c>
      <c r="S136" s="286" t="str">
        <f>IFERROR(VLOOKUP(MID(N136,Q136,R136-Q136),[6]skilldef!$C:$D,2,FALSE),"-") &amp; " / " &amp; IFERROR(VLOOKUP(MID(N136,O136,P136-O136),[6]skilldef!$A:$B,2,FALSE),"-")</f>
        <v>- / -</v>
      </c>
      <c r="T136" s="285" t="str">
        <f t="shared" si="217"/>
        <v>none</v>
      </c>
      <c r="U136" s="286" t="e">
        <f t="shared" si="218"/>
        <v>#VALUE!</v>
      </c>
      <c r="V136" s="286">
        <f t="shared" si="219"/>
        <v>4</v>
      </c>
      <c r="W136" s="286" t="e">
        <f t="shared" si="220"/>
        <v>#VALUE!</v>
      </c>
      <c r="X136" s="286" t="e">
        <f t="shared" si="221"/>
        <v>#VALUE!</v>
      </c>
      <c r="Y136" s="286" t="str">
        <f>IFERROR(VLOOKUP(MID(T136,W136,X136-W136),[6]skilldef!$C:$D,2,FALSE),"-") &amp; " / " &amp; IFERROR(VLOOKUP(MID(T136,U136,V136-U136),[6]skilldef!$A:$B,2,FALSE),"-")</f>
        <v>- / -</v>
      </c>
      <c r="Z136" s="283"/>
      <c r="AA136" s="287"/>
      <c r="AB136" s="283"/>
    </row>
    <row r="137" spans="1:28" s="285" customFormat="1" ht="77" customHeight="1" x14ac:dyDescent="0.25">
      <c r="A137" s="198">
        <v>47015289</v>
      </c>
      <c r="B137" s="288" t="s">
        <v>490</v>
      </c>
      <c r="C137" s="233">
        <v>3</v>
      </c>
      <c r="D137" s="283" t="s">
        <v>127</v>
      </c>
      <c r="E137" s="284" t="s">
        <v>327</v>
      </c>
      <c r="F137" s="284" t="s">
        <v>365</v>
      </c>
      <c r="G137" s="286" t="str">
        <f t="shared" ref="G137:G204" si="273">IFERROR(LEFT(B137,FIND("],",B137)),B137)</f>
        <v>[effect:enemy_message, val1:2.8, val2:3.4, dead_type:escape]</v>
      </c>
      <c r="H137" s="286">
        <f t="shared" ref="H137:H204" si="274">FIND("effect:",G137)+7</f>
        <v>9</v>
      </c>
      <c r="I137" s="286">
        <f t="shared" ref="I137:I204" si="275">IFERROR(FIND(",",G137),LEN(G137))</f>
        <v>22</v>
      </c>
      <c r="J137" s="286" t="e">
        <f t="shared" ref="J137:J204" si="276">FIND("target:",G137)+7</f>
        <v>#VALUE!</v>
      </c>
      <c r="K137" s="286">
        <f t="shared" ref="K137:K204" si="277">FIND(",",G137,I137+1)</f>
        <v>32</v>
      </c>
      <c r="L137" s="286" t="str">
        <f>IFERROR(VLOOKUP(MID(G137,J137,K137-J137),[6]skilldef!$C:$D,2,FALSE),"-") &amp; " / " &amp; IFERROR(VLOOKUP(MID(G137,H137,I137-H137),[6]skilldef!$A:$B,2,FALSE),"-")</f>
        <v>- / -</v>
      </c>
      <c r="M137" s="286" t="str">
        <f t="shared" ref="M137:M204" si="278">IFERROR(RIGHT(B137,LEN(B137)-FIND("],",B137)-1),"none")</f>
        <v>none</v>
      </c>
      <c r="N137" s="285" t="str">
        <f t="shared" si="272"/>
        <v>none</v>
      </c>
      <c r="O137" s="286" t="e">
        <f t="shared" ref="O137:O204" si="279">FIND("effect:",N137)+7</f>
        <v>#VALUE!</v>
      </c>
      <c r="P137" s="286">
        <f t="shared" ref="P137:P204" si="280">IFERROR(FIND(",",N137),LEN(N137))</f>
        <v>4</v>
      </c>
      <c r="Q137" s="286" t="e">
        <f t="shared" ref="Q137:Q204" si="281">FIND("target:",N137)+7</f>
        <v>#VALUE!</v>
      </c>
      <c r="R137" s="286" t="e">
        <f t="shared" ref="R137:R204" si="282">FIND(",",N137,P137+1)</f>
        <v>#VALUE!</v>
      </c>
      <c r="S137" s="286" t="str">
        <f>IFERROR(VLOOKUP(MID(N137,Q137,R137-Q137),[6]skilldef!$C:$D,2,FALSE),"-") &amp; " / " &amp; IFERROR(VLOOKUP(MID(N137,O137,P137-O137),[6]skilldef!$A:$B,2,FALSE),"-")</f>
        <v>- / -</v>
      </c>
      <c r="T137" s="285" t="str">
        <f t="shared" ref="T137:T204" si="283">IFERROR(RIGHT(M137,LEN(M137)-FIND("],",M137)-1),"none")</f>
        <v>none</v>
      </c>
      <c r="U137" s="286" t="e">
        <f t="shared" ref="U137:U204" si="284">FIND("effect:",T137)+7</f>
        <v>#VALUE!</v>
      </c>
      <c r="V137" s="286">
        <f t="shared" ref="V137:V204" si="285">IFERROR(FIND(",",T137),LEN(T137))</f>
        <v>4</v>
      </c>
      <c r="W137" s="286" t="e">
        <f t="shared" ref="W137:W204" si="286">FIND("target:",T137)+7</f>
        <v>#VALUE!</v>
      </c>
      <c r="X137" s="286" t="e">
        <f t="shared" ref="X137:X204" si="287">FIND(",",T137,V137+1)</f>
        <v>#VALUE!</v>
      </c>
      <c r="Y137" s="286" t="str">
        <f>IFERROR(VLOOKUP(MID(T137,W137,X137-W137),[6]skilldef!$C:$D,2,FALSE),"-") &amp; " / " &amp; IFERROR(VLOOKUP(MID(T137,U137,V137-U137),[6]skilldef!$A:$B,2,FALSE),"-")</f>
        <v>- / -</v>
      </c>
      <c r="Z137" s="283"/>
      <c r="AA137" s="287"/>
      <c r="AB137" s="283"/>
    </row>
    <row r="138" spans="1:28" s="285" customFormat="1" ht="77" customHeight="1" x14ac:dyDescent="0.25">
      <c r="A138" s="198">
        <v>47015290</v>
      </c>
      <c r="B138" s="288" t="s">
        <v>491</v>
      </c>
      <c r="C138" s="233">
        <v>3</v>
      </c>
      <c r="D138" s="283" t="s">
        <v>127</v>
      </c>
      <c r="E138" s="284" t="s">
        <v>361</v>
      </c>
      <c r="F138" s="285" t="s">
        <v>334</v>
      </c>
      <c r="G138" s="286" t="str">
        <f t="shared" si="273"/>
        <v>[effect:enemy_message, val1:1.7, val2:2.2, dead_type:escape]</v>
      </c>
      <c r="H138" s="286">
        <f t="shared" si="274"/>
        <v>9</v>
      </c>
      <c r="I138" s="286">
        <f t="shared" si="275"/>
        <v>22</v>
      </c>
      <c r="J138" s="286" t="e">
        <f t="shared" si="276"/>
        <v>#VALUE!</v>
      </c>
      <c r="K138" s="286">
        <f t="shared" si="277"/>
        <v>32</v>
      </c>
      <c r="L138" s="286" t="str">
        <f>IFERROR(VLOOKUP(MID(G138,J138,K138-J138),[6]skilldef!$C:$D,2,FALSE),"-") &amp; " / " &amp; IFERROR(VLOOKUP(MID(G138,H138,I138-H138),[6]skilldef!$A:$B,2,FALSE),"-")</f>
        <v>- / -</v>
      </c>
      <c r="M138" s="286" t="str">
        <f t="shared" si="278"/>
        <v>none</v>
      </c>
      <c r="N138" s="285" t="str">
        <f t="shared" si="272"/>
        <v>none</v>
      </c>
      <c r="O138" s="286" t="e">
        <f t="shared" si="279"/>
        <v>#VALUE!</v>
      </c>
      <c r="P138" s="286">
        <f t="shared" si="280"/>
        <v>4</v>
      </c>
      <c r="Q138" s="286" t="e">
        <f t="shared" si="281"/>
        <v>#VALUE!</v>
      </c>
      <c r="R138" s="286" t="e">
        <f t="shared" si="282"/>
        <v>#VALUE!</v>
      </c>
      <c r="S138" s="286" t="str">
        <f>IFERROR(VLOOKUP(MID(N138,Q138,R138-Q138),[6]skilldef!$C:$D,2,FALSE),"-") &amp; " / " &amp; IFERROR(VLOOKUP(MID(N138,O138,P138-O138),[6]skilldef!$A:$B,2,FALSE),"-")</f>
        <v>- / -</v>
      </c>
      <c r="T138" s="285" t="str">
        <f t="shared" si="283"/>
        <v>none</v>
      </c>
      <c r="U138" s="286" t="e">
        <f t="shared" si="284"/>
        <v>#VALUE!</v>
      </c>
      <c r="V138" s="286">
        <f t="shared" si="285"/>
        <v>4</v>
      </c>
      <c r="W138" s="286" t="e">
        <f t="shared" si="286"/>
        <v>#VALUE!</v>
      </c>
      <c r="X138" s="286" t="e">
        <f t="shared" si="287"/>
        <v>#VALUE!</v>
      </c>
      <c r="Y138" s="286" t="str">
        <f>IFERROR(VLOOKUP(MID(T138,W138,X138-W138),[6]skilldef!$C:$D,2,FALSE),"-") &amp; " / " &amp; IFERROR(VLOOKUP(MID(T138,U138,V138-U138),[6]skilldef!$A:$B,2,FALSE),"-")</f>
        <v>- / -</v>
      </c>
      <c r="Z138" s="283"/>
      <c r="AA138" s="287"/>
      <c r="AB138" s="283"/>
    </row>
    <row r="139" spans="1:28" s="285" customFormat="1" ht="77" customHeight="1" x14ac:dyDescent="0.25">
      <c r="A139" s="198">
        <v>47015291</v>
      </c>
      <c r="B139" s="288" t="s">
        <v>491</v>
      </c>
      <c r="C139" s="233">
        <v>3</v>
      </c>
      <c r="D139" s="283" t="s">
        <v>127</v>
      </c>
      <c r="E139" s="284" t="s">
        <v>361</v>
      </c>
      <c r="F139" s="285" t="s">
        <v>334</v>
      </c>
      <c r="G139" s="286" t="str">
        <f t="shared" si="273"/>
        <v>[effect:enemy_message, val1:1.7, val2:2.2, dead_type:escape]</v>
      </c>
      <c r="H139" s="286">
        <f t="shared" si="274"/>
        <v>9</v>
      </c>
      <c r="I139" s="286">
        <f t="shared" si="275"/>
        <v>22</v>
      </c>
      <c r="J139" s="286" t="e">
        <f t="shared" si="276"/>
        <v>#VALUE!</v>
      </c>
      <c r="K139" s="286">
        <f t="shared" si="277"/>
        <v>32</v>
      </c>
      <c r="L139" s="286" t="str">
        <f>IFERROR(VLOOKUP(MID(G139,J139,K139-J139),[6]skilldef!$C:$D,2,FALSE),"-") &amp; " / " &amp; IFERROR(VLOOKUP(MID(G139,H139,I139-H139),[6]skilldef!$A:$B,2,FALSE),"-")</f>
        <v>- / -</v>
      </c>
      <c r="M139" s="286" t="str">
        <f t="shared" si="278"/>
        <v>none</v>
      </c>
      <c r="N139" s="285" t="str">
        <f t="shared" si="272"/>
        <v>none</v>
      </c>
      <c r="O139" s="286" t="e">
        <f t="shared" si="279"/>
        <v>#VALUE!</v>
      </c>
      <c r="P139" s="286">
        <f t="shared" si="280"/>
        <v>4</v>
      </c>
      <c r="Q139" s="286" t="e">
        <f t="shared" si="281"/>
        <v>#VALUE!</v>
      </c>
      <c r="R139" s="286" t="e">
        <f t="shared" si="282"/>
        <v>#VALUE!</v>
      </c>
      <c r="S139" s="286" t="str">
        <f>IFERROR(VLOOKUP(MID(N139,Q139,R139-Q139),[6]skilldef!$C:$D,2,FALSE),"-") &amp; " / " &amp; IFERROR(VLOOKUP(MID(N139,O139,P139-O139),[6]skilldef!$A:$B,2,FALSE),"-")</f>
        <v>- / -</v>
      </c>
      <c r="T139" s="285" t="str">
        <f t="shared" si="283"/>
        <v>none</v>
      </c>
      <c r="U139" s="286" t="e">
        <f t="shared" si="284"/>
        <v>#VALUE!</v>
      </c>
      <c r="V139" s="286">
        <f t="shared" si="285"/>
        <v>4</v>
      </c>
      <c r="W139" s="286" t="e">
        <f t="shared" si="286"/>
        <v>#VALUE!</v>
      </c>
      <c r="X139" s="286" t="e">
        <f t="shared" si="287"/>
        <v>#VALUE!</v>
      </c>
      <c r="Y139" s="286" t="str">
        <f>IFERROR(VLOOKUP(MID(T139,W139,X139-W139),[6]skilldef!$C:$D,2,FALSE),"-") &amp; " / " &amp; IFERROR(VLOOKUP(MID(T139,U139,V139-U139),[6]skilldef!$A:$B,2,FALSE),"-")</f>
        <v>- / -</v>
      </c>
      <c r="Z139" s="283"/>
      <c r="AA139" s="287"/>
      <c r="AB139" s="283"/>
    </row>
    <row r="140" spans="1:28" s="285" customFormat="1" ht="77" customHeight="1" x14ac:dyDescent="0.25">
      <c r="A140" s="198">
        <v>47015292</v>
      </c>
      <c r="B140" s="288" t="s">
        <v>491</v>
      </c>
      <c r="C140" s="233">
        <v>3</v>
      </c>
      <c r="D140" s="283" t="s">
        <v>127</v>
      </c>
      <c r="E140" s="284" t="s">
        <v>361</v>
      </c>
      <c r="F140" s="285" t="s">
        <v>334</v>
      </c>
      <c r="G140" s="286" t="str">
        <f t="shared" ref="G140:G141" si="288">IFERROR(LEFT(B140,FIND("],",B140)),B140)</f>
        <v>[effect:enemy_message, val1:1.7, val2:2.2, dead_type:escape]</v>
      </c>
      <c r="H140" s="286">
        <f t="shared" ref="H140:H141" si="289">FIND("effect:",G140)+7</f>
        <v>9</v>
      </c>
      <c r="I140" s="286">
        <f t="shared" ref="I140:I141" si="290">IFERROR(FIND(",",G140),LEN(G140))</f>
        <v>22</v>
      </c>
      <c r="J140" s="286" t="e">
        <f t="shared" ref="J140:J141" si="291">FIND("target:",G140)+7</f>
        <v>#VALUE!</v>
      </c>
      <c r="K140" s="286">
        <f t="shared" ref="K140:K141" si="292">FIND(",",G140,I140+1)</f>
        <v>32</v>
      </c>
      <c r="L140" s="286" t="str">
        <f>IFERROR(VLOOKUP(MID(G140,J140,K140-J140),[6]skilldef!$C:$D,2,FALSE),"-") &amp; " / " &amp; IFERROR(VLOOKUP(MID(G140,H140,I140-H140),[6]skilldef!$A:$B,2,FALSE),"-")</f>
        <v>- / -</v>
      </c>
      <c r="M140" s="286" t="str">
        <f t="shared" ref="M140:M141" si="293">IFERROR(RIGHT(B140,LEN(B140)-FIND("],",B140)-1),"none")</f>
        <v>none</v>
      </c>
      <c r="N140" s="285" t="str">
        <f t="shared" si="272"/>
        <v>none</v>
      </c>
      <c r="O140" s="286" t="e">
        <f t="shared" ref="O140:O141" si="294">FIND("effect:",N140)+7</f>
        <v>#VALUE!</v>
      </c>
      <c r="P140" s="286">
        <f t="shared" ref="P140:P141" si="295">IFERROR(FIND(",",N140),LEN(N140))</f>
        <v>4</v>
      </c>
      <c r="Q140" s="286" t="e">
        <f t="shared" ref="Q140:Q141" si="296">FIND("target:",N140)+7</f>
        <v>#VALUE!</v>
      </c>
      <c r="R140" s="286" t="e">
        <f t="shared" ref="R140:R141" si="297">FIND(",",N140,P140+1)</f>
        <v>#VALUE!</v>
      </c>
      <c r="S140" s="286" t="str">
        <f>IFERROR(VLOOKUP(MID(N140,Q140,R140-Q140),[6]skilldef!$C:$D,2,FALSE),"-") &amp; " / " &amp; IFERROR(VLOOKUP(MID(N140,O140,P140-O140),[6]skilldef!$A:$B,2,FALSE),"-")</f>
        <v>- / -</v>
      </c>
      <c r="T140" s="285" t="str">
        <f t="shared" ref="T140:T141" si="298">IFERROR(RIGHT(M140,LEN(M140)-FIND("],",M140)-1),"none")</f>
        <v>none</v>
      </c>
      <c r="U140" s="286" t="e">
        <f t="shared" ref="U140:U141" si="299">FIND("effect:",T140)+7</f>
        <v>#VALUE!</v>
      </c>
      <c r="V140" s="286">
        <f t="shared" ref="V140:V141" si="300">IFERROR(FIND(",",T140),LEN(T140))</f>
        <v>4</v>
      </c>
      <c r="W140" s="286" t="e">
        <f t="shared" ref="W140:W141" si="301">FIND("target:",T140)+7</f>
        <v>#VALUE!</v>
      </c>
      <c r="X140" s="286" t="e">
        <f t="shared" ref="X140:X141" si="302">FIND(",",T140,V140+1)</f>
        <v>#VALUE!</v>
      </c>
      <c r="Y140" s="286" t="str">
        <f>IFERROR(VLOOKUP(MID(T140,W140,X140-W140),[6]skilldef!$C:$D,2,FALSE),"-") &amp; " / " &amp; IFERROR(VLOOKUP(MID(T140,U140,V140-U140),[6]skilldef!$A:$B,2,FALSE),"-")</f>
        <v>- / -</v>
      </c>
      <c r="Z140" s="283"/>
      <c r="AA140" s="287"/>
      <c r="AB140" s="283"/>
    </row>
    <row r="141" spans="1:28" s="285" customFormat="1" ht="77" customHeight="1" x14ac:dyDescent="0.25">
      <c r="A141" s="198">
        <v>47015293</v>
      </c>
      <c r="B141" s="288" t="s">
        <v>491</v>
      </c>
      <c r="C141" s="233">
        <v>3</v>
      </c>
      <c r="D141" s="283" t="s">
        <v>127</v>
      </c>
      <c r="E141" s="284" t="s">
        <v>361</v>
      </c>
      <c r="F141" s="285" t="s">
        <v>334</v>
      </c>
      <c r="G141" s="286" t="str">
        <f t="shared" si="288"/>
        <v>[effect:enemy_message, val1:1.7, val2:2.2, dead_type:escape]</v>
      </c>
      <c r="H141" s="286">
        <f t="shared" si="289"/>
        <v>9</v>
      </c>
      <c r="I141" s="286">
        <f t="shared" si="290"/>
        <v>22</v>
      </c>
      <c r="J141" s="286" t="e">
        <f t="shared" si="291"/>
        <v>#VALUE!</v>
      </c>
      <c r="K141" s="286">
        <f t="shared" si="292"/>
        <v>32</v>
      </c>
      <c r="L141" s="286" t="str">
        <f>IFERROR(VLOOKUP(MID(G141,J141,K141-J141),[6]skilldef!$C:$D,2,FALSE),"-") &amp; " / " &amp; IFERROR(VLOOKUP(MID(G141,H141,I141-H141),[6]skilldef!$A:$B,2,FALSE),"-")</f>
        <v>- / -</v>
      </c>
      <c r="M141" s="286" t="str">
        <f t="shared" si="293"/>
        <v>none</v>
      </c>
      <c r="N141" s="285" t="str">
        <f t="shared" si="272"/>
        <v>none</v>
      </c>
      <c r="O141" s="286" t="e">
        <f t="shared" si="294"/>
        <v>#VALUE!</v>
      </c>
      <c r="P141" s="286">
        <f t="shared" si="295"/>
        <v>4</v>
      </c>
      <c r="Q141" s="286" t="e">
        <f t="shared" si="296"/>
        <v>#VALUE!</v>
      </c>
      <c r="R141" s="286" t="e">
        <f t="shared" si="297"/>
        <v>#VALUE!</v>
      </c>
      <c r="S141" s="286" t="str">
        <f>IFERROR(VLOOKUP(MID(N141,Q141,R141-Q141),[6]skilldef!$C:$D,2,FALSE),"-") &amp; " / " &amp; IFERROR(VLOOKUP(MID(N141,O141,P141-O141),[6]skilldef!$A:$B,2,FALSE),"-")</f>
        <v>- / -</v>
      </c>
      <c r="T141" s="285" t="str">
        <f t="shared" si="298"/>
        <v>none</v>
      </c>
      <c r="U141" s="286" t="e">
        <f t="shared" si="299"/>
        <v>#VALUE!</v>
      </c>
      <c r="V141" s="286">
        <f t="shared" si="300"/>
        <v>4</v>
      </c>
      <c r="W141" s="286" t="e">
        <f t="shared" si="301"/>
        <v>#VALUE!</v>
      </c>
      <c r="X141" s="286" t="e">
        <f t="shared" si="302"/>
        <v>#VALUE!</v>
      </c>
      <c r="Y141" s="286" t="str">
        <f>IFERROR(VLOOKUP(MID(T141,W141,X141-W141),[6]skilldef!$C:$D,2,FALSE),"-") &amp; " / " &amp; IFERROR(VLOOKUP(MID(T141,U141,V141-U141),[6]skilldef!$A:$B,2,FALSE),"-")</f>
        <v>- / -</v>
      </c>
      <c r="Z141" s="283"/>
      <c r="AA141" s="287"/>
      <c r="AB141" s="283"/>
    </row>
    <row r="142" spans="1:28" ht="77" customHeight="1" x14ac:dyDescent="0.25">
      <c r="A142" s="259">
        <v>47015300</v>
      </c>
      <c r="B142" s="290" t="s">
        <v>377</v>
      </c>
      <c r="C142" s="233">
        <v>3</v>
      </c>
      <c r="D142" s="233" t="s">
        <v>127</v>
      </c>
      <c r="E142" s="234" t="s">
        <v>282</v>
      </c>
      <c r="F142" s="271" t="s">
        <v>369</v>
      </c>
      <c r="G142" s="235" t="str">
        <f t="shared" si="273"/>
        <v>[effect:enemy_message, val1:2.2, val2:1.9]</v>
      </c>
      <c r="H142" s="235">
        <f t="shared" si="274"/>
        <v>9</v>
      </c>
      <c r="I142" s="235">
        <f t="shared" si="275"/>
        <v>22</v>
      </c>
      <c r="J142" s="235" t="e">
        <f t="shared" si="276"/>
        <v>#VALUE!</v>
      </c>
      <c r="K142" s="235">
        <f t="shared" si="277"/>
        <v>32</v>
      </c>
      <c r="L142" s="235" t="str">
        <f>IFERROR(VLOOKUP(MID(G142,J142,K142-J142),[6]skilldef!$C:$D,2,FALSE),"-") &amp; " / " &amp; IFERROR(VLOOKUP(MID(G142,H142,I142-H142),[6]skilldef!$A:$B,2,FALSE),"-")</f>
        <v>- / -</v>
      </c>
      <c r="M142" s="235" t="str">
        <f t="shared" si="278"/>
        <v>[effect:sp_boost, target:unit_all, val:2, animation:sp_boost_one02]</v>
      </c>
      <c r="N142" s="236" t="str">
        <f>IFERROR(LEFT(M142,FIND("],",M142)+S154),M142)</f>
        <v>[effect:sp_boost, target:unit_all, val:2, animation:sp_boost_one02]</v>
      </c>
      <c r="O142" s="235">
        <f t="shared" si="279"/>
        <v>9</v>
      </c>
      <c r="P142" s="235">
        <f t="shared" si="280"/>
        <v>17</v>
      </c>
      <c r="Q142" s="235">
        <f t="shared" si="281"/>
        <v>26</v>
      </c>
      <c r="R142" s="235">
        <f t="shared" si="282"/>
        <v>34</v>
      </c>
      <c r="S142" s="235" t="str">
        <f>IFERROR(VLOOKUP(MID(N142,Q142,R142-Q142),[6]skilldef!$C:$D,2,FALSE),"-") &amp; " / " &amp; IFERROR(VLOOKUP(MID(N142,O142,P142-O142),[6]skilldef!$A:$B,2,FALSE),"-")</f>
        <v>味方全体に / -</v>
      </c>
      <c r="T142" s="236" t="str">
        <f t="shared" si="283"/>
        <v>none</v>
      </c>
      <c r="U142" s="235" t="e">
        <f t="shared" si="284"/>
        <v>#VALUE!</v>
      </c>
      <c r="V142" s="235">
        <f t="shared" si="285"/>
        <v>4</v>
      </c>
      <c r="W142" s="235" t="e">
        <f t="shared" si="286"/>
        <v>#VALUE!</v>
      </c>
      <c r="X142" s="235" t="e">
        <f t="shared" si="287"/>
        <v>#VALUE!</v>
      </c>
      <c r="Y142" s="235" t="str">
        <f>IFERROR(VLOOKUP(MID(T142,W142,X142-W142),[6]skilldef!$C:$D,2,FALSE),"-") &amp; " / " &amp; IFERROR(VLOOKUP(MID(T142,U142,V142-U142),[6]skilldef!$A:$B,2,FALSE),"-")</f>
        <v>- / -</v>
      </c>
      <c r="Z142" s="233"/>
      <c r="AA142" s="237"/>
      <c r="AB142" s="233"/>
    </row>
    <row r="143" spans="1:28" ht="77" customHeight="1" x14ac:dyDescent="0.25">
      <c r="A143" s="260">
        <v>47015301</v>
      </c>
      <c r="B143" s="290" t="s">
        <v>377</v>
      </c>
      <c r="C143" s="233">
        <v>3</v>
      </c>
      <c r="D143" s="233" t="s">
        <v>127</v>
      </c>
      <c r="E143" s="234" t="s">
        <v>282</v>
      </c>
      <c r="F143" s="271" t="s">
        <v>369</v>
      </c>
      <c r="G143" s="235" t="str">
        <f>IFERROR(LEFT(B146,FIND("],",B146)),B146)</f>
        <v>[effect:enemy_message, val1:1.2, val2:2.8]</v>
      </c>
      <c r="H143" s="235">
        <f t="shared" si="274"/>
        <v>9</v>
      </c>
      <c r="I143" s="235">
        <f t="shared" si="275"/>
        <v>22</v>
      </c>
      <c r="J143" s="235" t="e">
        <f t="shared" si="276"/>
        <v>#VALUE!</v>
      </c>
      <c r="K143" s="235">
        <f t="shared" si="277"/>
        <v>32</v>
      </c>
      <c r="L143" s="235" t="str">
        <f>IFERROR(VLOOKUP(MID(G143,J143,K143-J143),[6]skilldef!$C:$D,2,FALSE),"-") &amp; " / " &amp; IFERROR(VLOOKUP(MID(G143,H143,I143-H143),[6]skilldef!$A:$B,2,FALSE),"-")</f>
        <v>- / -</v>
      </c>
      <c r="M143" s="235" t="str">
        <f>IFERROR(RIGHT(B146,LEN(B146)-FIND("],",B146)-1),"none")</f>
        <v>[effect:attack_break, target:unit_blue, turn:2, val:0.2, calc:mul, animation:attack_break02],[effect:rush, count:1, val:1]</v>
      </c>
      <c r="N143" s="236" t="str">
        <f>IFERROR(LEFT(M143,FIND("],",M143)+S156),M143)</f>
        <v>[effect:attack_break, target:unit_blue, turn:2, val:0.2, calc:mul, animation:attack_break02],[effect:rush, count:1, val:1]</v>
      </c>
      <c r="O143" s="235">
        <f t="shared" si="279"/>
        <v>9</v>
      </c>
      <c r="P143" s="235">
        <f t="shared" si="280"/>
        <v>21</v>
      </c>
      <c r="Q143" s="235">
        <f t="shared" si="281"/>
        <v>30</v>
      </c>
      <c r="R143" s="235">
        <f t="shared" si="282"/>
        <v>39</v>
      </c>
      <c r="S143" s="235" t="str">
        <f>IFERROR(VLOOKUP(MID(N143,Q143,R143-Q143),[6]skilldef!$C:$D,2,FALSE),"-") &amp; " / " &amp; IFERROR(VLOOKUP(MID(N143,O143,P143-O143),[6]skilldef!$A:$B,2,FALSE),"-")</f>
        <v>青の味方に / -</v>
      </c>
      <c r="T143" s="236" t="str">
        <f t="shared" si="283"/>
        <v>[effect:rush, count:1, val:1]</v>
      </c>
      <c r="U143" s="235">
        <f t="shared" si="284"/>
        <v>9</v>
      </c>
      <c r="V143" s="235">
        <f t="shared" si="285"/>
        <v>13</v>
      </c>
      <c r="W143" s="235" t="e">
        <f t="shared" si="286"/>
        <v>#VALUE!</v>
      </c>
      <c r="X143" s="235">
        <f t="shared" si="287"/>
        <v>22</v>
      </c>
      <c r="Y143" s="235" t="str">
        <f>IFERROR(VLOOKUP(MID(T143,W143,X143-W143),[6]skilldef!$C:$D,2,FALSE),"-") &amp; " / " &amp; IFERROR(VLOOKUP(MID(T143,U143,V143-U143),[6]skilldef!$A:$B,2,FALSE),"-")</f>
        <v>- / 連続攻撃</v>
      </c>
      <c r="Z143" s="233"/>
      <c r="AA143" s="237"/>
      <c r="AB143" s="233"/>
    </row>
    <row r="144" spans="1:28" ht="77" customHeight="1" x14ac:dyDescent="0.25">
      <c r="A144" s="259">
        <v>47015302</v>
      </c>
      <c r="B144" s="290" t="s">
        <v>378</v>
      </c>
      <c r="C144" s="233">
        <v>3</v>
      </c>
      <c r="D144" s="233" t="s">
        <v>127</v>
      </c>
      <c r="E144" s="234" t="s">
        <v>349</v>
      </c>
      <c r="F144" s="271" t="s">
        <v>370</v>
      </c>
      <c r="G144" s="235" t="str">
        <f>IFERROR(LEFT(B145,FIND("],",B145)),B145)</f>
        <v>[effect:enemy_message, val1:1.2, val2:1.6]</v>
      </c>
      <c r="H144" s="235">
        <f t="shared" si="274"/>
        <v>9</v>
      </c>
      <c r="I144" s="235">
        <f t="shared" si="275"/>
        <v>22</v>
      </c>
      <c r="J144" s="235" t="e">
        <f t="shared" si="276"/>
        <v>#VALUE!</v>
      </c>
      <c r="K144" s="235">
        <f t="shared" si="277"/>
        <v>32</v>
      </c>
      <c r="L144" s="235" t="str">
        <f>IFERROR(VLOOKUP(MID(G144,J144,K144-J144),[6]skilldef!$C:$D,2,FALSE),"-") &amp; " / " &amp; IFERROR(VLOOKUP(MID(G144,H144,I144-H144),[6]skilldef!$A:$B,2,FALSE),"-")</f>
        <v>- / -</v>
      </c>
      <c r="M144" s="235" t="str">
        <f>IFERROR(RIGHT(B145,LEN(B145)-FIND("],",B145)-1),"none")</f>
        <v>[effect:damage_anti_tribe, target:unit_one, tribe:god, val1:2, val2:0.8]</v>
      </c>
      <c r="N144" s="236" t="str">
        <f>IFERROR(LEFT(M144,FIND("],",M144)+S157),M144)</f>
        <v>[effect:damage_anti_tribe, target:unit_one, tribe:god, val1:2, val2:0.8]</v>
      </c>
      <c r="O144" s="235">
        <f t="shared" si="279"/>
        <v>9</v>
      </c>
      <c r="P144" s="235">
        <f t="shared" si="280"/>
        <v>26</v>
      </c>
      <c r="Q144" s="235">
        <f t="shared" si="281"/>
        <v>35</v>
      </c>
      <c r="R144" s="235">
        <f t="shared" si="282"/>
        <v>43</v>
      </c>
      <c r="S144" s="235" t="str">
        <f>IFERROR(VLOOKUP(MID(N144,Q144,R144-Q144),[6]skilldef!$C:$D,2,FALSE),"-") &amp; " / " &amp; IFERROR(VLOOKUP(MID(N144,O144,P144-O144),[6]skilldef!$A:$B,2,FALSE),"-")</f>
        <v>味方単体に / 種族キラー</v>
      </c>
      <c r="T144" s="236" t="str">
        <f t="shared" si="283"/>
        <v>none</v>
      </c>
      <c r="U144" s="235" t="e">
        <f t="shared" si="284"/>
        <v>#VALUE!</v>
      </c>
      <c r="V144" s="235">
        <f t="shared" si="285"/>
        <v>4</v>
      </c>
      <c r="W144" s="235" t="e">
        <f t="shared" si="286"/>
        <v>#VALUE!</v>
      </c>
      <c r="X144" s="235" t="e">
        <f t="shared" si="287"/>
        <v>#VALUE!</v>
      </c>
      <c r="Y144" s="235" t="str">
        <f>IFERROR(VLOOKUP(MID(T144,W144,X144-W144),[6]skilldef!$C:$D,2,FALSE),"-") &amp; " / " &amp; IFERROR(VLOOKUP(MID(T144,U144,V144-U144),[6]skilldef!$A:$B,2,FALSE),"-")</f>
        <v>- / -</v>
      </c>
      <c r="Z144" s="233"/>
      <c r="AA144" s="237"/>
      <c r="AB144" s="233"/>
    </row>
    <row r="145" spans="1:28" ht="77" customHeight="1" x14ac:dyDescent="0.25">
      <c r="A145" s="260">
        <v>47015303</v>
      </c>
      <c r="B145" s="290" t="s">
        <v>379</v>
      </c>
      <c r="C145" s="233">
        <v>3</v>
      </c>
      <c r="D145" s="233" t="s">
        <v>127</v>
      </c>
      <c r="E145" s="234" t="s">
        <v>259</v>
      </c>
      <c r="F145" s="271" t="s">
        <v>372</v>
      </c>
      <c r="G145" s="235" t="str">
        <f>IFERROR(LEFT(B147,FIND("],",B147)),B147)</f>
        <v>[effect:enemy_message, val1:1.2, val2:1.3]</v>
      </c>
      <c r="H145" s="235">
        <f t="shared" si="274"/>
        <v>9</v>
      </c>
      <c r="I145" s="235">
        <f t="shared" si="275"/>
        <v>22</v>
      </c>
      <c r="J145" s="235" t="e">
        <f t="shared" si="276"/>
        <v>#VALUE!</v>
      </c>
      <c r="K145" s="235">
        <f t="shared" si="277"/>
        <v>32</v>
      </c>
      <c r="L145" s="235" t="str">
        <f>IFERROR(VLOOKUP(MID(G145,J145,K145-J145),[6]skilldef!$C:$D,2,FALSE),"-") &amp; " / " &amp; IFERROR(VLOOKUP(MID(G145,H145,I145-H145),[6]skilldef!$A:$B,2,FALSE),"-")</f>
        <v>- / -</v>
      </c>
      <c r="M145" s="235" t="str">
        <f>IFERROR(RIGHT(B147,LEN(B147)-FIND("],",B147)-1),"none")</f>
        <v>[effect:enhance_enemy, target:enemy_all, turn:3, status:attack, val:0.2, calc:mul, animation:enemy_enhance_attack]</v>
      </c>
      <c r="N145" s="236" t="str">
        <f>IFERROR(LEFT(M145,FIND("],",M145)+S158),M145)</f>
        <v>[effect:enhance_enemy, target:enemy_all, turn:3, status:attack, val:0.2, calc:mul, animation:enemy_enhance_attack]</v>
      </c>
      <c r="O145" s="235">
        <f t="shared" si="279"/>
        <v>9</v>
      </c>
      <c r="P145" s="235">
        <f t="shared" si="280"/>
        <v>22</v>
      </c>
      <c r="Q145" s="235">
        <f t="shared" si="281"/>
        <v>31</v>
      </c>
      <c r="R145" s="235">
        <f t="shared" si="282"/>
        <v>40</v>
      </c>
      <c r="S145" s="235" t="str">
        <f>IFERROR(VLOOKUP(MID(N145,Q145,R145-Q145),[6]skilldef!$C:$D,2,FALSE),"-") &amp; " / " &amp; IFERROR(VLOOKUP(MID(N145,O145,P145-O145),[6]skilldef!$A:$B,2,FALSE),"-")</f>
        <v>敵全体に / ステータス強化</v>
      </c>
      <c r="T145" s="236" t="str">
        <f t="shared" si="283"/>
        <v>none</v>
      </c>
      <c r="U145" s="235" t="e">
        <f t="shared" si="284"/>
        <v>#VALUE!</v>
      </c>
      <c r="V145" s="235">
        <f t="shared" si="285"/>
        <v>4</v>
      </c>
      <c r="W145" s="235" t="e">
        <f t="shared" si="286"/>
        <v>#VALUE!</v>
      </c>
      <c r="X145" s="235" t="e">
        <f t="shared" si="287"/>
        <v>#VALUE!</v>
      </c>
      <c r="Y145" s="235" t="str">
        <f>IFERROR(VLOOKUP(MID(T145,W145,X145-W145),[6]skilldef!$C:$D,2,FALSE),"-") &amp; " / " &amp; IFERROR(VLOOKUP(MID(T145,U145,V145-U145),[6]skilldef!$A:$B,2,FALSE),"-")</f>
        <v>- / -</v>
      </c>
      <c r="Z145" s="233"/>
      <c r="AA145" s="237"/>
      <c r="AB145" s="233"/>
    </row>
    <row r="146" spans="1:28" ht="77" customHeight="1" x14ac:dyDescent="0.25">
      <c r="A146" s="259">
        <v>47015304</v>
      </c>
      <c r="B146" s="290" t="s">
        <v>380</v>
      </c>
      <c r="C146" s="233">
        <v>3</v>
      </c>
      <c r="D146" s="233" t="s">
        <v>127</v>
      </c>
      <c r="E146" s="234" t="s">
        <v>258</v>
      </c>
      <c r="F146" s="271" t="s">
        <v>371</v>
      </c>
      <c r="G146" s="235" t="str">
        <f>IFERROR(LEFT(B143,FIND("],",B143)),B143)</f>
        <v>[effect:enemy_message, val1:2.2, val2:1.9]</v>
      </c>
      <c r="H146" s="235">
        <f t="shared" si="274"/>
        <v>9</v>
      </c>
      <c r="I146" s="235">
        <f t="shared" si="275"/>
        <v>22</v>
      </c>
      <c r="J146" s="235" t="e">
        <f t="shared" si="276"/>
        <v>#VALUE!</v>
      </c>
      <c r="K146" s="235">
        <f t="shared" si="277"/>
        <v>32</v>
      </c>
      <c r="L146" s="235" t="str">
        <f>IFERROR(VLOOKUP(MID(G146,J146,K146-J146),[6]skilldef!$C:$D,2,FALSE),"-") &amp; " / " &amp; IFERROR(VLOOKUP(MID(G146,H146,I146-H146),[6]skilldef!$A:$B,2,FALSE),"-")</f>
        <v>- / -</v>
      </c>
      <c r="M146" s="235" t="str">
        <f>IFERROR(RIGHT(B143,LEN(B143)-FIND("],",B143)-1),"none")</f>
        <v>[effect:sp_boost, target:unit_all, val:2, animation:sp_boost_one02]</v>
      </c>
      <c r="N146" s="236" t="str">
        <f>IFERROR(LEFT(M146,FIND("],",M146)+S159),M146)</f>
        <v>[effect:sp_boost, target:unit_all, val:2, animation:sp_boost_one02]</v>
      </c>
      <c r="O146" s="235">
        <f t="shared" si="279"/>
        <v>9</v>
      </c>
      <c r="P146" s="235">
        <f t="shared" si="280"/>
        <v>17</v>
      </c>
      <c r="Q146" s="235">
        <f t="shared" si="281"/>
        <v>26</v>
      </c>
      <c r="R146" s="235">
        <f t="shared" si="282"/>
        <v>34</v>
      </c>
      <c r="S146" s="235" t="str">
        <f>IFERROR(VLOOKUP(MID(N146,Q146,R146-Q146),[6]skilldef!$C:$D,2,FALSE),"-") &amp; " / " &amp; IFERROR(VLOOKUP(MID(N146,O146,P146-O146),[6]skilldef!$A:$B,2,FALSE),"-")</f>
        <v>味方全体に / -</v>
      </c>
      <c r="T146" s="236" t="str">
        <f t="shared" si="283"/>
        <v>none</v>
      </c>
      <c r="U146" s="235" t="e">
        <f t="shared" si="284"/>
        <v>#VALUE!</v>
      </c>
      <c r="V146" s="235">
        <f t="shared" si="285"/>
        <v>4</v>
      </c>
      <c r="W146" s="235" t="e">
        <f t="shared" si="286"/>
        <v>#VALUE!</v>
      </c>
      <c r="X146" s="235" t="e">
        <f t="shared" si="287"/>
        <v>#VALUE!</v>
      </c>
      <c r="Y146" s="235" t="str">
        <f>IFERROR(VLOOKUP(MID(T146,W146,X146-W146),[6]skilldef!$C:$D,2,FALSE),"-") &amp; " / " &amp; IFERROR(VLOOKUP(MID(T146,U146,V146-U146),[6]skilldef!$A:$B,2,FALSE),"-")</f>
        <v>- / -</v>
      </c>
      <c r="Z146" s="233"/>
      <c r="AA146" s="237"/>
      <c r="AB146" s="233"/>
    </row>
    <row r="147" spans="1:28" ht="77" customHeight="1" x14ac:dyDescent="0.25">
      <c r="A147" s="259">
        <v>47015305</v>
      </c>
      <c r="B147" s="290" t="s">
        <v>381</v>
      </c>
      <c r="C147" s="233">
        <v>3</v>
      </c>
      <c r="D147" s="233" t="s">
        <v>127</v>
      </c>
      <c r="E147" s="234" t="s">
        <v>280</v>
      </c>
      <c r="F147" s="271" t="s">
        <v>373</v>
      </c>
      <c r="G147" s="235" t="str">
        <f>IFERROR(LEFT(B144,FIND("],",B144)),B144)</f>
        <v>[effect:enemy_message, val1:1.2, val2:2.0]</v>
      </c>
      <c r="H147" s="235">
        <f>FIND("effect:",G147)+7</f>
        <v>9</v>
      </c>
      <c r="I147" s="235">
        <f>IFERROR(FIND(",",G147),LEN(G147))</f>
        <v>22</v>
      </c>
      <c r="J147" s="235" t="e">
        <f>FIND("target:",G147)+7</f>
        <v>#VALUE!</v>
      </c>
      <c r="K147" s="235">
        <f>FIND(",",G147,I147+1)</f>
        <v>32</v>
      </c>
      <c r="L147" s="235" t="str">
        <f>IFERROR(VLOOKUP(MID(G147,J147,K147-J147),[6]skilldef!$C:$D,2,FALSE),"-") &amp; " / " &amp; IFERROR(VLOOKUP(MID(G147,H147,I147-H147),[6]skilldef!$A:$B,2,FALSE),"-")</f>
        <v>- / -</v>
      </c>
      <c r="M147" s="235" t="str">
        <f>IFERROR(RIGHT(B144,LEN(B144)-FIND("],",B144)-1),"none")</f>
        <v>[effect:degrade_unit, target:unit_all, turn:5, status:heal, val:0.2, calc:mul, animation:degrade_unit_all_heal]</v>
      </c>
      <c r="N147" s="236" t="str">
        <f>IFERROR(LEFT(M147,FIND("],",M147)+S155),M147)</f>
        <v>[effect:degrade_unit, target:unit_all, turn:5, status:heal, val:0.2, calc:mul, animation:degrade_unit_all_heal]</v>
      </c>
      <c r="O147" s="235">
        <f>FIND("effect:",N147)+7</f>
        <v>9</v>
      </c>
      <c r="P147" s="235">
        <f>IFERROR(FIND(",",N147),LEN(N147))</f>
        <v>21</v>
      </c>
      <c r="Q147" s="235">
        <f>FIND("target:",N147)+7</f>
        <v>30</v>
      </c>
      <c r="R147" s="235">
        <f>FIND(",",N147,P147+1)</f>
        <v>38</v>
      </c>
      <c r="S147" s="235" t="str">
        <f>IFERROR(VLOOKUP(MID(N147,Q147,R147-Q147),[6]skilldef!$C:$D,2,FALSE),"-") &amp; " / " &amp; IFERROR(VLOOKUP(MID(N147,O147,P147-O147),[6]skilldef!$A:$B,2,FALSE),"-")</f>
        <v>味方全体に / ステータスDOWN</v>
      </c>
      <c r="T147" s="236" t="str">
        <f>IFERROR(RIGHT(M147,LEN(M147)-FIND("],",M147)-1),"none")</f>
        <v>none</v>
      </c>
      <c r="U147" s="235" t="e">
        <f>FIND("effect:",T147)+7</f>
        <v>#VALUE!</v>
      </c>
      <c r="V147" s="235">
        <f>IFERROR(FIND(",",T147),LEN(T147))</f>
        <v>4</v>
      </c>
      <c r="W147" s="235" t="e">
        <f>FIND("target:",T147)+7</f>
        <v>#VALUE!</v>
      </c>
      <c r="X147" s="235" t="e">
        <f>FIND(",",T147,V147+1)</f>
        <v>#VALUE!</v>
      </c>
      <c r="Y147" s="235" t="str">
        <f>IFERROR(VLOOKUP(MID(T147,W147,X147-W147),[6]skilldef!$C:$D,2,FALSE),"-") &amp; " / " &amp; IFERROR(VLOOKUP(MID(T147,U147,V147-U147),[6]skilldef!$A:$B,2,FALSE),"-")</f>
        <v>- / -</v>
      </c>
      <c r="Z147" s="233"/>
      <c r="AA147" s="237"/>
      <c r="AB147" s="233"/>
    </row>
    <row r="148" spans="1:28" ht="77" customHeight="1" x14ac:dyDescent="0.25">
      <c r="A148" s="262">
        <v>47015310</v>
      </c>
      <c r="B148" s="290" t="s">
        <v>418</v>
      </c>
      <c r="C148" s="233">
        <v>3</v>
      </c>
      <c r="D148" s="233" t="s">
        <v>127</v>
      </c>
      <c r="E148" s="234" t="s">
        <v>281</v>
      </c>
      <c r="F148" s="234" t="s">
        <v>368</v>
      </c>
      <c r="G148" s="235" t="str">
        <f t="shared" si="273"/>
        <v>[effect:enemy_message, val1:2.3, val2:2.8]</v>
      </c>
      <c r="H148" s="235">
        <f t="shared" si="274"/>
        <v>9</v>
      </c>
      <c r="I148" s="235">
        <f t="shared" si="275"/>
        <v>22</v>
      </c>
      <c r="J148" s="235" t="e">
        <f t="shared" si="276"/>
        <v>#VALUE!</v>
      </c>
      <c r="K148" s="235">
        <f t="shared" si="277"/>
        <v>32</v>
      </c>
      <c r="L148" s="235" t="str">
        <f>IFERROR(VLOOKUP(MID(G148,J148,K148-J148),[6]skilldef!$C:$D,2,FALSE),"-") &amp; " / " &amp; IFERROR(VLOOKUP(MID(G148,H148,I148-H148),[6]skilldef!$A:$B,2,FALSE),"-")</f>
        <v>- / -</v>
      </c>
      <c r="M148" s="235" t="str">
        <f t="shared" si="278"/>
        <v>[effect:force_change_block, new_block:block_red, target:block_green, count:0, val:0, animation:change_block],[effect:virus, turn:10, rate:1, val:0.03, animation:enemy_virus]</v>
      </c>
      <c r="N148" s="236" t="str">
        <f>IFERROR(LEFT(M148,FIND("],",M148)+S159),M148)</f>
        <v>[effect:force_change_block, new_block:block_red, target:block_green, count:0, val:0, animation:change_block],[effect:virus, turn:10, rate:1, val:0.03, animation:enemy_virus]</v>
      </c>
      <c r="O148" s="235">
        <f t="shared" si="279"/>
        <v>9</v>
      </c>
      <c r="P148" s="235">
        <f t="shared" si="280"/>
        <v>27</v>
      </c>
      <c r="Q148" s="235">
        <f t="shared" si="281"/>
        <v>57</v>
      </c>
      <c r="R148" s="235">
        <f t="shared" si="282"/>
        <v>48</v>
      </c>
      <c r="S148" s="235" t="str">
        <f>IFERROR(VLOOKUP(MID(N148,Q148,R148-Q148),[6]skilldef!$C:$D,2,FALSE),"-") &amp; " / " &amp; IFERROR(VLOOKUP(MID(N148,O148,P148-O148),[6]skilldef!$A:$B,2,FALSE),"-")</f>
        <v>- / -</v>
      </c>
      <c r="T148" s="236" t="str">
        <f t="shared" si="283"/>
        <v>[effect:virus, turn:10, rate:1, val:0.03, animation:enemy_virus]</v>
      </c>
      <c r="U148" s="235">
        <f t="shared" si="284"/>
        <v>9</v>
      </c>
      <c r="V148" s="235">
        <f t="shared" si="285"/>
        <v>14</v>
      </c>
      <c r="W148" s="235" t="e">
        <f t="shared" si="286"/>
        <v>#VALUE!</v>
      </c>
      <c r="X148" s="235">
        <f t="shared" si="287"/>
        <v>23</v>
      </c>
      <c r="Y148" s="235" t="str">
        <f>IFERROR(VLOOKUP(MID(T148,W148,X148-W148),[6]skilldef!$C:$D,2,FALSE),"-") &amp; " / " &amp; IFERROR(VLOOKUP(MID(T148,U148,V148-U148),[6]skilldef!$A:$B,2,FALSE),"-")</f>
        <v>- / ウィルス</v>
      </c>
      <c r="Z148" s="233"/>
      <c r="AA148" s="237"/>
      <c r="AB148" s="233"/>
    </row>
    <row r="149" spans="1:28" ht="77" customHeight="1" x14ac:dyDescent="0.25">
      <c r="A149" s="262">
        <v>47015311</v>
      </c>
      <c r="B149" s="290" t="s">
        <v>418</v>
      </c>
      <c r="C149" s="233">
        <v>3</v>
      </c>
      <c r="D149" s="233" t="s">
        <v>127</v>
      </c>
      <c r="E149" s="234" t="s">
        <v>281</v>
      </c>
      <c r="F149" s="234" t="s">
        <v>368</v>
      </c>
      <c r="G149" s="235" t="str">
        <f>IFERROR(LEFT(B151,FIND("],",B151)),B151)</f>
        <v>[effect:enemy_message, val1:1.2, val2:2.2]</v>
      </c>
      <c r="H149" s="235">
        <f t="shared" si="274"/>
        <v>9</v>
      </c>
      <c r="I149" s="235">
        <f t="shared" si="275"/>
        <v>22</v>
      </c>
      <c r="J149" s="235" t="e">
        <f t="shared" si="276"/>
        <v>#VALUE!</v>
      </c>
      <c r="K149" s="235">
        <f t="shared" si="277"/>
        <v>32</v>
      </c>
      <c r="L149" s="235" t="str">
        <f>IFERROR(VLOOKUP(MID(G149,J149,K149-J149),[6]skilldef!$C:$D,2,FALSE),"-") &amp; " / " &amp; IFERROR(VLOOKUP(MID(G149,H149,I149-H149),[6]skilldef!$A:$B,2,FALSE),"-")</f>
        <v>- / -</v>
      </c>
      <c r="M149" s="235" t="str">
        <f>IFERROR(RIGHT(B151,LEN(B151)-FIND("],",B151)-1),"none")</f>
        <v>[effect:damage_anti_abnormal, target:unit_all, target_effect01:virus, val1:0.2, val2:0.1]</v>
      </c>
      <c r="N149" s="236" t="str">
        <f>IFERROR(LEFT(M149,FIND("],",M149)+S161),M149)</f>
        <v>[effect:damage_anti_abnormal, target:unit_all, target_effect01:virus, val1:0.2, val2:0.1]</v>
      </c>
      <c r="O149" s="235">
        <f t="shared" si="279"/>
        <v>9</v>
      </c>
      <c r="P149" s="235">
        <f t="shared" si="280"/>
        <v>29</v>
      </c>
      <c r="Q149" s="235">
        <f t="shared" si="281"/>
        <v>38</v>
      </c>
      <c r="R149" s="235">
        <f t="shared" si="282"/>
        <v>46</v>
      </c>
      <c r="S149" s="235" t="str">
        <f>IFERROR(VLOOKUP(MID(N149,Q149,R149-Q149),[6]skilldef!$C:$D,2,FALSE),"-") &amp; " / " &amp; IFERROR(VLOOKUP(MID(N149,O149,P149-O149),[6]skilldef!$A:$B,2,FALSE),"-")</f>
        <v>味方全体に / -</v>
      </c>
      <c r="T149" s="236" t="str">
        <f t="shared" si="283"/>
        <v>none</v>
      </c>
      <c r="U149" s="235" t="e">
        <f t="shared" si="284"/>
        <v>#VALUE!</v>
      </c>
      <c r="V149" s="235">
        <f t="shared" si="285"/>
        <v>4</v>
      </c>
      <c r="W149" s="235" t="e">
        <f t="shared" si="286"/>
        <v>#VALUE!</v>
      </c>
      <c r="X149" s="235" t="e">
        <f t="shared" si="287"/>
        <v>#VALUE!</v>
      </c>
      <c r="Y149" s="235" t="str">
        <f>IFERROR(VLOOKUP(MID(T149,W149,X149-W149),[6]skilldef!$C:$D,2,FALSE),"-") &amp; " / " &amp; IFERROR(VLOOKUP(MID(T149,U149,V149-U149),[6]skilldef!$A:$B,2,FALSE),"-")</f>
        <v>- / -</v>
      </c>
      <c r="Z149" s="233"/>
      <c r="AA149" s="237"/>
      <c r="AB149" s="233"/>
    </row>
    <row r="150" spans="1:28" ht="77" customHeight="1" x14ac:dyDescent="0.25">
      <c r="A150" s="262">
        <v>47015312</v>
      </c>
      <c r="B150" s="290" t="s">
        <v>419</v>
      </c>
      <c r="C150" s="233">
        <v>3</v>
      </c>
      <c r="D150" s="233" t="s">
        <v>127</v>
      </c>
      <c r="E150" s="234" t="s">
        <v>350</v>
      </c>
      <c r="F150" s="234" t="s">
        <v>289</v>
      </c>
      <c r="G150" s="235" t="str">
        <f>IFERROR(LEFT(B152,FIND("],",B152)),B152)</f>
        <v>[effect:enemy_message, val1:1.2, val2:2.4]</v>
      </c>
      <c r="H150" s="235">
        <f t="shared" si="274"/>
        <v>9</v>
      </c>
      <c r="I150" s="235">
        <f t="shared" si="275"/>
        <v>22</v>
      </c>
      <c r="J150" s="235" t="e">
        <f t="shared" si="276"/>
        <v>#VALUE!</v>
      </c>
      <c r="K150" s="235">
        <f t="shared" si="277"/>
        <v>32</v>
      </c>
      <c r="L150" s="235" t="str">
        <f>IFERROR(VLOOKUP(MID(G150,J150,K150-J150),[6]skilldef!$C:$D,2,FALSE),"-") &amp; " / " &amp; IFERROR(VLOOKUP(MID(G150,H150,I150-H150),[6]skilldef!$A:$B,2,FALSE),"-")</f>
        <v>- / -</v>
      </c>
      <c r="M150" s="235" t="str">
        <f>IFERROR(RIGHT(B152,LEN(B152)-FIND("],",B152)-1),"none")</f>
        <v>[effect:spread, val:0.3],[effect:force_change_block, new_block:damage, target:normal, count:2, val:0.04, animation:change_block]</v>
      </c>
      <c r="N150" s="236" t="str">
        <f>IFERROR(LEFT(M150,FIND("],",M150)+S162),M150)</f>
        <v>[effect:spread, val:0.3],[effect:force_change_block, new_block:damage, target:normal, count:2, val:0.04, animation:change_block]</v>
      </c>
      <c r="O150" s="235">
        <f t="shared" si="279"/>
        <v>9</v>
      </c>
      <c r="P150" s="235">
        <f t="shared" si="280"/>
        <v>15</v>
      </c>
      <c r="Q150" s="235">
        <f t="shared" si="281"/>
        <v>79</v>
      </c>
      <c r="R150" s="235">
        <f t="shared" si="282"/>
        <v>25</v>
      </c>
      <c r="S150" s="235" t="str">
        <f>IFERROR(VLOOKUP(MID(N150,Q150,R150-Q150),[6]skilldef!$C:$D,2,FALSE),"-") &amp; " / " &amp; IFERROR(VLOOKUP(MID(N150,O150,P150-O150),[6]skilldef!$A:$B,2,FALSE),"-")</f>
        <v>- / 全体攻撃</v>
      </c>
      <c r="T150" s="236" t="str">
        <f t="shared" si="283"/>
        <v>[effect:force_change_block, new_block:damage, target:normal, count:2, val:0.04, animation:change_block]</v>
      </c>
      <c r="U150" s="235">
        <f t="shared" si="284"/>
        <v>9</v>
      </c>
      <c r="V150" s="235">
        <f t="shared" si="285"/>
        <v>27</v>
      </c>
      <c r="W150" s="235">
        <f t="shared" si="286"/>
        <v>54</v>
      </c>
      <c r="X150" s="235">
        <f t="shared" si="287"/>
        <v>45</v>
      </c>
      <c r="Y150" s="235" t="str">
        <f>IFERROR(VLOOKUP(MID(T150,W150,X150-W150),[6]skilldef!$C:$D,2,FALSE),"-") &amp; " / " &amp; IFERROR(VLOOKUP(MID(T150,U150,V150-U150),[6]skilldef!$A:$B,2,FALSE),"-")</f>
        <v>- / -</v>
      </c>
      <c r="Z150" s="233"/>
      <c r="AA150" s="237"/>
      <c r="AB150" s="233"/>
    </row>
    <row r="151" spans="1:28" ht="77" customHeight="1" x14ac:dyDescent="0.25">
      <c r="A151" s="262">
        <v>47015313</v>
      </c>
      <c r="B151" s="290" t="s">
        <v>384</v>
      </c>
      <c r="C151" s="233">
        <v>3</v>
      </c>
      <c r="D151" s="233" t="s">
        <v>127</v>
      </c>
      <c r="E151" s="234" t="s">
        <v>352</v>
      </c>
      <c r="F151" s="266" t="s">
        <v>335</v>
      </c>
      <c r="G151" s="235" t="str">
        <f>IFERROR(LEFT(B149,FIND("],",B149)),B149)</f>
        <v>[effect:enemy_message, val1:2.3, val2:2.8]</v>
      </c>
      <c r="H151" s="235">
        <f t="shared" si="274"/>
        <v>9</v>
      </c>
      <c r="I151" s="235">
        <f t="shared" si="275"/>
        <v>22</v>
      </c>
      <c r="J151" s="235" t="e">
        <f t="shared" si="276"/>
        <v>#VALUE!</v>
      </c>
      <c r="K151" s="235">
        <f t="shared" si="277"/>
        <v>32</v>
      </c>
      <c r="L151" s="235" t="str">
        <f>IFERROR(VLOOKUP(MID(G151,J151,K151-J151),[6]skilldef!$C:$D,2,FALSE),"-") &amp; " / " &amp; IFERROR(VLOOKUP(MID(G151,H151,I151-H151),[6]skilldef!$A:$B,2,FALSE),"-")</f>
        <v>- / -</v>
      </c>
      <c r="M151" s="235" t="str">
        <f>IFERROR(RIGHT(B149,LEN(B149)-FIND("],",B149)-1),"none")</f>
        <v>[effect:force_change_block, new_block:block_red, target:block_green, count:0, val:0, animation:change_block],[effect:virus, turn:10, rate:1, val:0.03, animation:enemy_virus]</v>
      </c>
      <c r="N151" s="236" t="str">
        <f>IFERROR(LEFT(M151,FIND("],",M151)+S163),M151)</f>
        <v>[effect:force_change_block, new_block:block_red, target:block_green, count:0, val:0, animation:change_block],[effect:virus, turn:10, rate:1, val:0.03, animation:enemy_virus]</v>
      </c>
      <c r="O151" s="235">
        <f t="shared" si="279"/>
        <v>9</v>
      </c>
      <c r="P151" s="235">
        <f t="shared" si="280"/>
        <v>27</v>
      </c>
      <c r="Q151" s="235">
        <f t="shared" si="281"/>
        <v>57</v>
      </c>
      <c r="R151" s="235">
        <f t="shared" si="282"/>
        <v>48</v>
      </c>
      <c r="S151" s="235" t="str">
        <f>IFERROR(VLOOKUP(MID(N151,Q151,R151-Q151),[6]skilldef!$C:$D,2,FALSE),"-") &amp; " / " &amp; IFERROR(VLOOKUP(MID(N151,O151,P151-O151),[6]skilldef!$A:$B,2,FALSE),"-")</f>
        <v>- / -</v>
      </c>
      <c r="T151" s="236" t="str">
        <f t="shared" si="283"/>
        <v>[effect:virus, turn:10, rate:1, val:0.03, animation:enemy_virus]</v>
      </c>
      <c r="U151" s="235">
        <f t="shared" si="284"/>
        <v>9</v>
      </c>
      <c r="V151" s="235">
        <f t="shared" si="285"/>
        <v>14</v>
      </c>
      <c r="W151" s="235" t="e">
        <f t="shared" si="286"/>
        <v>#VALUE!</v>
      </c>
      <c r="X151" s="235">
        <f t="shared" si="287"/>
        <v>23</v>
      </c>
      <c r="Y151" s="235" t="str">
        <f>IFERROR(VLOOKUP(MID(T151,W151,X151-W151),[6]skilldef!$C:$D,2,FALSE),"-") &amp; " / " &amp; IFERROR(VLOOKUP(MID(T151,U151,V151-U151),[6]skilldef!$A:$B,2,FALSE),"-")</f>
        <v>- / ウィルス</v>
      </c>
      <c r="Z151" s="233"/>
      <c r="AA151" s="237"/>
      <c r="AB151" s="233"/>
    </row>
    <row r="152" spans="1:28" ht="77" customHeight="1" x14ac:dyDescent="0.25">
      <c r="A152" s="262">
        <v>47015314</v>
      </c>
      <c r="B152" s="290" t="s">
        <v>420</v>
      </c>
      <c r="C152" s="233">
        <v>3</v>
      </c>
      <c r="D152" s="233" t="s">
        <v>127</v>
      </c>
      <c r="E152" s="234" t="s">
        <v>351</v>
      </c>
      <c r="F152" s="272" t="s">
        <v>497</v>
      </c>
      <c r="G152" s="235" t="str">
        <f>IFERROR(LEFT(B150,FIND("],",B150)),B150)</f>
        <v>[effect:enemy_message, val1:1.2, val2:1.5]</v>
      </c>
      <c r="H152" s="235">
        <f>FIND("effect:",G152)+7</f>
        <v>9</v>
      </c>
      <c r="I152" s="235">
        <f>IFERROR(FIND(",",G152),LEN(G152))</f>
        <v>22</v>
      </c>
      <c r="J152" s="235" t="e">
        <f>FIND("target:",G152)+7</f>
        <v>#VALUE!</v>
      </c>
      <c r="K152" s="235">
        <f>FIND(",",G152,I152+1)</f>
        <v>32</v>
      </c>
      <c r="L152" s="235" t="str">
        <f>IFERROR(VLOOKUP(MID(G152,J152,K152-J152),[6]skilldef!$C:$D,2,FALSE),"-") &amp; " / " &amp; IFERROR(VLOOKUP(MID(G152,H152,I152-H152),[6]skilldef!$A:$B,2,FALSE),"-")</f>
        <v>- / -</v>
      </c>
      <c r="M152" s="235" t="str">
        <f>IFERROR(RIGHT(B150,LEN(B150)-FIND("],",B150)-1),"none")</f>
        <v>[effect:virus, turn:10, rate:1, val:0.03, animation:enemy_virus]</v>
      </c>
      <c r="N152" s="236" t="str">
        <f>IFERROR(LEFT(M152,FIND("],",M152)+S160),M152)</f>
        <v>[effect:virus, turn:10, rate:1, val:0.03, animation:enemy_virus]</v>
      </c>
      <c r="O152" s="235">
        <f>FIND("effect:",N152)+7</f>
        <v>9</v>
      </c>
      <c r="P152" s="235">
        <f>IFERROR(FIND(",",N152),LEN(N152))</f>
        <v>14</v>
      </c>
      <c r="Q152" s="235" t="e">
        <f>FIND("target:",N152)+7</f>
        <v>#VALUE!</v>
      </c>
      <c r="R152" s="235">
        <f>FIND(",",N152,P152+1)</f>
        <v>23</v>
      </c>
      <c r="S152" s="235" t="str">
        <f>IFERROR(VLOOKUP(MID(N152,Q152,R152-Q152),[6]skilldef!$C:$D,2,FALSE),"-") &amp; " / " &amp; IFERROR(VLOOKUP(MID(N152,O152,P152-O152),[6]skilldef!$A:$B,2,FALSE),"-")</f>
        <v>- / ウィルス</v>
      </c>
      <c r="T152" s="236" t="str">
        <f>IFERROR(RIGHT(M152,LEN(M152)-FIND("],",M152)-1),"none")</f>
        <v>none</v>
      </c>
      <c r="U152" s="235" t="e">
        <f>FIND("effect:",T152)+7</f>
        <v>#VALUE!</v>
      </c>
      <c r="V152" s="235">
        <f>IFERROR(FIND(",",T152),LEN(T152))</f>
        <v>4</v>
      </c>
      <c r="W152" s="235" t="e">
        <f>FIND("target:",T152)+7</f>
        <v>#VALUE!</v>
      </c>
      <c r="X152" s="235" t="e">
        <f>FIND(",",T152,V152+1)</f>
        <v>#VALUE!</v>
      </c>
      <c r="Y152" s="235" t="str">
        <f>IFERROR(VLOOKUP(MID(T152,W152,X152-W152),[6]skilldef!$C:$D,2,FALSE),"-") &amp; " / " &amp; IFERROR(VLOOKUP(MID(T152,U152,V152-U152),[6]skilldef!$A:$B,2,FALSE),"-")</f>
        <v>- / -</v>
      </c>
      <c r="Z152" s="233"/>
      <c r="AA152" s="237"/>
      <c r="AB152" s="233"/>
    </row>
    <row r="153" spans="1:28" ht="77" customHeight="1" x14ac:dyDescent="0.25">
      <c r="A153" s="263">
        <v>47015320</v>
      </c>
      <c r="B153" s="290" t="s">
        <v>393</v>
      </c>
      <c r="C153" s="233">
        <v>3</v>
      </c>
      <c r="D153" s="233" t="s">
        <v>127</v>
      </c>
      <c r="E153" s="234" t="s">
        <v>257</v>
      </c>
      <c r="F153" s="234" t="s">
        <v>374</v>
      </c>
      <c r="G153" s="235" t="str">
        <f t="shared" si="273"/>
        <v>[effect:enemy_message, val1:1.6, val2:3.3]</v>
      </c>
      <c r="H153" s="235">
        <f t="shared" si="274"/>
        <v>9</v>
      </c>
      <c r="I153" s="235">
        <f t="shared" si="275"/>
        <v>22</v>
      </c>
      <c r="J153" s="235" t="e">
        <f t="shared" si="276"/>
        <v>#VALUE!</v>
      </c>
      <c r="K153" s="235">
        <f t="shared" si="277"/>
        <v>32</v>
      </c>
      <c r="L153" s="235" t="str">
        <f>IFERROR(VLOOKUP(MID(G153,J153,K153-J153),[6]skilldef!$C:$D,2,FALSE),"-") &amp; " / " &amp; IFERROR(VLOOKUP(MID(G153,H153,I153-H153),[6]skilldef!$A:$B,2,FALSE),"-")</f>
        <v>- / -</v>
      </c>
      <c r="M153" s="235" t="str">
        <f t="shared" si="278"/>
        <v>[effect:fix_speed, target:myself, turn:2],[effect:tolerance, target:myself, turn:-1, count:-1, tolerance_effect:all, animation:enemy_tolerance],[effect:enemy_counter, target:myself, invoke_condition:unit_all, counter_target:attacker, turn:2, val:0.5, animation:enemy_counter],[effect:enhance_enemy, target:myself, turn:2, status:attack, val:0.2, calc:mul, animation:enemy_enhance_attack]</v>
      </c>
      <c r="N153" s="236" t="str">
        <f t="shared" ref="N153:N156" si="303">IFERROR(LEFT(M153,FIND("],",M153)+S163),M153)</f>
        <v>[effect:fix_speed, target:myself, turn:2],[effect:tolerance, target:myself, turn:-1, count:-1, tolerance_effect:all, animation:enemy_tolerance],[effect:enemy_counter, target:myself, invoke_condition:unit_all, counter_target:attacker, turn:2, val:0.5, animation:enemy_counter],[effect:enhance_enemy, target:myself, turn:2, status:attack, val:0.2, calc:mul, animation:enemy_enhance_attack]</v>
      </c>
      <c r="O153" s="235">
        <f t="shared" si="279"/>
        <v>9</v>
      </c>
      <c r="P153" s="235">
        <f t="shared" si="280"/>
        <v>18</v>
      </c>
      <c r="Q153" s="235">
        <f t="shared" si="281"/>
        <v>27</v>
      </c>
      <c r="R153" s="235">
        <f t="shared" si="282"/>
        <v>33</v>
      </c>
      <c r="S153" s="235" t="str">
        <f>IFERROR(VLOOKUP(MID(N153,Q153,R153-Q153),[6]skilldef!$C:$D,2,FALSE),"-") &amp; " / " &amp; IFERROR(VLOOKUP(MID(N153,O153,P153-O153),[6]skilldef!$A:$B,2,FALSE),"-")</f>
        <v>自分自身に / 行動値設定</v>
      </c>
      <c r="T153" s="236" t="str">
        <f t="shared" si="283"/>
        <v>[effect:tolerance, target:myself, turn:-1, count:-1, tolerance_effect:all, animation:enemy_tolerance],[effect:enemy_counter, target:myself, invoke_condition:unit_all, counter_target:attacker, turn:2, val:0.5, animation:enemy_counter],[effect:enhance_enemy, target:myself, turn:2, status:attack, val:0.2, calc:mul, animation:enemy_enhance_attack]</v>
      </c>
      <c r="U153" s="235">
        <f t="shared" si="284"/>
        <v>9</v>
      </c>
      <c r="V153" s="235">
        <f t="shared" si="285"/>
        <v>18</v>
      </c>
      <c r="W153" s="235">
        <f t="shared" si="286"/>
        <v>27</v>
      </c>
      <c r="X153" s="235">
        <f t="shared" si="287"/>
        <v>33</v>
      </c>
      <c r="Y153" s="235" t="str">
        <f>IFERROR(VLOOKUP(MID(T153,W153,X153-W153),[6]skilldef!$C:$D,2,FALSE),"-") &amp; " / " &amp; IFERROR(VLOOKUP(MID(T153,U153,V153-U153),[6]skilldef!$A:$B,2,FALSE),"-")</f>
        <v>自分自身に / 状態異常耐性</v>
      </c>
      <c r="Z153" s="233"/>
      <c r="AA153" s="237"/>
      <c r="AB153" s="233"/>
    </row>
    <row r="154" spans="1:28" ht="77" customHeight="1" x14ac:dyDescent="0.25">
      <c r="A154" s="260">
        <v>47015321</v>
      </c>
      <c r="B154" s="290" t="s">
        <v>407</v>
      </c>
      <c r="C154" s="233">
        <v>3</v>
      </c>
      <c r="D154" s="233" t="s">
        <v>127</v>
      </c>
      <c r="E154" s="234" t="s">
        <v>303</v>
      </c>
      <c r="F154" s="266" t="s">
        <v>406</v>
      </c>
      <c r="G154" s="235" t="str">
        <f t="shared" si="273"/>
        <v>[effect:enemy_message, val1:1.2, val2:1.2]</v>
      </c>
      <c r="H154" s="235">
        <f t="shared" si="274"/>
        <v>9</v>
      </c>
      <c r="I154" s="235">
        <f t="shared" si="275"/>
        <v>22</v>
      </c>
      <c r="J154" s="235" t="e">
        <f t="shared" si="276"/>
        <v>#VALUE!</v>
      </c>
      <c r="K154" s="235">
        <f t="shared" si="277"/>
        <v>32</v>
      </c>
      <c r="L154" s="235" t="str">
        <f>IFERROR(VLOOKUP(MID(G154,J154,K154-J154),[6]skilldef!$C:$D,2,FALSE),"-") &amp; " / " &amp; IFERROR(VLOOKUP(MID(G154,H154,I154-H154),[6]skilldef!$A:$B,2,FALSE),"-")</f>
        <v>- / -</v>
      </c>
      <c r="M154" s="235" t="str">
        <f t="shared" si="278"/>
        <v>[effect:dark, target:unit_all, turn:2, animation:enemy_dark]</v>
      </c>
      <c r="N154" s="236" t="str">
        <f t="shared" si="303"/>
        <v>[effect:dark, target:unit_all, turn:2, animation:enemy_dark]</v>
      </c>
      <c r="O154" s="235">
        <f t="shared" si="279"/>
        <v>9</v>
      </c>
      <c r="P154" s="235">
        <f t="shared" si="280"/>
        <v>13</v>
      </c>
      <c r="Q154" s="235">
        <f t="shared" si="281"/>
        <v>22</v>
      </c>
      <c r="R154" s="235">
        <f t="shared" si="282"/>
        <v>30</v>
      </c>
      <c r="S154" s="235" t="str">
        <f>IFERROR(VLOOKUP(MID(N154,Q154,R154-Q154),[6]skilldef!$C:$D,2,FALSE),"-") &amp; " / " &amp; IFERROR(VLOOKUP(MID(N154,O154,P154-O154),[6]skilldef!$A:$B,2,FALSE),"-")</f>
        <v>味方全体に / 暗黒</v>
      </c>
      <c r="T154" s="236" t="str">
        <f t="shared" si="283"/>
        <v>none</v>
      </c>
      <c r="U154" s="235" t="e">
        <f t="shared" si="284"/>
        <v>#VALUE!</v>
      </c>
      <c r="V154" s="235">
        <f t="shared" si="285"/>
        <v>4</v>
      </c>
      <c r="W154" s="235" t="e">
        <f t="shared" si="286"/>
        <v>#VALUE!</v>
      </c>
      <c r="X154" s="235" t="e">
        <f t="shared" si="287"/>
        <v>#VALUE!</v>
      </c>
      <c r="Y154" s="235" t="str">
        <f>IFERROR(VLOOKUP(MID(T154,W154,X154-W154),[6]skilldef!$C:$D,2,FALSE),"-") &amp; " / " &amp; IFERROR(VLOOKUP(MID(T154,U154,V154-U154),[6]skilldef!$A:$B,2,FALSE),"-")</f>
        <v>- / -</v>
      </c>
      <c r="Z154" s="233"/>
      <c r="AA154" s="237"/>
      <c r="AB154" s="233"/>
    </row>
    <row r="155" spans="1:28" ht="77" customHeight="1" x14ac:dyDescent="0.25">
      <c r="A155" s="263">
        <v>47015322</v>
      </c>
      <c r="B155" s="290" t="s">
        <v>458</v>
      </c>
      <c r="C155" s="233">
        <v>3</v>
      </c>
      <c r="D155" s="233" t="s">
        <v>127</v>
      </c>
      <c r="E155" s="234" t="s">
        <v>260</v>
      </c>
      <c r="F155" s="234" t="s">
        <v>421</v>
      </c>
      <c r="G155" s="235" t="str">
        <f t="shared" si="273"/>
        <v>[effect:enemy_message, val1:1.2, val2:3.7]</v>
      </c>
      <c r="H155" s="235">
        <f t="shared" si="274"/>
        <v>9</v>
      </c>
      <c r="I155" s="235">
        <f t="shared" si="275"/>
        <v>22</v>
      </c>
      <c r="J155" s="235" t="e">
        <f t="shared" si="276"/>
        <v>#VALUE!</v>
      </c>
      <c r="K155" s="235">
        <f t="shared" si="277"/>
        <v>32</v>
      </c>
      <c r="L155" s="235" t="str">
        <f>IFERROR(VLOOKUP(MID(G155,J155,K155-J155),[6]skilldef!$C:$D,2,FALSE),"-") &amp; " / " &amp; IFERROR(VLOOKUP(MID(G155,H155,I155-H155),[6]skilldef!$A:$B,2,FALSE),"-")</f>
        <v>- / -</v>
      </c>
      <c r="M155" s="235" t="str">
        <f t="shared" si="278"/>
        <v>[effect:hungup, target:unit_all, turn:1, rate:1, animation:hungup01],[effect:force_change_block, new_block:damage, target:block_blue, count:2, val:0.04, animation:change_block]</v>
      </c>
      <c r="N155" s="236" t="str">
        <f t="shared" si="303"/>
        <v>[effect:hungup, target:unit_all, turn:1, rate:1, animation:hungup01],[effect:force_change_block, new_block:damage, target:block_blue, count:2, val:0.04, animation:change_block]</v>
      </c>
      <c r="O155" s="235">
        <f t="shared" si="279"/>
        <v>9</v>
      </c>
      <c r="P155" s="235">
        <f t="shared" si="280"/>
        <v>15</v>
      </c>
      <c r="Q155" s="235">
        <f t="shared" si="281"/>
        <v>24</v>
      </c>
      <c r="R155" s="235">
        <f t="shared" si="282"/>
        <v>32</v>
      </c>
      <c r="S155" s="235" t="str">
        <f>IFERROR(VLOOKUP(MID(N155,Q155,R155-Q155),[6]skilldef!$C:$D,2,FALSE),"-") &amp; " / " &amp; IFERROR(VLOOKUP(MID(N155,O155,P155-O155),[6]skilldef!$A:$B,2,FALSE),"-")</f>
        <v>味方全体に / ハングアップ</v>
      </c>
      <c r="T155" s="236" t="str">
        <f t="shared" si="283"/>
        <v>[effect:force_change_block, new_block:damage, target:block_blue, count:2, val:0.04, animation:change_block]</v>
      </c>
      <c r="U155" s="235">
        <f t="shared" si="284"/>
        <v>9</v>
      </c>
      <c r="V155" s="235">
        <f t="shared" si="285"/>
        <v>27</v>
      </c>
      <c r="W155" s="235">
        <f t="shared" si="286"/>
        <v>54</v>
      </c>
      <c r="X155" s="235">
        <f t="shared" si="287"/>
        <v>45</v>
      </c>
      <c r="Y155" s="235" t="str">
        <f>IFERROR(VLOOKUP(MID(T155,W155,X155-W155),[6]skilldef!$C:$D,2,FALSE),"-") &amp; " / " &amp; IFERROR(VLOOKUP(MID(T155,U155,V155-U155),[6]skilldef!$A:$B,2,FALSE),"-")</f>
        <v>- / -</v>
      </c>
      <c r="Z155" s="233"/>
      <c r="AA155" s="237"/>
      <c r="AB155" s="233"/>
    </row>
    <row r="156" spans="1:28" ht="77" customHeight="1" x14ac:dyDescent="0.25">
      <c r="A156" s="260">
        <v>47015323</v>
      </c>
      <c r="B156" s="290" t="s">
        <v>423</v>
      </c>
      <c r="C156" s="233">
        <v>3</v>
      </c>
      <c r="D156" s="233" t="s">
        <v>127</v>
      </c>
      <c r="E156" s="234" t="s">
        <v>261</v>
      </c>
      <c r="F156" s="234" t="s">
        <v>422</v>
      </c>
      <c r="G156" s="235" t="str">
        <f t="shared" si="273"/>
        <v>[effect:enemy_message, val1:1.2, val2:2.6]</v>
      </c>
      <c r="H156" s="235">
        <f t="shared" si="274"/>
        <v>9</v>
      </c>
      <c r="I156" s="235">
        <f t="shared" si="275"/>
        <v>22</v>
      </c>
      <c r="J156" s="235" t="e">
        <f t="shared" si="276"/>
        <v>#VALUE!</v>
      </c>
      <c r="K156" s="235">
        <f t="shared" si="277"/>
        <v>32</v>
      </c>
      <c r="L156" s="235" t="str">
        <f>IFERROR(VLOOKUP(MID(G156,J156,K156-J156),[6]skilldef!$C:$D,2,FALSE),"-") &amp; " / " &amp; IFERROR(VLOOKUP(MID(G156,H156,I156-H156),[6]skilldef!$A:$B,2,FALSE),"-")</f>
        <v>- / -</v>
      </c>
      <c r="M156" s="235" t="str">
        <f t="shared" si="278"/>
        <v>[effect:spread, val:0.3],[effect:force_change_block, new_block:damage, target:block_heart, count:2, val:0.04, animation:change_block]</v>
      </c>
      <c r="N156" s="236" t="str">
        <f t="shared" si="303"/>
        <v>[effect:spread, val:0.3],[effect:force_change_block, new_block:damage, target:block_heart, count:2, val:0.04, animation:change_block]</v>
      </c>
      <c r="O156" s="235">
        <f t="shared" si="279"/>
        <v>9</v>
      </c>
      <c r="P156" s="235">
        <f t="shared" si="280"/>
        <v>15</v>
      </c>
      <c r="Q156" s="235">
        <f t="shared" si="281"/>
        <v>79</v>
      </c>
      <c r="R156" s="235">
        <f t="shared" si="282"/>
        <v>25</v>
      </c>
      <c r="S156" s="235" t="str">
        <f>IFERROR(VLOOKUP(MID(N156,Q156,R156-Q156),[6]skilldef!$C:$D,2,FALSE),"-") &amp; " / " &amp; IFERROR(VLOOKUP(MID(N156,O156,P156-O156),[6]skilldef!$A:$B,2,FALSE),"-")</f>
        <v>- / 全体攻撃</v>
      </c>
      <c r="T156" s="236" t="str">
        <f t="shared" si="283"/>
        <v>[effect:force_change_block, new_block:damage, target:block_heart, count:2, val:0.04, animation:change_block]</v>
      </c>
      <c r="U156" s="235">
        <f t="shared" si="284"/>
        <v>9</v>
      </c>
      <c r="V156" s="235">
        <f t="shared" si="285"/>
        <v>27</v>
      </c>
      <c r="W156" s="235">
        <f t="shared" si="286"/>
        <v>54</v>
      </c>
      <c r="X156" s="235">
        <f t="shared" si="287"/>
        <v>45</v>
      </c>
      <c r="Y156" s="235" t="str">
        <f>IFERROR(VLOOKUP(MID(T156,W156,X156-W156),[6]skilldef!$C:$D,2,FALSE),"-") &amp; " / " &amp; IFERROR(VLOOKUP(MID(T156,U156,V156-U156),[6]skilldef!$A:$B,2,FALSE),"-")</f>
        <v>- / -</v>
      </c>
      <c r="Z156" s="233"/>
      <c r="AA156" s="237"/>
      <c r="AB156" s="233"/>
    </row>
    <row r="157" spans="1:28" ht="77" customHeight="1" x14ac:dyDescent="0.25">
      <c r="A157" s="263">
        <v>47015324</v>
      </c>
      <c r="B157" s="290" t="s">
        <v>424</v>
      </c>
      <c r="C157" s="233">
        <v>3</v>
      </c>
      <c r="D157" s="233" t="s">
        <v>127</v>
      </c>
      <c r="E157" s="234" t="s">
        <v>266</v>
      </c>
      <c r="F157" s="234" t="s">
        <v>448</v>
      </c>
      <c r="G157" s="235" t="str">
        <f t="shared" si="273"/>
        <v>[effect:enemy_message, val1:1.2, val2:3.3]</v>
      </c>
      <c r="H157" s="235">
        <f t="shared" si="274"/>
        <v>9</v>
      </c>
      <c r="I157" s="235">
        <f t="shared" si="275"/>
        <v>22</v>
      </c>
      <c r="J157" s="235" t="e">
        <f t="shared" si="276"/>
        <v>#VALUE!</v>
      </c>
      <c r="K157" s="235">
        <f t="shared" si="277"/>
        <v>32</v>
      </c>
      <c r="L157" s="235" t="str">
        <f>IFERROR(VLOOKUP(MID(G157,J157,K157-J157),[6]skilldef!$C:$D,2,FALSE),"-") &amp; " / " &amp; IFERROR(VLOOKUP(MID(G157,H157,I157-H157),[6]skilldef!$A:$B,2,FALSE),"-")</f>
        <v>- / -</v>
      </c>
      <c r="M157" s="235" t="str">
        <f t="shared" si="278"/>
        <v>[effect:damage_gravity, val:0.2, animation:fevergauge_down],[effect:force_change_block, new_block:damage, target:normal, count:3, val:0.05, animation:change_block]</v>
      </c>
      <c r="N157" s="236" t="str">
        <f t="shared" ref="N157:N166" si="304">IFERROR(LEFT(M157,FIND("],",M157)+S182),M157)</f>
        <v>[effect:damage_gravity, val:0.2, animation:fevergauge_down],[effect:force_change_block, new_block:damage, target:normal, count:3, val:0.05, animation:change_block]</v>
      </c>
      <c r="O157" s="235">
        <f t="shared" si="279"/>
        <v>9</v>
      </c>
      <c r="P157" s="235">
        <f t="shared" si="280"/>
        <v>23</v>
      </c>
      <c r="Q157" s="235">
        <f t="shared" si="281"/>
        <v>114</v>
      </c>
      <c r="R157" s="235">
        <f t="shared" si="282"/>
        <v>32</v>
      </c>
      <c r="S157" s="235" t="str">
        <f>IFERROR(VLOOKUP(MID(N157,Q157,R157-Q157),[6]skilldef!$C:$D,2,FALSE),"-") &amp; " / " &amp; IFERROR(VLOOKUP(MID(N157,O157,P157-O157),[6]skilldef!$A:$B,2,FALSE),"-")</f>
        <v>- / 割合ダメージ</v>
      </c>
      <c r="T157" s="236" t="str">
        <f t="shared" si="283"/>
        <v>[effect:force_change_block, new_block:damage, target:normal, count:3, val:0.05, animation:change_block]</v>
      </c>
      <c r="U157" s="235">
        <f t="shared" si="284"/>
        <v>9</v>
      </c>
      <c r="V157" s="235">
        <f t="shared" si="285"/>
        <v>27</v>
      </c>
      <c r="W157" s="235">
        <f t="shared" si="286"/>
        <v>54</v>
      </c>
      <c r="X157" s="235">
        <f t="shared" si="287"/>
        <v>45</v>
      </c>
      <c r="Y157" s="235" t="str">
        <f>IFERROR(VLOOKUP(MID(T157,W157,X157-W157),[6]skilldef!$C:$D,2,FALSE),"-") &amp; " / " &amp; IFERROR(VLOOKUP(MID(T157,U157,V157-U157),[6]skilldef!$A:$B,2,FALSE),"-")</f>
        <v>- / -</v>
      </c>
      <c r="Z157" s="233"/>
      <c r="AA157" s="237"/>
      <c r="AB157" s="233"/>
    </row>
    <row r="158" spans="1:28" ht="77" customHeight="1" x14ac:dyDescent="0.25">
      <c r="A158" s="262">
        <v>47015330</v>
      </c>
      <c r="B158" s="290" t="s">
        <v>450</v>
      </c>
      <c r="C158" s="233">
        <v>3</v>
      </c>
      <c r="D158" s="233" t="s">
        <v>127</v>
      </c>
      <c r="E158" s="234" t="s">
        <v>275</v>
      </c>
      <c r="F158" s="234" t="s">
        <v>396</v>
      </c>
      <c r="G158" s="235" t="str">
        <f t="shared" si="273"/>
        <v>[effect:enemy_message, val1:1.4, val2:3.6]</v>
      </c>
      <c r="H158" s="235">
        <f t="shared" si="274"/>
        <v>9</v>
      </c>
      <c r="I158" s="235">
        <f t="shared" si="275"/>
        <v>22</v>
      </c>
      <c r="J158" s="235" t="e">
        <f t="shared" si="276"/>
        <v>#VALUE!</v>
      </c>
      <c r="K158" s="235">
        <f t="shared" si="277"/>
        <v>32</v>
      </c>
      <c r="L158" s="235" t="str">
        <f>IFERROR(VLOOKUP(MID(G158,J158,K158-J158),[6]skilldef!$C:$D,2,FALSE),"-") &amp; " / " &amp; IFERROR(VLOOKUP(MID(G158,H158,I158-H158),[6]skilldef!$A:$B,2,FALSE),"-")</f>
        <v>- / -</v>
      </c>
      <c r="M158" s="235" t="str">
        <f t="shared" si="278"/>
        <v>[effect:fix_speed, target:myself, turn:2],[effect:damage_gravity, val:0.2, animation:fevergauge_down],[effect:tolerance, target:myself, turn:-1, count:-1, tolerance_effect:all, animation:enemy_tolerance]</v>
      </c>
      <c r="N158" s="236" t="str">
        <f t="shared" si="304"/>
        <v>[effect:fix_speed, target:myself, turn:2],[effect:damage_gravity, val:0.2, animation:fevergauge_down],[effect:tolerance, target:myself, turn:-1, count:-1, tolerance_effect:all, animation:enemy_tolerance]</v>
      </c>
      <c r="O158" s="235">
        <f t="shared" si="279"/>
        <v>9</v>
      </c>
      <c r="P158" s="235">
        <f t="shared" si="280"/>
        <v>18</v>
      </c>
      <c r="Q158" s="235">
        <f t="shared" si="281"/>
        <v>27</v>
      </c>
      <c r="R158" s="235">
        <f t="shared" si="282"/>
        <v>33</v>
      </c>
      <c r="S158" s="235" t="str">
        <f>IFERROR(VLOOKUP(MID(N158,Q158,R158-Q158),[6]skilldef!$C:$D,2,FALSE),"-") &amp; " / " &amp; IFERROR(VLOOKUP(MID(N158,O158,P158-O158),[6]skilldef!$A:$B,2,FALSE),"-")</f>
        <v>自分自身に / 行動値設定</v>
      </c>
      <c r="T158" s="236" t="str">
        <f t="shared" si="283"/>
        <v>[effect:damage_gravity, val:0.2, animation:fevergauge_down],[effect:tolerance, target:myself, turn:-1, count:-1, tolerance_effect:all, animation:enemy_tolerance]</v>
      </c>
      <c r="U158" s="235">
        <f t="shared" si="284"/>
        <v>9</v>
      </c>
      <c r="V158" s="235">
        <f t="shared" si="285"/>
        <v>23</v>
      </c>
      <c r="W158" s="235">
        <f t="shared" si="286"/>
        <v>87</v>
      </c>
      <c r="X158" s="235">
        <f t="shared" si="287"/>
        <v>32</v>
      </c>
      <c r="Y158" s="235" t="str">
        <f>IFERROR(VLOOKUP(MID(T158,W158,X158-W158),[6]skilldef!$C:$D,2,FALSE),"-") &amp; " / " &amp; IFERROR(VLOOKUP(MID(T158,U158,V158-U158),[6]skilldef!$A:$B,2,FALSE),"-")</f>
        <v>- / 割合ダメージ</v>
      </c>
      <c r="Z158" s="233"/>
      <c r="AA158" s="237"/>
      <c r="AB158" s="233"/>
    </row>
    <row r="159" spans="1:28" ht="77" customHeight="1" x14ac:dyDescent="0.25">
      <c r="A159" s="262">
        <v>47015331</v>
      </c>
      <c r="B159" s="290" t="s">
        <v>353</v>
      </c>
      <c r="C159" s="233">
        <v>3</v>
      </c>
      <c r="D159" s="233" t="s">
        <v>127</v>
      </c>
      <c r="E159" s="234" t="s">
        <v>262</v>
      </c>
      <c r="F159" s="234" t="s">
        <v>314</v>
      </c>
      <c r="G159" s="235" t="str">
        <f t="shared" si="273"/>
        <v>[effect:enemy_message, val1:1.2, val2:1.2]</v>
      </c>
      <c r="H159" s="235">
        <f t="shared" si="274"/>
        <v>9</v>
      </c>
      <c r="I159" s="235">
        <f t="shared" si="275"/>
        <v>22</v>
      </c>
      <c r="J159" s="235" t="e">
        <f t="shared" si="276"/>
        <v>#VALUE!</v>
      </c>
      <c r="K159" s="235">
        <f t="shared" si="277"/>
        <v>32</v>
      </c>
      <c r="L159" s="235" t="str">
        <f>IFERROR(VLOOKUP(MID(G159,J159,K159-J159),[6]skilldef!$C:$D,2,FALSE),"-") &amp; " / " &amp; IFERROR(VLOOKUP(MID(G159,H159,I159-H159),[6]skilldef!$A:$B,2,FALSE),"-")</f>
        <v>- / -</v>
      </c>
      <c r="M159" s="235" t="str">
        <f t="shared" si="278"/>
        <v>[effect:break_attack, target:unit_one, val:0.2, lowest_val:1500, count:-1, color:green, block01:block_blue]</v>
      </c>
      <c r="N159" s="236" t="str">
        <f t="shared" si="304"/>
        <v>[effect:break_attack, target:unit_one, val:0.2, lowest_val:1500, count:-1, color:green, block01:block_blue]</v>
      </c>
      <c r="O159" s="235">
        <f t="shared" si="279"/>
        <v>9</v>
      </c>
      <c r="P159" s="235">
        <f t="shared" si="280"/>
        <v>21</v>
      </c>
      <c r="Q159" s="235">
        <f t="shared" si="281"/>
        <v>30</v>
      </c>
      <c r="R159" s="235">
        <f t="shared" si="282"/>
        <v>38</v>
      </c>
      <c r="S159" s="235" t="str">
        <f>IFERROR(VLOOKUP(MID(N159,Q159,R159-Q159),[6]skilldef!$C:$D,2,FALSE),"-") &amp; " / " &amp; IFERROR(VLOOKUP(MID(N159,O159,P159-O159),[6]skilldef!$A:$B,2,FALSE),"-")</f>
        <v>味方単体に / -</v>
      </c>
      <c r="T159" s="236" t="str">
        <f t="shared" si="283"/>
        <v>none</v>
      </c>
      <c r="U159" s="235" t="e">
        <f t="shared" si="284"/>
        <v>#VALUE!</v>
      </c>
      <c r="V159" s="235">
        <f t="shared" si="285"/>
        <v>4</v>
      </c>
      <c r="W159" s="235" t="e">
        <f t="shared" si="286"/>
        <v>#VALUE!</v>
      </c>
      <c r="X159" s="235" t="e">
        <f t="shared" si="287"/>
        <v>#VALUE!</v>
      </c>
      <c r="Y159" s="235" t="str">
        <f>IFERROR(VLOOKUP(MID(T159,W159,X159-W159),[6]skilldef!$C:$D,2,FALSE),"-") &amp; " / " &amp; IFERROR(VLOOKUP(MID(T159,U159,V159-U159),[6]skilldef!$A:$B,2,FALSE),"-")</f>
        <v>- / -</v>
      </c>
      <c r="Z159" s="233"/>
      <c r="AA159" s="237"/>
      <c r="AB159" s="233"/>
    </row>
    <row r="160" spans="1:28" ht="77" customHeight="1" x14ac:dyDescent="0.25">
      <c r="A160" s="262">
        <v>47015332</v>
      </c>
      <c r="B160" s="290" t="s">
        <v>392</v>
      </c>
      <c r="C160" s="233">
        <v>3</v>
      </c>
      <c r="D160" s="233" t="s">
        <v>127</v>
      </c>
      <c r="E160" s="234" t="s">
        <v>263</v>
      </c>
      <c r="F160" s="234" t="s">
        <v>286</v>
      </c>
      <c r="G160" s="235" t="str">
        <f t="shared" si="273"/>
        <v>[effect:enemy_message, val1:1.2, val2:1.8]</v>
      </c>
      <c r="H160" s="235">
        <f t="shared" si="274"/>
        <v>9</v>
      </c>
      <c r="I160" s="235">
        <f t="shared" si="275"/>
        <v>22</v>
      </c>
      <c r="J160" s="235" t="e">
        <f t="shared" si="276"/>
        <v>#VALUE!</v>
      </c>
      <c r="K160" s="235">
        <f t="shared" si="277"/>
        <v>32</v>
      </c>
      <c r="L160" s="235" t="str">
        <f>IFERROR(VLOOKUP(MID(G160,J160,K160-J160),[6]skilldef!$C:$D,2,FALSE),"-") &amp; " / " &amp; IFERROR(VLOOKUP(MID(G160,H160,I160-H160),[6]skilldef!$A:$B,2,FALSE),"-")</f>
        <v>- / -</v>
      </c>
      <c r="M160" s="235" t="str">
        <f t="shared" si="278"/>
        <v>[effect:rush, count:1, val:0.5],[effect:change_range_block, block_change:1, base_type:0, square_count:5, position01:6, position02:13, position03:16, value_h01:3, value_h02:1, value_h03:1, value_w01:3, value_w02:1, value_w03:3, new_block:green, target:block_all, ignore01:block_positive, ignore02:block_green, count:0, val:0, animation:change_range_block]</v>
      </c>
      <c r="N160" s="236" t="str">
        <f t="shared" si="304"/>
        <v>[effect:rush, count:1, val:0.5],[effect:change_range_block, block_change:1, base_type:0, square_count:5, position01:6, position02:13, position03:16, value_h01:3, value_h02:1, value_h03:1, value_w01:3, value_w02:1, value_w03:3, new_block:green, target:block_all, ignore01:block_positive, ignore02:block_green, count:0, val:0, animation:change_range_block]</v>
      </c>
      <c r="O160" s="235">
        <f t="shared" si="279"/>
        <v>9</v>
      </c>
      <c r="P160" s="235">
        <f t="shared" si="280"/>
        <v>13</v>
      </c>
      <c r="Q160" s="235">
        <f t="shared" si="281"/>
        <v>252</v>
      </c>
      <c r="R160" s="235">
        <f t="shared" si="282"/>
        <v>22</v>
      </c>
      <c r="S160" s="235" t="str">
        <f>IFERROR(VLOOKUP(MID(N160,Q160,R160-Q160),[6]skilldef!$C:$D,2,FALSE),"-") &amp; " / " &amp; IFERROR(VLOOKUP(MID(N160,O160,P160-O160),[6]skilldef!$A:$B,2,FALSE),"-")</f>
        <v>- / 連続攻撃</v>
      </c>
      <c r="T160" s="236" t="str">
        <f t="shared" si="283"/>
        <v>[effect:change_range_block, block_change:1, base_type:0, square_count:5, position01:6, position02:13, position03:16, value_h01:3, value_h02:1, value_h03:1, value_w01:3, value_w02:1, value_w03:3, new_block:green, target:block_all, ignore01:block_positive, ignore02:block_green, count:0, val:0, animation:change_range_block]</v>
      </c>
      <c r="U160" s="235">
        <f t="shared" si="284"/>
        <v>9</v>
      </c>
      <c r="V160" s="235">
        <f t="shared" si="285"/>
        <v>27</v>
      </c>
      <c r="W160" s="235">
        <f t="shared" si="286"/>
        <v>220</v>
      </c>
      <c r="X160" s="235">
        <f t="shared" si="287"/>
        <v>43</v>
      </c>
      <c r="Y160" s="235" t="str">
        <f>IFERROR(VLOOKUP(MID(T160,W160,X160-W160),[6]skilldef!$C:$D,2,FALSE),"-") &amp; " / " &amp; IFERROR(VLOOKUP(MID(T160,U160,V160-U160),[6]skilldef!$A:$B,2,FALSE),"-")</f>
        <v>- / -</v>
      </c>
      <c r="Z160" s="233"/>
      <c r="AA160" s="237"/>
      <c r="AB160" s="233"/>
    </row>
    <row r="161" spans="1:28" ht="77" customHeight="1" x14ac:dyDescent="0.25">
      <c r="A161" s="262">
        <v>47015333</v>
      </c>
      <c r="B161" s="290" t="s">
        <v>465</v>
      </c>
      <c r="C161" s="233">
        <v>3</v>
      </c>
      <c r="D161" s="233" t="s">
        <v>127</v>
      </c>
      <c r="E161" s="234" t="s">
        <v>264</v>
      </c>
      <c r="F161" s="234" t="s">
        <v>464</v>
      </c>
      <c r="G161" s="235" t="str">
        <f t="shared" si="273"/>
        <v>[effect:enemy_message, val1:1.2, val2:1.9]</v>
      </c>
      <c r="H161" s="235">
        <f t="shared" si="274"/>
        <v>9</v>
      </c>
      <c r="I161" s="235">
        <f t="shared" si="275"/>
        <v>22</v>
      </c>
      <c r="J161" s="235" t="e">
        <f t="shared" si="276"/>
        <v>#VALUE!</v>
      </c>
      <c r="K161" s="235">
        <f t="shared" si="277"/>
        <v>32</v>
      </c>
      <c r="L161" s="235" t="str">
        <f>IFERROR(VLOOKUP(MID(G161,J161,K161-J161),[6]skilldef!$C:$D,2,FALSE),"-") &amp; " / " &amp; IFERROR(VLOOKUP(MID(G161,H161,I161-H161),[6]skilldef!$A:$B,2,FALSE),"-")</f>
        <v>- / -</v>
      </c>
      <c r="M161" s="235" t="str">
        <f t="shared" si="278"/>
        <v>[effect:force_change_block, new_block:damage, target:normal, count:5, val:0.04, animation:change_block]</v>
      </c>
      <c r="N161" s="236" t="str">
        <f t="shared" si="304"/>
        <v>[effect:force_change_block, new_block:damage, target:normal, count:5, val:0.04, animation:change_block]</v>
      </c>
      <c r="O161" s="235">
        <f t="shared" si="279"/>
        <v>9</v>
      </c>
      <c r="P161" s="235">
        <f t="shared" si="280"/>
        <v>27</v>
      </c>
      <c r="Q161" s="235">
        <f t="shared" si="281"/>
        <v>54</v>
      </c>
      <c r="R161" s="235">
        <f t="shared" si="282"/>
        <v>45</v>
      </c>
      <c r="S161" s="235" t="str">
        <f>IFERROR(VLOOKUP(MID(N161,Q161,R161-Q161),[6]skilldef!$C:$D,2,FALSE),"-") &amp; " / " &amp; IFERROR(VLOOKUP(MID(N161,O161,P161-O161),[6]skilldef!$A:$B,2,FALSE),"-")</f>
        <v>- / -</v>
      </c>
      <c r="T161" s="236" t="str">
        <f t="shared" si="283"/>
        <v>none</v>
      </c>
      <c r="U161" s="235" t="e">
        <f t="shared" si="284"/>
        <v>#VALUE!</v>
      </c>
      <c r="V161" s="235">
        <f t="shared" si="285"/>
        <v>4</v>
      </c>
      <c r="W161" s="235" t="e">
        <f t="shared" si="286"/>
        <v>#VALUE!</v>
      </c>
      <c r="X161" s="235" t="e">
        <f t="shared" si="287"/>
        <v>#VALUE!</v>
      </c>
      <c r="Y161" s="235" t="str">
        <f>IFERROR(VLOOKUP(MID(T161,W161,X161-W161),[6]skilldef!$C:$D,2,FALSE),"-") &amp; " / " &amp; IFERROR(VLOOKUP(MID(T161,U161,V161-U161),[6]skilldef!$A:$B,2,FALSE),"-")</f>
        <v>- / -</v>
      </c>
      <c r="Z161" s="233"/>
      <c r="AA161" s="237"/>
      <c r="AB161" s="233"/>
    </row>
    <row r="162" spans="1:28" ht="77" customHeight="1" x14ac:dyDescent="0.25">
      <c r="A162" s="262">
        <v>47015334</v>
      </c>
      <c r="B162" s="290" t="s">
        <v>431</v>
      </c>
      <c r="C162" s="233">
        <v>3</v>
      </c>
      <c r="D162" s="233" t="s">
        <v>127</v>
      </c>
      <c r="E162" s="234" t="s">
        <v>265</v>
      </c>
      <c r="F162" s="234" t="s">
        <v>391</v>
      </c>
      <c r="G162" s="235" t="str">
        <f t="shared" si="273"/>
        <v>[effect:enemy_message, val1:1.2, val2:2.3]</v>
      </c>
      <c r="H162" s="235">
        <f t="shared" si="274"/>
        <v>9</v>
      </c>
      <c r="I162" s="235">
        <f t="shared" si="275"/>
        <v>22</v>
      </c>
      <c r="J162" s="235" t="e">
        <f t="shared" si="276"/>
        <v>#VALUE!</v>
      </c>
      <c r="K162" s="235">
        <f t="shared" si="277"/>
        <v>32</v>
      </c>
      <c r="L162" s="235" t="str">
        <f>IFERROR(VLOOKUP(MID(G162,J162,K162-J162),[6]skilldef!$C:$D,2,FALSE),"-") &amp; " / " &amp; IFERROR(VLOOKUP(MID(G162,H162,I162-H162),[6]skilldef!$A:$B,2,FALSE),"-")</f>
        <v>- / -</v>
      </c>
      <c r="M162" s="235" t="str">
        <f t="shared" si="278"/>
        <v>[effect:freq_turn, target:myself, turn:-1, val:1, animation:enemy_freq_turn],[effect:drop_block, block_type:crash, color:block_all, val:6, rate:0.1, turn:5, animation:crash_influence04]</v>
      </c>
      <c r="N162" s="236" t="str">
        <f t="shared" si="304"/>
        <v>[effect:freq_turn, target:myself, turn:-1, val:1, animation:enemy_freq_turn],[effect:drop_block, block_type:crash, color:block_all, val:6, rate:0.1, turn:5, animation:crash_influence04]</v>
      </c>
      <c r="O162" s="235">
        <f t="shared" si="279"/>
        <v>9</v>
      </c>
      <c r="P162" s="235">
        <f t="shared" si="280"/>
        <v>18</v>
      </c>
      <c r="Q162" s="235">
        <f t="shared" si="281"/>
        <v>27</v>
      </c>
      <c r="R162" s="235">
        <f t="shared" si="282"/>
        <v>33</v>
      </c>
      <c r="S162" s="235" t="str">
        <f>IFERROR(VLOOKUP(MID(N162,Q162,R162-Q162),[6]skilldef!$C:$D,2,FALSE),"-") &amp; " / " &amp; IFERROR(VLOOKUP(MID(N162,O162,P162-O162),[6]skilldef!$A:$B,2,FALSE),"-")</f>
        <v>自分自身に / 攻撃頻度がUP</v>
      </c>
      <c r="T162" s="236" t="str">
        <f t="shared" si="283"/>
        <v>[effect:drop_block, block_type:crash, color:block_all, val:6, rate:0.1, turn:5, animation:crash_influence04]</v>
      </c>
      <c r="U162" s="235">
        <f t="shared" si="284"/>
        <v>9</v>
      </c>
      <c r="V162" s="235">
        <f t="shared" si="285"/>
        <v>19</v>
      </c>
      <c r="W162" s="235" t="e">
        <f t="shared" si="286"/>
        <v>#VALUE!</v>
      </c>
      <c r="X162" s="235">
        <f t="shared" si="287"/>
        <v>37</v>
      </c>
      <c r="Y162" s="235" t="str">
        <f>IFERROR(VLOOKUP(MID(T162,W162,X162-W162),[6]skilldef!$C:$D,2,FALSE),"-") &amp; " / " &amp; IFERROR(VLOOKUP(MID(T162,U162,V162-U162),[6]skilldef!$A:$B,2,FALSE),"-")</f>
        <v>- / 特定ブロックの割合ドロップ</v>
      </c>
      <c r="Z162" s="233"/>
      <c r="AA162" s="237"/>
      <c r="AB162" s="233"/>
    </row>
    <row r="163" spans="1:28" ht="77" customHeight="1" x14ac:dyDescent="0.25">
      <c r="A163" s="260">
        <v>47015340</v>
      </c>
      <c r="B163" s="290" t="s">
        <v>432</v>
      </c>
      <c r="C163" s="233">
        <v>3</v>
      </c>
      <c r="D163" s="233" t="s">
        <v>127</v>
      </c>
      <c r="E163" s="234" t="s">
        <v>304</v>
      </c>
      <c r="F163" s="234" t="s">
        <v>449</v>
      </c>
      <c r="G163" s="235" t="str">
        <f t="shared" si="273"/>
        <v>[effect:enemy_message, val1:2.0, val2:4.9]</v>
      </c>
      <c r="H163" s="235">
        <f t="shared" si="274"/>
        <v>9</v>
      </c>
      <c r="I163" s="235">
        <f t="shared" si="275"/>
        <v>22</v>
      </c>
      <c r="J163" s="235" t="e">
        <f t="shared" si="276"/>
        <v>#VALUE!</v>
      </c>
      <c r="K163" s="235">
        <f t="shared" si="277"/>
        <v>32</v>
      </c>
      <c r="L163" s="235" t="str">
        <f>IFERROR(VLOOKUP(MID(G163,J163,K163-J163),[6]skilldef!$C:$D,2,FALSE),"-") &amp; " / " &amp; IFERROR(VLOOKUP(MID(G163,H163,I163-H163),[6]skilldef!$A:$B,2,FALSE),"-")</f>
        <v>- / -</v>
      </c>
      <c r="M163" s="235" t="str">
        <f t="shared" si="278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N163" s="236" t="str">
        <f t="shared" si="304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O163" s="235">
        <f t="shared" si="279"/>
        <v>9</v>
      </c>
      <c r="P163" s="235">
        <f t="shared" si="280"/>
        <v>18</v>
      </c>
      <c r="Q163" s="235">
        <f t="shared" si="281"/>
        <v>27</v>
      </c>
      <c r="R163" s="235">
        <f t="shared" si="282"/>
        <v>33</v>
      </c>
      <c r="S163" s="235" t="str">
        <f>IFERROR(VLOOKUP(MID(N163,Q163,R163-Q163),[6]skilldef!$C:$D,2,FALSE),"-") &amp; " / " &amp; IFERROR(VLOOKUP(MID(N163,O163,P163-O163),[6]skilldef!$A:$B,2,FALSE),"-")</f>
        <v>自分自身に / 行動値設定</v>
      </c>
      <c r="T163" s="236" t="str">
        <f t="shared" si="283"/>
        <v>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U163" s="235">
        <f t="shared" si="284"/>
        <v>9</v>
      </c>
      <c r="V163" s="235">
        <f t="shared" si="285"/>
        <v>18</v>
      </c>
      <c r="W163" s="235">
        <f t="shared" si="286"/>
        <v>27</v>
      </c>
      <c r="X163" s="235">
        <f t="shared" si="287"/>
        <v>33</v>
      </c>
      <c r="Y163" s="235" t="str">
        <f>IFERROR(VLOOKUP(MID(T163,W163,X163-W163),[6]skilldef!$C:$D,2,FALSE),"-") &amp; " / " &amp; IFERROR(VLOOKUP(MID(T163,U163,V163-U163),[6]skilldef!$A:$B,2,FALSE),"-")</f>
        <v>自分自身に / 状態異常耐性</v>
      </c>
      <c r="Z163" s="233"/>
      <c r="AA163" s="237"/>
      <c r="AB163" s="233"/>
    </row>
    <row r="164" spans="1:28" ht="77" customHeight="1" x14ac:dyDescent="0.25">
      <c r="A164" s="260">
        <v>47015341</v>
      </c>
      <c r="B164" s="290" t="s">
        <v>433</v>
      </c>
      <c r="C164" s="233">
        <v>3</v>
      </c>
      <c r="D164" s="233" t="s">
        <v>127</v>
      </c>
      <c r="E164" s="273" t="s">
        <v>276</v>
      </c>
      <c r="F164" s="271" t="s">
        <v>395</v>
      </c>
      <c r="G164" s="235" t="str">
        <f t="shared" si="273"/>
        <v>[effect:enemy_message, val1:1.2, val2:1.6]</v>
      </c>
      <c r="H164" s="235">
        <f t="shared" si="274"/>
        <v>9</v>
      </c>
      <c r="I164" s="235">
        <f t="shared" si="275"/>
        <v>22</v>
      </c>
      <c r="J164" s="235" t="e">
        <f t="shared" si="276"/>
        <v>#VALUE!</v>
      </c>
      <c r="K164" s="235">
        <f t="shared" si="277"/>
        <v>32</v>
      </c>
      <c r="L164" s="235" t="str">
        <f>IFERROR(VLOOKUP(MID(G164,J164,K164-J164),[6]skilldef!$C:$D,2,FALSE),"-") &amp; " / " &amp; IFERROR(VLOOKUP(MID(G164,H164,I164-H164),[6]skilldef!$A:$B,2,FALSE),"-")</f>
        <v>- / -</v>
      </c>
      <c r="M164" s="235" t="str">
        <f t="shared" si="278"/>
        <v>[effect:break_attack, target:unit_one, val:0.2, lowest_val:500, count:-1, color:green, block01:block_green],[effect:heal, target:myself, val:0.02, animation:enemy_heal]</v>
      </c>
      <c r="N164" s="236" t="str">
        <f t="shared" si="304"/>
        <v>[effect:break_attack, target:unit_one, val:0.2, lowest_val:500, count:-1, color:green, block01:block_green],[effect:heal, target:myself, val:0.02, animation:enemy_heal]</v>
      </c>
      <c r="O164" s="235">
        <f t="shared" si="279"/>
        <v>9</v>
      </c>
      <c r="P164" s="235">
        <f t="shared" si="280"/>
        <v>21</v>
      </c>
      <c r="Q164" s="235">
        <f t="shared" si="281"/>
        <v>30</v>
      </c>
      <c r="R164" s="235">
        <f t="shared" si="282"/>
        <v>38</v>
      </c>
      <c r="S164" s="235" t="str">
        <f>IFERROR(VLOOKUP(MID(N164,Q164,R164-Q164),[6]skilldef!$C:$D,2,FALSE),"-") &amp; " / " &amp; IFERROR(VLOOKUP(MID(N164,O164,P164-O164),[6]skilldef!$A:$B,2,FALSE),"-")</f>
        <v>味方単体に / -</v>
      </c>
      <c r="T164" s="236" t="str">
        <f t="shared" si="283"/>
        <v>[effect:heal, target:myself, val:0.02, animation:enemy_heal]</v>
      </c>
      <c r="U164" s="235">
        <f t="shared" si="284"/>
        <v>9</v>
      </c>
      <c r="V164" s="235">
        <f t="shared" si="285"/>
        <v>13</v>
      </c>
      <c r="W164" s="235">
        <f t="shared" si="286"/>
        <v>22</v>
      </c>
      <c r="X164" s="235">
        <f t="shared" si="287"/>
        <v>28</v>
      </c>
      <c r="Y164" s="235" t="str">
        <f>IFERROR(VLOOKUP(MID(T164,W164,X164-W164),[6]skilldef!$C:$D,2,FALSE),"-") &amp; " / " &amp; IFERROR(VLOOKUP(MID(T164,U164,V164-U164),[6]skilldef!$A:$B,2,FALSE),"-")</f>
        <v>自分自身に / 回復</v>
      </c>
      <c r="Z164" s="233"/>
      <c r="AA164" s="237"/>
      <c r="AB164" s="233"/>
    </row>
    <row r="165" spans="1:28" ht="77" customHeight="1" x14ac:dyDescent="0.25">
      <c r="A165" s="260">
        <v>47015342</v>
      </c>
      <c r="B165" s="290" t="s">
        <v>387</v>
      </c>
      <c r="C165" s="233">
        <v>3</v>
      </c>
      <c r="D165" s="233" t="s">
        <v>127</v>
      </c>
      <c r="E165" s="234" t="s">
        <v>366</v>
      </c>
      <c r="F165" s="271" t="s">
        <v>394</v>
      </c>
      <c r="G165" s="235" t="str">
        <f t="shared" si="273"/>
        <v>[effect:enemy_message, val1:1.3, val2:1.9]</v>
      </c>
      <c r="H165" s="235">
        <f t="shared" si="274"/>
        <v>9</v>
      </c>
      <c r="I165" s="235">
        <f t="shared" si="275"/>
        <v>22</v>
      </c>
      <c r="J165" s="235" t="e">
        <f t="shared" si="276"/>
        <v>#VALUE!</v>
      </c>
      <c r="K165" s="235">
        <f t="shared" si="277"/>
        <v>32</v>
      </c>
      <c r="L165" s="235" t="str">
        <f>IFERROR(VLOOKUP(MID(G165,J165,K165-J165),[6]skilldef!$C:$D,2,FALSE),"-") &amp; " / " &amp; IFERROR(VLOOKUP(MID(G165,H165,I165-H165),[6]skilldef!$A:$B,2,FALSE),"-")</f>
        <v>- / -</v>
      </c>
      <c r="M165" s="235" t="str">
        <f t="shared" si="278"/>
        <v>[effect:damage_abnormal, target:unit_all, val:0.07, status:virus, turn:2, val_abnormal:0.07, animation:enemy_virus]</v>
      </c>
      <c r="N165" s="236" t="str">
        <f t="shared" si="304"/>
        <v>[effect:damage_abnormal, target:unit_all, val:0.07, status:virus, turn:2, val_abnormal:0.07, animation:enemy_virus]</v>
      </c>
      <c r="O165" s="235">
        <f t="shared" si="279"/>
        <v>9</v>
      </c>
      <c r="P165" s="235">
        <f t="shared" si="280"/>
        <v>24</v>
      </c>
      <c r="Q165" s="235">
        <f t="shared" si="281"/>
        <v>33</v>
      </c>
      <c r="R165" s="235">
        <f t="shared" si="282"/>
        <v>41</v>
      </c>
      <c r="S165" s="235" t="str">
        <f>IFERROR(VLOOKUP(MID(N165,Q165,R165-Q165),[6]skilldef!$C:$D,2,FALSE),"-") &amp; " / " &amp; IFERROR(VLOOKUP(MID(N165,O165,P165-O165),[6]skilldef!$A:$B,2,FALSE),"-")</f>
        <v>味方全体に / -</v>
      </c>
      <c r="T165" s="236" t="str">
        <f t="shared" si="283"/>
        <v>none</v>
      </c>
      <c r="U165" s="235" t="e">
        <f t="shared" si="284"/>
        <v>#VALUE!</v>
      </c>
      <c r="V165" s="235">
        <f t="shared" si="285"/>
        <v>4</v>
      </c>
      <c r="W165" s="235" t="e">
        <f t="shared" si="286"/>
        <v>#VALUE!</v>
      </c>
      <c r="X165" s="235" t="e">
        <f t="shared" si="287"/>
        <v>#VALUE!</v>
      </c>
      <c r="Y165" s="235" t="str">
        <f>IFERROR(VLOOKUP(MID(T165,W165,X165-W165),[6]skilldef!$C:$D,2,FALSE),"-") &amp; " / " &amp; IFERROR(VLOOKUP(MID(T165,U165,V165-U165),[6]skilldef!$A:$B,2,FALSE),"-")</f>
        <v>- / -</v>
      </c>
      <c r="Z165" s="233"/>
      <c r="AA165" s="237"/>
      <c r="AB165" s="233"/>
    </row>
    <row r="166" spans="1:28" ht="77" customHeight="1" x14ac:dyDescent="0.25">
      <c r="A166" s="260">
        <v>47015343</v>
      </c>
      <c r="B166" s="290" t="s">
        <v>443</v>
      </c>
      <c r="C166" s="233">
        <v>3</v>
      </c>
      <c r="D166" s="233" t="s">
        <v>127</v>
      </c>
      <c r="E166" s="234" t="s">
        <v>345</v>
      </c>
      <c r="F166" s="234" t="s">
        <v>455</v>
      </c>
      <c r="G166" s="235" t="str">
        <f t="shared" si="273"/>
        <v>[effect:enemy_message, val1:1.2, val2:2.7]</v>
      </c>
      <c r="H166" s="235">
        <f t="shared" si="274"/>
        <v>9</v>
      </c>
      <c r="I166" s="235">
        <f t="shared" si="275"/>
        <v>22</v>
      </c>
      <c r="J166" s="235" t="e">
        <f t="shared" si="276"/>
        <v>#VALUE!</v>
      </c>
      <c r="K166" s="235">
        <f t="shared" si="277"/>
        <v>32</v>
      </c>
      <c r="L166" s="235" t="str">
        <f>IFERROR(VLOOKUP(MID(G166,J166,K166-J166),[6]skilldef!$C:$D,2,FALSE),"-") &amp; " / " &amp; IFERROR(VLOOKUP(MID(G166,H166,I166-H166),[6]skilldef!$A:$B,2,FALSE),"-")</f>
        <v>- / -</v>
      </c>
      <c r="M166" s="235" t="str">
        <f t="shared" si="278"/>
        <v>[effect:freq_turn, target:myself, turn:-1, val:1, animation:enemy_freq_turn],[effect:force_change_block, new_block:damage, target:normal, count:2, val:0.04, animation:change_block]</v>
      </c>
      <c r="N166" s="236" t="str">
        <f t="shared" si="304"/>
        <v>[effect:freq_turn, target:myself, turn:-1, val:1, animation:enemy_freq_turn],[effect:force_change_block, new_block:damage, target:normal, count:2, val:0.04, animation:change_block]</v>
      </c>
      <c r="O166" s="235">
        <f t="shared" si="279"/>
        <v>9</v>
      </c>
      <c r="P166" s="235">
        <f t="shared" si="280"/>
        <v>18</v>
      </c>
      <c r="Q166" s="235">
        <f t="shared" si="281"/>
        <v>27</v>
      </c>
      <c r="R166" s="235">
        <f t="shared" si="282"/>
        <v>33</v>
      </c>
      <c r="S166" s="235" t="str">
        <f>IFERROR(VLOOKUP(MID(N166,Q166,R166-Q166),[6]skilldef!$C:$D,2,FALSE),"-") &amp; " / " &amp; IFERROR(VLOOKUP(MID(N166,O166,P166-O166),[6]skilldef!$A:$B,2,FALSE),"-")</f>
        <v>自分自身に / 攻撃頻度がUP</v>
      </c>
      <c r="T166" s="236" t="str">
        <f t="shared" si="283"/>
        <v>[effect:force_change_block, new_block:damage, target:normal, count:2, val:0.04, animation:change_block]</v>
      </c>
      <c r="U166" s="235">
        <f t="shared" si="284"/>
        <v>9</v>
      </c>
      <c r="V166" s="235">
        <f t="shared" si="285"/>
        <v>27</v>
      </c>
      <c r="W166" s="235">
        <f t="shared" si="286"/>
        <v>54</v>
      </c>
      <c r="X166" s="235">
        <f t="shared" si="287"/>
        <v>45</v>
      </c>
      <c r="Y166" s="235" t="str">
        <f>IFERROR(VLOOKUP(MID(T166,W166,X166-W166),[6]skilldef!$C:$D,2,FALSE),"-") &amp; " / " &amp; IFERROR(VLOOKUP(MID(T166,U166,V166-U166),[6]skilldef!$A:$B,2,FALSE),"-")</f>
        <v>- / -</v>
      </c>
      <c r="Z166" s="233"/>
      <c r="AA166" s="237"/>
      <c r="AB166" s="233"/>
    </row>
    <row r="167" spans="1:28" s="276" customFormat="1" ht="77" customHeight="1" x14ac:dyDescent="0.25">
      <c r="A167" s="260">
        <v>47015344</v>
      </c>
      <c r="B167" s="290" t="s">
        <v>432</v>
      </c>
      <c r="C167" s="233">
        <v>3</v>
      </c>
      <c r="D167" s="274" t="s">
        <v>127</v>
      </c>
      <c r="E167" s="275" t="s">
        <v>357</v>
      </c>
      <c r="F167" s="275" t="s">
        <v>466</v>
      </c>
      <c r="G167" s="275" t="str">
        <f t="shared" si="273"/>
        <v>[effect:enemy_message, val1:2.0, val2:4.9]</v>
      </c>
      <c r="H167" s="275">
        <f t="shared" si="274"/>
        <v>9</v>
      </c>
      <c r="I167" s="275">
        <f t="shared" si="275"/>
        <v>22</v>
      </c>
      <c r="J167" s="275" t="e">
        <f t="shared" si="276"/>
        <v>#VALUE!</v>
      </c>
      <c r="K167" s="275">
        <f t="shared" si="277"/>
        <v>32</v>
      </c>
      <c r="L167" s="275" t="str">
        <f>IFERROR(VLOOKUP(MID(G167,J167,K167-J167),[6]skilldef!$C:$D,2,FALSE),"-") &amp; " / " &amp; IFERROR(VLOOKUP(MID(G167,H167,I167-H167),[6]skilldef!$A:$B,2,FALSE),"-")</f>
        <v>- / -</v>
      </c>
      <c r="M167" s="275" t="str">
        <f t="shared" si="278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N167" s="276" t="str">
        <f t="shared" ref="N167:N172" si="305">IFERROR(LEFT(M167,FIND("],",M167)+S190),M167)</f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O167" s="275">
        <f t="shared" si="279"/>
        <v>9</v>
      </c>
      <c r="P167" s="275">
        <f t="shared" si="280"/>
        <v>18</v>
      </c>
      <c r="Q167" s="275">
        <f t="shared" si="281"/>
        <v>27</v>
      </c>
      <c r="R167" s="275">
        <f t="shared" si="282"/>
        <v>33</v>
      </c>
      <c r="S167" s="275" t="str">
        <f>IFERROR(VLOOKUP(MID(N167,Q167,R167-Q167),[6]skilldef!$C:$D,2,FALSE),"-") &amp; " / " &amp; IFERROR(VLOOKUP(MID(N167,O167,P167-O167),[6]skilldef!$A:$B,2,FALSE),"-")</f>
        <v>自分自身に / 行動値設定</v>
      </c>
      <c r="T167" s="276" t="str">
        <f t="shared" si="283"/>
        <v>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U167" s="275">
        <f t="shared" si="284"/>
        <v>9</v>
      </c>
      <c r="V167" s="275">
        <f t="shared" si="285"/>
        <v>18</v>
      </c>
      <c r="W167" s="275">
        <f t="shared" si="286"/>
        <v>27</v>
      </c>
      <c r="X167" s="275">
        <f t="shared" si="287"/>
        <v>33</v>
      </c>
      <c r="Y167" s="275" t="str">
        <f>IFERROR(VLOOKUP(MID(T167,W167,X167-W167),[6]skilldef!$C:$D,2,FALSE),"-") &amp; " / " &amp; IFERROR(VLOOKUP(MID(T167,U167,V167-U167),[6]skilldef!$A:$B,2,FALSE),"-")</f>
        <v>自分自身に / 状態異常耐性</v>
      </c>
      <c r="Z167" s="274"/>
      <c r="AA167" s="277"/>
      <c r="AB167" s="274"/>
    </row>
    <row r="168" spans="1:28" s="276" customFormat="1" ht="77" customHeight="1" x14ac:dyDescent="0.25">
      <c r="A168" s="260">
        <v>47015345</v>
      </c>
      <c r="B168" s="290" t="s">
        <v>432</v>
      </c>
      <c r="C168" s="233">
        <v>3</v>
      </c>
      <c r="D168" s="274" t="s">
        <v>127</v>
      </c>
      <c r="E168" s="275" t="s">
        <v>357</v>
      </c>
      <c r="F168" s="275" t="s">
        <v>466</v>
      </c>
      <c r="G168" s="275" t="str">
        <f t="shared" si="273"/>
        <v>[effect:enemy_message, val1:2.0, val2:4.9]</v>
      </c>
      <c r="H168" s="275">
        <f t="shared" si="274"/>
        <v>9</v>
      </c>
      <c r="I168" s="275">
        <f t="shared" si="275"/>
        <v>22</v>
      </c>
      <c r="J168" s="275" t="e">
        <f t="shared" si="276"/>
        <v>#VALUE!</v>
      </c>
      <c r="K168" s="275">
        <f t="shared" si="277"/>
        <v>32</v>
      </c>
      <c r="L168" s="275" t="str">
        <f>IFERROR(VLOOKUP(MID(G168,J168,K168-J168),[6]skilldef!$C:$D,2,FALSE),"-") &amp; " / " &amp; IFERROR(VLOOKUP(MID(G168,H168,I168-H168),[6]skilldef!$A:$B,2,FALSE),"-")</f>
        <v>- / -</v>
      </c>
      <c r="M168" s="275" t="str">
        <f t="shared" si="278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N168" s="276" t="str">
        <f t="shared" si="305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O168" s="275">
        <f t="shared" si="279"/>
        <v>9</v>
      </c>
      <c r="P168" s="275">
        <f t="shared" si="280"/>
        <v>18</v>
      </c>
      <c r="Q168" s="275">
        <f t="shared" si="281"/>
        <v>27</v>
      </c>
      <c r="R168" s="275">
        <f t="shared" si="282"/>
        <v>33</v>
      </c>
      <c r="S168" s="275" t="str">
        <f>IFERROR(VLOOKUP(MID(N168,Q168,R168-Q168),[6]skilldef!$C:$D,2,FALSE),"-") &amp; " / " &amp; IFERROR(VLOOKUP(MID(N168,O168,P168-O168),[6]skilldef!$A:$B,2,FALSE),"-")</f>
        <v>自分自身に / 行動値設定</v>
      </c>
      <c r="T168" s="276" t="str">
        <f t="shared" si="283"/>
        <v>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U168" s="275">
        <f t="shared" si="284"/>
        <v>9</v>
      </c>
      <c r="V168" s="275">
        <f t="shared" si="285"/>
        <v>18</v>
      </c>
      <c r="W168" s="275">
        <f t="shared" si="286"/>
        <v>27</v>
      </c>
      <c r="X168" s="275">
        <f t="shared" si="287"/>
        <v>33</v>
      </c>
      <c r="Y168" s="275" t="str">
        <f>IFERROR(VLOOKUP(MID(T168,W168,X168-W168),[6]skilldef!$C:$D,2,FALSE),"-") &amp; " / " &amp; IFERROR(VLOOKUP(MID(T168,U168,V168-U168),[6]skilldef!$A:$B,2,FALSE),"-")</f>
        <v>自分自身に / 状態異常耐性</v>
      </c>
      <c r="Z168" s="274"/>
      <c r="AA168" s="277"/>
      <c r="AB168" s="274"/>
    </row>
    <row r="169" spans="1:28" s="276" customFormat="1" ht="77" customHeight="1" x14ac:dyDescent="0.25">
      <c r="A169" s="260">
        <v>47015346</v>
      </c>
      <c r="B169" s="290" t="s">
        <v>432</v>
      </c>
      <c r="C169" s="233">
        <v>3</v>
      </c>
      <c r="D169" s="274" t="s">
        <v>127</v>
      </c>
      <c r="E169" s="275" t="s">
        <v>321</v>
      </c>
      <c r="F169" s="275" t="s">
        <v>467</v>
      </c>
      <c r="G169" s="275" t="str">
        <f t="shared" si="273"/>
        <v>[effect:enemy_message, val1:2.0, val2:4.9]</v>
      </c>
      <c r="H169" s="275">
        <f t="shared" si="274"/>
        <v>9</v>
      </c>
      <c r="I169" s="275">
        <f t="shared" si="275"/>
        <v>22</v>
      </c>
      <c r="J169" s="275" t="e">
        <f t="shared" si="276"/>
        <v>#VALUE!</v>
      </c>
      <c r="K169" s="275">
        <f t="shared" si="277"/>
        <v>32</v>
      </c>
      <c r="L169" s="275" t="str">
        <f>IFERROR(VLOOKUP(MID(G169,J169,K169-J169),[6]skilldef!$C:$D,2,FALSE),"-") &amp; " / " &amp; IFERROR(VLOOKUP(MID(G169,H169,I169-H169),[6]skilldef!$A:$B,2,FALSE),"-")</f>
        <v>- / -</v>
      </c>
      <c r="M169" s="275" t="str">
        <f t="shared" si="278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N169" s="276" t="str">
        <f t="shared" si="305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O169" s="275">
        <f t="shared" si="279"/>
        <v>9</v>
      </c>
      <c r="P169" s="275">
        <f t="shared" si="280"/>
        <v>18</v>
      </c>
      <c r="Q169" s="275">
        <f t="shared" si="281"/>
        <v>27</v>
      </c>
      <c r="R169" s="275">
        <f t="shared" si="282"/>
        <v>33</v>
      </c>
      <c r="S169" s="275" t="str">
        <f>IFERROR(VLOOKUP(MID(N169,Q169,R169-Q169),[6]skilldef!$C:$D,2,FALSE),"-") &amp; " / " &amp; IFERROR(VLOOKUP(MID(N169,O169,P169-O169),[6]skilldef!$A:$B,2,FALSE),"-")</f>
        <v>自分自身に / 行動値設定</v>
      </c>
      <c r="T169" s="276" t="str">
        <f t="shared" si="283"/>
        <v>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U169" s="275">
        <f t="shared" si="284"/>
        <v>9</v>
      </c>
      <c r="V169" s="275">
        <f t="shared" si="285"/>
        <v>18</v>
      </c>
      <c r="W169" s="275">
        <f t="shared" si="286"/>
        <v>27</v>
      </c>
      <c r="X169" s="275">
        <f t="shared" si="287"/>
        <v>33</v>
      </c>
      <c r="Y169" s="275" t="str">
        <f>IFERROR(VLOOKUP(MID(T169,W169,X169-W169),[6]skilldef!$C:$D,2,FALSE),"-") &amp; " / " &amp; IFERROR(VLOOKUP(MID(T169,U169,V169-U169),[6]skilldef!$A:$B,2,FALSE),"-")</f>
        <v>自分自身に / 状態異常耐性</v>
      </c>
      <c r="Z169" s="274"/>
      <c r="AA169" s="277"/>
      <c r="AB169" s="274"/>
    </row>
    <row r="170" spans="1:28" s="276" customFormat="1" ht="77" customHeight="1" x14ac:dyDescent="0.25">
      <c r="A170" s="260">
        <v>47015347</v>
      </c>
      <c r="B170" s="290" t="s">
        <v>432</v>
      </c>
      <c r="C170" s="233">
        <v>3</v>
      </c>
      <c r="D170" s="274" t="s">
        <v>127</v>
      </c>
      <c r="E170" s="275" t="s">
        <v>321</v>
      </c>
      <c r="F170" s="275" t="s">
        <v>470</v>
      </c>
      <c r="G170" s="275" t="str">
        <f t="shared" si="273"/>
        <v>[effect:enemy_message, val1:2.0, val2:4.9]</v>
      </c>
      <c r="H170" s="275">
        <f t="shared" si="274"/>
        <v>9</v>
      </c>
      <c r="I170" s="275">
        <f t="shared" si="275"/>
        <v>22</v>
      </c>
      <c r="J170" s="275" t="e">
        <f t="shared" si="276"/>
        <v>#VALUE!</v>
      </c>
      <c r="K170" s="275">
        <f t="shared" si="277"/>
        <v>32</v>
      </c>
      <c r="L170" s="275" t="str">
        <f>IFERROR(VLOOKUP(MID(G170,J170,K170-J170),[6]skilldef!$C:$D,2,FALSE),"-") &amp; " / " &amp; IFERROR(VLOOKUP(MID(G170,H170,I170-H170),[6]skilldef!$A:$B,2,FALSE),"-")</f>
        <v>- / -</v>
      </c>
      <c r="M170" s="275" t="str">
        <f t="shared" si="278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N170" s="276" t="str">
        <f t="shared" si="305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O170" s="275">
        <f t="shared" si="279"/>
        <v>9</v>
      </c>
      <c r="P170" s="275">
        <f t="shared" si="280"/>
        <v>18</v>
      </c>
      <c r="Q170" s="275">
        <f t="shared" si="281"/>
        <v>27</v>
      </c>
      <c r="R170" s="275">
        <f t="shared" si="282"/>
        <v>33</v>
      </c>
      <c r="S170" s="275" t="str">
        <f>IFERROR(VLOOKUP(MID(N170,Q170,R170-Q170),[6]skilldef!$C:$D,2,FALSE),"-") &amp; " / " &amp; IFERROR(VLOOKUP(MID(N170,O170,P170-O170),[6]skilldef!$A:$B,2,FALSE),"-")</f>
        <v>自分自身に / 行動値設定</v>
      </c>
      <c r="T170" s="276" t="str">
        <f t="shared" si="283"/>
        <v>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U170" s="275">
        <f t="shared" si="284"/>
        <v>9</v>
      </c>
      <c r="V170" s="275">
        <f t="shared" si="285"/>
        <v>18</v>
      </c>
      <c r="W170" s="275">
        <f t="shared" si="286"/>
        <v>27</v>
      </c>
      <c r="X170" s="275">
        <f t="shared" si="287"/>
        <v>33</v>
      </c>
      <c r="Y170" s="275" t="str">
        <f>IFERROR(VLOOKUP(MID(T170,W170,X170-W170),[6]skilldef!$C:$D,2,FALSE),"-") &amp; " / " &amp; IFERROR(VLOOKUP(MID(T170,U170,V170-U170),[6]skilldef!$A:$B,2,FALSE),"-")</f>
        <v>自分自身に / 状態異常耐性</v>
      </c>
      <c r="Z170" s="274"/>
      <c r="AA170" s="277"/>
      <c r="AB170" s="274"/>
    </row>
    <row r="171" spans="1:28" s="276" customFormat="1" ht="77" customHeight="1" x14ac:dyDescent="0.25">
      <c r="A171" s="260">
        <v>47015348</v>
      </c>
      <c r="B171" s="290" t="s">
        <v>432</v>
      </c>
      <c r="C171" s="233">
        <v>3</v>
      </c>
      <c r="D171" s="274" t="s">
        <v>127</v>
      </c>
      <c r="E171" s="275" t="s">
        <v>324</v>
      </c>
      <c r="F171" s="275" t="s">
        <v>468</v>
      </c>
      <c r="G171" s="275" t="str">
        <f t="shared" si="273"/>
        <v>[effect:enemy_message, val1:2.0, val2:4.9]</v>
      </c>
      <c r="H171" s="275">
        <f t="shared" si="274"/>
        <v>9</v>
      </c>
      <c r="I171" s="275">
        <f t="shared" si="275"/>
        <v>22</v>
      </c>
      <c r="J171" s="275" t="e">
        <f t="shared" si="276"/>
        <v>#VALUE!</v>
      </c>
      <c r="K171" s="275">
        <f t="shared" si="277"/>
        <v>32</v>
      </c>
      <c r="L171" s="275" t="str">
        <f>IFERROR(VLOOKUP(MID(G171,J171,K171-J171),[6]skilldef!$C:$D,2,FALSE),"-") &amp; " / " &amp; IFERROR(VLOOKUP(MID(G171,H171,I171-H171),[6]skilldef!$A:$B,2,FALSE),"-")</f>
        <v>- / -</v>
      </c>
      <c r="M171" s="275" t="str">
        <f t="shared" si="278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N171" s="276" t="str">
        <f t="shared" si="305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O171" s="275">
        <f t="shared" si="279"/>
        <v>9</v>
      </c>
      <c r="P171" s="275">
        <f t="shared" si="280"/>
        <v>18</v>
      </c>
      <c r="Q171" s="275">
        <f t="shared" si="281"/>
        <v>27</v>
      </c>
      <c r="R171" s="275">
        <f t="shared" si="282"/>
        <v>33</v>
      </c>
      <c r="S171" s="275" t="str">
        <f>IFERROR(VLOOKUP(MID(N171,Q171,R171-Q171),[6]skilldef!$C:$D,2,FALSE),"-") &amp; " / " &amp; IFERROR(VLOOKUP(MID(N171,O171,P171-O171),[6]skilldef!$A:$B,2,FALSE),"-")</f>
        <v>自分自身に / 行動値設定</v>
      </c>
      <c r="T171" s="276" t="str">
        <f t="shared" si="283"/>
        <v>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U171" s="275">
        <f t="shared" si="284"/>
        <v>9</v>
      </c>
      <c r="V171" s="275">
        <f t="shared" si="285"/>
        <v>18</v>
      </c>
      <c r="W171" s="275">
        <f t="shared" si="286"/>
        <v>27</v>
      </c>
      <c r="X171" s="275">
        <f t="shared" si="287"/>
        <v>33</v>
      </c>
      <c r="Y171" s="275" t="str">
        <f>IFERROR(VLOOKUP(MID(T171,W171,X171-W171),[6]skilldef!$C:$D,2,FALSE),"-") &amp; " / " &amp; IFERROR(VLOOKUP(MID(T171,U171,V171-U171),[6]skilldef!$A:$B,2,FALSE),"-")</f>
        <v>自分自身に / 状態異常耐性</v>
      </c>
      <c r="Z171" s="274"/>
      <c r="AA171" s="277"/>
      <c r="AB171" s="274"/>
    </row>
    <row r="172" spans="1:28" s="276" customFormat="1" ht="77" customHeight="1" x14ac:dyDescent="0.25">
      <c r="A172" s="260">
        <v>47015349</v>
      </c>
      <c r="B172" s="290" t="s">
        <v>432</v>
      </c>
      <c r="C172" s="233">
        <v>3</v>
      </c>
      <c r="D172" s="274" t="s">
        <v>127</v>
      </c>
      <c r="E172" s="275" t="s">
        <v>324</v>
      </c>
      <c r="F172" s="275" t="s">
        <v>469</v>
      </c>
      <c r="G172" s="275" t="str">
        <f t="shared" si="273"/>
        <v>[effect:enemy_message, val1:2.0, val2:4.9]</v>
      </c>
      <c r="H172" s="275">
        <f t="shared" si="274"/>
        <v>9</v>
      </c>
      <c r="I172" s="275">
        <f t="shared" si="275"/>
        <v>22</v>
      </c>
      <c r="J172" s="275" t="e">
        <f t="shared" si="276"/>
        <v>#VALUE!</v>
      </c>
      <c r="K172" s="275">
        <f t="shared" si="277"/>
        <v>32</v>
      </c>
      <c r="L172" s="275" t="str">
        <f>IFERROR(VLOOKUP(MID(G172,J172,K172-J172),[6]skilldef!$C:$D,2,FALSE),"-") &amp; " / " &amp; IFERROR(VLOOKUP(MID(G172,H172,I172-H172),[6]skilldef!$A:$B,2,FALSE),"-")</f>
        <v>- / -</v>
      </c>
      <c r="M172" s="275" t="str">
        <f t="shared" si="278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N172" s="276" t="str">
        <f t="shared" si="305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O172" s="275">
        <f t="shared" si="279"/>
        <v>9</v>
      </c>
      <c r="P172" s="275">
        <f t="shared" si="280"/>
        <v>18</v>
      </c>
      <c r="Q172" s="275">
        <f t="shared" si="281"/>
        <v>27</v>
      </c>
      <c r="R172" s="275">
        <f t="shared" si="282"/>
        <v>33</v>
      </c>
      <c r="S172" s="275" t="str">
        <f>IFERROR(VLOOKUP(MID(N172,Q172,R172-Q172),[6]skilldef!$C:$D,2,FALSE),"-") &amp; " / " &amp; IFERROR(VLOOKUP(MID(N172,O172,P172-O172),[6]skilldef!$A:$B,2,FALSE),"-")</f>
        <v>自分自身に / 行動値設定</v>
      </c>
      <c r="T172" s="276" t="str">
        <f t="shared" si="283"/>
        <v>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U172" s="275">
        <f t="shared" si="284"/>
        <v>9</v>
      </c>
      <c r="V172" s="275">
        <f t="shared" si="285"/>
        <v>18</v>
      </c>
      <c r="W172" s="275">
        <f t="shared" si="286"/>
        <v>27</v>
      </c>
      <c r="X172" s="275">
        <f t="shared" si="287"/>
        <v>33</v>
      </c>
      <c r="Y172" s="275" t="str">
        <f>IFERROR(VLOOKUP(MID(T172,W172,X172-W172),[6]skilldef!$C:$D,2,FALSE),"-") &amp; " / " &amp; IFERROR(VLOOKUP(MID(T172,U172,V172-U172),[6]skilldef!$A:$B,2,FALSE),"-")</f>
        <v>自分自身に / 状態異常耐性</v>
      </c>
      <c r="Z172" s="274"/>
      <c r="AA172" s="277"/>
      <c r="AB172" s="274"/>
    </row>
    <row r="173" spans="1:28" s="276" customFormat="1" ht="77" customHeight="1" x14ac:dyDescent="0.25">
      <c r="A173" s="260">
        <v>47015350</v>
      </c>
      <c r="B173" s="290" t="s">
        <v>432</v>
      </c>
      <c r="C173" s="233">
        <v>3</v>
      </c>
      <c r="D173" s="274" t="s">
        <v>127</v>
      </c>
      <c r="E173" s="275" t="s">
        <v>324</v>
      </c>
      <c r="F173" s="275" t="s">
        <v>469</v>
      </c>
      <c r="G173" s="275" t="str">
        <f t="shared" si="273"/>
        <v>[effect:enemy_message, val1:2.0, val2:4.9]</v>
      </c>
      <c r="H173" s="275">
        <f t="shared" si="274"/>
        <v>9</v>
      </c>
      <c r="I173" s="275">
        <f t="shared" si="275"/>
        <v>22</v>
      </c>
      <c r="J173" s="275" t="e">
        <f t="shared" si="276"/>
        <v>#VALUE!</v>
      </c>
      <c r="K173" s="275">
        <f t="shared" si="277"/>
        <v>32</v>
      </c>
      <c r="L173" s="275" t="str">
        <f>IFERROR(VLOOKUP(MID(G173,J173,K173-J173),[6]skilldef!$C:$D,2,FALSE),"-") &amp; " / " &amp; IFERROR(VLOOKUP(MID(G173,H173,I173-H173),[6]skilldef!$A:$B,2,FALSE),"-")</f>
        <v>- / -</v>
      </c>
      <c r="M173" s="275" t="str">
        <f t="shared" si="278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N173" s="276" t="str">
        <f t="shared" ref="N173:N181" si="306">IFERROR(LEFT(M173,FIND("],",M173)+S212),M173)</f>
        <v>[effect:fix_speed, target:myself, turn:2]</v>
      </c>
      <c r="O173" s="275">
        <f t="shared" si="279"/>
        <v>9</v>
      </c>
      <c r="P173" s="275">
        <f t="shared" si="280"/>
        <v>18</v>
      </c>
      <c r="Q173" s="275">
        <f t="shared" si="281"/>
        <v>27</v>
      </c>
      <c r="R173" s="275">
        <f t="shared" si="282"/>
        <v>33</v>
      </c>
      <c r="S173" s="275" t="str">
        <f>IFERROR(VLOOKUP(MID(N173,Q173,R173-Q173),[6]skilldef!$C:$D,2,FALSE),"-") &amp; " / " &amp; IFERROR(VLOOKUP(MID(N173,O173,P173-O173),[6]skilldef!$A:$B,2,FALSE),"-")</f>
        <v>自分自身に / 行動値設定</v>
      </c>
      <c r="T173" s="276" t="str">
        <f t="shared" si="283"/>
        <v>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U173" s="275">
        <f t="shared" si="284"/>
        <v>9</v>
      </c>
      <c r="V173" s="275">
        <f t="shared" si="285"/>
        <v>18</v>
      </c>
      <c r="W173" s="275">
        <f t="shared" si="286"/>
        <v>27</v>
      </c>
      <c r="X173" s="275">
        <f t="shared" si="287"/>
        <v>33</v>
      </c>
      <c r="Y173" s="275" t="str">
        <f>IFERROR(VLOOKUP(MID(T173,W173,X173-W173),[6]skilldef!$C:$D,2,FALSE),"-") &amp; " / " &amp; IFERROR(VLOOKUP(MID(T173,U173,V173-U173),[6]skilldef!$A:$B,2,FALSE),"-")</f>
        <v>自分自身に / 状態異常耐性</v>
      </c>
      <c r="Z173" s="274"/>
      <c r="AA173" s="277"/>
      <c r="AB173" s="274"/>
    </row>
    <row r="174" spans="1:28" s="276" customFormat="1" ht="77" customHeight="1" x14ac:dyDescent="0.25">
      <c r="A174" s="260">
        <v>47015351</v>
      </c>
      <c r="B174" s="290" t="s">
        <v>432</v>
      </c>
      <c r="C174" s="233">
        <v>3</v>
      </c>
      <c r="D174" s="274" t="s">
        <v>127</v>
      </c>
      <c r="E174" s="275" t="s">
        <v>324</v>
      </c>
      <c r="F174" s="275" t="s">
        <v>469</v>
      </c>
      <c r="G174" s="275" t="str">
        <f t="shared" si="273"/>
        <v>[effect:enemy_message, val1:2.0, val2:4.9]</v>
      </c>
      <c r="H174" s="275">
        <f t="shared" si="274"/>
        <v>9</v>
      </c>
      <c r="I174" s="275">
        <f t="shared" si="275"/>
        <v>22</v>
      </c>
      <c r="J174" s="275" t="e">
        <f t="shared" si="276"/>
        <v>#VALUE!</v>
      </c>
      <c r="K174" s="275">
        <f t="shared" si="277"/>
        <v>32</v>
      </c>
      <c r="L174" s="275" t="str">
        <f>IFERROR(VLOOKUP(MID(G174,J174,K174-J174),[6]skilldef!$C:$D,2,FALSE),"-") &amp; " / " &amp; IFERROR(VLOOKUP(MID(G174,H174,I174-H174),[6]skilldef!$A:$B,2,FALSE),"-")</f>
        <v>- / -</v>
      </c>
      <c r="M174" s="275" t="str">
        <f t="shared" si="278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N174" s="276" t="str">
        <f t="shared" si="306"/>
        <v>[effect:fix_speed, target:myself, turn:2]</v>
      </c>
      <c r="O174" s="275">
        <f t="shared" si="279"/>
        <v>9</v>
      </c>
      <c r="P174" s="275">
        <f t="shared" si="280"/>
        <v>18</v>
      </c>
      <c r="Q174" s="275">
        <f t="shared" si="281"/>
        <v>27</v>
      </c>
      <c r="R174" s="275">
        <f t="shared" si="282"/>
        <v>33</v>
      </c>
      <c r="S174" s="275" t="str">
        <f>IFERROR(VLOOKUP(MID(N174,Q174,R174-Q174),[6]skilldef!$C:$D,2,FALSE),"-") &amp; " / " &amp; IFERROR(VLOOKUP(MID(N174,O174,P174-O174),[6]skilldef!$A:$B,2,FALSE),"-")</f>
        <v>自分自身に / 行動値設定</v>
      </c>
      <c r="T174" s="276" t="str">
        <f t="shared" si="283"/>
        <v>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U174" s="275">
        <f t="shared" si="284"/>
        <v>9</v>
      </c>
      <c r="V174" s="275">
        <f t="shared" si="285"/>
        <v>18</v>
      </c>
      <c r="W174" s="275">
        <f t="shared" si="286"/>
        <v>27</v>
      </c>
      <c r="X174" s="275">
        <f t="shared" si="287"/>
        <v>33</v>
      </c>
      <c r="Y174" s="275" t="str">
        <f>IFERROR(VLOOKUP(MID(T174,W174,X174-W174),[6]skilldef!$C:$D,2,FALSE),"-") &amp; " / " &amp; IFERROR(VLOOKUP(MID(T174,U174,V174-U174),[6]skilldef!$A:$B,2,FALSE),"-")</f>
        <v>自分自身に / 状態異常耐性</v>
      </c>
      <c r="Z174" s="274"/>
      <c r="AA174" s="277"/>
      <c r="AB174" s="274"/>
    </row>
    <row r="175" spans="1:28" s="276" customFormat="1" ht="77" customHeight="1" x14ac:dyDescent="0.25">
      <c r="A175" s="260">
        <v>47015352</v>
      </c>
      <c r="B175" s="290" t="s">
        <v>432</v>
      </c>
      <c r="C175" s="233">
        <v>3</v>
      </c>
      <c r="D175" s="274" t="s">
        <v>127</v>
      </c>
      <c r="E175" s="275" t="s">
        <v>324</v>
      </c>
      <c r="F175" s="275" t="s">
        <v>469</v>
      </c>
      <c r="G175" s="275" t="str">
        <f t="shared" si="273"/>
        <v>[effect:enemy_message, val1:2.0, val2:4.9]</v>
      </c>
      <c r="H175" s="275">
        <f t="shared" si="274"/>
        <v>9</v>
      </c>
      <c r="I175" s="275">
        <f t="shared" si="275"/>
        <v>22</v>
      </c>
      <c r="J175" s="275" t="e">
        <f t="shared" si="276"/>
        <v>#VALUE!</v>
      </c>
      <c r="K175" s="275">
        <f t="shared" si="277"/>
        <v>32</v>
      </c>
      <c r="L175" s="275" t="str">
        <f>IFERROR(VLOOKUP(MID(G175,J175,K175-J175),[6]skilldef!$C:$D,2,FALSE),"-") &amp; " / " &amp; IFERROR(VLOOKUP(MID(G175,H175,I175-H175),[6]skilldef!$A:$B,2,FALSE),"-")</f>
        <v>- / -</v>
      </c>
      <c r="M175" s="275" t="str">
        <f t="shared" si="278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N175" s="276" t="str">
        <f t="shared" si="306"/>
        <v>[effect:fix_speed, target:myself, turn:2]</v>
      </c>
      <c r="O175" s="275">
        <f t="shared" si="279"/>
        <v>9</v>
      </c>
      <c r="P175" s="275">
        <f t="shared" si="280"/>
        <v>18</v>
      </c>
      <c r="Q175" s="275">
        <f t="shared" si="281"/>
        <v>27</v>
      </c>
      <c r="R175" s="275">
        <f t="shared" si="282"/>
        <v>33</v>
      </c>
      <c r="S175" s="275" t="str">
        <f>IFERROR(VLOOKUP(MID(N175,Q175,R175-Q175),[6]skilldef!$C:$D,2,FALSE),"-") &amp; " / " &amp; IFERROR(VLOOKUP(MID(N175,O175,P175-O175),[6]skilldef!$A:$B,2,FALSE),"-")</f>
        <v>自分自身に / 行動値設定</v>
      </c>
      <c r="T175" s="276" t="str">
        <f t="shared" si="283"/>
        <v>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U175" s="275">
        <f t="shared" si="284"/>
        <v>9</v>
      </c>
      <c r="V175" s="275">
        <f t="shared" si="285"/>
        <v>18</v>
      </c>
      <c r="W175" s="275">
        <f t="shared" si="286"/>
        <v>27</v>
      </c>
      <c r="X175" s="275">
        <f t="shared" si="287"/>
        <v>33</v>
      </c>
      <c r="Y175" s="275" t="str">
        <f>IFERROR(VLOOKUP(MID(T175,W175,X175-W175),[6]skilldef!$C:$D,2,FALSE),"-") &amp; " / " &amp; IFERROR(VLOOKUP(MID(T175,U175,V175-U175),[6]skilldef!$A:$B,2,FALSE),"-")</f>
        <v>自分自身に / 状態異常耐性</v>
      </c>
      <c r="Z175" s="274"/>
      <c r="AA175" s="277"/>
      <c r="AB175" s="274"/>
    </row>
    <row r="176" spans="1:28" s="276" customFormat="1" ht="77" customHeight="1" x14ac:dyDescent="0.25">
      <c r="A176" s="260">
        <v>47015353</v>
      </c>
      <c r="B176" s="290" t="s">
        <v>432</v>
      </c>
      <c r="C176" s="233">
        <v>3</v>
      </c>
      <c r="D176" s="274" t="s">
        <v>127</v>
      </c>
      <c r="E176" s="275" t="s">
        <v>324</v>
      </c>
      <c r="F176" s="275" t="s">
        <v>469</v>
      </c>
      <c r="G176" s="275" t="str">
        <f t="shared" si="273"/>
        <v>[effect:enemy_message, val1:2.0, val2:4.9]</v>
      </c>
      <c r="H176" s="275">
        <f t="shared" si="274"/>
        <v>9</v>
      </c>
      <c r="I176" s="275">
        <f t="shared" si="275"/>
        <v>22</v>
      </c>
      <c r="J176" s="275" t="e">
        <f t="shared" si="276"/>
        <v>#VALUE!</v>
      </c>
      <c r="K176" s="275">
        <f t="shared" si="277"/>
        <v>32</v>
      </c>
      <c r="L176" s="275" t="str">
        <f>IFERROR(VLOOKUP(MID(G176,J176,K176-J176),[6]skilldef!$C:$D,2,FALSE),"-") &amp; " / " &amp; IFERROR(VLOOKUP(MID(G176,H176,I176-H176),[6]skilldef!$A:$B,2,FALSE),"-")</f>
        <v>- / -</v>
      </c>
      <c r="M176" s="275" t="str">
        <f t="shared" si="278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N176" s="276" t="str">
        <f t="shared" si="306"/>
        <v>[effect:fix_speed, target:myself, turn:2]</v>
      </c>
      <c r="O176" s="275">
        <f t="shared" si="279"/>
        <v>9</v>
      </c>
      <c r="P176" s="275">
        <f t="shared" si="280"/>
        <v>18</v>
      </c>
      <c r="Q176" s="275">
        <f t="shared" si="281"/>
        <v>27</v>
      </c>
      <c r="R176" s="275">
        <f t="shared" si="282"/>
        <v>33</v>
      </c>
      <c r="S176" s="275" t="str">
        <f>IFERROR(VLOOKUP(MID(N176,Q176,R176-Q176),[6]skilldef!$C:$D,2,FALSE),"-") &amp; " / " &amp; IFERROR(VLOOKUP(MID(N176,O176,P176-O176),[6]skilldef!$A:$B,2,FALSE),"-")</f>
        <v>自分自身に / 行動値設定</v>
      </c>
      <c r="T176" s="276" t="str">
        <f t="shared" si="283"/>
        <v>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U176" s="275">
        <f t="shared" si="284"/>
        <v>9</v>
      </c>
      <c r="V176" s="275">
        <f t="shared" si="285"/>
        <v>18</v>
      </c>
      <c r="W176" s="275">
        <f t="shared" si="286"/>
        <v>27</v>
      </c>
      <c r="X176" s="275">
        <f t="shared" si="287"/>
        <v>33</v>
      </c>
      <c r="Y176" s="275" t="str">
        <f>IFERROR(VLOOKUP(MID(T176,W176,X176-W176),[6]skilldef!$C:$D,2,FALSE),"-") &amp; " / " &amp; IFERROR(VLOOKUP(MID(T176,U176,V176-U176),[6]skilldef!$A:$B,2,FALSE),"-")</f>
        <v>自分自身に / 状態異常耐性</v>
      </c>
      <c r="Z176" s="274"/>
      <c r="AA176" s="277"/>
      <c r="AB176" s="274"/>
    </row>
    <row r="177" spans="1:28" s="276" customFormat="1" ht="77" customHeight="1" x14ac:dyDescent="0.25">
      <c r="A177" s="260">
        <v>47015354</v>
      </c>
      <c r="B177" s="290" t="s">
        <v>432</v>
      </c>
      <c r="C177" s="233">
        <v>3</v>
      </c>
      <c r="D177" s="274" t="s">
        <v>127</v>
      </c>
      <c r="E177" s="275" t="s">
        <v>324</v>
      </c>
      <c r="F177" s="275" t="s">
        <v>469</v>
      </c>
      <c r="G177" s="275" t="str">
        <f t="shared" si="273"/>
        <v>[effect:enemy_message, val1:2.0, val2:4.9]</v>
      </c>
      <c r="H177" s="275">
        <f t="shared" si="274"/>
        <v>9</v>
      </c>
      <c r="I177" s="275">
        <f t="shared" si="275"/>
        <v>22</v>
      </c>
      <c r="J177" s="275" t="e">
        <f t="shared" si="276"/>
        <v>#VALUE!</v>
      </c>
      <c r="K177" s="275">
        <f t="shared" si="277"/>
        <v>32</v>
      </c>
      <c r="L177" s="275" t="str">
        <f>IFERROR(VLOOKUP(MID(G177,J177,K177-J177),[6]skilldef!$C:$D,2,FALSE),"-") &amp; " / " &amp; IFERROR(VLOOKUP(MID(G177,H177,I177-H177),[6]skilldef!$A:$B,2,FALSE),"-")</f>
        <v>- / -</v>
      </c>
      <c r="M177" s="275" t="str">
        <f t="shared" si="278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N177" s="276" t="str">
        <f t="shared" si="306"/>
        <v>[effect:fix_speed, target:myself, turn:2]</v>
      </c>
      <c r="O177" s="275">
        <f t="shared" si="279"/>
        <v>9</v>
      </c>
      <c r="P177" s="275">
        <f t="shared" si="280"/>
        <v>18</v>
      </c>
      <c r="Q177" s="275">
        <f t="shared" si="281"/>
        <v>27</v>
      </c>
      <c r="R177" s="275">
        <f t="shared" si="282"/>
        <v>33</v>
      </c>
      <c r="S177" s="275" t="str">
        <f>IFERROR(VLOOKUP(MID(N177,Q177,R177-Q177),[6]skilldef!$C:$D,2,FALSE),"-") &amp; " / " &amp; IFERROR(VLOOKUP(MID(N177,O177,P177-O177),[6]skilldef!$A:$B,2,FALSE),"-")</f>
        <v>自分自身に / 行動値設定</v>
      </c>
      <c r="T177" s="276" t="str">
        <f t="shared" si="283"/>
        <v>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U177" s="275">
        <f t="shared" si="284"/>
        <v>9</v>
      </c>
      <c r="V177" s="275">
        <f t="shared" si="285"/>
        <v>18</v>
      </c>
      <c r="W177" s="275">
        <f t="shared" si="286"/>
        <v>27</v>
      </c>
      <c r="X177" s="275">
        <f t="shared" si="287"/>
        <v>33</v>
      </c>
      <c r="Y177" s="275" t="str">
        <f>IFERROR(VLOOKUP(MID(T177,W177,X177-W177),[6]skilldef!$C:$D,2,FALSE),"-") &amp; " / " &amp; IFERROR(VLOOKUP(MID(T177,U177,V177-U177),[6]skilldef!$A:$B,2,FALSE),"-")</f>
        <v>自分自身に / 状態異常耐性</v>
      </c>
      <c r="Z177" s="274"/>
      <c r="AA177" s="277"/>
      <c r="AB177" s="274"/>
    </row>
    <row r="178" spans="1:28" s="276" customFormat="1" ht="77" customHeight="1" x14ac:dyDescent="0.25">
      <c r="A178" s="260">
        <v>47015355</v>
      </c>
      <c r="B178" s="290" t="s">
        <v>432</v>
      </c>
      <c r="C178" s="233">
        <v>3</v>
      </c>
      <c r="D178" s="274" t="s">
        <v>127</v>
      </c>
      <c r="E178" s="275" t="s">
        <v>358</v>
      </c>
      <c r="F178" s="275" t="s">
        <v>471</v>
      </c>
      <c r="G178" s="275" t="str">
        <f t="shared" si="273"/>
        <v>[effect:enemy_message, val1:2.0, val2:4.9]</v>
      </c>
      <c r="H178" s="275">
        <f t="shared" si="274"/>
        <v>9</v>
      </c>
      <c r="I178" s="275">
        <f t="shared" si="275"/>
        <v>22</v>
      </c>
      <c r="J178" s="275" t="e">
        <f t="shared" si="276"/>
        <v>#VALUE!</v>
      </c>
      <c r="K178" s="275">
        <f t="shared" si="277"/>
        <v>32</v>
      </c>
      <c r="L178" s="275" t="str">
        <f>IFERROR(VLOOKUP(MID(G178,J178,K178-J178),[6]skilldef!$C:$D,2,FALSE),"-") &amp; " / " &amp; IFERROR(VLOOKUP(MID(G178,H178,I178-H178),[6]skilldef!$A:$B,2,FALSE),"-")</f>
        <v>- / -</v>
      </c>
      <c r="M178" s="275" t="str">
        <f t="shared" si="278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N178" s="276" t="str">
        <f t="shared" si="306"/>
        <v>[effect:fix_speed, target:myself, turn:2]</v>
      </c>
      <c r="O178" s="275">
        <f t="shared" si="279"/>
        <v>9</v>
      </c>
      <c r="P178" s="275">
        <f t="shared" si="280"/>
        <v>18</v>
      </c>
      <c r="Q178" s="275">
        <f t="shared" si="281"/>
        <v>27</v>
      </c>
      <c r="R178" s="275">
        <f t="shared" si="282"/>
        <v>33</v>
      </c>
      <c r="S178" s="275" t="str">
        <f>IFERROR(VLOOKUP(MID(N178,Q178,R178-Q178),[6]skilldef!$C:$D,2,FALSE),"-") &amp; " / " &amp; IFERROR(VLOOKUP(MID(N178,O178,P178-O178),[6]skilldef!$A:$B,2,FALSE),"-")</f>
        <v>自分自身に / 行動値設定</v>
      </c>
      <c r="T178" s="276" t="str">
        <f t="shared" si="283"/>
        <v>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U178" s="275">
        <f t="shared" si="284"/>
        <v>9</v>
      </c>
      <c r="V178" s="275">
        <f t="shared" si="285"/>
        <v>18</v>
      </c>
      <c r="W178" s="275">
        <f t="shared" si="286"/>
        <v>27</v>
      </c>
      <c r="X178" s="275">
        <f t="shared" si="287"/>
        <v>33</v>
      </c>
      <c r="Y178" s="275" t="str">
        <f>IFERROR(VLOOKUP(MID(T178,W178,X178-W178),[6]skilldef!$C:$D,2,FALSE),"-") &amp; " / " &amp; IFERROR(VLOOKUP(MID(T178,U178,V178-U178),[6]skilldef!$A:$B,2,FALSE),"-")</f>
        <v>自分自身に / 状態異常耐性</v>
      </c>
      <c r="Z178" s="274"/>
      <c r="AA178" s="277"/>
      <c r="AB178" s="274"/>
    </row>
    <row r="179" spans="1:28" s="276" customFormat="1" ht="77" customHeight="1" x14ac:dyDescent="0.25">
      <c r="A179" s="260">
        <v>47015356</v>
      </c>
      <c r="B179" s="290" t="s">
        <v>432</v>
      </c>
      <c r="C179" s="233">
        <v>3</v>
      </c>
      <c r="D179" s="274" t="s">
        <v>127</v>
      </c>
      <c r="E179" s="275" t="s">
        <v>358</v>
      </c>
      <c r="F179" s="275" t="s">
        <v>471</v>
      </c>
      <c r="G179" s="275" t="str">
        <f t="shared" si="273"/>
        <v>[effect:enemy_message, val1:2.0, val2:4.9]</v>
      </c>
      <c r="H179" s="275">
        <f t="shared" si="274"/>
        <v>9</v>
      </c>
      <c r="I179" s="275">
        <f t="shared" si="275"/>
        <v>22</v>
      </c>
      <c r="J179" s="275" t="e">
        <f t="shared" si="276"/>
        <v>#VALUE!</v>
      </c>
      <c r="K179" s="275">
        <f t="shared" si="277"/>
        <v>32</v>
      </c>
      <c r="L179" s="275" t="str">
        <f>IFERROR(VLOOKUP(MID(G179,J179,K179-J179),[6]skilldef!$C:$D,2,FALSE),"-") &amp; " / " &amp; IFERROR(VLOOKUP(MID(G179,H179,I179-H179),[6]skilldef!$A:$B,2,FALSE),"-")</f>
        <v>- / -</v>
      </c>
      <c r="M179" s="275" t="str">
        <f t="shared" si="278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N179" s="276" t="str">
        <f t="shared" si="306"/>
        <v>[effect:fix_speed, target:myself, turn:2]</v>
      </c>
      <c r="O179" s="275">
        <f t="shared" si="279"/>
        <v>9</v>
      </c>
      <c r="P179" s="275">
        <f t="shared" si="280"/>
        <v>18</v>
      </c>
      <c r="Q179" s="275">
        <f t="shared" si="281"/>
        <v>27</v>
      </c>
      <c r="R179" s="275">
        <f t="shared" si="282"/>
        <v>33</v>
      </c>
      <c r="S179" s="275" t="str">
        <f>IFERROR(VLOOKUP(MID(N179,Q179,R179-Q179),[6]skilldef!$C:$D,2,FALSE),"-") &amp; " / " &amp; IFERROR(VLOOKUP(MID(N179,O179,P179-O179),[6]skilldef!$A:$B,2,FALSE),"-")</f>
        <v>自分自身に / 行動値設定</v>
      </c>
      <c r="T179" s="276" t="str">
        <f t="shared" si="283"/>
        <v>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U179" s="275">
        <f t="shared" si="284"/>
        <v>9</v>
      </c>
      <c r="V179" s="275">
        <f t="shared" si="285"/>
        <v>18</v>
      </c>
      <c r="W179" s="275">
        <f t="shared" si="286"/>
        <v>27</v>
      </c>
      <c r="X179" s="275">
        <f t="shared" si="287"/>
        <v>33</v>
      </c>
      <c r="Y179" s="275" t="str">
        <f>IFERROR(VLOOKUP(MID(T179,W179,X179-W179),[6]skilldef!$C:$D,2,FALSE),"-") &amp; " / " &amp; IFERROR(VLOOKUP(MID(T179,U179,V179-U179),[6]skilldef!$A:$B,2,FALSE),"-")</f>
        <v>自分自身に / 状態異常耐性</v>
      </c>
      <c r="Z179" s="274"/>
      <c r="AA179" s="277"/>
      <c r="AB179" s="274"/>
    </row>
    <row r="180" spans="1:28" s="276" customFormat="1" ht="77" customHeight="1" x14ac:dyDescent="0.25">
      <c r="A180" s="260">
        <v>47015357</v>
      </c>
      <c r="B180" s="290" t="s">
        <v>432</v>
      </c>
      <c r="C180" s="233">
        <v>3</v>
      </c>
      <c r="D180" s="274" t="s">
        <v>127</v>
      </c>
      <c r="E180" s="275" t="s">
        <v>358</v>
      </c>
      <c r="F180" s="275" t="s">
        <v>471</v>
      </c>
      <c r="G180" s="275" t="str">
        <f t="shared" ref="G180:G181" si="307">IFERROR(LEFT(B180,FIND("],",B180)),B180)</f>
        <v>[effect:enemy_message, val1:2.0, val2:4.9]</v>
      </c>
      <c r="H180" s="275">
        <f t="shared" ref="H180:H181" si="308">FIND("effect:",G180)+7</f>
        <v>9</v>
      </c>
      <c r="I180" s="275">
        <f t="shared" ref="I180:I181" si="309">IFERROR(FIND(",",G180),LEN(G180))</f>
        <v>22</v>
      </c>
      <c r="J180" s="275" t="e">
        <f t="shared" ref="J180:J181" si="310">FIND("target:",G180)+7</f>
        <v>#VALUE!</v>
      </c>
      <c r="K180" s="275">
        <f t="shared" ref="K180:K181" si="311">FIND(",",G180,I180+1)</f>
        <v>32</v>
      </c>
      <c r="L180" s="275" t="str">
        <f>IFERROR(VLOOKUP(MID(G180,J180,K180-J180),[6]skilldef!$C:$D,2,FALSE),"-") &amp; " / " &amp; IFERROR(VLOOKUP(MID(G180,H180,I180-H180),[6]skilldef!$A:$B,2,FALSE),"-")</f>
        <v>- / -</v>
      </c>
      <c r="M180" s="275" t="str">
        <f t="shared" ref="M180:M181" si="312">IFERROR(RIGHT(B180,LEN(B180)-FIND("],",B180)-1),"none")</f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N180" s="276" t="str">
        <f t="shared" si="306"/>
        <v>[effect:fix_speed, target:myself, turn:2]</v>
      </c>
      <c r="O180" s="275">
        <f t="shared" ref="O180:O181" si="313">FIND("effect:",N180)+7</f>
        <v>9</v>
      </c>
      <c r="P180" s="275">
        <f t="shared" ref="P180:P181" si="314">IFERROR(FIND(",",N180),LEN(N180))</f>
        <v>18</v>
      </c>
      <c r="Q180" s="275">
        <f t="shared" ref="Q180:Q181" si="315">FIND("target:",N180)+7</f>
        <v>27</v>
      </c>
      <c r="R180" s="275">
        <f t="shared" ref="R180:R181" si="316">FIND(",",N180,P180+1)</f>
        <v>33</v>
      </c>
      <c r="S180" s="275" t="str">
        <f>IFERROR(VLOOKUP(MID(N180,Q180,R180-Q180),[6]skilldef!$C:$D,2,FALSE),"-") &amp; " / " &amp; IFERROR(VLOOKUP(MID(N180,O180,P180-O180),[6]skilldef!$A:$B,2,FALSE),"-")</f>
        <v>自分自身に / 行動値設定</v>
      </c>
      <c r="T180" s="276" t="str">
        <f t="shared" ref="T180:T181" si="317">IFERROR(RIGHT(M180,LEN(M180)-FIND("],",M180)-1),"none")</f>
        <v>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U180" s="275">
        <f t="shared" ref="U180:U181" si="318">FIND("effect:",T180)+7</f>
        <v>9</v>
      </c>
      <c r="V180" s="275">
        <f t="shared" ref="V180:V181" si="319">IFERROR(FIND(",",T180),LEN(T180))</f>
        <v>18</v>
      </c>
      <c r="W180" s="275">
        <f t="shared" ref="W180:W181" si="320">FIND("target:",T180)+7</f>
        <v>27</v>
      </c>
      <c r="X180" s="275">
        <f t="shared" ref="X180:X181" si="321">FIND(",",T180,V180+1)</f>
        <v>33</v>
      </c>
      <c r="Y180" s="275" t="str">
        <f>IFERROR(VLOOKUP(MID(T180,W180,X180-W180),[6]skilldef!$C:$D,2,FALSE),"-") &amp; " / " &amp; IFERROR(VLOOKUP(MID(T180,U180,V180-U180),[6]skilldef!$A:$B,2,FALSE),"-")</f>
        <v>自分自身に / 状態異常耐性</v>
      </c>
      <c r="Z180" s="274"/>
      <c r="AA180" s="277"/>
      <c r="AB180" s="274"/>
    </row>
    <row r="181" spans="1:28" s="276" customFormat="1" ht="77" customHeight="1" x14ac:dyDescent="0.25">
      <c r="A181" s="260">
        <v>47015358</v>
      </c>
      <c r="B181" s="290" t="s">
        <v>432</v>
      </c>
      <c r="C181" s="233">
        <v>3</v>
      </c>
      <c r="D181" s="274" t="s">
        <v>127</v>
      </c>
      <c r="E181" s="275" t="s">
        <v>358</v>
      </c>
      <c r="F181" s="275" t="s">
        <v>471</v>
      </c>
      <c r="G181" s="275" t="str">
        <f t="shared" si="307"/>
        <v>[effect:enemy_message, val1:2.0, val2:4.9]</v>
      </c>
      <c r="H181" s="275">
        <f t="shared" si="308"/>
        <v>9</v>
      </c>
      <c r="I181" s="275">
        <f t="shared" si="309"/>
        <v>22</v>
      </c>
      <c r="J181" s="275" t="e">
        <f t="shared" si="310"/>
        <v>#VALUE!</v>
      </c>
      <c r="K181" s="275">
        <f t="shared" si="311"/>
        <v>32</v>
      </c>
      <c r="L181" s="275" t="str">
        <f>IFERROR(VLOOKUP(MID(G181,J181,K181-J181),[6]skilldef!$C:$D,2,FALSE),"-") &amp; " / " &amp; IFERROR(VLOOKUP(MID(G181,H181,I181-H181),[6]skilldef!$A:$B,2,FALSE),"-")</f>
        <v>- / -</v>
      </c>
      <c r="M181" s="275" t="str">
        <f t="shared" si="312"/>
        <v>[effect:fix_speed, target:myself, turn:2],[effect:tolerance,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N181" s="276" t="str">
        <f t="shared" si="306"/>
        <v>[effect:fix_speed, target:myself, turn:2]</v>
      </c>
      <c r="O181" s="275">
        <f t="shared" si="313"/>
        <v>9</v>
      </c>
      <c r="P181" s="275">
        <f t="shared" si="314"/>
        <v>18</v>
      </c>
      <c r="Q181" s="275">
        <f t="shared" si="315"/>
        <v>27</v>
      </c>
      <c r="R181" s="275">
        <f t="shared" si="316"/>
        <v>33</v>
      </c>
      <c r="S181" s="275" t="str">
        <f>IFERROR(VLOOKUP(MID(N181,Q181,R181-Q181),[6]skilldef!$C:$D,2,FALSE),"-") &amp; " / " &amp; IFERROR(VLOOKUP(MID(N181,O181,P181-O181),[6]skilldef!$A:$B,2,FALSE),"-")</f>
        <v>自分自身に / 行動値設定</v>
      </c>
      <c r="T181" s="276" t="str">
        <f t="shared" si="317"/>
        <v>[effect:tolerance, target:myself, turn:-1, count:-1, tolerance_effect:all, animation:enemy_tolerance],[effect:enhance_enemy, target:myself, turn:6, status:attack, val:0.5, calc:mul, animation:enemy_enhance_attack],[effect:attack_break, target:unit_all, turn:6, val:0.5, calc:mul, animation:attack_break02]</v>
      </c>
      <c r="U181" s="275">
        <f t="shared" si="318"/>
        <v>9</v>
      </c>
      <c r="V181" s="275">
        <f t="shared" si="319"/>
        <v>18</v>
      </c>
      <c r="W181" s="275">
        <f t="shared" si="320"/>
        <v>27</v>
      </c>
      <c r="X181" s="275">
        <f t="shared" si="321"/>
        <v>33</v>
      </c>
      <c r="Y181" s="275" t="str">
        <f>IFERROR(VLOOKUP(MID(T181,W181,X181-W181),[6]skilldef!$C:$D,2,FALSE),"-") &amp; " / " &amp; IFERROR(VLOOKUP(MID(T181,U181,V181-U181),[6]skilldef!$A:$B,2,FALSE),"-")</f>
        <v>自分自身に / 状態異常耐性</v>
      </c>
      <c r="Z181" s="274"/>
      <c r="AA181" s="277"/>
      <c r="AB181" s="274"/>
    </row>
    <row r="182" spans="1:28" ht="77" customHeight="1" x14ac:dyDescent="0.25">
      <c r="A182" s="262">
        <v>47015360</v>
      </c>
      <c r="B182" s="290" t="s">
        <v>498</v>
      </c>
      <c r="C182" s="233">
        <v>3</v>
      </c>
      <c r="D182" s="233" t="s">
        <v>127</v>
      </c>
      <c r="E182" s="234" t="s">
        <v>268</v>
      </c>
      <c r="F182" s="234" t="s">
        <v>425</v>
      </c>
      <c r="G182" s="235" t="str">
        <f t="shared" si="273"/>
        <v>[effect:enemy_message, val1:1.2, val2:4.5]</v>
      </c>
      <c r="H182" s="235">
        <f t="shared" si="274"/>
        <v>9</v>
      </c>
      <c r="I182" s="235">
        <f t="shared" si="275"/>
        <v>22</v>
      </c>
      <c r="J182" s="235" t="e">
        <f t="shared" si="276"/>
        <v>#VALUE!</v>
      </c>
      <c r="K182" s="235">
        <f t="shared" si="277"/>
        <v>32</v>
      </c>
      <c r="L182" s="235" t="str">
        <f>IFERROR(VLOOKUP(MID(G182,J182,K182-J182),[6]skilldef!$C:$D,2,FALSE),"-") &amp; " / " &amp; IFERROR(VLOOKUP(MID(G182,H182,I182-H182),[6]skilldef!$A:$B,2,FALSE),"-")</f>
        <v>- / -</v>
      </c>
      <c r="M182" s="235" t="str">
        <f t="shared" si="278"/>
        <v>[effect:fix_speed, target:myself, turn:1],[effect:tolerance, target:myself, turn:-1, count:-1, tolerance_effect:all, animation:enemy_tolerance],[effect:force_change_block, new_block:damage, target:normal, count:5, val:0.04, animation:change_block],[effect:drop_block, block_type:crash, color:block_all, val:6, rate:0.1, turn:5, animation:crash_influence04]</v>
      </c>
      <c r="N182" s="236" t="str">
        <f t="shared" ref="N182:N185" si="322">IFERROR(LEFT(M182,FIND("],",M182)+S192),M182)</f>
        <v>[effect:fix_speed, target:myself, turn:1],[effect:tolerance, target:myself, turn:-1, count:-1, tolerance_effect:all, animation:enemy_tolerance],[effect:force_change_block, new_block:damage, target:normal, count:5, val:0.04, animation:change_block],[effect:drop_block, block_type:crash, color:block_all, val:6, rate:0.1, turn:5, animation:crash_influence04]</v>
      </c>
      <c r="O182" s="235">
        <f t="shared" si="279"/>
        <v>9</v>
      </c>
      <c r="P182" s="235">
        <f t="shared" si="280"/>
        <v>18</v>
      </c>
      <c r="Q182" s="235">
        <f t="shared" si="281"/>
        <v>27</v>
      </c>
      <c r="R182" s="235">
        <f t="shared" si="282"/>
        <v>33</v>
      </c>
      <c r="S182" s="235" t="str">
        <f>IFERROR(VLOOKUP(MID(N182,Q182,R182-Q182),[6]skilldef!$C:$D,2,FALSE),"-") &amp; " / " &amp; IFERROR(VLOOKUP(MID(N182,O182,P182-O182),[6]skilldef!$A:$B,2,FALSE),"-")</f>
        <v>自分自身に / 行動値設定</v>
      </c>
      <c r="T182" s="236" t="str">
        <f t="shared" si="283"/>
        <v>[effect:tolerance, target:myself, turn:-1, count:-1, tolerance_effect:all, animation:enemy_tolerance],[effect:force_change_block, new_block:damage, target:normal, count:5, val:0.04, animation:change_block],[effect:drop_block, block_type:crash, color:block_all, val:6, rate:0.1, turn:5, animation:crash_influence04]</v>
      </c>
      <c r="U182" s="235">
        <f t="shared" si="284"/>
        <v>9</v>
      </c>
      <c r="V182" s="235">
        <f t="shared" si="285"/>
        <v>18</v>
      </c>
      <c r="W182" s="235">
        <f t="shared" si="286"/>
        <v>27</v>
      </c>
      <c r="X182" s="235">
        <f t="shared" si="287"/>
        <v>33</v>
      </c>
      <c r="Y182" s="235" t="str">
        <f>IFERROR(VLOOKUP(MID(T182,W182,X182-W182),[6]skilldef!$C:$D,2,FALSE),"-") &amp; " / " &amp; IFERROR(VLOOKUP(MID(T182,U182,V182-U182),[6]skilldef!$A:$B,2,FALSE),"-")</f>
        <v>自分自身に / 状態異常耐性</v>
      </c>
      <c r="Z182" s="233"/>
      <c r="AA182" s="237"/>
      <c r="AB182" s="233"/>
    </row>
    <row r="183" spans="1:28" ht="77" customHeight="1" x14ac:dyDescent="0.25">
      <c r="A183" s="262">
        <v>47015361</v>
      </c>
      <c r="B183" s="290" t="s">
        <v>388</v>
      </c>
      <c r="C183" s="233">
        <v>3</v>
      </c>
      <c r="D183" s="233" t="s">
        <v>127</v>
      </c>
      <c r="E183" s="234" t="s">
        <v>269</v>
      </c>
      <c r="F183" s="234" t="s">
        <v>336</v>
      </c>
      <c r="G183" s="235" t="str">
        <f t="shared" si="273"/>
        <v>[effect:enemy_message, val1:1.2, val2:1.2]</v>
      </c>
      <c r="H183" s="235">
        <f t="shared" si="274"/>
        <v>9</v>
      </c>
      <c r="I183" s="235">
        <f t="shared" si="275"/>
        <v>22</v>
      </c>
      <c r="J183" s="235" t="e">
        <f t="shared" si="276"/>
        <v>#VALUE!</v>
      </c>
      <c r="K183" s="235">
        <f t="shared" si="277"/>
        <v>32</v>
      </c>
      <c r="L183" s="235" t="str">
        <f>IFERROR(VLOOKUP(MID(G183,J183,K183-J183),[6]skilldef!$C:$D,2,FALSE),"-") &amp; " / " &amp; IFERROR(VLOOKUP(MID(G183,H183,I183-H183),[6]skilldef!$A:$B,2,FALSE),"-")</f>
        <v>- / -</v>
      </c>
      <c r="M183" s="235" t="str">
        <f t="shared" si="278"/>
        <v>[effect:spread, val:0.3]</v>
      </c>
      <c r="N183" s="236" t="str">
        <f t="shared" si="322"/>
        <v>[effect:spread, val:0.3]</v>
      </c>
      <c r="O183" s="235">
        <f t="shared" si="279"/>
        <v>9</v>
      </c>
      <c r="P183" s="235">
        <f t="shared" si="280"/>
        <v>15</v>
      </c>
      <c r="Q183" s="235" t="e">
        <f t="shared" si="281"/>
        <v>#VALUE!</v>
      </c>
      <c r="R183" s="235" t="e">
        <f t="shared" si="282"/>
        <v>#VALUE!</v>
      </c>
      <c r="S183" s="235" t="str">
        <f>IFERROR(VLOOKUP(MID(N183,Q183,R183-Q183),[6]skilldef!$C:$D,2,FALSE),"-") &amp; " / " &amp; IFERROR(VLOOKUP(MID(N183,O183,P183-O183),[6]skilldef!$A:$B,2,FALSE),"-")</f>
        <v>- / 全体攻撃</v>
      </c>
      <c r="T183" s="236" t="str">
        <f t="shared" si="283"/>
        <v>none</v>
      </c>
      <c r="U183" s="235" t="e">
        <f t="shared" si="284"/>
        <v>#VALUE!</v>
      </c>
      <c r="V183" s="235">
        <f t="shared" si="285"/>
        <v>4</v>
      </c>
      <c r="W183" s="235" t="e">
        <f t="shared" si="286"/>
        <v>#VALUE!</v>
      </c>
      <c r="X183" s="235" t="e">
        <f t="shared" si="287"/>
        <v>#VALUE!</v>
      </c>
      <c r="Y183" s="235" t="str">
        <f>IFERROR(VLOOKUP(MID(T183,W183,X183-W183),[6]skilldef!$C:$D,2,FALSE),"-") &amp; " / " &amp; IFERROR(VLOOKUP(MID(T183,U183,V183-U183),[6]skilldef!$A:$B,2,FALSE),"-")</f>
        <v>- / -</v>
      </c>
      <c r="Z183" s="233"/>
      <c r="AA183" s="237"/>
      <c r="AB183" s="233"/>
    </row>
    <row r="184" spans="1:28" ht="77" customHeight="1" x14ac:dyDescent="0.25">
      <c r="A184" s="262">
        <v>47015362</v>
      </c>
      <c r="B184" s="290" t="s">
        <v>473</v>
      </c>
      <c r="C184" s="233">
        <v>3</v>
      </c>
      <c r="D184" s="233" t="s">
        <v>127</v>
      </c>
      <c r="E184" s="234" t="s">
        <v>277</v>
      </c>
      <c r="F184" s="234" t="s">
        <v>426</v>
      </c>
      <c r="G184" s="235" t="str">
        <f t="shared" si="273"/>
        <v>[effect:enemy_message, val1:1.4, val2:3.3]</v>
      </c>
      <c r="H184" s="235">
        <f t="shared" si="274"/>
        <v>9</v>
      </c>
      <c r="I184" s="235">
        <f t="shared" si="275"/>
        <v>22</v>
      </c>
      <c r="J184" s="235" t="e">
        <f t="shared" si="276"/>
        <v>#VALUE!</v>
      </c>
      <c r="K184" s="235">
        <f t="shared" si="277"/>
        <v>32</v>
      </c>
      <c r="L184" s="235" t="str">
        <f>IFERROR(VLOOKUP(MID(G184,J184,K184-J184),[6]skilldef!$C:$D,2,FALSE),"-") &amp; " / " &amp; IFERROR(VLOOKUP(MID(G184,H184,I184-H184),[6]skilldef!$A:$B,2,FALSE),"-")</f>
        <v>- / -</v>
      </c>
      <c r="M184" s="235" t="str">
        <f t="shared" si="278"/>
        <v>[effect:break_attack, target:unit_one, val:0.05, lowest_val:1500, count:-1, color:green, block01:crash],[effect:force_change_block, new_block:damage, target:block_all, ignore01:block_positive, ignore02:damage, count:1, val:0.04, animation:change_block]</v>
      </c>
      <c r="N184" s="236" t="str">
        <f t="shared" si="322"/>
        <v>[effect:break_attack, target:unit_one, val:0.05, lowest_val:1500, count:-1, color:green, block01:crash],[effect:force_change_block, new_block:damage, target:block_all, ignore01:block_positive, ignore02:damage, count:1, val:0.04, animation:change_block]</v>
      </c>
      <c r="O184" s="235">
        <f t="shared" si="279"/>
        <v>9</v>
      </c>
      <c r="P184" s="235">
        <f t="shared" si="280"/>
        <v>21</v>
      </c>
      <c r="Q184" s="235">
        <f t="shared" si="281"/>
        <v>30</v>
      </c>
      <c r="R184" s="235">
        <f t="shared" si="282"/>
        <v>38</v>
      </c>
      <c r="S184" s="235" t="str">
        <f>IFERROR(VLOOKUP(MID(N184,Q184,R184-Q184),[6]skilldef!$C:$D,2,FALSE),"-") &amp; " / " &amp; IFERROR(VLOOKUP(MID(N184,O184,P184-O184),[6]skilldef!$A:$B,2,FALSE),"-")</f>
        <v>味方単体に / -</v>
      </c>
      <c r="T184" s="236" t="str">
        <f t="shared" si="283"/>
        <v>[effect:force_change_block, new_block:damage, target:block_all, ignore01:block_positive, ignore02:damage, count:1, val:0.04, animation:change_block]</v>
      </c>
      <c r="U184" s="235">
        <f t="shared" si="284"/>
        <v>9</v>
      </c>
      <c r="V184" s="235">
        <f t="shared" si="285"/>
        <v>27</v>
      </c>
      <c r="W184" s="235">
        <f t="shared" si="286"/>
        <v>54</v>
      </c>
      <c r="X184" s="235">
        <f t="shared" si="287"/>
        <v>45</v>
      </c>
      <c r="Y184" s="235" t="str">
        <f>IFERROR(VLOOKUP(MID(T184,W184,X184-W184),[6]skilldef!$C:$D,2,FALSE),"-") &amp; " / " &amp; IFERROR(VLOOKUP(MID(T184,U184,V184-U184),[6]skilldef!$A:$B,2,FALSE),"-")</f>
        <v>- / -</v>
      </c>
      <c r="Z184" s="233"/>
      <c r="AA184" s="237"/>
      <c r="AB184" s="233"/>
    </row>
    <row r="185" spans="1:28" ht="77" customHeight="1" x14ac:dyDescent="0.25">
      <c r="A185" s="262">
        <v>47015363</v>
      </c>
      <c r="B185" s="290" t="s">
        <v>444</v>
      </c>
      <c r="C185" s="233">
        <v>3</v>
      </c>
      <c r="D185" s="233" t="s">
        <v>127</v>
      </c>
      <c r="E185" s="234" t="s">
        <v>344</v>
      </c>
      <c r="F185" s="234" t="s">
        <v>427</v>
      </c>
      <c r="G185" s="235" t="str">
        <f t="shared" si="273"/>
        <v>[effect:enemy_message, val1:1.2, val2:3.4]</v>
      </c>
      <c r="H185" s="235">
        <f t="shared" si="274"/>
        <v>9</v>
      </c>
      <c r="I185" s="235">
        <f t="shared" si="275"/>
        <v>22</v>
      </c>
      <c r="J185" s="235" t="e">
        <f t="shared" si="276"/>
        <v>#VALUE!</v>
      </c>
      <c r="K185" s="235">
        <f t="shared" si="277"/>
        <v>32</v>
      </c>
      <c r="L185" s="235" t="str">
        <f>IFERROR(VLOOKUP(MID(G185,J185,K185-J185),[6]skilldef!$C:$D,2,FALSE),"-") &amp; " / " &amp; IFERROR(VLOOKUP(MID(G185,H185,I185-H185),[6]skilldef!$A:$B,2,FALSE),"-")</f>
        <v>- / -</v>
      </c>
      <c r="M185" s="235" t="str">
        <f t="shared" si="278"/>
        <v xml:space="preserve">[effect:break_heal_ratio, target:myself, val:0.01, lowest_val:2000, count:-1, block01:block_heart, animation:enemy_heal],[effect:degrade_unit, target:unit_all, turn:4, status:heal, val:0.20, calc:mul, animation:degrade_unit_all_heal]    </v>
      </c>
      <c r="N185" s="236" t="str">
        <f t="shared" si="322"/>
        <v xml:space="preserve">[effect:break_heal_ratio, target:myself, val:0.01, lowest_val:2000, count:-1, block01:block_heart, animation:enemy_heal],[effect:degrade_unit, target:unit_all, turn:4, status:heal, val:0.20, calc:mul, animation:degrade_unit_all_heal]    </v>
      </c>
      <c r="O185" s="235">
        <f t="shared" si="279"/>
        <v>9</v>
      </c>
      <c r="P185" s="235">
        <f t="shared" si="280"/>
        <v>25</v>
      </c>
      <c r="Q185" s="235">
        <f t="shared" si="281"/>
        <v>34</v>
      </c>
      <c r="R185" s="235">
        <f t="shared" si="282"/>
        <v>40</v>
      </c>
      <c r="S185" s="235" t="str">
        <f>IFERROR(VLOOKUP(MID(N185,Q185,R185-Q185),[6]skilldef!$C:$D,2,FALSE),"-") &amp; " / " &amp; IFERROR(VLOOKUP(MID(N185,O185,P185-O185),[6]skilldef!$A:$B,2,FALSE),"-")</f>
        <v>自分自身に / -</v>
      </c>
      <c r="T185" s="236" t="str">
        <f t="shared" si="283"/>
        <v xml:space="preserve">[effect:degrade_unit, target:unit_all, turn:4, status:heal, val:0.20, calc:mul, animation:degrade_unit_all_heal]    </v>
      </c>
      <c r="U185" s="235">
        <f t="shared" si="284"/>
        <v>9</v>
      </c>
      <c r="V185" s="235">
        <f t="shared" si="285"/>
        <v>21</v>
      </c>
      <c r="W185" s="235">
        <f t="shared" si="286"/>
        <v>30</v>
      </c>
      <c r="X185" s="235">
        <f t="shared" si="287"/>
        <v>38</v>
      </c>
      <c r="Y185" s="235" t="str">
        <f>IFERROR(VLOOKUP(MID(T185,W185,X185-W185),[6]skilldef!$C:$D,2,FALSE),"-") &amp; " / " &amp; IFERROR(VLOOKUP(MID(T185,U185,V185-U185),[6]skilldef!$A:$B,2,FALSE),"-")</f>
        <v>味方全体に / ステータスDOWN</v>
      </c>
      <c r="Z185" s="233"/>
      <c r="AA185" s="237"/>
      <c r="AB185" s="233"/>
    </row>
    <row r="186" spans="1:28" ht="77" customHeight="1" x14ac:dyDescent="0.25">
      <c r="A186" s="262">
        <v>47015364</v>
      </c>
      <c r="B186" s="290" t="s">
        <v>445</v>
      </c>
      <c r="C186" s="233">
        <v>3</v>
      </c>
      <c r="D186" s="233" t="s">
        <v>127</v>
      </c>
      <c r="E186" s="234" t="s">
        <v>267</v>
      </c>
      <c r="F186" s="234" t="s">
        <v>414</v>
      </c>
      <c r="G186" s="235" t="str">
        <f t="shared" si="273"/>
        <v>[effect:enemy_message, val1:1.2, val2:2.7]</v>
      </c>
      <c r="H186" s="235">
        <f t="shared" si="274"/>
        <v>9</v>
      </c>
      <c r="I186" s="235">
        <f t="shared" si="275"/>
        <v>22</v>
      </c>
      <c r="J186" s="235" t="e">
        <f t="shared" si="276"/>
        <v>#VALUE!</v>
      </c>
      <c r="K186" s="235">
        <f t="shared" si="277"/>
        <v>32</v>
      </c>
      <c r="L186" s="235" t="str">
        <f>IFERROR(VLOOKUP(MID(G186,J186,K186-J186),[6]skilldef!$C:$D,2,FALSE),"-") &amp; " / " &amp; IFERROR(VLOOKUP(MID(G186,H186,I186-H186),[6]skilldef!$A:$B,2,FALSE),"-")</f>
        <v>- / -</v>
      </c>
      <c r="M186" s="235" t="str">
        <f t="shared" si="278"/>
        <v>[effect:enhance_enemy, target:myself, turn:1, status:defense, val:1500, calc:add, animation:enemy_enhance_defense],[effect:enemy_counter, target:myself, invoke_condition:unit_all, counter_target:attacker, turn:1, val:0.3, animation:enemy_counter]</v>
      </c>
      <c r="N186" s="236" t="str">
        <f t="shared" ref="N186:N197" si="323">IFERROR(LEFT(M186,FIND("],",M186)+S212),M186)</f>
        <v>[effect:enhance_enemy, target:myself, turn:1, status:defense, val:1500, calc:add, animation:enemy_enhance_defense]</v>
      </c>
      <c r="O186" s="235">
        <f t="shared" si="279"/>
        <v>9</v>
      </c>
      <c r="P186" s="235">
        <f t="shared" si="280"/>
        <v>22</v>
      </c>
      <c r="Q186" s="235">
        <f t="shared" si="281"/>
        <v>31</v>
      </c>
      <c r="R186" s="235">
        <f t="shared" si="282"/>
        <v>37</v>
      </c>
      <c r="S186" s="235" t="str">
        <f>IFERROR(VLOOKUP(MID(N186,Q186,R186-Q186),[6]skilldef!$C:$D,2,FALSE),"-") &amp; " / " &amp; IFERROR(VLOOKUP(MID(N186,O186,P186-O186),[6]skilldef!$A:$B,2,FALSE),"-")</f>
        <v>自分自身に / ステータス強化</v>
      </c>
      <c r="T186" s="236" t="str">
        <f t="shared" si="283"/>
        <v>[effect:enemy_counter, target:myself, invoke_condition:unit_all, counter_target:attacker, turn:1, val:0.3, animation:enemy_counter]</v>
      </c>
      <c r="U186" s="235">
        <f t="shared" si="284"/>
        <v>9</v>
      </c>
      <c r="V186" s="235">
        <f t="shared" si="285"/>
        <v>22</v>
      </c>
      <c r="W186" s="235">
        <f t="shared" si="286"/>
        <v>31</v>
      </c>
      <c r="X186" s="235">
        <f t="shared" si="287"/>
        <v>37</v>
      </c>
      <c r="Y186" s="235" t="str">
        <f>IFERROR(VLOOKUP(MID(T186,W186,X186-W186),[6]skilldef!$C:$D,2,FALSE),"-") &amp; " / " &amp; IFERROR(VLOOKUP(MID(T186,U186,V186-U186),[6]skilldef!$A:$B,2,FALSE),"-")</f>
        <v>自分自身に / カウンター</v>
      </c>
      <c r="Z186" s="233"/>
      <c r="AA186" s="237"/>
      <c r="AB186" s="233"/>
    </row>
    <row r="187" spans="1:28" ht="77" customHeight="1" x14ac:dyDescent="0.25">
      <c r="A187" s="262">
        <v>47015365</v>
      </c>
      <c r="B187" s="290" t="s">
        <v>478</v>
      </c>
      <c r="C187" s="233">
        <v>3</v>
      </c>
      <c r="D187" s="233" t="s">
        <v>127</v>
      </c>
      <c r="E187" s="234" t="s">
        <v>306</v>
      </c>
      <c r="F187" s="234" t="s">
        <v>428</v>
      </c>
      <c r="G187" s="235" t="str">
        <f t="shared" si="273"/>
        <v>[effect:enemy_message, val1:1.2, val2:4.7]</v>
      </c>
      <c r="H187" s="235">
        <f t="shared" si="274"/>
        <v>9</v>
      </c>
      <c r="I187" s="235">
        <f t="shared" si="275"/>
        <v>22</v>
      </c>
      <c r="J187" s="235" t="e">
        <f t="shared" si="276"/>
        <v>#VALUE!</v>
      </c>
      <c r="K187" s="235">
        <f t="shared" si="277"/>
        <v>32</v>
      </c>
      <c r="L187" s="235" t="str">
        <f>IFERROR(VLOOKUP(MID(G187,J187,K187-J187),[6]skilldef!$C:$D,2,FALSE),"-") &amp; " / " &amp; IFERROR(VLOOKUP(MID(G187,H187,I187-H187),[6]skilldef!$A:$B,2,FALSE),"-")</f>
        <v>- / -</v>
      </c>
      <c r="M187" s="235" t="str">
        <f t="shared" si="278"/>
        <v>[effect:dark, target:unit_all, turn:2, animation:enemy_dark],[effect:change_bomb_range, target:unit_all, val:0.5, rate:1, turn:10, animation:bomb_small],[effect:force_change_block, new_block:damage, target:block_all, ignore01:block_positive, ignore02:damage, count:2, val:0.04, animation:change_block]</v>
      </c>
      <c r="N187" s="236" t="str">
        <f t="shared" si="323"/>
        <v>[effect:dark, target:unit_all, turn:2, animation:enemy_dark]</v>
      </c>
      <c r="O187" s="235">
        <f t="shared" si="279"/>
        <v>9</v>
      </c>
      <c r="P187" s="235">
        <f t="shared" si="280"/>
        <v>13</v>
      </c>
      <c r="Q187" s="235">
        <f t="shared" si="281"/>
        <v>22</v>
      </c>
      <c r="R187" s="235">
        <f t="shared" si="282"/>
        <v>30</v>
      </c>
      <c r="S187" s="235" t="str">
        <f>IFERROR(VLOOKUP(MID(N187,Q187,R187-Q187),[6]skilldef!$C:$D,2,FALSE),"-") &amp; " / " &amp; IFERROR(VLOOKUP(MID(N187,O187,P187-O187),[6]skilldef!$A:$B,2,FALSE),"-")</f>
        <v>味方全体に / 暗黒</v>
      </c>
      <c r="T187" s="236" t="str">
        <f t="shared" si="283"/>
        <v>[effect:change_bomb_range, target:unit_all, val:0.5, rate:1, turn:10, animation:bomb_small],[effect:force_change_block, new_block:damage, target:block_all, ignore01:block_positive, ignore02:damage, count:2, val:0.04, animation:change_block]</v>
      </c>
      <c r="U187" s="235">
        <f t="shared" si="284"/>
        <v>9</v>
      </c>
      <c r="V187" s="235">
        <f t="shared" si="285"/>
        <v>26</v>
      </c>
      <c r="W187" s="235">
        <f t="shared" si="286"/>
        <v>35</v>
      </c>
      <c r="X187" s="235">
        <f t="shared" si="287"/>
        <v>43</v>
      </c>
      <c r="Y187" s="235" t="str">
        <f>IFERROR(VLOOKUP(MID(T187,W187,X187-W187),[6]skilldef!$C:$D,2,FALSE),"-") &amp; " / " &amp; IFERROR(VLOOKUP(MID(T187,U187,V187-U187),[6]skilldef!$A:$B,2,FALSE),"-")</f>
        <v>味方全体に / -</v>
      </c>
      <c r="Z187" s="233"/>
      <c r="AA187" s="237"/>
      <c r="AB187" s="233"/>
    </row>
    <row r="188" spans="1:28" ht="134" customHeight="1" x14ac:dyDescent="0.25">
      <c r="A188" s="198">
        <v>47015370</v>
      </c>
      <c r="B188" s="288" t="s">
        <v>500</v>
      </c>
      <c r="C188" s="233">
        <v>3</v>
      </c>
      <c r="D188" s="233" t="s">
        <v>127</v>
      </c>
      <c r="E188" s="234" t="s">
        <v>359</v>
      </c>
      <c r="F188" s="234" t="s">
        <v>499</v>
      </c>
      <c r="G188" s="235" t="str">
        <f t="shared" si="273"/>
        <v>[effect:enemy_message, val1:2.8, val2:6.4]</v>
      </c>
      <c r="H188" s="235">
        <f t="shared" si="274"/>
        <v>9</v>
      </c>
      <c r="I188" s="235">
        <f t="shared" si="275"/>
        <v>22</v>
      </c>
      <c r="J188" s="235" t="e">
        <f t="shared" si="276"/>
        <v>#VALUE!</v>
      </c>
      <c r="K188" s="235">
        <f t="shared" si="277"/>
        <v>32</v>
      </c>
      <c r="L188" s="235" t="str">
        <f>IFERROR(VLOOKUP(MID(G188,J188,K188-J188),[6]skilldef!$C:$D,2,FALSE),"-") &amp; " / " &amp; IFERROR(VLOOKUP(MID(G188,H188,I188-H188),[6]skilldef!$A:$B,2,FALSE),"-")</f>
        <v>- / -</v>
      </c>
      <c r="M188" s="235" t="str">
        <f t="shared" si="278"/>
        <v>[effect:fix_speed, target:myself, turn:1],[effect:change_range_block, block_change:1, base_type:0, square_count:3, position01:3, position02:5, position03:7, value_h01:1.0, value_h02:1.0, value_h03:1.0, value_w01:1.0, value_w02:1.0, value_w03:1.0, new_block:block_heart, target:block_all, ignore01:block_positive, ignore02:block_heart, count:0, val:0, animation:change_range_block],[effect:remove_enhancement, target:unit_all, target_effect:all, target_type:debuff, animation:frozen_wave],[effect:enhance_fever, val:333, animation:fevergauge_up03]</v>
      </c>
      <c r="N188" s="236" t="str">
        <f t="shared" si="323"/>
        <v>[effect:fix_speed, target:myself, turn:1]</v>
      </c>
      <c r="O188" s="235">
        <f t="shared" si="279"/>
        <v>9</v>
      </c>
      <c r="P188" s="235">
        <f t="shared" si="280"/>
        <v>18</v>
      </c>
      <c r="Q188" s="235">
        <f t="shared" si="281"/>
        <v>27</v>
      </c>
      <c r="R188" s="235">
        <f t="shared" si="282"/>
        <v>33</v>
      </c>
      <c r="S188" s="235" t="str">
        <f>IFERROR(VLOOKUP(MID(N188,Q188,R188-Q188),[6]skilldef!$C:$D,2,FALSE),"-") &amp; " / " &amp; IFERROR(VLOOKUP(MID(N188,O188,P188-O188),[6]skilldef!$A:$B,2,FALSE),"-")</f>
        <v>自分自身に / 行動値設定</v>
      </c>
      <c r="T188" s="236" t="str">
        <f t="shared" si="283"/>
        <v>[effect:change_range_block, block_change:1, base_type:0, square_count:3, position01:3, position02:5, position03:7, value_h01:1.0, value_h02:1.0, value_h03:1.0, value_w01:1.0, value_w02:1.0, value_w03:1.0, new_block:block_heart, target:block_all, ignore01:block_positive, ignore02:block_heart, count:0, val:0, animation:change_range_block],[effect:remove_enhancement, target:unit_all, target_effect:all, target_type:debuff, animation:frozen_wave],[effect:enhance_fever, val:333, animation:fevergauge_up03]</v>
      </c>
      <c r="U188" s="235">
        <f t="shared" si="284"/>
        <v>9</v>
      </c>
      <c r="V188" s="235">
        <f t="shared" si="285"/>
        <v>27</v>
      </c>
      <c r="W188" s="235">
        <f t="shared" si="286"/>
        <v>236</v>
      </c>
      <c r="X188" s="235">
        <f t="shared" si="287"/>
        <v>43</v>
      </c>
      <c r="Y188" s="235" t="str">
        <f>IFERROR(VLOOKUP(MID(T188,W188,X188-W188),[6]skilldef!$C:$D,2,FALSE),"-") &amp; " / " &amp; IFERROR(VLOOKUP(MID(T188,U188,V188-U188),[6]skilldef!$A:$B,2,FALSE),"-")</f>
        <v>- / -</v>
      </c>
      <c r="Z188" s="233"/>
      <c r="AA188" s="237"/>
      <c r="AB188" s="233"/>
    </row>
    <row r="189" spans="1:28" ht="77" customHeight="1" x14ac:dyDescent="0.25">
      <c r="A189" s="198">
        <v>47015371</v>
      </c>
      <c r="B189" s="290" t="s">
        <v>389</v>
      </c>
      <c r="C189" s="233">
        <v>3</v>
      </c>
      <c r="D189" s="233" t="s">
        <v>127</v>
      </c>
      <c r="E189" s="234" t="s">
        <v>360</v>
      </c>
      <c r="F189" s="234" t="s">
        <v>256</v>
      </c>
      <c r="G189" s="235" t="str">
        <f t="shared" si="273"/>
        <v>[effect:enemy_message, val1:1.2, val2:1.2]</v>
      </c>
      <c r="H189" s="235">
        <f t="shared" si="274"/>
        <v>9</v>
      </c>
      <c r="I189" s="235">
        <f t="shared" si="275"/>
        <v>22</v>
      </c>
      <c r="J189" s="235" t="e">
        <f t="shared" si="276"/>
        <v>#VALUE!</v>
      </c>
      <c r="K189" s="235">
        <f t="shared" si="277"/>
        <v>32</v>
      </c>
      <c r="L189" s="235" t="str">
        <f>IFERROR(VLOOKUP(MID(G189,J189,K189-J189),[6]skilldef!$C:$D,2,FALSE),"-") &amp; " / " &amp; IFERROR(VLOOKUP(MID(G189,H189,I189-H189),[6]skilldef!$A:$B,2,FALSE),"-")</f>
        <v>- / -</v>
      </c>
      <c r="M189" s="235" t="str">
        <f t="shared" si="278"/>
        <v>[effect:rush, count:6, val:0.3]</v>
      </c>
      <c r="N189" s="236" t="str">
        <f t="shared" si="323"/>
        <v>[effect:rush, count:6, val:0.3]</v>
      </c>
      <c r="O189" s="235">
        <f t="shared" si="279"/>
        <v>9</v>
      </c>
      <c r="P189" s="235">
        <f t="shared" si="280"/>
        <v>13</v>
      </c>
      <c r="Q189" s="235" t="e">
        <f t="shared" si="281"/>
        <v>#VALUE!</v>
      </c>
      <c r="R189" s="235">
        <f t="shared" si="282"/>
        <v>22</v>
      </c>
      <c r="S189" s="235" t="str">
        <f>IFERROR(VLOOKUP(MID(N189,Q189,R189-Q189),[6]skilldef!$C:$D,2,FALSE),"-") &amp; " / " &amp; IFERROR(VLOOKUP(MID(N189,O189,P189-O189),[6]skilldef!$A:$B,2,FALSE),"-")</f>
        <v>- / 連続攻撃</v>
      </c>
      <c r="T189" s="236" t="str">
        <f t="shared" si="283"/>
        <v>none</v>
      </c>
      <c r="U189" s="235" t="e">
        <f t="shared" si="284"/>
        <v>#VALUE!</v>
      </c>
      <c r="V189" s="235">
        <f t="shared" si="285"/>
        <v>4</v>
      </c>
      <c r="W189" s="235" t="e">
        <f t="shared" si="286"/>
        <v>#VALUE!</v>
      </c>
      <c r="X189" s="235" t="e">
        <f t="shared" si="287"/>
        <v>#VALUE!</v>
      </c>
      <c r="Y189" s="235" t="str">
        <f>IFERROR(VLOOKUP(MID(T189,W189,X189-W189),[6]skilldef!$C:$D,2,FALSE),"-") &amp; " / " &amp; IFERROR(VLOOKUP(MID(T189,U189,V189-U189),[6]skilldef!$A:$B,2,FALSE),"-")</f>
        <v>- / -</v>
      </c>
      <c r="Z189" s="233"/>
      <c r="AA189" s="237"/>
      <c r="AB189" s="233"/>
    </row>
    <row r="190" spans="1:28" ht="77" customHeight="1" x14ac:dyDescent="0.25">
      <c r="A190" s="198">
        <v>47015372</v>
      </c>
      <c r="B190" s="290" t="s">
        <v>481</v>
      </c>
      <c r="C190" s="233">
        <v>3</v>
      </c>
      <c r="D190" s="233" t="s">
        <v>127</v>
      </c>
      <c r="E190" s="234" t="s">
        <v>274</v>
      </c>
      <c r="F190" s="234" t="s">
        <v>429</v>
      </c>
      <c r="G190" s="235" t="str">
        <f t="shared" si="273"/>
        <v>[effect:enemy_message, val1:1.2, val2:4.0]</v>
      </c>
      <c r="H190" s="235">
        <f t="shared" si="274"/>
        <v>9</v>
      </c>
      <c r="I190" s="235">
        <f t="shared" si="275"/>
        <v>22</v>
      </c>
      <c r="J190" s="235" t="e">
        <f t="shared" si="276"/>
        <v>#VALUE!</v>
      </c>
      <c r="K190" s="235">
        <f t="shared" si="277"/>
        <v>32</v>
      </c>
      <c r="L190" s="235" t="str">
        <f>IFERROR(VLOOKUP(MID(G190,J190,K190-J190),[6]skilldef!$C:$D,2,FALSE),"-") &amp; " / " &amp; IFERROR(VLOOKUP(MID(G190,H190,I190-H190),[6]skilldef!$A:$B,2,FALSE),"-")</f>
        <v>- / -</v>
      </c>
      <c r="M190" s="235" t="str">
        <f t="shared" si="278"/>
        <v>[effect:force_change_block, new_block:damage, target:block_all, ignore01:block_heart, ignore02:block_positive, ignore03:damage, count:5, val:0.03, animation:change_block],[effect:force_change_block, new_block:crack_bomb, target:block_all, ignore01:block_positive, count:1, val:24, animation:change_block]</v>
      </c>
      <c r="N190" s="236" t="str">
        <f t="shared" si="323"/>
        <v>[effect:force_change_block, new_block:damage, target:block_all, ignore01:block_heart, ignore02:block_positive, ignore03:damage, count:5, val:0.03, animation:change_block]</v>
      </c>
      <c r="O190" s="235">
        <f t="shared" si="279"/>
        <v>9</v>
      </c>
      <c r="P190" s="235">
        <f t="shared" si="280"/>
        <v>27</v>
      </c>
      <c r="Q190" s="235">
        <f t="shared" si="281"/>
        <v>54</v>
      </c>
      <c r="R190" s="235">
        <f t="shared" si="282"/>
        <v>45</v>
      </c>
      <c r="S190" s="235" t="str">
        <f>IFERROR(VLOOKUP(MID(N190,Q190,R190-Q190),[6]skilldef!$C:$D,2,FALSE),"-") &amp; " / " &amp; IFERROR(VLOOKUP(MID(N190,O190,P190-O190),[6]skilldef!$A:$B,2,FALSE),"-")</f>
        <v>- / -</v>
      </c>
      <c r="T190" s="236" t="str">
        <f t="shared" si="283"/>
        <v>[effect:force_change_block, new_block:crack_bomb, target:block_all, ignore01:block_positive, count:1, val:24, animation:change_block]</v>
      </c>
      <c r="U190" s="235">
        <f t="shared" si="284"/>
        <v>9</v>
      </c>
      <c r="V190" s="235">
        <f t="shared" si="285"/>
        <v>27</v>
      </c>
      <c r="W190" s="235">
        <f t="shared" si="286"/>
        <v>58</v>
      </c>
      <c r="X190" s="235">
        <f t="shared" si="287"/>
        <v>49</v>
      </c>
      <c r="Y190" s="235" t="str">
        <f>IFERROR(VLOOKUP(MID(T190,W190,X190-W190),[6]skilldef!$C:$D,2,FALSE),"-") &amp; " / " &amp; IFERROR(VLOOKUP(MID(T190,U190,V190-U190),[6]skilldef!$A:$B,2,FALSE),"-")</f>
        <v>- / -</v>
      </c>
      <c r="Z190" s="233"/>
      <c r="AA190" s="237"/>
      <c r="AB190" s="233"/>
    </row>
    <row r="191" spans="1:28" ht="77" customHeight="1" x14ac:dyDescent="0.25">
      <c r="A191" s="198">
        <v>47015373</v>
      </c>
      <c r="B191" s="290" t="s">
        <v>437</v>
      </c>
      <c r="C191" s="233">
        <v>3</v>
      </c>
      <c r="D191" s="233" t="s">
        <v>127</v>
      </c>
      <c r="E191" s="234" t="s">
        <v>278</v>
      </c>
      <c r="F191" s="234" t="s">
        <v>403</v>
      </c>
      <c r="G191" s="235" t="str">
        <f t="shared" si="273"/>
        <v>[effect:enemy_message, val1:1.2, val2:2.2]</v>
      </c>
      <c r="H191" s="235">
        <f t="shared" si="274"/>
        <v>9</v>
      </c>
      <c r="I191" s="235">
        <f t="shared" si="275"/>
        <v>22</v>
      </c>
      <c r="J191" s="235" t="e">
        <f t="shared" si="276"/>
        <v>#VALUE!</v>
      </c>
      <c r="K191" s="235">
        <f t="shared" si="277"/>
        <v>32</v>
      </c>
      <c r="L191" s="235" t="str">
        <f>IFERROR(VLOOKUP(MID(G191,J191,K191-J191),[6]skilldef!$C:$D,2,FALSE),"-") &amp; " / " &amp; IFERROR(VLOOKUP(MID(G191,H191,I191-H191),[6]skilldef!$A:$B,2,FALSE),"-")</f>
        <v>- / -</v>
      </c>
      <c r="M191" s="235" t="str">
        <f t="shared" si="278"/>
        <v>[effect:spread, val:0.3],[effect:hungup, target:unit_all, turn:1, rate:1, animation:hungup01]</v>
      </c>
      <c r="N191" s="236" t="str">
        <f t="shared" si="323"/>
        <v>[effect:spread, val:0.3]</v>
      </c>
      <c r="O191" s="235">
        <f t="shared" si="279"/>
        <v>9</v>
      </c>
      <c r="P191" s="235">
        <f t="shared" si="280"/>
        <v>15</v>
      </c>
      <c r="Q191" s="235" t="e">
        <f t="shared" si="281"/>
        <v>#VALUE!</v>
      </c>
      <c r="R191" s="235" t="e">
        <f t="shared" si="282"/>
        <v>#VALUE!</v>
      </c>
      <c r="S191" s="235" t="str">
        <f>IFERROR(VLOOKUP(MID(N191,Q191,R191-Q191),[6]skilldef!$C:$D,2,FALSE),"-") &amp; " / " &amp; IFERROR(VLOOKUP(MID(N191,O191,P191-O191),[6]skilldef!$A:$B,2,FALSE),"-")</f>
        <v>- / 全体攻撃</v>
      </c>
      <c r="T191" s="236" t="str">
        <f t="shared" si="283"/>
        <v>[effect:hungup, target:unit_all, turn:1, rate:1, animation:hungup01]</v>
      </c>
      <c r="U191" s="235">
        <f t="shared" si="284"/>
        <v>9</v>
      </c>
      <c r="V191" s="235">
        <f t="shared" si="285"/>
        <v>15</v>
      </c>
      <c r="W191" s="235">
        <f t="shared" si="286"/>
        <v>24</v>
      </c>
      <c r="X191" s="235">
        <f t="shared" si="287"/>
        <v>32</v>
      </c>
      <c r="Y191" s="235" t="str">
        <f>IFERROR(VLOOKUP(MID(T191,W191,X191-W191),[6]skilldef!$C:$D,2,FALSE),"-") &amp; " / " &amp; IFERROR(VLOOKUP(MID(T191,U191,V191-U191),[6]skilldef!$A:$B,2,FALSE),"-")</f>
        <v>味方全体に / ハングアップ</v>
      </c>
      <c r="Z191" s="233"/>
      <c r="AA191" s="237"/>
      <c r="AB191" s="233"/>
    </row>
    <row r="192" spans="1:28" ht="77" customHeight="1" x14ac:dyDescent="0.25">
      <c r="A192" s="198">
        <v>47015374</v>
      </c>
      <c r="B192" s="290" t="s">
        <v>390</v>
      </c>
      <c r="C192" s="233">
        <v>3</v>
      </c>
      <c r="D192" s="233" t="s">
        <v>127</v>
      </c>
      <c r="E192" s="234" t="s">
        <v>270</v>
      </c>
      <c r="F192" s="234" t="s">
        <v>337</v>
      </c>
      <c r="G192" s="235" t="str">
        <f t="shared" si="273"/>
        <v>[effect:enemy_message, val1:1.3, val2:2.1]</v>
      </c>
      <c r="H192" s="235">
        <f t="shared" si="274"/>
        <v>9</v>
      </c>
      <c r="I192" s="235">
        <f t="shared" si="275"/>
        <v>22</v>
      </c>
      <c r="J192" s="235" t="e">
        <f t="shared" si="276"/>
        <v>#VALUE!</v>
      </c>
      <c r="K192" s="235">
        <f t="shared" si="277"/>
        <v>32</v>
      </c>
      <c r="L192" s="235" t="str">
        <f>IFERROR(VLOOKUP(MID(G192,J192,K192-J192),[6]skilldef!$C:$D,2,FALSE),"-") &amp; " / " &amp; IFERROR(VLOOKUP(MID(G192,H192,I192-H192),[6]skilldef!$A:$B,2,FALSE),"-")</f>
        <v>- / -</v>
      </c>
      <c r="M192" s="235" t="str">
        <f t="shared" si="278"/>
        <v>[effect:damage_anti_tribe, target:unit_all, tribe:god, val1:0.7, val2:0.02]</v>
      </c>
      <c r="N192" s="236" t="str">
        <f t="shared" si="323"/>
        <v>[effect:damage_anti_tribe, target:unit_all, tribe:god, val1:0.7, val2:0.02]</v>
      </c>
      <c r="O192" s="235">
        <f t="shared" si="279"/>
        <v>9</v>
      </c>
      <c r="P192" s="235">
        <f t="shared" si="280"/>
        <v>26</v>
      </c>
      <c r="Q192" s="235">
        <f t="shared" si="281"/>
        <v>35</v>
      </c>
      <c r="R192" s="235">
        <f t="shared" si="282"/>
        <v>43</v>
      </c>
      <c r="S192" s="235" t="str">
        <f>IFERROR(VLOOKUP(MID(N192,Q192,R192-Q192),[6]skilldef!$C:$D,2,FALSE),"-") &amp; " / " &amp; IFERROR(VLOOKUP(MID(N192,O192,P192-O192),[6]skilldef!$A:$B,2,FALSE),"-")</f>
        <v>味方全体に / 種族キラー</v>
      </c>
      <c r="T192" s="236" t="str">
        <f t="shared" si="283"/>
        <v>none</v>
      </c>
      <c r="U192" s="235" t="e">
        <f t="shared" si="284"/>
        <v>#VALUE!</v>
      </c>
      <c r="V192" s="235">
        <f t="shared" si="285"/>
        <v>4</v>
      </c>
      <c r="W192" s="235" t="e">
        <f t="shared" si="286"/>
        <v>#VALUE!</v>
      </c>
      <c r="X192" s="235" t="e">
        <f t="shared" si="287"/>
        <v>#VALUE!</v>
      </c>
      <c r="Y192" s="235" t="str">
        <f>IFERROR(VLOOKUP(MID(T192,W192,X192-W192),[6]skilldef!$C:$D,2,FALSE),"-") &amp; " / " &amp; IFERROR(VLOOKUP(MID(T192,U192,V192-U192),[6]skilldef!$A:$B,2,FALSE),"-")</f>
        <v>- / -</v>
      </c>
      <c r="Z192" s="233"/>
      <c r="AA192" s="237"/>
      <c r="AB192" s="233"/>
    </row>
    <row r="193" spans="1:28" ht="77" customHeight="1" x14ac:dyDescent="0.25">
      <c r="A193" s="198">
        <v>47015375</v>
      </c>
      <c r="B193" s="290" t="s">
        <v>482</v>
      </c>
      <c r="C193" s="233">
        <v>3</v>
      </c>
      <c r="D193" s="233" t="s">
        <v>127</v>
      </c>
      <c r="E193" s="234" t="s">
        <v>271</v>
      </c>
      <c r="F193" s="234" t="s">
        <v>417</v>
      </c>
      <c r="G193" s="235" t="str">
        <f t="shared" si="273"/>
        <v>[effect:enemy_message, val1:1.4, val2:4.8]</v>
      </c>
      <c r="H193" s="235">
        <f t="shared" si="274"/>
        <v>9</v>
      </c>
      <c r="I193" s="235">
        <f t="shared" si="275"/>
        <v>22</v>
      </c>
      <c r="J193" s="235" t="e">
        <f t="shared" si="276"/>
        <v>#VALUE!</v>
      </c>
      <c r="K193" s="235">
        <f t="shared" si="277"/>
        <v>32</v>
      </c>
      <c r="L193" s="235" t="str">
        <f>IFERROR(VLOOKUP(MID(G193,J193,K193-J193),[6]skilldef!$C:$D,2,FALSE),"-") &amp; " / " &amp; IFERROR(VLOOKUP(MID(G193,H193,I193-H193),[6]skilldef!$A:$B,2,FALSE),"-")</f>
        <v>- / -</v>
      </c>
      <c r="M193" s="235" t="str">
        <f t="shared" si="278"/>
        <v>[effect:change_range_block, block_change:1, base_type:1, square_count:5, position01:12, value_rad01:3.0, value_h01:1.0, value_w01:1.0, new_block:block_heart, target:block_all, ignore01:block_positive, ignore02:block_heart, count:0, val:0, animation:change_range_block],[effect:enhance_enemy, target:myself, turn:4, status:defense, val:2500, calc:add, animation:enemy_enhance_defense],[effect:degrade_unit, target:unit_all, turn:4, status:action, val:1, calc:mul, animation:enemy_tap_down]</v>
      </c>
      <c r="N193" s="236" t="str">
        <f t="shared" si="323"/>
        <v>[effect:change_range_block, block_change:1, base_type:1, square_count:5, position01:12, value_rad01:3.0, value_h01:1.0, value_w01:1.0, new_block:block_heart, target:block_all, ignore01:block_positive, ignore02:block_heart, count:0, val:0, animation:change_range_block]</v>
      </c>
      <c r="O193" s="235">
        <f t="shared" si="279"/>
        <v>9</v>
      </c>
      <c r="P193" s="235">
        <f t="shared" si="280"/>
        <v>27</v>
      </c>
      <c r="Q193" s="235">
        <f t="shared" si="281"/>
        <v>166</v>
      </c>
      <c r="R193" s="235">
        <f t="shared" si="282"/>
        <v>43</v>
      </c>
      <c r="S193" s="235" t="str">
        <f>IFERROR(VLOOKUP(MID(N193,Q193,R193-Q193),[6]skilldef!$C:$D,2,FALSE),"-") &amp; " / " &amp; IFERROR(VLOOKUP(MID(N193,O193,P193-O193),[6]skilldef!$A:$B,2,FALSE),"-")</f>
        <v>- / -</v>
      </c>
      <c r="T193" s="236" t="str">
        <f t="shared" si="283"/>
        <v>[effect:enhance_enemy, target:myself, turn:4, status:defense, val:2500, calc:add, animation:enemy_enhance_defense],[effect:degrade_unit, target:unit_all, turn:4, status:action, val:1, calc:mul, animation:enemy_tap_down]</v>
      </c>
      <c r="U193" s="235">
        <f t="shared" si="284"/>
        <v>9</v>
      </c>
      <c r="V193" s="235">
        <f t="shared" si="285"/>
        <v>22</v>
      </c>
      <c r="W193" s="235">
        <f t="shared" si="286"/>
        <v>31</v>
      </c>
      <c r="X193" s="235">
        <f t="shared" si="287"/>
        <v>37</v>
      </c>
      <c r="Y193" s="235" t="str">
        <f>IFERROR(VLOOKUP(MID(T193,W193,X193-W193),[6]skilldef!$C:$D,2,FALSE),"-") &amp; " / " &amp; IFERROR(VLOOKUP(MID(T193,U193,V193-U193),[6]skilldef!$A:$B,2,FALSE),"-")</f>
        <v>自分自身に / ステータス強化</v>
      </c>
      <c r="Z193" s="233"/>
      <c r="AA193" s="237"/>
      <c r="AB193" s="233"/>
    </row>
    <row r="194" spans="1:28" ht="77" customHeight="1" x14ac:dyDescent="0.25">
      <c r="A194" s="198">
        <v>47015376</v>
      </c>
      <c r="B194" s="290" t="s">
        <v>485</v>
      </c>
      <c r="C194" s="233">
        <v>3</v>
      </c>
      <c r="D194" s="233" t="s">
        <v>127</v>
      </c>
      <c r="E194" s="234" t="s">
        <v>305</v>
      </c>
      <c r="F194" s="234" t="s">
        <v>492</v>
      </c>
      <c r="G194" s="235" t="str">
        <f t="shared" si="273"/>
        <v>[effect:enemy_message, val1:1.2, val2:2.8]</v>
      </c>
      <c r="H194" s="235">
        <f t="shared" si="274"/>
        <v>9</v>
      </c>
      <c r="I194" s="235">
        <f t="shared" si="275"/>
        <v>22</v>
      </c>
      <c r="J194" s="235" t="e">
        <f t="shared" si="276"/>
        <v>#VALUE!</v>
      </c>
      <c r="K194" s="235">
        <f t="shared" si="277"/>
        <v>32</v>
      </c>
      <c r="L194" s="235" t="str">
        <f>IFERROR(VLOOKUP(MID(G194,J194,K194-J194),[6]skilldef!$C:$D,2,FALSE),"-") &amp; " / " &amp; IFERROR(VLOOKUP(MID(G194,H194,I194-H194),[6]skilldef!$A:$B,2,FALSE),"-")</f>
        <v>- / -</v>
      </c>
      <c r="M194" s="235" t="str">
        <f t="shared" si="278"/>
        <v>[effect:fix_speed, target:myself, turn:2],[effect:enhance_fever, val:333, animation:fevergauge_up03]</v>
      </c>
      <c r="N194" s="236" t="str">
        <f t="shared" si="323"/>
        <v>[effect:fix_speed, target:myself, turn:2]</v>
      </c>
      <c r="O194" s="235">
        <f t="shared" si="279"/>
        <v>9</v>
      </c>
      <c r="P194" s="235">
        <f t="shared" si="280"/>
        <v>18</v>
      </c>
      <c r="Q194" s="235">
        <f t="shared" si="281"/>
        <v>27</v>
      </c>
      <c r="R194" s="235">
        <f t="shared" si="282"/>
        <v>33</v>
      </c>
      <c r="S194" s="235" t="str">
        <f>IFERROR(VLOOKUP(MID(N194,Q194,R194-Q194),[6]skilldef!$C:$D,2,FALSE),"-") &amp; " / " &amp; IFERROR(VLOOKUP(MID(N194,O194,P194-O194),[6]skilldef!$A:$B,2,FALSE),"-")</f>
        <v>自分自身に / 行動値設定</v>
      </c>
      <c r="T194" s="236" t="str">
        <f t="shared" si="283"/>
        <v>[effect:enhance_fever, val:333, animation:fevergauge_up03]</v>
      </c>
      <c r="U194" s="235">
        <f t="shared" si="284"/>
        <v>9</v>
      </c>
      <c r="V194" s="235">
        <f t="shared" si="285"/>
        <v>22</v>
      </c>
      <c r="W194" s="235" t="e">
        <f t="shared" si="286"/>
        <v>#VALUE!</v>
      </c>
      <c r="X194" s="235">
        <f t="shared" si="287"/>
        <v>31</v>
      </c>
      <c r="Y194" s="235" t="str">
        <f>IFERROR(VLOOKUP(MID(T194,W194,X194-W194),[6]skilldef!$C:$D,2,FALSE),"-") &amp; " / " &amp; IFERROR(VLOOKUP(MID(T194,U194,V194-U194),[6]skilldef!$A:$B,2,FALSE),"-")</f>
        <v>- / -</v>
      </c>
      <c r="Z194" s="233"/>
      <c r="AA194" s="237"/>
      <c r="AB194" s="233"/>
    </row>
    <row r="195" spans="1:28" ht="77" customHeight="1" x14ac:dyDescent="0.25">
      <c r="A195" s="198">
        <v>47015377</v>
      </c>
      <c r="B195" s="290" t="s">
        <v>486</v>
      </c>
      <c r="C195" s="233">
        <v>3</v>
      </c>
      <c r="D195" s="233" t="s">
        <v>127</v>
      </c>
      <c r="E195" s="234" t="s">
        <v>308</v>
      </c>
      <c r="F195" s="234" t="s">
        <v>484</v>
      </c>
      <c r="G195" s="235" t="str">
        <f t="shared" si="273"/>
        <v>[effect:enemy_message, val1:1.7, val2:3.6]</v>
      </c>
      <c r="H195" s="235">
        <f t="shared" si="274"/>
        <v>9</v>
      </c>
      <c r="I195" s="235">
        <f t="shared" si="275"/>
        <v>22</v>
      </c>
      <c r="J195" s="235" t="e">
        <f t="shared" si="276"/>
        <v>#VALUE!</v>
      </c>
      <c r="K195" s="235">
        <f t="shared" si="277"/>
        <v>32</v>
      </c>
      <c r="L195" s="235" t="str">
        <f>IFERROR(VLOOKUP(MID(G195,J195,K195-J195),[6]skilldef!$C:$D,2,FALSE),"-") &amp; " / " &amp; IFERROR(VLOOKUP(MID(G195,H195,I195-H195),[6]skilldef!$A:$B,2,FALSE),"-")</f>
        <v>- / -</v>
      </c>
      <c r="M195" s="235" t="str">
        <f t="shared" si="278"/>
        <v>[effect:spread, val:7],[effect:fix_speed, target:myself, turn:1]</v>
      </c>
      <c r="N195" s="236" t="str">
        <f t="shared" si="323"/>
        <v>[effect:spread, val:7]</v>
      </c>
      <c r="O195" s="235">
        <f t="shared" si="279"/>
        <v>9</v>
      </c>
      <c r="P195" s="235">
        <f t="shared" si="280"/>
        <v>15</v>
      </c>
      <c r="Q195" s="235" t="e">
        <f t="shared" si="281"/>
        <v>#VALUE!</v>
      </c>
      <c r="R195" s="235" t="e">
        <f t="shared" si="282"/>
        <v>#VALUE!</v>
      </c>
      <c r="S195" s="235" t="str">
        <f>IFERROR(VLOOKUP(MID(N195,Q195,R195-Q195),[6]skilldef!$C:$D,2,FALSE),"-") &amp; " / " &amp; IFERROR(VLOOKUP(MID(N195,O195,P195-O195),[6]skilldef!$A:$B,2,FALSE),"-")</f>
        <v>- / 全体攻撃</v>
      </c>
      <c r="T195" s="236" t="str">
        <f t="shared" si="283"/>
        <v>[effect:fix_speed, target:myself, turn:1]</v>
      </c>
      <c r="U195" s="235">
        <f t="shared" si="284"/>
        <v>9</v>
      </c>
      <c r="V195" s="235">
        <f t="shared" si="285"/>
        <v>18</v>
      </c>
      <c r="W195" s="235">
        <f t="shared" si="286"/>
        <v>27</v>
      </c>
      <c r="X195" s="235">
        <f t="shared" si="287"/>
        <v>33</v>
      </c>
      <c r="Y195" s="235" t="str">
        <f>IFERROR(VLOOKUP(MID(T195,W195,X195-W195),[6]skilldef!$C:$D,2,FALSE),"-") &amp; " / " &amp; IFERROR(VLOOKUP(MID(T195,U195,V195-U195),[6]skilldef!$A:$B,2,FALSE),"-")</f>
        <v>自分自身に / 行動値設定</v>
      </c>
      <c r="Z195" s="233"/>
      <c r="AA195" s="237"/>
      <c r="AB195" s="233"/>
    </row>
    <row r="196" spans="1:28" s="280" customFormat="1" ht="77" customHeight="1" x14ac:dyDescent="0.25">
      <c r="A196" s="198">
        <v>47015378</v>
      </c>
      <c r="B196" s="288" t="s">
        <v>487</v>
      </c>
      <c r="C196" s="233">
        <v>3</v>
      </c>
      <c r="D196" s="278" t="s">
        <v>127</v>
      </c>
      <c r="E196" s="279" t="s">
        <v>327</v>
      </c>
      <c r="F196" s="280" t="s">
        <v>328</v>
      </c>
      <c r="G196" s="281" t="str">
        <f t="shared" si="273"/>
        <v>[effect:enemy_message, val1:2.8, val2:2.1, dead_type:escape]</v>
      </c>
      <c r="H196" s="281">
        <f t="shared" si="274"/>
        <v>9</v>
      </c>
      <c r="I196" s="281">
        <f t="shared" si="275"/>
        <v>22</v>
      </c>
      <c r="J196" s="281" t="e">
        <f t="shared" si="276"/>
        <v>#VALUE!</v>
      </c>
      <c r="K196" s="281">
        <f t="shared" si="277"/>
        <v>32</v>
      </c>
      <c r="L196" s="281" t="str">
        <f>IFERROR(VLOOKUP(MID(G196,J196,K196-J196),[6]skilldef!$C:$D,2,FALSE),"-") &amp; " / " &amp; IFERROR(VLOOKUP(MID(G196,H196,I196-H196),[6]skilldef!$A:$B,2,FALSE),"-")</f>
        <v>- / -</v>
      </c>
      <c r="M196" s="281" t="str">
        <f t="shared" si="278"/>
        <v>none</v>
      </c>
      <c r="N196" s="280" t="str">
        <f t="shared" si="323"/>
        <v>none</v>
      </c>
      <c r="O196" s="281" t="e">
        <f t="shared" si="279"/>
        <v>#VALUE!</v>
      </c>
      <c r="P196" s="281">
        <f t="shared" si="280"/>
        <v>4</v>
      </c>
      <c r="Q196" s="281" t="e">
        <f t="shared" si="281"/>
        <v>#VALUE!</v>
      </c>
      <c r="R196" s="281" t="e">
        <f t="shared" si="282"/>
        <v>#VALUE!</v>
      </c>
      <c r="S196" s="281" t="str">
        <f>IFERROR(VLOOKUP(MID(N196,Q196,R196-Q196),[6]skilldef!$C:$D,2,FALSE),"-") &amp; " / " &amp; IFERROR(VLOOKUP(MID(N196,O196,P196-O196),[6]skilldef!$A:$B,2,FALSE),"-")</f>
        <v>- / -</v>
      </c>
      <c r="T196" s="280" t="str">
        <f t="shared" si="283"/>
        <v>none</v>
      </c>
      <c r="U196" s="281" t="e">
        <f t="shared" si="284"/>
        <v>#VALUE!</v>
      </c>
      <c r="V196" s="281">
        <f t="shared" si="285"/>
        <v>4</v>
      </c>
      <c r="W196" s="281" t="e">
        <f t="shared" si="286"/>
        <v>#VALUE!</v>
      </c>
      <c r="X196" s="281" t="e">
        <f t="shared" si="287"/>
        <v>#VALUE!</v>
      </c>
      <c r="Y196" s="281" t="str">
        <f>IFERROR(VLOOKUP(MID(T196,W196,X196-W196),[6]skilldef!$C:$D,2,FALSE),"-") &amp; " / " &amp; IFERROR(VLOOKUP(MID(T196,U196,V196-U196),[6]skilldef!$A:$B,2,FALSE),"-")</f>
        <v>- / -</v>
      </c>
      <c r="Z196" s="278"/>
      <c r="AA196" s="282"/>
      <c r="AB196" s="278"/>
    </row>
    <row r="197" spans="1:28" s="285" customFormat="1" ht="77" customHeight="1" x14ac:dyDescent="0.25">
      <c r="A197" s="198">
        <v>47015379</v>
      </c>
      <c r="B197" s="288" t="s">
        <v>488</v>
      </c>
      <c r="C197" s="233">
        <v>3</v>
      </c>
      <c r="D197" s="283" t="s">
        <v>127</v>
      </c>
      <c r="E197" s="284" t="s">
        <v>329</v>
      </c>
      <c r="F197" s="285" t="s">
        <v>330</v>
      </c>
      <c r="G197" s="286" t="str">
        <f t="shared" si="273"/>
        <v>[effect:enemy_message, val1:1.7, val2:1.9, dead_type:escape]</v>
      </c>
      <c r="H197" s="286">
        <f t="shared" si="274"/>
        <v>9</v>
      </c>
      <c r="I197" s="286">
        <f t="shared" si="275"/>
        <v>22</v>
      </c>
      <c r="J197" s="286" t="e">
        <f t="shared" si="276"/>
        <v>#VALUE!</v>
      </c>
      <c r="K197" s="286">
        <f t="shared" si="277"/>
        <v>32</v>
      </c>
      <c r="L197" s="286" t="str">
        <f>IFERROR(VLOOKUP(MID(G197,J197,K197-J197),[6]skilldef!$C:$D,2,FALSE),"-") &amp; " / " &amp; IFERROR(VLOOKUP(MID(G197,H197,I197-H197),[6]skilldef!$A:$B,2,FALSE),"-")</f>
        <v>- / -</v>
      </c>
      <c r="M197" s="286" t="str">
        <f t="shared" si="278"/>
        <v>none</v>
      </c>
      <c r="N197" s="285" t="str">
        <f t="shared" si="323"/>
        <v>none</v>
      </c>
      <c r="O197" s="286" t="e">
        <f t="shared" si="279"/>
        <v>#VALUE!</v>
      </c>
      <c r="P197" s="286">
        <f t="shared" si="280"/>
        <v>4</v>
      </c>
      <c r="Q197" s="286" t="e">
        <f t="shared" si="281"/>
        <v>#VALUE!</v>
      </c>
      <c r="R197" s="286" t="e">
        <f t="shared" si="282"/>
        <v>#VALUE!</v>
      </c>
      <c r="S197" s="286" t="str">
        <f>IFERROR(VLOOKUP(MID(N197,Q197,R197-Q197),[6]skilldef!$C:$D,2,FALSE),"-") &amp; " / " &amp; IFERROR(VLOOKUP(MID(N197,O197,P197-O197),[6]skilldef!$A:$B,2,FALSE),"-")</f>
        <v>- / -</v>
      </c>
      <c r="T197" s="285" t="str">
        <f t="shared" si="283"/>
        <v>none</v>
      </c>
      <c r="U197" s="286" t="e">
        <f t="shared" si="284"/>
        <v>#VALUE!</v>
      </c>
      <c r="V197" s="286">
        <f t="shared" si="285"/>
        <v>4</v>
      </c>
      <c r="W197" s="286" t="e">
        <f t="shared" si="286"/>
        <v>#VALUE!</v>
      </c>
      <c r="X197" s="286" t="e">
        <f t="shared" si="287"/>
        <v>#VALUE!</v>
      </c>
      <c r="Y197" s="286" t="str">
        <f>IFERROR(VLOOKUP(MID(T197,W197,X197-W197),[6]skilldef!$C:$D,2,FALSE),"-") &amp; " / " &amp; IFERROR(VLOOKUP(MID(T197,U197,V197-U197),[6]skilldef!$A:$B,2,FALSE),"-")</f>
        <v>- / -</v>
      </c>
      <c r="Z197" s="283"/>
      <c r="AA197" s="287"/>
      <c r="AB197" s="283"/>
    </row>
    <row r="198" spans="1:28" s="285" customFormat="1" ht="77" customHeight="1" x14ac:dyDescent="0.25">
      <c r="A198" s="198">
        <v>47015380</v>
      </c>
      <c r="B198" s="288" t="s">
        <v>488</v>
      </c>
      <c r="C198" s="233">
        <v>3</v>
      </c>
      <c r="D198" s="283" t="s">
        <v>127</v>
      </c>
      <c r="E198" s="284" t="s">
        <v>329</v>
      </c>
      <c r="F198" s="285" t="s">
        <v>330</v>
      </c>
      <c r="G198" s="286" t="str">
        <f t="shared" si="273"/>
        <v>[effect:enemy_message, val1:1.7, val2:1.9, dead_type:escape]</v>
      </c>
      <c r="H198" s="286">
        <f t="shared" si="274"/>
        <v>9</v>
      </c>
      <c r="I198" s="286">
        <f t="shared" si="275"/>
        <v>22</v>
      </c>
      <c r="J198" s="286" t="e">
        <f t="shared" si="276"/>
        <v>#VALUE!</v>
      </c>
      <c r="K198" s="286">
        <f t="shared" si="277"/>
        <v>32</v>
      </c>
      <c r="L198" s="286" t="str">
        <f>IFERROR(VLOOKUP(MID(G198,J198,K198-J198),[6]skilldef!$C:$D,2,FALSE),"-") &amp; " / " &amp; IFERROR(VLOOKUP(MID(G198,H198,I198-H198),[6]skilldef!$A:$B,2,FALSE),"-")</f>
        <v>- / -</v>
      </c>
      <c r="M198" s="286" t="str">
        <f t="shared" si="278"/>
        <v>none</v>
      </c>
      <c r="N198" s="285" t="str">
        <f t="shared" ref="N198:N211" si="324">IFERROR(LEFT(M198,FIND("],",M198)+S218),M198)</f>
        <v>none</v>
      </c>
      <c r="O198" s="286" t="e">
        <f t="shared" si="279"/>
        <v>#VALUE!</v>
      </c>
      <c r="P198" s="286">
        <f t="shared" si="280"/>
        <v>4</v>
      </c>
      <c r="Q198" s="286" t="e">
        <f t="shared" si="281"/>
        <v>#VALUE!</v>
      </c>
      <c r="R198" s="286" t="e">
        <f t="shared" si="282"/>
        <v>#VALUE!</v>
      </c>
      <c r="S198" s="286" t="str">
        <f>IFERROR(VLOOKUP(MID(N198,Q198,R198-Q198),[6]skilldef!$C:$D,2,FALSE),"-") &amp; " / " &amp; IFERROR(VLOOKUP(MID(N198,O198,P198-O198),[6]skilldef!$A:$B,2,FALSE),"-")</f>
        <v>- / -</v>
      </c>
      <c r="T198" s="285" t="str">
        <f t="shared" si="283"/>
        <v>none</v>
      </c>
      <c r="U198" s="286" t="e">
        <f t="shared" si="284"/>
        <v>#VALUE!</v>
      </c>
      <c r="V198" s="286">
        <f t="shared" si="285"/>
        <v>4</v>
      </c>
      <c r="W198" s="286" t="e">
        <f t="shared" si="286"/>
        <v>#VALUE!</v>
      </c>
      <c r="X198" s="286" t="e">
        <f t="shared" si="287"/>
        <v>#VALUE!</v>
      </c>
      <c r="Y198" s="286" t="str">
        <f>IFERROR(VLOOKUP(MID(T198,W198,X198-W198),[6]skilldef!$C:$D,2,FALSE),"-") &amp; " / " &amp; IFERROR(VLOOKUP(MID(T198,U198,V198-U198),[6]skilldef!$A:$B,2,FALSE),"-")</f>
        <v>- / -</v>
      </c>
      <c r="Z198" s="283"/>
      <c r="AA198" s="287"/>
      <c r="AB198" s="283"/>
    </row>
    <row r="199" spans="1:28" s="285" customFormat="1" ht="77" customHeight="1" x14ac:dyDescent="0.25">
      <c r="A199" s="198">
        <v>47015381</v>
      </c>
      <c r="B199" s="288" t="s">
        <v>489</v>
      </c>
      <c r="C199" s="233">
        <v>3</v>
      </c>
      <c r="D199" s="283" t="s">
        <v>127</v>
      </c>
      <c r="E199" s="284" t="s">
        <v>331</v>
      </c>
      <c r="F199" s="285" t="s">
        <v>332</v>
      </c>
      <c r="G199" s="286" t="str">
        <f t="shared" si="273"/>
        <v>[effect:enemy_message, val1:1.9, val2:2.3, dead_type:escape]</v>
      </c>
      <c r="H199" s="286">
        <f t="shared" si="274"/>
        <v>9</v>
      </c>
      <c r="I199" s="286">
        <f t="shared" si="275"/>
        <v>22</v>
      </c>
      <c r="J199" s="286" t="e">
        <f t="shared" si="276"/>
        <v>#VALUE!</v>
      </c>
      <c r="K199" s="286">
        <f t="shared" si="277"/>
        <v>32</v>
      </c>
      <c r="L199" s="286" t="str">
        <f>IFERROR(VLOOKUP(MID(G199,J199,K199-J199),[6]skilldef!$C:$D,2,FALSE),"-") &amp; " / " &amp; IFERROR(VLOOKUP(MID(G199,H199,I199-H199),[6]skilldef!$A:$B,2,FALSE),"-")</f>
        <v>- / -</v>
      </c>
      <c r="M199" s="286" t="str">
        <f t="shared" si="278"/>
        <v>none</v>
      </c>
      <c r="N199" s="285" t="str">
        <f t="shared" si="324"/>
        <v>none</v>
      </c>
      <c r="O199" s="286" t="e">
        <f t="shared" si="279"/>
        <v>#VALUE!</v>
      </c>
      <c r="P199" s="286">
        <f t="shared" si="280"/>
        <v>4</v>
      </c>
      <c r="Q199" s="286" t="e">
        <f t="shared" si="281"/>
        <v>#VALUE!</v>
      </c>
      <c r="R199" s="286" t="e">
        <f t="shared" si="282"/>
        <v>#VALUE!</v>
      </c>
      <c r="S199" s="286" t="str">
        <f>IFERROR(VLOOKUP(MID(N199,Q199,R199-Q199),[6]skilldef!$C:$D,2,FALSE),"-") &amp; " / " &amp; IFERROR(VLOOKUP(MID(N199,O199,P199-O199),[6]skilldef!$A:$B,2,FALSE),"-")</f>
        <v>- / -</v>
      </c>
      <c r="T199" s="285" t="str">
        <f t="shared" si="283"/>
        <v>none</v>
      </c>
      <c r="U199" s="286" t="e">
        <f t="shared" si="284"/>
        <v>#VALUE!</v>
      </c>
      <c r="V199" s="286">
        <f t="shared" si="285"/>
        <v>4</v>
      </c>
      <c r="W199" s="286" t="e">
        <f t="shared" si="286"/>
        <v>#VALUE!</v>
      </c>
      <c r="X199" s="286" t="e">
        <f t="shared" si="287"/>
        <v>#VALUE!</v>
      </c>
      <c r="Y199" s="286" t="str">
        <f>IFERROR(VLOOKUP(MID(T199,W199,X199-W199),[6]skilldef!$C:$D,2,FALSE),"-") &amp; " / " &amp; IFERROR(VLOOKUP(MID(T199,U199,V199-U199),[6]skilldef!$A:$B,2,FALSE),"-")</f>
        <v>- / -</v>
      </c>
      <c r="Z199" s="283"/>
      <c r="AA199" s="287"/>
      <c r="AB199" s="283"/>
    </row>
    <row r="200" spans="1:28" s="285" customFormat="1" ht="77" customHeight="1" x14ac:dyDescent="0.25">
      <c r="A200" s="198">
        <v>47015382</v>
      </c>
      <c r="B200" s="288" t="s">
        <v>489</v>
      </c>
      <c r="C200" s="233">
        <v>3</v>
      </c>
      <c r="D200" s="283" t="s">
        <v>127</v>
      </c>
      <c r="E200" s="284" t="s">
        <v>331</v>
      </c>
      <c r="F200" s="285" t="s">
        <v>332</v>
      </c>
      <c r="G200" s="286" t="str">
        <f t="shared" si="273"/>
        <v>[effect:enemy_message, val1:1.9, val2:2.3, dead_type:escape]</v>
      </c>
      <c r="H200" s="286">
        <f t="shared" si="274"/>
        <v>9</v>
      </c>
      <c r="I200" s="286">
        <f t="shared" si="275"/>
        <v>22</v>
      </c>
      <c r="J200" s="286" t="e">
        <f t="shared" si="276"/>
        <v>#VALUE!</v>
      </c>
      <c r="K200" s="286">
        <f t="shared" si="277"/>
        <v>32</v>
      </c>
      <c r="L200" s="286" t="str">
        <f>IFERROR(VLOOKUP(MID(G200,J200,K200-J200),[6]skilldef!$C:$D,2,FALSE),"-") &amp; " / " &amp; IFERROR(VLOOKUP(MID(G200,H200,I200-H200),[6]skilldef!$A:$B,2,FALSE),"-")</f>
        <v>- / -</v>
      </c>
      <c r="M200" s="286" t="str">
        <f t="shared" si="278"/>
        <v>none</v>
      </c>
      <c r="N200" s="285" t="str">
        <f t="shared" si="324"/>
        <v>none</v>
      </c>
      <c r="O200" s="286" t="e">
        <f t="shared" si="279"/>
        <v>#VALUE!</v>
      </c>
      <c r="P200" s="286">
        <f t="shared" si="280"/>
        <v>4</v>
      </c>
      <c r="Q200" s="286" t="e">
        <f t="shared" si="281"/>
        <v>#VALUE!</v>
      </c>
      <c r="R200" s="286" t="e">
        <f t="shared" si="282"/>
        <v>#VALUE!</v>
      </c>
      <c r="S200" s="286" t="str">
        <f>IFERROR(VLOOKUP(MID(N200,Q200,R200-Q200),[6]skilldef!$C:$D,2,FALSE),"-") &amp; " / " &amp; IFERROR(VLOOKUP(MID(N200,O200,P200-O200),[6]skilldef!$A:$B,2,FALSE),"-")</f>
        <v>- / -</v>
      </c>
      <c r="T200" s="285" t="str">
        <f t="shared" si="283"/>
        <v>none</v>
      </c>
      <c r="U200" s="286" t="e">
        <f t="shared" si="284"/>
        <v>#VALUE!</v>
      </c>
      <c r="V200" s="286">
        <f t="shared" si="285"/>
        <v>4</v>
      </c>
      <c r="W200" s="286" t="e">
        <f t="shared" si="286"/>
        <v>#VALUE!</v>
      </c>
      <c r="X200" s="286" t="e">
        <f t="shared" si="287"/>
        <v>#VALUE!</v>
      </c>
      <c r="Y200" s="286" t="str">
        <f>IFERROR(VLOOKUP(MID(T200,W200,X200-W200),[6]skilldef!$C:$D,2,FALSE),"-") &amp; " / " &amp; IFERROR(VLOOKUP(MID(T200,U200,V200-U200),[6]skilldef!$A:$B,2,FALSE),"-")</f>
        <v>- / -</v>
      </c>
      <c r="Z200" s="283"/>
      <c r="AA200" s="287"/>
      <c r="AB200" s="283"/>
    </row>
    <row r="201" spans="1:28" s="285" customFormat="1" ht="77" customHeight="1" x14ac:dyDescent="0.25">
      <c r="A201" s="198">
        <v>47015383</v>
      </c>
      <c r="B201" s="288" t="s">
        <v>490</v>
      </c>
      <c r="C201" s="233">
        <v>3</v>
      </c>
      <c r="D201" s="283" t="s">
        <v>127</v>
      </c>
      <c r="E201" s="284" t="s">
        <v>327</v>
      </c>
      <c r="F201" s="284" t="s">
        <v>365</v>
      </c>
      <c r="G201" s="286" t="str">
        <f t="shared" si="273"/>
        <v>[effect:enemy_message, val1:2.8, val2:3.4, dead_type:escape]</v>
      </c>
      <c r="H201" s="286">
        <f t="shared" si="274"/>
        <v>9</v>
      </c>
      <c r="I201" s="286">
        <f t="shared" si="275"/>
        <v>22</v>
      </c>
      <c r="J201" s="286" t="e">
        <f t="shared" si="276"/>
        <v>#VALUE!</v>
      </c>
      <c r="K201" s="286">
        <f t="shared" si="277"/>
        <v>32</v>
      </c>
      <c r="L201" s="286" t="str">
        <f>IFERROR(VLOOKUP(MID(G201,J201,K201-J201),[6]skilldef!$C:$D,2,FALSE),"-") &amp; " / " &amp; IFERROR(VLOOKUP(MID(G201,H201,I201-H201),[6]skilldef!$A:$B,2,FALSE),"-")</f>
        <v>- / -</v>
      </c>
      <c r="M201" s="286" t="str">
        <f t="shared" si="278"/>
        <v>none</v>
      </c>
      <c r="N201" s="285" t="str">
        <f t="shared" si="324"/>
        <v>none</v>
      </c>
      <c r="O201" s="286" t="e">
        <f t="shared" si="279"/>
        <v>#VALUE!</v>
      </c>
      <c r="P201" s="286">
        <f t="shared" si="280"/>
        <v>4</v>
      </c>
      <c r="Q201" s="286" t="e">
        <f t="shared" si="281"/>
        <v>#VALUE!</v>
      </c>
      <c r="R201" s="286" t="e">
        <f t="shared" si="282"/>
        <v>#VALUE!</v>
      </c>
      <c r="S201" s="286" t="str">
        <f>IFERROR(VLOOKUP(MID(N201,Q201,R201-Q201),[6]skilldef!$C:$D,2,FALSE),"-") &amp; " / " &amp; IFERROR(VLOOKUP(MID(N201,O201,P201-O201),[6]skilldef!$A:$B,2,FALSE),"-")</f>
        <v>- / -</v>
      </c>
      <c r="T201" s="285" t="str">
        <f t="shared" si="283"/>
        <v>none</v>
      </c>
      <c r="U201" s="286" t="e">
        <f t="shared" si="284"/>
        <v>#VALUE!</v>
      </c>
      <c r="V201" s="286">
        <f t="shared" si="285"/>
        <v>4</v>
      </c>
      <c r="W201" s="286" t="e">
        <f t="shared" si="286"/>
        <v>#VALUE!</v>
      </c>
      <c r="X201" s="286" t="e">
        <f t="shared" si="287"/>
        <v>#VALUE!</v>
      </c>
      <c r="Y201" s="286" t="str">
        <f>IFERROR(VLOOKUP(MID(T201,W201,X201-W201),[6]skilldef!$C:$D,2,FALSE),"-") &amp; " / " &amp; IFERROR(VLOOKUP(MID(T201,U201,V201-U201),[6]skilldef!$A:$B,2,FALSE),"-")</f>
        <v>- / -</v>
      </c>
      <c r="Z201" s="283"/>
      <c r="AA201" s="287"/>
      <c r="AB201" s="283"/>
    </row>
    <row r="202" spans="1:28" s="285" customFormat="1" ht="77" customHeight="1" x14ac:dyDescent="0.25">
      <c r="A202" s="198">
        <v>47015384</v>
      </c>
      <c r="B202" s="288" t="s">
        <v>490</v>
      </c>
      <c r="C202" s="233">
        <v>3</v>
      </c>
      <c r="D202" s="283" t="s">
        <v>127</v>
      </c>
      <c r="E202" s="284" t="s">
        <v>327</v>
      </c>
      <c r="F202" s="284" t="s">
        <v>365</v>
      </c>
      <c r="G202" s="286" t="str">
        <f t="shared" si="273"/>
        <v>[effect:enemy_message, val1:2.8, val2:3.4, dead_type:escape]</v>
      </c>
      <c r="H202" s="286">
        <f t="shared" si="274"/>
        <v>9</v>
      </c>
      <c r="I202" s="286">
        <f t="shared" si="275"/>
        <v>22</v>
      </c>
      <c r="J202" s="286" t="e">
        <f t="shared" si="276"/>
        <v>#VALUE!</v>
      </c>
      <c r="K202" s="286">
        <f t="shared" si="277"/>
        <v>32</v>
      </c>
      <c r="L202" s="286" t="str">
        <f>IFERROR(VLOOKUP(MID(G202,J202,K202-J202),[6]skilldef!$C:$D,2,FALSE),"-") &amp; " / " &amp; IFERROR(VLOOKUP(MID(G202,H202,I202-H202),[6]skilldef!$A:$B,2,FALSE),"-")</f>
        <v>- / -</v>
      </c>
      <c r="M202" s="286" t="str">
        <f t="shared" si="278"/>
        <v>none</v>
      </c>
      <c r="N202" s="285" t="str">
        <f t="shared" si="324"/>
        <v>none</v>
      </c>
      <c r="O202" s="286" t="e">
        <f t="shared" si="279"/>
        <v>#VALUE!</v>
      </c>
      <c r="P202" s="286">
        <f t="shared" si="280"/>
        <v>4</v>
      </c>
      <c r="Q202" s="286" t="e">
        <f t="shared" si="281"/>
        <v>#VALUE!</v>
      </c>
      <c r="R202" s="286" t="e">
        <f t="shared" si="282"/>
        <v>#VALUE!</v>
      </c>
      <c r="S202" s="286" t="str">
        <f>IFERROR(VLOOKUP(MID(N202,Q202,R202-Q202),[6]skilldef!$C:$D,2,FALSE),"-") &amp; " / " &amp; IFERROR(VLOOKUP(MID(N202,O202,P202-O202),[6]skilldef!$A:$B,2,FALSE),"-")</f>
        <v>- / -</v>
      </c>
      <c r="T202" s="285" t="str">
        <f t="shared" si="283"/>
        <v>none</v>
      </c>
      <c r="U202" s="286" t="e">
        <f t="shared" si="284"/>
        <v>#VALUE!</v>
      </c>
      <c r="V202" s="286">
        <f t="shared" si="285"/>
        <v>4</v>
      </c>
      <c r="W202" s="286" t="e">
        <f t="shared" si="286"/>
        <v>#VALUE!</v>
      </c>
      <c r="X202" s="286" t="e">
        <f t="shared" si="287"/>
        <v>#VALUE!</v>
      </c>
      <c r="Y202" s="286" t="str">
        <f>IFERROR(VLOOKUP(MID(T202,W202,X202-W202),[6]skilldef!$C:$D,2,FALSE),"-") &amp; " / " &amp; IFERROR(VLOOKUP(MID(T202,U202,V202-U202),[6]skilldef!$A:$B,2,FALSE),"-")</f>
        <v>- / -</v>
      </c>
      <c r="Z202" s="283"/>
      <c r="AA202" s="287"/>
      <c r="AB202" s="283"/>
    </row>
    <row r="203" spans="1:28" s="285" customFormat="1" ht="77" customHeight="1" x14ac:dyDescent="0.25">
      <c r="A203" s="198">
        <v>47015385</v>
      </c>
      <c r="B203" s="288" t="s">
        <v>490</v>
      </c>
      <c r="C203" s="233">
        <v>3</v>
      </c>
      <c r="D203" s="283" t="s">
        <v>127</v>
      </c>
      <c r="E203" s="284" t="s">
        <v>327</v>
      </c>
      <c r="F203" s="284" t="s">
        <v>365</v>
      </c>
      <c r="G203" s="286" t="str">
        <f t="shared" si="273"/>
        <v>[effect:enemy_message, val1:2.8, val2:3.4, dead_type:escape]</v>
      </c>
      <c r="H203" s="286">
        <f t="shared" si="274"/>
        <v>9</v>
      </c>
      <c r="I203" s="286">
        <f t="shared" si="275"/>
        <v>22</v>
      </c>
      <c r="J203" s="286" t="e">
        <f t="shared" si="276"/>
        <v>#VALUE!</v>
      </c>
      <c r="K203" s="286">
        <f t="shared" si="277"/>
        <v>32</v>
      </c>
      <c r="L203" s="286" t="str">
        <f>IFERROR(VLOOKUP(MID(G203,J203,K203-J203),[6]skilldef!$C:$D,2,FALSE),"-") &amp; " / " &amp; IFERROR(VLOOKUP(MID(G203,H203,I203-H203),[6]skilldef!$A:$B,2,FALSE),"-")</f>
        <v>- / -</v>
      </c>
      <c r="M203" s="286" t="str">
        <f t="shared" si="278"/>
        <v>none</v>
      </c>
      <c r="N203" s="285" t="str">
        <f t="shared" si="324"/>
        <v>none</v>
      </c>
      <c r="O203" s="286" t="e">
        <f t="shared" si="279"/>
        <v>#VALUE!</v>
      </c>
      <c r="P203" s="286">
        <f t="shared" si="280"/>
        <v>4</v>
      </c>
      <c r="Q203" s="286" t="e">
        <f t="shared" si="281"/>
        <v>#VALUE!</v>
      </c>
      <c r="R203" s="286" t="e">
        <f t="shared" si="282"/>
        <v>#VALUE!</v>
      </c>
      <c r="S203" s="286" t="str">
        <f>IFERROR(VLOOKUP(MID(N203,Q203,R203-Q203),[6]skilldef!$C:$D,2,FALSE),"-") &amp; " / " &amp; IFERROR(VLOOKUP(MID(N203,O203,P203-O203),[6]skilldef!$A:$B,2,FALSE),"-")</f>
        <v>- / -</v>
      </c>
      <c r="T203" s="285" t="str">
        <f t="shared" si="283"/>
        <v>none</v>
      </c>
      <c r="U203" s="286" t="e">
        <f t="shared" si="284"/>
        <v>#VALUE!</v>
      </c>
      <c r="V203" s="286">
        <f t="shared" si="285"/>
        <v>4</v>
      </c>
      <c r="W203" s="286" t="e">
        <f t="shared" si="286"/>
        <v>#VALUE!</v>
      </c>
      <c r="X203" s="286" t="e">
        <f t="shared" si="287"/>
        <v>#VALUE!</v>
      </c>
      <c r="Y203" s="286" t="str">
        <f>IFERROR(VLOOKUP(MID(T203,W203,X203-W203),[6]skilldef!$C:$D,2,FALSE),"-") &amp; " / " &amp; IFERROR(VLOOKUP(MID(T203,U203,V203-U203),[6]skilldef!$A:$B,2,FALSE),"-")</f>
        <v>- / -</v>
      </c>
      <c r="Z203" s="283"/>
      <c r="AA203" s="287"/>
      <c r="AB203" s="283"/>
    </row>
    <row r="204" spans="1:28" s="285" customFormat="1" ht="77" customHeight="1" x14ac:dyDescent="0.25">
      <c r="A204" s="198">
        <v>47015386</v>
      </c>
      <c r="B204" s="288" t="s">
        <v>490</v>
      </c>
      <c r="C204" s="233">
        <v>3</v>
      </c>
      <c r="D204" s="283" t="s">
        <v>127</v>
      </c>
      <c r="E204" s="284" t="s">
        <v>327</v>
      </c>
      <c r="F204" s="284" t="s">
        <v>365</v>
      </c>
      <c r="G204" s="286" t="str">
        <f t="shared" si="273"/>
        <v>[effect:enemy_message, val1:2.8, val2:3.4, dead_type:escape]</v>
      </c>
      <c r="H204" s="286">
        <f t="shared" si="274"/>
        <v>9</v>
      </c>
      <c r="I204" s="286">
        <f t="shared" si="275"/>
        <v>22</v>
      </c>
      <c r="J204" s="286" t="e">
        <f t="shared" si="276"/>
        <v>#VALUE!</v>
      </c>
      <c r="K204" s="286">
        <f t="shared" si="277"/>
        <v>32</v>
      </c>
      <c r="L204" s="286" t="str">
        <f>IFERROR(VLOOKUP(MID(G204,J204,K204-J204),[6]skilldef!$C:$D,2,FALSE),"-") &amp; " / " &amp; IFERROR(VLOOKUP(MID(G204,H204,I204-H204),[6]skilldef!$A:$B,2,FALSE),"-")</f>
        <v>- / -</v>
      </c>
      <c r="M204" s="286" t="str">
        <f t="shared" si="278"/>
        <v>none</v>
      </c>
      <c r="N204" s="285" t="str">
        <f t="shared" si="324"/>
        <v>none</v>
      </c>
      <c r="O204" s="286" t="e">
        <f t="shared" si="279"/>
        <v>#VALUE!</v>
      </c>
      <c r="P204" s="286">
        <f t="shared" si="280"/>
        <v>4</v>
      </c>
      <c r="Q204" s="286" t="e">
        <f t="shared" si="281"/>
        <v>#VALUE!</v>
      </c>
      <c r="R204" s="286" t="e">
        <f t="shared" si="282"/>
        <v>#VALUE!</v>
      </c>
      <c r="S204" s="286" t="str">
        <f>IFERROR(VLOOKUP(MID(N204,Q204,R204-Q204),[6]skilldef!$C:$D,2,FALSE),"-") &amp; " / " &amp; IFERROR(VLOOKUP(MID(N204,O204,P204-O204),[6]skilldef!$A:$B,2,FALSE),"-")</f>
        <v>- / -</v>
      </c>
      <c r="T204" s="285" t="str">
        <f t="shared" si="283"/>
        <v>none</v>
      </c>
      <c r="U204" s="286" t="e">
        <f t="shared" si="284"/>
        <v>#VALUE!</v>
      </c>
      <c r="V204" s="286">
        <f t="shared" si="285"/>
        <v>4</v>
      </c>
      <c r="W204" s="286" t="e">
        <f t="shared" si="286"/>
        <v>#VALUE!</v>
      </c>
      <c r="X204" s="286" t="e">
        <f t="shared" si="287"/>
        <v>#VALUE!</v>
      </c>
      <c r="Y204" s="286" t="str">
        <f>IFERROR(VLOOKUP(MID(T204,W204,X204-W204),[6]skilldef!$C:$D,2,FALSE),"-") &amp; " / " &amp; IFERROR(VLOOKUP(MID(T204,U204,V204-U204),[6]skilldef!$A:$B,2,FALSE),"-")</f>
        <v>- / -</v>
      </c>
      <c r="Z204" s="283"/>
      <c r="AA204" s="287"/>
      <c r="AB204" s="283"/>
    </row>
    <row r="205" spans="1:28" s="285" customFormat="1" ht="77" customHeight="1" x14ac:dyDescent="0.25">
      <c r="A205" s="198">
        <v>47015387</v>
      </c>
      <c r="B205" s="288" t="s">
        <v>490</v>
      </c>
      <c r="C205" s="233">
        <v>3</v>
      </c>
      <c r="D205" s="283" t="s">
        <v>127</v>
      </c>
      <c r="E205" s="284" t="s">
        <v>327</v>
      </c>
      <c r="F205" s="284" t="s">
        <v>365</v>
      </c>
      <c r="G205" s="286" t="str">
        <f t="shared" ref="G205:G209" si="325">IFERROR(LEFT(B205,FIND("],",B205)),B205)</f>
        <v>[effect:enemy_message, val1:2.8, val2:3.4, dead_type:escape]</v>
      </c>
      <c r="H205" s="286">
        <f t="shared" ref="H205:H209" si="326">FIND("effect:",G205)+7</f>
        <v>9</v>
      </c>
      <c r="I205" s="286">
        <f t="shared" ref="I205:I209" si="327">IFERROR(FIND(",",G205),LEN(G205))</f>
        <v>22</v>
      </c>
      <c r="J205" s="286" t="e">
        <f t="shared" ref="J205:J209" si="328">FIND("target:",G205)+7</f>
        <v>#VALUE!</v>
      </c>
      <c r="K205" s="286">
        <f t="shared" ref="K205:K209" si="329">FIND(",",G205,I205+1)</f>
        <v>32</v>
      </c>
      <c r="L205" s="286" t="str">
        <f>IFERROR(VLOOKUP(MID(G205,J205,K205-J205),[6]skilldef!$C:$D,2,FALSE),"-") &amp; " / " &amp; IFERROR(VLOOKUP(MID(G205,H205,I205-H205),[6]skilldef!$A:$B,2,FALSE),"-")</f>
        <v>- / -</v>
      </c>
      <c r="M205" s="286" t="str">
        <f t="shared" ref="M205:M209" si="330">IFERROR(RIGHT(B205,LEN(B205)-FIND("],",B205)-1),"none")</f>
        <v>none</v>
      </c>
      <c r="N205" s="285" t="str">
        <f t="shared" si="324"/>
        <v>none</v>
      </c>
      <c r="O205" s="286" t="e">
        <f t="shared" ref="O205:O209" si="331">FIND("effect:",N205)+7</f>
        <v>#VALUE!</v>
      </c>
      <c r="P205" s="286">
        <f t="shared" ref="P205:P209" si="332">IFERROR(FIND(",",N205),LEN(N205))</f>
        <v>4</v>
      </c>
      <c r="Q205" s="286" t="e">
        <f t="shared" ref="Q205:Q209" si="333">FIND("target:",N205)+7</f>
        <v>#VALUE!</v>
      </c>
      <c r="R205" s="286" t="e">
        <f t="shared" ref="R205:R209" si="334">FIND(",",N205,P205+1)</f>
        <v>#VALUE!</v>
      </c>
      <c r="S205" s="286" t="str">
        <f>IFERROR(VLOOKUP(MID(N205,Q205,R205-Q205),[6]skilldef!$C:$D,2,FALSE),"-") &amp; " / " &amp; IFERROR(VLOOKUP(MID(N205,O205,P205-O205),[6]skilldef!$A:$B,2,FALSE),"-")</f>
        <v>- / -</v>
      </c>
      <c r="T205" s="285" t="str">
        <f t="shared" ref="T205:T209" si="335">IFERROR(RIGHT(M205,LEN(M205)-FIND("],",M205)-1),"none")</f>
        <v>none</v>
      </c>
      <c r="U205" s="286" t="e">
        <f t="shared" ref="U205:U209" si="336">FIND("effect:",T205)+7</f>
        <v>#VALUE!</v>
      </c>
      <c r="V205" s="286">
        <f t="shared" ref="V205:V209" si="337">IFERROR(FIND(",",T205),LEN(T205))</f>
        <v>4</v>
      </c>
      <c r="W205" s="286" t="e">
        <f t="shared" ref="W205:W209" si="338">FIND("target:",T205)+7</f>
        <v>#VALUE!</v>
      </c>
      <c r="X205" s="286" t="e">
        <f t="shared" ref="X205:X209" si="339">FIND(",",T205,V205+1)</f>
        <v>#VALUE!</v>
      </c>
      <c r="Y205" s="286" t="str">
        <f>IFERROR(VLOOKUP(MID(T205,W205,X205-W205),[6]skilldef!$C:$D,2,FALSE),"-") &amp; " / " &amp; IFERROR(VLOOKUP(MID(T205,U205,V205-U205),[6]skilldef!$A:$B,2,FALSE),"-")</f>
        <v>- / -</v>
      </c>
      <c r="Z205" s="283"/>
      <c r="AA205" s="287"/>
      <c r="AB205" s="283"/>
    </row>
    <row r="206" spans="1:28" s="285" customFormat="1" ht="77" customHeight="1" x14ac:dyDescent="0.25">
      <c r="A206" s="198">
        <v>47015388</v>
      </c>
      <c r="B206" s="288" t="s">
        <v>490</v>
      </c>
      <c r="C206" s="233">
        <v>3</v>
      </c>
      <c r="D206" s="283" t="s">
        <v>127</v>
      </c>
      <c r="E206" s="284" t="s">
        <v>327</v>
      </c>
      <c r="F206" s="284" t="s">
        <v>365</v>
      </c>
      <c r="G206" s="286" t="str">
        <f t="shared" si="325"/>
        <v>[effect:enemy_message, val1:2.8, val2:3.4, dead_type:escape]</v>
      </c>
      <c r="H206" s="286">
        <f t="shared" si="326"/>
        <v>9</v>
      </c>
      <c r="I206" s="286">
        <f t="shared" si="327"/>
        <v>22</v>
      </c>
      <c r="J206" s="286" t="e">
        <f t="shared" si="328"/>
        <v>#VALUE!</v>
      </c>
      <c r="K206" s="286">
        <f t="shared" si="329"/>
        <v>32</v>
      </c>
      <c r="L206" s="286" t="str">
        <f>IFERROR(VLOOKUP(MID(G206,J206,K206-J206),[6]skilldef!$C:$D,2,FALSE),"-") &amp; " / " &amp; IFERROR(VLOOKUP(MID(G206,H206,I206-H206),[6]skilldef!$A:$B,2,FALSE),"-")</f>
        <v>- / -</v>
      </c>
      <c r="M206" s="286" t="str">
        <f t="shared" si="330"/>
        <v>none</v>
      </c>
      <c r="N206" s="285" t="str">
        <f t="shared" si="324"/>
        <v>none</v>
      </c>
      <c r="O206" s="286" t="e">
        <f t="shared" si="331"/>
        <v>#VALUE!</v>
      </c>
      <c r="P206" s="286">
        <f t="shared" si="332"/>
        <v>4</v>
      </c>
      <c r="Q206" s="286" t="e">
        <f t="shared" si="333"/>
        <v>#VALUE!</v>
      </c>
      <c r="R206" s="286" t="e">
        <f t="shared" si="334"/>
        <v>#VALUE!</v>
      </c>
      <c r="S206" s="286" t="str">
        <f>IFERROR(VLOOKUP(MID(N206,Q206,R206-Q206),[6]skilldef!$C:$D,2,FALSE),"-") &amp; " / " &amp; IFERROR(VLOOKUP(MID(N206,O206,P206-O206),[6]skilldef!$A:$B,2,FALSE),"-")</f>
        <v>- / -</v>
      </c>
      <c r="T206" s="285" t="str">
        <f t="shared" si="335"/>
        <v>none</v>
      </c>
      <c r="U206" s="286" t="e">
        <f t="shared" si="336"/>
        <v>#VALUE!</v>
      </c>
      <c r="V206" s="286">
        <f t="shared" si="337"/>
        <v>4</v>
      </c>
      <c r="W206" s="286" t="e">
        <f t="shared" si="338"/>
        <v>#VALUE!</v>
      </c>
      <c r="X206" s="286" t="e">
        <f t="shared" si="339"/>
        <v>#VALUE!</v>
      </c>
      <c r="Y206" s="286" t="str">
        <f>IFERROR(VLOOKUP(MID(T206,W206,X206-W206),[6]skilldef!$C:$D,2,FALSE),"-") &amp; " / " &amp; IFERROR(VLOOKUP(MID(T206,U206,V206-U206),[6]skilldef!$A:$B,2,FALSE),"-")</f>
        <v>- / -</v>
      </c>
      <c r="Z206" s="283"/>
      <c r="AA206" s="287"/>
      <c r="AB206" s="283"/>
    </row>
    <row r="207" spans="1:28" s="285" customFormat="1" ht="77" customHeight="1" x14ac:dyDescent="0.25">
      <c r="A207" s="198">
        <v>47015389</v>
      </c>
      <c r="B207" s="288" t="s">
        <v>490</v>
      </c>
      <c r="C207" s="233">
        <v>3</v>
      </c>
      <c r="D207" s="283" t="s">
        <v>127</v>
      </c>
      <c r="E207" s="284" t="s">
        <v>327</v>
      </c>
      <c r="F207" s="284" t="s">
        <v>365</v>
      </c>
      <c r="G207" s="286" t="str">
        <f t="shared" si="325"/>
        <v>[effect:enemy_message, val1:2.8, val2:3.4, dead_type:escape]</v>
      </c>
      <c r="H207" s="286">
        <f t="shared" si="326"/>
        <v>9</v>
      </c>
      <c r="I207" s="286">
        <f t="shared" si="327"/>
        <v>22</v>
      </c>
      <c r="J207" s="286" t="e">
        <f t="shared" si="328"/>
        <v>#VALUE!</v>
      </c>
      <c r="K207" s="286">
        <f t="shared" si="329"/>
        <v>32</v>
      </c>
      <c r="L207" s="286" t="str">
        <f>IFERROR(VLOOKUP(MID(G207,J207,K207-J207),[6]skilldef!$C:$D,2,FALSE),"-") &amp; " / " &amp; IFERROR(VLOOKUP(MID(G207,H207,I207-H207),[6]skilldef!$A:$B,2,FALSE),"-")</f>
        <v>- / -</v>
      </c>
      <c r="M207" s="286" t="str">
        <f t="shared" si="330"/>
        <v>none</v>
      </c>
      <c r="N207" s="285" t="str">
        <f t="shared" si="324"/>
        <v>none</v>
      </c>
      <c r="O207" s="286" t="e">
        <f t="shared" si="331"/>
        <v>#VALUE!</v>
      </c>
      <c r="P207" s="286">
        <f t="shared" si="332"/>
        <v>4</v>
      </c>
      <c r="Q207" s="286" t="e">
        <f t="shared" si="333"/>
        <v>#VALUE!</v>
      </c>
      <c r="R207" s="286" t="e">
        <f t="shared" si="334"/>
        <v>#VALUE!</v>
      </c>
      <c r="S207" s="286" t="str">
        <f>IFERROR(VLOOKUP(MID(N207,Q207,R207-Q207),[6]skilldef!$C:$D,2,FALSE),"-") &amp; " / " &amp; IFERROR(VLOOKUP(MID(N207,O207,P207-O207),[6]skilldef!$A:$B,2,FALSE),"-")</f>
        <v>- / -</v>
      </c>
      <c r="T207" s="285" t="str">
        <f t="shared" si="335"/>
        <v>none</v>
      </c>
      <c r="U207" s="286" t="e">
        <f t="shared" si="336"/>
        <v>#VALUE!</v>
      </c>
      <c r="V207" s="286">
        <f t="shared" si="337"/>
        <v>4</v>
      </c>
      <c r="W207" s="286" t="e">
        <f t="shared" si="338"/>
        <v>#VALUE!</v>
      </c>
      <c r="X207" s="286" t="e">
        <f t="shared" si="339"/>
        <v>#VALUE!</v>
      </c>
      <c r="Y207" s="286" t="str">
        <f>IFERROR(VLOOKUP(MID(T207,W207,X207-W207),[6]skilldef!$C:$D,2,FALSE),"-") &amp; " / " &amp; IFERROR(VLOOKUP(MID(T207,U207,V207-U207),[6]skilldef!$A:$B,2,FALSE),"-")</f>
        <v>- / -</v>
      </c>
      <c r="Z207" s="283"/>
      <c r="AA207" s="287"/>
      <c r="AB207" s="283"/>
    </row>
    <row r="208" spans="1:28" s="285" customFormat="1" ht="77" customHeight="1" x14ac:dyDescent="0.25">
      <c r="A208" s="198">
        <v>47015390</v>
      </c>
      <c r="B208" s="288" t="s">
        <v>491</v>
      </c>
      <c r="C208" s="233">
        <v>3</v>
      </c>
      <c r="D208" s="283" t="s">
        <v>127</v>
      </c>
      <c r="E208" s="284" t="s">
        <v>361</v>
      </c>
      <c r="F208" s="285" t="s">
        <v>334</v>
      </c>
      <c r="G208" s="286" t="str">
        <f t="shared" si="325"/>
        <v>[effect:enemy_message, val1:1.7, val2:2.2, dead_type:escape]</v>
      </c>
      <c r="H208" s="286">
        <f t="shared" si="326"/>
        <v>9</v>
      </c>
      <c r="I208" s="286">
        <f t="shared" si="327"/>
        <v>22</v>
      </c>
      <c r="J208" s="286" t="e">
        <f t="shared" si="328"/>
        <v>#VALUE!</v>
      </c>
      <c r="K208" s="286">
        <f t="shared" si="329"/>
        <v>32</v>
      </c>
      <c r="L208" s="286" t="str">
        <f>IFERROR(VLOOKUP(MID(G208,J208,K208-J208),[6]skilldef!$C:$D,2,FALSE),"-") &amp; " / " &amp; IFERROR(VLOOKUP(MID(G208,H208,I208-H208),[6]skilldef!$A:$B,2,FALSE),"-")</f>
        <v>- / -</v>
      </c>
      <c r="M208" s="286" t="str">
        <f t="shared" si="330"/>
        <v>none</v>
      </c>
      <c r="N208" s="285" t="str">
        <f t="shared" si="324"/>
        <v>none</v>
      </c>
      <c r="O208" s="286" t="e">
        <f t="shared" si="331"/>
        <v>#VALUE!</v>
      </c>
      <c r="P208" s="286">
        <f t="shared" si="332"/>
        <v>4</v>
      </c>
      <c r="Q208" s="286" t="e">
        <f t="shared" si="333"/>
        <v>#VALUE!</v>
      </c>
      <c r="R208" s="286" t="e">
        <f t="shared" si="334"/>
        <v>#VALUE!</v>
      </c>
      <c r="S208" s="286" t="str">
        <f>IFERROR(VLOOKUP(MID(N208,Q208,R208-Q208),[6]skilldef!$C:$D,2,FALSE),"-") &amp; " / " &amp; IFERROR(VLOOKUP(MID(N208,O208,P208-O208),[6]skilldef!$A:$B,2,FALSE),"-")</f>
        <v>- / -</v>
      </c>
      <c r="T208" s="285" t="str">
        <f t="shared" si="335"/>
        <v>none</v>
      </c>
      <c r="U208" s="286" t="e">
        <f t="shared" si="336"/>
        <v>#VALUE!</v>
      </c>
      <c r="V208" s="286">
        <f t="shared" si="337"/>
        <v>4</v>
      </c>
      <c r="W208" s="286" t="e">
        <f t="shared" si="338"/>
        <v>#VALUE!</v>
      </c>
      <c r="X208" s="286" t="e">
        <f t="shared" si="339"/>
        <v>#VALUE!</v>
      </c>
      <c r="Y208" s="286" t="str">
        <f>IFERROR(VLOOKUP(MID(T208,W208,X208-W208),[6]skilldef!$C:$D,2,FALSE),"-") &amp; " / " &amp; IFERROR(VLOOKUP(MID(T208,U208,V208-U208),[6]skilldef!$A:$B,2,FALSE),"-")</f>
        <v>- / -</v>
      </c>
      <c r="Z208" s="283"/>
      <c r="AA208" s="287"/>
      <c r="AB208" s="283"/>
    </row>
    <row r="209" spans="1:28" s="285" customFormat="1" ht="77" customHeight="1" x14ac:dyDescent="0.25">
      <c r="A209" s="198">
        <v>47015391</v>
      </c>
      <c r="B209" s="288" t="s">
        <v>491</v>
      </c>
      <c r="C209" s="233">
        <v>3</v>
      </c>
      <c r="D209" s="283" t="s">
        <v>127</v>
      </c>
      <c r="E209" s="284" t="s">
        <v>361</v>
      </c>
      <c r="F209" s="285" t="s">
        <v>334</v>
      </c>
      <c r="G209" s="286" t="str">
        <f t="shared" si="325"/>
        <v>[effect:enemy_message, val1:1.7, val2:2.2, dead_type:escape]</v>
      </c>
      <c r="H209" s="286">
        <f t="shared" si="326"/>
        <v>9</v>
      </c>
      <c r="I209" s="286">
        <f t="shared" si="327"/>
        <v>22</v>
      </c>
      <c r="J209" s="286" t="e">
        <f t="shared" si="328"/>
        <v>#VALUE!</v>
      </c>
      <c r="K209" s="286">
        <f t="shared" si="329"/>
        <v>32</v>
      </c>
      <c r="L209" s="286" t="str">
        <f>IFERROR(VLOOKUP(MID(G209,J209,K209-J209),[6]skilldef!$C:$D,2,FALSE),"-") &amp; " / " &amp; IFERROR(VLOOKUP(MID(G209,H209,I209-H209),[6]skilldef!$A:$B,2,FALSE),"-")</f>
        <v>- / -</v>
      </c>
      <c r="M209" s="286" t="str">
        <f t="shared" si="330"/>
        <v>none</v>
      </c>
      <c r="N209" s="285" t="str">
        <f t="shared" si="324"/>
        <v>none</v>
      </c>
      <c r="O209" s="286" t="e">
        <f t="shared" si="331"/>
        <v>#VALUE!</v>
      </c>
      <c r="P209" s="286">
        <f t="shared" si="332"/>
        <v>4</v>
      </c>
      <c r="Q209" s="286" t="e">
        <f t="shared" si="333"/>
        <v>#VALUE!</v>
      </c>
      <c r="R209" s="286" t="e">
        <f t="shared" si="334"/>
        <v>#VALUE!</v>
      </c>
      <c r="S209" s="286" t="str">
        <f>IFERROR(VLOOKUP(MID(N209,Q209,R209-Q209),[6]skilldef!$C:$D,2,FALSE),"-") &amp; " / " &amp; IFERROR(VLOOKUP(MID(N209,O209,P209-O209),[6]skilldef!$A:$B,2,FALSE),"-")</f>
        <v>- / -</v>
      </c>
      <c r="T209" s="285" t="str">
        <f t="shared" si="335"/>
        <v>none</v>
      </c>
      <c r="U209" s="286" t="e">
        <f t="shared" si="336"/>
        <v>#VALUE!</v>
      </c>
      <c r="V209" s="286">
        <f t="shared" si="337"/>
        <v>4</v>
      </c>
      <c r="W209" s="286" t="e">
        <f t="shared" si="338"/>
        <v>#VALUE!</v>
      </c>
      <c r="X209" s="286" t="e">
        <f t="shared" si="339"/>
        <v>#VALUE!</v>
      </c>
      <c r="Y209" s="286" t="str">
        <f>IFERROR(VLOOKUP(MID(T209,W209,X209-W209),[6]skilldef!$C:$D,2,FALSE),"-") &amp; " / " &amp; IFERROR(VLOOKUP(MID(T209,U209,V209-U209),[6]skilldef!$A:$B,2,FALSE),"-")</f>
        <v>- / -</v>
      </c>
      <c r="Z209" s="283"/>
      <c r="AA209" s="287"/>
      <c r="AB209" s="283"/>
    </row>
    <row r="210" spans="1:28" s="285" customFormat="1" ht="77" customHeight="1" x14ac:dyDescent="0.25">
      <c r="A210" s="198">
        <v>47015392</v>
      </c>
      <c r="B210" s="288" t="s">
        <v>491</v>
      </c>
      <c r="C210" s="233">
        <v>3</v>
      </c>
      <c r="D210" s="283" t="s">
        <v>127</v>
      </c>
      <c r="E210" s="284" t="s">
        <v>361</v>
      </c>
      <c r="F210" s="285" t="s">
        <v>334</v>
      </c>
      <c r="G210" s="286" t="str">
        <f t="shared" ref="G210:G211" si="340">IFERROR(LEFT(B210,FIND("],",B210)),B210)</f>
        <v>[effect:enemy_message, val1:1.7, val2:2.2, dead_type:escape]</v>
      </c>
      <c r="H210" s="286">
        <f t="shared" ref="H210:H211" si="341">FIND("effect:",G210)+7</f>
        <v>9</v>
      </c>
      <c r="I210" s="286">
        <f t="shared" ref="I210:I211" si="342">IFERROR(FIND(",",G210),LEN(G210))</f>
        <v>22</v>
      </c>
      <c r="J210" s="286" t="e">
        <f t="shared" ref="J210:J211" si="343">FIND("target:",G210)+7</f>
        <v>#VALUE!</v>
      </c>
      <c r="K210" s="286">
        <f t="shared" ref="K210:K211" si="344">FIND(",",G210,I210+1)</f>
        <v>32</v>
      </c>
      <c r="L210" s="286" t="str">
        <f>IFERROR(VLOOKUP(MID(G210,J210,K210-J210),[6]skilldef!$C:$D,2,FALSE),"-") &amp; " / " &amp; IFERROR(VLOOKUP(MID(G210,H210,I210-H210),[6]skilldef!$A:$B,2,FALSE),"-")</f>
        <v>- / -</v>
      </c>
      <c r="M210" s="286" t="str">
        <f t="shared" ref="M210:M211" si="345">IFERROR(RIGHT(B210,LEN(B210)-FIND("],",B210)-1),"none")</f>
        <v>none</v>
      </c>
      <c r="N210" s="285" t="str">
        <f t="shared" si="324"/>
        <v>none</v>
      </c>
      <c r="O210" s="286" t="e">
        <f t="shared" ref="O210:O211" si="346">FIND("effect:",N210)+7</f>
        <v>#VALUE!</v>
      </c>
      <c r="P210" s="286">
        <f t="shared" ref="P210:P211" si="347">IFERROR(FIND(",",N210),LEN(N210))</f>
        <v>4</v>
      </c>
      <c r="Q210" s="286" t="e">
        <f t="shared" ref="Q210:Q211" si="348">FIND("target:",N210)+7</f>
        <v>#VALUE!</v>
      </c>
      <c r="R210" s="286" t="e">
        <f t="shared" ref="R210:R211" si="349">FIND(",",N210,P210+1)</f>
        <v>#VALUE!</v>
      </c>
      <c r="S210" s="286" t="str">
        <f>IFERROR(VLOOKUP(MID(N210,Q210,R210-Q210),[6]skilldef!$C:$D,2,FALSE),"-") &amp; " / " &amp; IFERROR(VLOOKUP(MID(N210,O210,P210-O210),[6]skilldef!$A:$B,2,FALSE),"-")</f>
        <v>- / -</v>
      </c>
      <c r="T210" s="285" t="str">
        <f t="shared" ref="T210:T211" si="350">IFERROR(RIGHT(M210,LEN(M210)-FIND("],",M210)-1),"none")</f>
        <v>none</v>
      </c>
      <c r="U210" s="286" t="e">
        <f t="shared" ref="U210:U211" si="351">FIND("effect:",T210)+7</f>
        <v>#VALUE!</v>
      </c>
      <c r="V210" s="286">
        <f t="shared" ref="V210:V211" si="352">IFERROR(FIND(",",T210),LEN(T210))</f>
        <v>4</v>
      </c>
      <c r="W210" s="286" t="e">
        <f t="shared" ref="W210:W211" si="353">FIND("target:",T210)+7</f>
        <v>#VALUE!</v>
      </c>
      <c r="X210" s="286" t="e">
        <f t="shared" ref="X210:X211" si="354">FIND(",",T210,V210+1)</f>
        <v>#VALUE!</v>
      </c>
      <c r="Y210" s="286" t="str">
        <f>IFERROR(VLOOKUP(MID(T210,W210,X210-W210),[6]skilldef!$C:$D,2,FALSE),"-") &amp; " / " &amp; IFERROR(VLOOKUP(MID(T210,U210,V210-U210),[6]skilldef!$A:$B,2,FALSE),"-")</f>
        <v>- / -</v>
      </c>
      <c r="Z210" s="283"/>
      <c r="AA210" s="287"/>
      <c r="AB210" s="283"/>
    </row>
    <row r="211" spans="1:28" s="285" customFormat="1" ht="77" customHeight="1" x14ac:dyDescent="0.25">
      <c r="A211" s="198">
        <v>47015393</v>
      </c>
      <c r="B211" s="288" t="s">
        <v>491</v>
      </c>
      <c r="C211" s="233">
        <v>3</v>
      </c>
      <c r="D211" s="283" t="s">
        <v>127</v>
      </c>
      <c r="E211" s="284" t="s">
        <v>361</v>
      </c>
      <c r="F211" s="285" t="s">
        <v>334</v>
      </c>
      <c r="G211" s="286" t="str">
        <f t="shared" si="340"/>
        <v>[effect:enemy_message, val1:1.7, val2:2.2, dead_type:escape]</v>
      </c>
      <c r="H211" s="286">
        <f t="shared" si="341"/>
        <v>9</v>
      </c>
      <c r="I211" s="286">
        <f t="shared" si="342"/>
        <v>22</v>
      </c>
      <c r="J211" s="286" t="e">
        <f t="shared" si="343"/>
        <v>#VALUE!</v>
      </c>
      <c r="K211" s="286">
        <f t="shared" si="344"/>
        <v>32</v>
      </c>
      <c r="L211" s="286" t="str">
        <f>IFERROR(VLOOKUP(MID(G211,J211,K211-J211),[6]skilldef!$C:$D,2,FALSE),"-") &amp; " / " &amp; IFERROR(VLOOKUP(MID(G211,H211,I211-H211),[6]skilldef!$A:$B,2,FALSE),"-")</f>
        <v>- / -</v>
      </c>
      <c r="M211" s="286" t="str">
        <f t="shared" si="345"/>
        <v>none</v>
      </c>
      <c r="N211" s="285" t="str">
        <f t="shared" si="324"/>
        <v>none</v>
      </c>
      <c r="O211" s="286" t="e">
        <f t="shared" si="346"/>
        <v>#VALUE!</v>
      </c>
      <c r="P211" s="286">
        <f t="shared" si="347"/>
        <v>4</v>
      </c>
      <c r="Q211" s="286" t="e">
        <f t="shared" si="348"/>
        <v>#VALUE!</v>
      </c>
      <c r="R211" s="286" t="e">
        <f t="shared" si="349"/>
        <v>#VALUE!</v>
      </c>
      <c r="S211" s="286" t="str">
        <f>IFERROR(VLOOKUP(MID(N211,Q211,R211-Q211),[6]skilldef!$C:$D,2,FALSE),"-") &amp; " / " &amp; IFERROR(VLOOKUP(MID(N211,O211,P211-O211),[6]skilldef!$A:$B,2,FALSE),"-")</f>
        <v>- / -</v>
      </c>
      <c r="T211" s="285" t="str">
        <f t="shared" si="350"/>
        <v>none</v>
      </c>
      <c r="U211" s="286" t="e">
        <f t="shared" si="351"/>
        <v>#VALUE!</v>
      </c>
      <c r="V211" s="286">
        <f t="shared" si="352"/>
        <v>4</v>
      </c>
      <c r="W211" s="286" t="e">
        <f t="shared" si="353"/>
        <v>#VALUE!</v>
      </c>
      <c r="X211" s="286" t="e">
        <f t="shared" si="354"/>
        <v>#VALUE!</v>
      </c>
      <c r="Y211" s="286" t="str">
        <f>IFERROR(VLOOKUP(MID(T211,W211,X211-W211),[6]skilldef!$C:$D,2,FALSE),"-") &amp; " / " &amp; IFERROR(VLOOKUP(MID(T211,U211,V211-U211),[6]skilldef!$A:$B,2,FALSE),"-")</f>
        <v>- / -</v>
      </c>
      <c r="Z211" s="283"/>
      <c r="AA211" s="287"/>
      <c r="AB211" s="283"/>
    </row>
    <row r="212" spans="1:28" ht="77" customHeight="1" x14ac:dyDescent="0.15">
      <c r="C212" s="233"/>
    </row>
    <row r="213" spans="1:28" ht="77" customHeight="1" x14ac:dyDescent="0.15">
      <c r="C213" s="233"/>
    </row>
    <row r="214" spans="1:28" ht="77" customHeight="1" x14ac:dyDescent="0.15">
      <c r="C214" s="233"/>
    </row>
    <row r="215" spans="1:28" ht="77" customHeight="1" x14ac:dyDescent="0.15">
      <c r="C215" s="233"/>
    </row>
    <row r="216" spans="1:28" ht="77" customHeight="1" x14ac:dyDescent="0.15">
      <c r="C216" s="233"/>
    </row>
    <row r="217" spans="1:28" ht="77" customHeight="1" x14ac:dyDescent="0.15">
      <c r="C217" s="233"/>
    </row>
    <row r="218" spans="1:28" ht="77" customHeight="1" x14ac:dyDescent="0.15">
      <c r="C218" s="233"/>
    </row>
    <row r="219" spans="1:28" ht="77" customHeight="1" x14ac:dyDescent="0.15">
      <c r="C219" s="233"/>
    </row>
    <row r="220" spans="1:28" ht="77" customHeight="1" x14ac:dyDescent="0.15">
      <c r="C220" s="233"/>
    </row>
    <row r="229" spans="1:1" ht="77" customHeight="1" x14ac:dyDescent="0.15">
      <c r="A229" s="259"/>
    </row>
    <row r="230" spans="1:1" ht="77" customHeight="1" x14ac:dyDescent="0.15">
      <c r="A230" s="259"/>
    </row>
    <row r="231" spans="1:1" ht="77" customHeight="1" x14ac:dyDescent="0.15">
      <c r="A231" s="260"/>
    </row>
    <row r="232" spans="1:1" ht="77" customHeight="1" x14ac:dyDescent="0.15">
      <c r="A232" s="259"/>
    </row>
    <row r="233" spans="1:1" ht="77" customHeight="1" x14ac:dyDescent="0.15">
      <c r="A233" s="260"/>
    </row>
    <row r="234" spans="1:1" ht="77" customHeight="1" x14ac:dyDescent="0.15">
      <c r="A234" s="259"/>
    </row>
    <row r="235" spans="1:1" ht="77" customHeight="1" x14ac:dyDescent="0.15">
      <c r="A235" s="262"/>
    </row>
    <row r="236" spans="1:1" ht="77" customHeight="1" x14ac:dyDescent="0.15">
      <c r="A236" s="262"/>
    </row>
    <row r="237" spans="1:1" ht="77" customHeight="1" x14ac:dyDescent="0.15">
      <c r="A237" s="262"/>
    </row>
    <row r="238" spans="1:1" ht="77" customHeight="1" x14ac:dyDescent="0.15">
      <c r="A238" s="262"/>
    </row>
    <row r="239" spans="1:1" ht="77" customHeight="1" x14ac:dyDescent="0.15">
      <c r="A239" s="262"/>
    </row>
    <row r="240" spans="1:1" ht="77" customHeight="1" x14ac:dyDescent="0.15">
      <c r="A240" s="263"/>
    </row>
    <row r="241" spans="1:1" ht="77" customHeight="1" x14ac:dyDescent="0.15">
      <c r="A241" s="260"/>
    </row>
    <row r="242" spans="1:1" ht="77" customHeight="1" x14ac:dyDescent="0.15">
      <c r="A242" s="263"/>
    </row>
    <row r="243" spans="1:1" ht="77" customHeight="1" x14ac:dyDescent="0.15">
      <c r="A243" s="260"/>
    </row>
    <row r="244" spans="1:1" ht="77" customHeight="1" x14ac:dyDescent="0.15">
      <c r="A244" s="263"/>
    </row>
    <row r="245" spans="1:1" ht="77" customHeight="1" x14ac:dyDescent="0.15">
      <c r="A245" s="262"/>
    </row>
    <row r="246" spans="1:1" ht="77" customHeight="1" x14ac:dyDescent="0.15">
      <c r="A246" s="262"/>
    </row>
    <row r="247" spans="1:1" ht="77" customHeight="1" x14ac:dyDescent="0.15">
      <c r="A247" s="262"/>
    </row>
    <row r="248" spans="1:1" ht="77" customHeight="1" x14ac:dyDescent="0.15">
      <c r="A248" s="262"/>
    </row>
    <row r="249" spans="1:1" ht="77" customHeight="1" x14ac:dyDescent="0.15">
      <c r="A249" s="262"/>
    </row>
    <row r="250" spans="1:1" ht="77" customHeight="1" x14ac:dyDescent="0.15">
      <c r="A250" s="260"/>
    </row>
    <row r="251" spans="1:1" ht="77" customHeight="1" x14ac:dyDescent="0.15">
      <c r="A251" s="260"/>
    </row>
    <row r="252" spans="1:1" ht="77" customHeight="1" x14ac:dyDescent="0.15">
      <c r="A252" s="260"/>
    </row>
    <row r="253" spans="1:1" ht="77" customHeight="1" x14ac:dyDescent="0.15">
      <c r="A253" s="260"/>
    </row>
    <row r="254" spans="1:1" ht="77" customHeight="1" x14ac:dyDescent="0.15">
      <c r="A254" s="260"/>
    </row>
    <row r="255" spans="1:1" ht="77" customHeight="1" x14ac:dyDescent="0.15">
      <c r="A255" s="260"/>
    </row>
    <row r="256" spans="1:1" ht="77" customHeight="1" x14ac:dyDescent="0.15">
      <c r="A256" s="260"/>
    </row>
    <row r="257" spans="1:1" ht="77" customHeight="1" x14ac:dyDescent="0.15">
      <c r="A257" s="260"/>
    </row>
    <row r="258" spans="1:1" ht="77" customHeight="1" x14ac:dyDescent="0.15">
      <c r="A258" s="260"/>
    </row>
    <row r="259" spans="1:1" ht="77" customHeight="1" x14ac:dyDescent="0.15">
      <c r="A259" s="260"/>
    </row>
    <row r="260" spans="1:1" ht="77" customHeight="1" x14ac:dyDescent="0.15">
      <c r="A260" s="260"/>
    </row>
    <row r="261" spans="1:1" ht="77" customHeight="1" x14ac:dyDescent="0.15">
      <c r="A261" s="260"/>
    </row>
    <row r="262" spans="1:1" ht="77" customHeight="1" x14ac:dyDescent="0.15">
      <c r="A262" s="260"/>
    </row>
    <row r="263" spans="1:1" ht="77" customHeight="1" x14ac:dyDescent="0.15">
      <c r="A263" s="260"/>
    </row>
    <row r="264" spans="1:1" ht="77" customHeight="1" x14ac:dyDescent="0.15">
      <c r="A264" s="260"/>
    </row>
    <row r="265" spans="1:1" ht="77" customHeight="1" x14ac:dyDescent="0.15">
      <c r="A265" s="260"/>
    </row>
    <row r="266" spans="1:1" ht="77" customHeight="1" x14ac:dyDescent="0.15">
      <c r="A266" s="260"/>
    </row>
    <row r="267" spans="1:1" ht="77" customHeight="1" x14ac:dyDescent="0.15">
      <c r="A267" s="262"/>
    </row>
    <row r="268" spans="1:1" ht="77" customHeight="1" x14ac:dyDescent="0.15">
      <c r="A268" s="262"/>
    </row>
    <row r="269" spans="1:1" ht="77" customHeight="1" x14ac:dyDescent="0.15">
      <c r="A269" s="262"/>
    </row>
    <row r="270" spans="1:1" ht="77" customHeight="1" x14ac:dyDescent="0.15">
      <c r="A270" s="262"/>
    </row>
    <row r="271" spans="1:1" ht="77" customHeight="1" x14ac:dyDescent="0.15">
      <c r="A271" s="262"/>
    </row>
    <row r="272" spans="1:1" ht="77" customHeight="1" x14ac:dyDescent="0.15">
      <c r="A272" s="262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M212"/>
  <sheetViews>
    <sheetView showGridLines="0" zoomScale="80" zoomScaleNormal="80" zoomScalePageLayoutView="80" workbookViewId="0">
      <pane ySplit="1" topLeftCell="A107" activePane="bottomLeft" state="frozenSplit"/>
      <selection pane="bottomLeft" activeCell="E126" sqref="E126"/>
    </sheetView>
  </sheetViews>
  <sheetFormatPr baseColWidth="12" defaultColWidth="19.1640625" defaultRowHeight="28" customHeight="1" x14ac:dyDescent="0.15"/>
  <cols>
    <col min="1" max="10" width="19.1640625" style="181"/>
    <col min="11" max="11" width="19.1640625" style="190"/>
    <col min="12" max="12" width="19.1640625" style="185"/>
    <col min="13" max="13" width="19.1640625" style="179"/>
    <col min="14" max="16384" width="19.1640625" style="185"/>
  </cols>
  <sheetData>
    <row r="1" spans="1:13" ht="28" customHeight="1" thickBot="1" x14ac:dyDescent="0.2">
      <c r="A1" s="167" t="s">
        <v>83</v>
      </c>
      <c r="B1" s="167" t="s">
        <v>84</v>
      </c>
      <c r="C1" s="167" t="s">
        <v>85</v>
      </c>
      <c r="D1" s="167" t="s">
        <v>86</v>
      </c>
      <c r="E1" s="167" t="s">
        <v>69</v>
      </c>
      <c r="F1" s="183" t="s">
        <v>70</v>
      </c>
      <c r="G1" s="183" t="s">
        <v>71</v>
      </c>
      <c r="H1" s="167" t="s">
        <v>72</v>
      </c>
      <c r="I1" s="167" t="s">
        <v>73</v>
      </c>
      <c r="J1" s="167" t="s">
        <v>74</v>
      </c>
      <c r="K1" s="184" t="s">
        <v>87</v>
      </c>
      <c r="M1" s="186" t="s">
        <v>82</v>
      </c>
    </row>
    <row r="2" spans="1:13" ht="28" customHeight="1" x14ac:dyDescent="0.2">
      <c r="A2" s="239">
        <v>47015100</v>
      </c>
      <c r="B2" s="187">
        <v>1</v>
      </c>
      <c r="C2" s="187">
        <v>105</v>
      </c>
      <c r="D2" s="187">
        <v>0</v>
      </c>
      <c r="E2" s="187" t="s">
        <v>253</v>
      </c>
      <c r="F2" s="187" t="s">
        <v>89</v>
      </c>
      <c r="G2" s="187">
        <v>1</v>
      </c>
      <c r="H2" s="187" t="s">
        <v>89</v>
      </c>
      <c r="I2" s="188">
        <v>1703</v>
      </c>
      <c r="J2" s="189">
        <f t="shared" ref="J2" si="0">D2</f>
        <v>0</v>
      </c>
      <c r="M2" s="136" t="s">
        <v>288</v>
      </c>
    </row>
    <row r="3" spans="1:13" ht="28" customHeight="1" x14ac:dyDescent="0.2">
      <c r="A3" s="240">
        <v>47015101</v>
      </c>
      <c r="B3" s="187">
        <v>1</v>
      </c>
      <c r="C3" s="187">
        <v>106</v>
      </c>
      <c r="D3" s="187">
        <v>0</v>
      </c>
      <c r="E3" s="187" t="s">
        <v>88</v>
      </c>
      <c r="F3" s="187" t="s">
        <v>88</v>
      </c>
      <c r="G3" s="187">
        <v>1</v>
      </c>
      <c r="H3" s="187" t="s">
        <v>88</v>
      </c>
      <c r="I3" s="188">
        <v>1704</v>
      </c>
      <c r="J3" s="189">
        <f t="shared" ref="J3" si="1">D3</f>
        <v>0</v>
      </c>
      <c r="M3" s="137" t="s">
        <v>287</v>
      </c>
    </row>
    <row r="4" spans="1:13" ht="28" customHeight="1" x14ac:dyDescent="0.15">
      <c r="A4" s="239">
        <v>47015102</v>
      </c>
      <c r="B4" s="179">
        <v>1</v>
      </c>
      <c r="C4" s="179">
        <v>100</v>
      </c>
      <c r="D4" s="179">
        <v>100</v>
      </c>
      <c r="E4" s="179" t="s">
        <v>253</v>
      </c>
      <c r="F4" s="179" t="s">
        <v>89</v>
      </c>
      <c r="G4" s="179">
        <v>1</v>
      </c>
      <c r="H4" s="179" t="s">
        <v>89</v>
      </c>
      <c r="I4" s="179" t="s">
        <v>89</v>
      </c>
      <c r="J4" s="189">
        <f t="shared" ref="J4:J24" si="2">D4</f>
        <v>100</v>
      </c>
      <c r="M4" s="137" t="s">
        <v>273</v>
      </c>
    </row>
    <row r="5" spans="1:13" ht="28" customHeight="1" x14ac:dyDescent="0.15">
      <c r="A5" s="240">
        <v>47015103</v>
      </c>
      <c r="B5" s="179">
        <v>0</v>
      </c>
      <c r="C5" s="179" t="s">
        <v>88</v>
      </c>
      <c r="D5" s="179">
        <v>60</v>
      </c>
      <c r="E5" s="179" t="s">
        <v>253</v>
      </c>
      <c r="F5" s="179" t="s">
        <v>89</v>
      </c>
      <c r="G5" s="179" t="s">
        <v>253</v>
      </c>
      <c r="H5" s="179" t="s">
        <v>89</v>
      </c>
      <c r="I5" s="179" t="s">
        <v>89</v>
      </c>
      <c r="J5" s="189">
        <f t="shared" si="2"/>
        <v>60</v>
      </c>
      <c r="M5" s="138" t="s">
        <v>254</v>
      </c>
    </row>
    <row r="6" spans="1:13" ht="28" customHeight="1" thickBot="1" x14ac:dyDescent="0.2">
      <c r="A6" s="241">
        <v>47015104</v>
      </c>
      <c r="B6" s="179">
        <v>0</v>
      </c>
      <c r="C6" s="179" t="s">
        <v>88</v>
      </c>
      <c r="D6" s="179">
        <v>80</v>
      </c>
      <c r="E6" s="179" t="s">
        <v>253</v>
      </c>
      <c r="F6" s="179" t="s">
        <v>89</v>
      </c>
      <c r="G6" s="179" t="s">
        <v>253</v>
      </c>
      <c r="H6" s="179" t="s">
        <v>89</v>
      </c>
      <c r="I6" s="179" t="s">
        <v>89</v>
      </c>
      <c r="J6" s="189">
        <f t="shared" si="2"/>
        <v>80</v>
      </c>
      <c r="M6" s="139" t="s">
        <v>319</v>
      </c>
    </row>
    <row r="7" spans="1:13" ht="28" customHeight="1" thickBot="1" x14ac:dyDescent="0.2">
      <c r="A7" s="240">
        <v>47015105</v>
      </c>
      <c r="B7" s="179">
        <v>0</v>
      </c>
      <c r="C7" s="179">
        <v>99</v>
      </c>
      <c r="D7" s="179">
        <v>100</v>
      </c>
      <c r="E7" s="179">
        <v>50</v>
      </c>
      <c r="F7" s="179" t="s">
        <v>89</v>
      </c>
      <c r="G7" s="179">
        <v>1</v>
      </c>
      <c r="H7" s="179" t="s">
        <v>89</v>
      </c>
      <c r="I7" s="179" t="s">
        <v>89</v>
      </c>
      <c r="J7" s="189">
        <f t="shared" si="2"/>
        <v>100</v>
      </c>
      <c r="M7" s="136" t="s">
        <v>288</v>
      </c>
    </row>
    <row r="8" spans="1:13" ht="28" customHeight="1" x14ac:dyDescent="0.2">
      <c r="A8" s="242">
        <v>47015110</v>
      </c>
      <c r="B8" s="187">
        <v>1</v>
      </c>
      <c r="C8" s="187">
        <v>105</v>
      </c>
      <c r="D8" s="187">
        <v>0</v>
      </c>
      <c r="E8" s="187" t="s">
        <v>253</v>
      </c>
      <c r="F8" s="187" t="s">
        <v>89</v>
      </c>
      <c r="G8" s="187">
        <v>1</v>
      </c>
      <c r="H8" s="187" t="s">
        <v>89</v>
      </c>
      <c r="I8" s="188">
        <v>1703</v>
      </c>
      <c r="J8" s="189">
        <f t="shared" si="2"/>
        <v>0</v>
      </c>
      <c r="M8" s="136" t="s">
        <v>311</v>
      </c>
    </row>
    <row r="9" spans="1:13" ht="28" customHeight="1" x14ac:dyDescent="0.2">
      <c r="A9" s="240">
        <v>47015111</v>
      </c>
      <c r="B9" s="187">
        <v>1</v>
      </c>
      <c r="C9" s="187">
        <v>106</v>
      </c>
      <c r="D9" s="187">
        <v>0</v>
      </c>
      <c r="E9" s="187" t="s">
        <v>88</v>
      </c>
      <c r="F9" s="187" t="s">
        <v>88</v>
      </c>
      <c r="G9" s="187">
        <v>1</v>
      </c>
      <c r="H9" s="187" t="s">
        <v>88</v>
      </c>
      <c r="I9" s="188">
        <v>1704</v>
      </c>
      <c r="J9" s="189">
        <f t="shared" ref="J9:J10" si="3">D9</f>
        <v>0</v>
      </c>
      <c r="M9" s="138" t="s">
        <v>289</v>
      </c>
    </row>
    <row r="10" spans="1:13" ht="28" customHeight="1" x14ac:dyDescent="0.15">
      <c r="A10" s="240">
        <v>47015112</v>
      </c>
      <c r="B10" s="179">
        <v>1</v>
      </c>
      <c r="C10" s="179">
        <v>100</v>
      </c>
      <c r="D10" s="179">
        <v>100</v>
      </c>
      <c r="E10" s="179" t="s">
        <v>253</v>
      </c>
      <c r="F10" s="179" t="s">
        <v>88</v>
      </c>
      <c r="G10" s="179">
        <v>1</v>
      </c>
      <c r="H10" s="179" t="s">
        <v>88</v>
      </c>
      <c r="I10" s="179" t="s">
        <v>88</v>
      </c>
      <c r="J10" s="189">
        <f t="shared" si="3"/>
        <v>100</v>
      </c>
      <c r="M10" s="137" t="s">
        <v>283</v>
      </c>
    </row>
    <row r="11" spans="1:13" ht="28" customHeight="1" thickBot="1" x14ac:dyDescent="0.2">
      <c r="A11" s="243">
        <v>47015113</v>
      </c>
      <c r="B11" s="179">
        <v>0</v>
      </c>
      <c r="C11" s="179" t="s">
        <v>253</v>
      </c>
      <c r="D11" s="179">
        <v>70</v>
      </c>
      <c r="E11" s="179" t="s">
        <v>253</v>
      </c>
      <c r="F11" s="179" t="s">
        <v>89</v>
      </c>
      <c r="G11" s="179" t="s">
        <v>253</v>
      </c>
      <c r="H11" s="179" t="s">
        <v>89</v>
      </c>
      <c r="I11" s="179" t="s">
        <v>89</v>
      </c>
      <c r="J11" s="189">
        <f t="shared" si="2"/>
        <v>70</v>
      </c>
      <c r="M11" s="142" t="s">
        <v>312</v>
      </c>
    </row>
    <row r="12" spans="1:13" ht="28" customHeight="1" thickBot="1" x14ac:dyDescent="0.2">
      <c r="A12" s="240">
        <v>47015114</v>
      </c>
      <c r="B12" s="179">
        <v>0</v>
      </c>
      <c r="C12" s="179">
        <v>150</v>
      </c>
      <c r="D12" s="179">
        <v>100</v>
      </c>
      <c r="E12" s="179">
        <v>50</v>
      </c>
      <c r="F12" s="179" t="s">
        <v>89</v>
      </c>
      <c r="G12" s="179">
        <v>1</v>
      </c>
      <c r="H12" s="179" t="s">
        <v>89</v>
      </c>
      <c r="I12" s="179" t="s">
        <v>89</v>
      </c>
      <c r="J12" s="189">
        <f t="shared" si="2"/>
        <v>100</v>
      </c>
      <c r="M12" s="136" t="s">
        <v>311</v>
      </c>
    </row>
    <row r="13" spans="1:13" ht="28" customHeight="1" x14ac:dyDescent="0.15">
      <c r="A13" s="244">
        <v>47015120</v>
      </c>
      <c r="B13" s="179">
        <v>1</v>
      </c>
      <c r="C13" s="179">
        <v>100</v>
      </c>
      <c r="D13" s="179">
        <v>100</v>
      </c>
      <c r="E13" s="179" t="s">
        <v>253</v>
      </c>
      <c r="F13" s="179" t="s">
        <v>89</v>
      </c>
      <c r="G13" s="179">
        <v>1</v>
      </c>
      <c r="H13" s="179" t="s">
        <v>89</v>
      </c>
      <c r="I13" s="179" t="s">
        <v>89</v>
      </c>
      <c r="J13" s="189">
        <f t="shared" si="2"/>
        <v>100</v>
      </c>
      <c r="M13" s="136" t="s">
        <v>290</v>
      </c>
    </row>
    <row r="14" spans="1:13" ht="28" customHeight="1" x14ac:dyDescent="0.15">
      <c r="A14" s="240">
        <v>47015121</v>
      </c>
      <c r="B14" s="179">
        <v>0</v>
      </c>
      <c r="C14" s="179" t="s">
        <v>88</v>
      </c>
      <c r="D14" s="179">
        <v>100</v>
      </c>
      <c r="E14" s="179" t="s">
        <v>253</v>
      </c>
      <c r="F14" s="179" t="s">
        <v>89</v>
      </c>
      <c r="G14" s="179">
        <v>2</v>
      </c>
      <c r="H14" s="179">
        <v>3</v>
      </c>
      <c r="I14" s="179" t="s">
        <v>89</v>
      </c>
      <c r="J14" s="189">
        <f t="shared" si="2"/>
        <v>100</v>
      </c>
      <c r="M14" s="137" t="s">
        <v>318</v>
      </c>
    </row>
    <row r="15" spans="1:13" ht="28" customHeight="1" x14ac:dyDescent="0.15">
      <c r="A15" s="239">
        <v>47015122</v>
      </c>
      <c r="B15" s="179">
        <v>0</v>
      </c>
      <c r="C15" s="179" t="s">
        <v>88</v>
      </c>
      <c r="D15" s="179">
        <v>60</v>
      </c>
      <c r="E15" s="179" t="s">
        <v>253</v>
      </c>
      <c r="F15" s="179" t="s">
        <v>89</v>
      </c>
      <c r="G15" s="179">
        <v>2</v>
      </c>
      <c r="H15" s="179" t="s">
        <v>89</v>
      </c>
      <c r="I15" s="179" t="s">
        <v>89</v>
      </c>
      <c r="J15" s="189">
        <f t="shared" si="2"/>
        <v>60</v>
      </c>
      <c r="M15" s="138" t="s">
        <v>307</v>
      </c>
    </row>
    <row r="16" spans="1:13" ht="28" customHeight="1" x14ac:dyDescent="0.15">
      <c r="A16" s="240">
        <v>47015123</v>
      </c>
      <c r="B16" s="179">
        <v>0</v>
      </c>
      <c r="C16" s="179" t="s">
        <v>88</v>
      </c>
      <c r="D16" s="179">
        <v>80</v>
      </c>
      <c r="E16" s="179" t="s">
        <v>253</v>
      </c>
      <c r="F16" s="179" t="s">
        <v>89</v>
      </c>
      <c r="G16" s="179" t="s">
        <v>253</v>
      </c>
      <c r="H16" s="179" t="s">
        <v>89</v>
      </c>
      <c r="I16" s="179" t="s">
        <v>89</v>
      </c>
      <c r="J16" s="189">
        <f t="shared" si="2"/>
        <v>80</v>
      </c>
      <c r="M16" s="138" t="s">
        <v>284</v>
      </c>
    </row>
    <row r="17" spans="1:13" ht="28" customHeight="1" thickBot="1" x14ac:dyDescent="0.2">
      <c r="A17" s="241">
        <v>47015124</v>
      </c>
      <c r="B17" s="179">
        <v>0</v>
      </c>
      <c r="C17" s="179">
        <v>99</v>
      </c>
      <c r="D17" s="179">
        <v>100</v>
      </c>
      <c r="E17" s="179">
        <v>50</v>
      </c>
      <c r="F17" s="179" t="s">
        <v>89</v>
      </c>
      <c r="G17" s="179">
        <v>1</v>
      </c>
      <c r="H17" s="179" t="s">
        <v>89</v>
      </c>
      <c r="I17" s="179" t="s">
        <v>89</v>
      </c>
      <c r="J17" s="189">
        <f t="shared" si="2"/>
        <v>100</v>
      </c>
      <c r="M17" s="139" t="s">
        <v>313</v>
      </c>
    </row>
    <row r="18" spans="1:13" ht="28" customHeight="1" x14ac:dyDescent="0.15">
      <c r="A18" s="242">
        <v>47015130</v>
      </c>
      <c r="B18" s="179">
        <v>1</v>
      </c>
      <c r="C18" s="179">
        <v>100</v>
      </c>
      <c r="D18" s="179">
        <v>100</v>
      </c>
      <c r="E18" s="179" t="s">
        <v>253</v>
      </c>
      <c r="F18" s="179" t="s">
        <v>89</v>
      </c>
      <c r="G18" s="179">
        <v>1</v>
      </c>
      <c r="H18" s="179" t="s">
        <v>89</v>
      </c>
      <c r="I18" s="179" t="s">
        <v>89</v>
      </c>
      <c r="J18" s="189">
        <f t="shared" si="2"/>
        <v>100</v>
      </c>
      <c r="M18" s="136" t="s">
        <v>310</v>
      </c>
    </row>
    <row r="19" spans="1:13" ht="28" customHeight="1" thickBot="1" x14ac:dyDescent="0.2">
      <c r="A19" s="240">
        <v>47015131</v>
      </c>
      <c r="B19" s="179">
        <v>0</v>
      </c>
      <c r="C19" s="179">
        <v>90</v>
      </c>
      <c r="D19" s="179">
        <v>50</v>
      </c>
      <c r="E19" s="179" t="s">
        <v>253</v>
      </c>
      <c r="F19" s="179" t="s">
        <v>89</v>
      </c>
      <c r="G19" s="179" t="s">
        <v>253</v>
      </c>
      <c r="H19" s="179" t="s">
        <v>89</v>
      </c>
      <c r="I19" s="179" t="s">
        <v>89</v>
      </c>
      <c r="J19" s="189">
        <f t="shared" si="2"/>
        <v>50</v>
      </c>
      <c r="M19" s="138" t="s">
        <v>314</v>
      </c>
    </row>
    <row r="20" spans="1:13" ht="28" customHeight="1" x14ac:dyDescent="0.15">
      <c r="A20" s="242">
        <v>47015132</v>
      </c>
      <c r="B20" s="179">
        <v>0</v>
      </c>
      <c r="C20" s="179">
        <v>80</v>
      </c>
      <c r="D20" s="179">
        <v>100</v>
      </c>
      <c r="E20" s="179" t="s">
        <v>253</v>
      </c>
      <c r="F20" s="179" t="s">
        <v>89</v>
      </c>
      <c r="G20" s="179" t="s">
        <v>253</v>
      </c>
      <c r="H20" s="179" t="s">
        <v>89</v>
      </c>
      <c r="I20" s="179" t="s">
        <v>89</v>
      </c>
      <c r="J20" s="189">
        <f t="shared" si="2"/>
        <v>100</v>
      </c>
      <c r="M20" s="138" t="s">
        <v>286</v>
      </c>
    </row>
    <row r="21" spans="1:13" ht="28" customHeight="1" thickBot="1" x14ac:dyDescent="0.2">
      <c r="A21" s="240">
        <v>47015133</v>
      </c>
      <c r="B21" s="179">
        <v>0</v>
      </c>
      <c r="C21" s="179">
        <v>110</v>
      </c>
      <c r="D21" s="179">
        <v>100</v>
      </c>
      <c r="E21" s="179" t="s">
        <v>253</v>
      </c>
      <c r="F21" s="179" t="s">
        <v>89</v>
      </c>
      <c r="G21" s="179">
        <v>1</v>
      </c>
      <c r="H21" s="179">
        <v>2</v>
      </c>
      <c r="I21" s="179" t="s">
        <v>89</v>
      </c>
      <c r="J21" s="189">
        <f t="shared" si="2"/>
        <v>100</v>
      </c>
      <c r="M21" s="138" t="s">
        <v>291</v>
      </c>
    </row>
    <row r="22" spans="1:13" ht="28" customHeight="1" thickBot="1" x14ac:dyDescent="0.2">
      <c r="A22" s="242">
        <v>47015134</v>
      </c>
      <c r="B22" s="179">
        <v>0</v>
      </c>
      <c r="C22" s="179">
        <v>115</v>
      </c>
      <c r="D22" s="179">
        <v>100</v>
      </c>
      <c r="E22" s="179">
        <v>50</v>
      </c>
      <c r="F22" s="179" t="s">
        <v>89</v>
      </c>
      <c r="G22" s="179">
        <v>1</v>
      </c>
      <c r="H22" s="179">
        <v>1</v>
      </c>
      <c r="I22" s="179" t="s">
        <v>89</v>
      </c>
      <c r="J22" s="189">
        <f t="shared" si="2"/>
        <v>100</v>
      </c>
      <c r="M22" s="139" t="s">
        <v>285</v>
      </c>
    </row>
    <row r="23" spans="1:13" ht="28" customHeight="1" x14ac:dyDescent="0.15">
      <c r="A23" s="249">
        <v>47015140</v>
      </c>
      <c r="B23" s="179">
        <v>1</v>
      </c>
      <c r="C23" s="179">
        <v>100</v>
      </c>
      <c r="D23" s="179">
        <v>100</v>
      </c>
      <c r="E23" s="179" t="s">
        <v>253</v>
      </c>
      <c r="F23" s="179" t="s">
        <v>89</v>
      </c>
      <c r="G23" s="179">
        <v>1</v>
      </c>
      <c r="H23" s="179" t="s">
        <v>89</v>
      </c>
      <c r="I23" s="179" t="s">
        <v>89</v>
      </c>
      <c r="J23" s="189">
        <f t="shared" si="2"/>
        <v>100</v>
      </c>
      <c r="M23" s="136" t="s">
        <v>309</v>
      </c>
    </row>
    <row r="24" spans="1:13" ht="28" customHeight="1" thickBot="1" x14ac:dyDescent="0.2">
      <c r="A24" s="250">
        <v>47015141</v>
      </c>
      <c r="B24" s="179">
        <v>0</v>
      </c>
      <c r="C24" s="179" t="s">
        <v>88</v>
      </c>
      <c r="D24" s="179">
        <v>40</v>
      </c>
      <c r="E24" s="179" t="s">
        <v>253</v>
      </c>
      <c r="F24" s="179" t="s">
        <v>89</v>
      </c>
      <c r="G24" s="179" t="s">
        <v>253</v>
      </c>
      <c r="H24" s="179" t="s">
        <v>89</v>
      </c>
      <c r="I24" s="179" t="s">
        <v>89</v>
      </c>
      <c r="J24" s="189">
        <f t="shared" si="2"/>
        <v>40</v>
      </c>
      <c r="M24" s="138" t="s">
        <v>292</v>
      </c>
    </row>
    <row r="25" spans="1:13" ht="28" customHeight="1" x14ac:dyDescent="0.15">
      <c r="A25" s="249">
        <v>47015142</v>
      </c>
      <c r="B25" s="179">
        <v>0</v>
      </c>
      <c r="C25" s="179" t="s">
        <v>88</v>
      </c>
      <c r="D25" s="179">
        <v>40</v>
      </c>
      <c r="E25" s="179" t="s">
        <v>253</v>
      </c>
      <c r="F25" s="179" t="s">
        <v>89</v>
      </c>
      <c r="G25" s="179">
        <v>1</v>
      </c>
      <c r="H25" s="179" t="s">
        <v>89</v>
      </c>
      <c r="I25" s="179" t="s">
        <v>89</v>
      </c>
      <c r="J25" s="189">
        <f t="shared" ref="J25:J55" si="4">D25</f>
        <v>40</v>
      </c>
      <c r="M25" s="138" t="s">
        <v>293</v>
      </c>
    </row>
    <row r="26" spans="1:13" ht="28" customHeight="1" thickBot="1" x14ac:dyDescent="0.2">
      <c r="A26" s="250">
        <v>47015143</v>
      </c>
      <c r="B26" s="179">
        <v>0</v>
      </c>
      <c r="C26" s="179">
        <v>101</v>
      </c>
      <c r="D26" s="179">
        <v>100</v>
      </c>
      <c r="E26" s="179">
        <v>50</v>
      </c>
      <c r="F26" s="179" t="s">
        <v>89</v>
      </c>
      <c r="G26" s="179">
        <v>1</v>
      </c>
      <c r="H26" s="179" t="s">
        <v>89</v>
      </c>
      <c r="I26" s="179" t="s">
        <v>89</v>
      </c>
      <c r="J26" s="189">
        <f t="shared" si="4"/>
        <v>100</v>
      </c>
      <c r="M26" s="139" t="s">
        <v>316</v>
      </c>
    </row>
    <row r="27" spans="1:13" s="193" customFormat="1" ht="28" customHeight="1" thickBot="1" x14ac:dyDescent="0.25">
      <c r="A27" s="245">
        <v>47015144</v>
      </c>
      <c r="B27" s="191">
        <v>1</v>
      </c>
      <c r="C27" s="191">
        <v>119</v>
      </c>
      <c r="D27" s="179">
        <v>100</v>
      </c>
      <c r="E27" s="191" t="s">
        <v>88</v>
      </c>
      <c r="F27" s="191" t="s">
        <v>88</v>
      </c>
      <c r="G27" s="191">
        <v>1</v>
      </c>
      <c r="H27" s="191" t="s">
        <v>88</v>
      </c>
      <c r="I27" s="192">
        <v>1703</v>
      </c>
      <c r="J27" s="191">
        <f t="shared" si="4"/>
        <v>100</v>
      </c>
      <c r="K27" s="190"/>
      <c r="M27" s="182" t="s">
        <v>320</v>
      </c>
    </row>
    <row r="28" spans="1:13" s="193" customFormat="1" ht="28" customHeight="1" thickBot="1" x14ac:dyDescent="0.25">
      <c r="A28" s="246">
        <v>47015145</v>
      </c>
      <c r="B28" s="191">
        <v>1</v>
      </c>
      <c r="C28" s="191">
        <v>118</v>
      </c>
      <c r="D28" s="179">
        <v>100</v>
      </c>
      <c r="E28" s="191" t="s">
        <v>88</v>
      </c>
      <c r="F28" s="191" t="s">
        <v>88</v>
      </c>
      <c r="G28" s="191">
        <v>1</v>
      </c>
      <c r="H28" s="191" t="s">
        <v>88</v>
      </c>
      <c r="I28" s="192">
        <v>1704</v>
      </c>
      <c r="J28" s="191">
        <f t="shared" ref="J28:J29" si="5">D28</f>
        <v>100</v>
      </c>
      <c r="K28" s="190"/>
      <c r="M28" s="182" t="s">
        <v>320</v>
      </c>
    </row>
    <row r="29" spans="1:13" s="193" customFormat="1" ht="28" customHeight="1" thickBot="1" x14ac:dyDescent="0.25">
      <c r="A29" s="245">
        <v>47015146</v>
      </c>
      <c r="B29" s="191">
        <v>1</v>
      </c>
      <c r="C29" s="191">
        <v>117</v>
      </c>
      <c r="D29" s="179">
        <v>100</v>
      </c>
      <c r="E29" s="191" t="s">
        <v>88</v>
      </c>
      <c r="F29" s="191" t="s">
        <v>88</v>
      </c>
      <c r="G29" s="191">
        <v>1</v>
      </c>
      <c r="H29" s="191" t="s">
        <v>88</v>
      </c>
      <c r="I29" s="192">
        <v>1326</v>
      </c>
      <c r="J29" s="191">
        <f t="shared" si="5"/>
        <v>100</v>
      </c>
      <c r="K29" s="190"/>
      <c r="M29" s="182" t="s">
        <v>322</v>
      </c>
    </row>
    <row r="30" spans="1:13" s="193" customFormat="1" ht="28" customHeight="1" thickBot="1" x14ac:dyDescent="0.25">
      <c r="A30" s="246">
        <v>47015147</v>
      </c>
      <c r="B30" s="191">
        <v>1</v>
      </c>
      <c r="C30" s="191">
        <v>116</v>
      </c>
      <c r="D30" s="179">
        <v>100</v>
      </c>
      <c r="E30" s="191" t="s">
        <v>88</v>
      </c>
      <c r="F30" s="191" t="s">
        <v>88</v>
      </c>
      <c r="G30" s="191">
        <v>1</v>
      </c>
      <c r="H30" s="191" t="s">
        <v>88</v>
      </c>
      <c r="I30" s="192">
        <v>1327</v>
      </c>
      <c r="J30" s="191">
        <f t="shared" ref="J30:J33" si="6">D30</f>
        <v>100</v>
      </c>
      <c r="K30" s="190"/>
      <c r="M30" s="182" t="s">
        <v>323</v>
      </c>
    </row>
    <row r="31" spans="1:13" s="193" customFormat="1" ht="28" customHeight="1" thickBot="1" x14ac:dyDescent="0.25">
      <c r="A31" s="245">
        <v>47015148</v>
      </c>
      <c r="B31" s="191">
        <v>1</v>
      </c>
      <c r="C31" s="191">
        <v>115</v>
      </c>
      <c r="D31" s="179">
        <v>100</v>
      </c>
      <c r="E31" s="191" t="s">
        <v>88</v>
      </c>
      <c r="F31" s="191" t="s">
        <v>88</v>
      </c>
      <c r="G31" s="191">
        <v>1</v>
      </c>
      <c r="H31" s="191" t="s">
        <v>88</v>
      </c>
      <c r="I31" s="192">
        <v>235</v>
      </c>
      <c r="J31" s="191">
        <f t="shared" si="6"/>
        <v>100</v>
      </c>
      <c r="K31" s="190"/>
      <c r="M31" s="182" t="s">
        <v>325</v>
      </c>
    </row>
    <row r="32" spans="1:13" s="193" customFormat="1" ht="28" customHeight="1" thickBot="1" x14ac:dyDescent="0.25">
      <c r="A32" s="246">
        <v>47015149</v>
      </c>
      <c r="B32" s="191">
        <v>1</v>
      </c>
      <c r="C32" s="191">
        <v>114</v>
      </c>
      <c r="D32" s="179">
        <v>100</v>
      </c>
      <c r="E32" s="191" t="s">
        <v>88</v>
      </c>
      <c r="F32" s="191" t="s">
        <v>88</v>
      </c>
      <c r="G32" s="191">
        <v>1</v>
      </c>
      <c r="H32" s="191" t="s">
        <v>88</v>
      </c>
      <c r="I32" s="192">
        <v>236</v>
      </c>
      <c r="J32" s="191">
        <f t="shared" si="6"/>
        <v>100</v>
      </c>
      <c r="K32" s="190"/>
      <c r="M32" s="182" t="s">
        <v>325</v>
      </c>
    </row>
    <row r="33" spans="1:13" s="193" customFormat="1" ht="28" customHeight="1" thickBot="1" x14ac:dyDescent="0.25">
      <c r="A33" s="245">
        <v>47015150</v>
      </c>
      <c r="B33" s="191">
        <v>1</v>
      </c>
      <c r="C33" s="191">
        <v>113</v>
      </c>
      <c r="D33" s="179">
        <v>100</v>
      </c>
      <c r="E33" s="191" t="s">
        <v>88</v>
      </c>
      <c r="F33" s="191" t="s">
        <v>88</v>
      </c>
      <c r="G33" s="191">
        <v>1</v>
      </c>
      <c r="H33" s="191" t="s">
        <v>88</v>
      </c>
      <c r="I33" s="192">
        <v>237</v>
      </c>
      <c r="J33" s="191">
        <f t="shared" si="6"/>
        <v>100</v>
      </c>
      <c r="K33" s="190"/>
      <c r="M33" s="182" t="s">
        <v>325</v>
      </c>
    </row>
    <row r="34" spans="1:13" s="193" customFormat="1" ht="28" customHeight="1" thickBot="1" x14ac:dyDescent="0.25">
      <c r="A34" s="246">
        <v>47015151</v>
      </c>
      <c r="B34" s="191">
        <v>1</v>
      </c>
      <c r="C34" s="191">
        <v>112</v>
      </c>
      <c r="D34" s="179">
        <v>100</v>
      </c>
      <c r="E34" s="191" t="s">
        <v>88</v>
      </c>
      <c r="F34" s="191" t="s">
        <v>88</v>
      </c>
      <c r="G34" s="191">
        <v>1</v>
      </c>
      <c r="H34" s="191" t="s">
        <v>88</v>
      </c>
      <c r="I34" s="192">
        <v>808</v>
      </c>
      <c r="J34" s="191">
        <f t="shared" ref="J34" si="7">D34</f>
        <v>100</v>
      </c>
      <c r="K34" s="190"/>
      <c r="M34" s="182" t="s">
        <v>325</v>
      </c>
    </row>
    <row r="35" spans="1:13" s="193" customFormat="1" ht="28" customHeight="1" thickBot="1" x14ac:dyDescent="0.25">
      <c r="A35" s="245">
        <v>47015152</v>
      </c>
      <c r="B35" s="191">
        <v>1</v>
      </c>
      <c r="C35" s="191">
        <v>111</v>
      </c>
      <c r="D35" s="179">
        <v>100</v>
      </c>
      <c r="E35" s="191" t="s">
        <v>88</v>
      </c>
      <c r="F35" s="191" t="s">
        <v>88</v>
      </c>
      <c r="G35" s="191">
        <v>1</v>
      </c>
      <c r="H35" s="191" t="s">
        <v>88</v>
      </c>
      <c r="I35" s="192">
        <v>1058</v>
      </c>
      <c r="J35" s="191">
        <f t="shared" ref="J35:J36" si="8">D35</f>
        <v>100</v>
      </c>
      <c r="K35" s="190"/>
      <c r="M35" s="182" t="s">
        <v>325</v>
      </c>
    </row>
    <row r="36" spans="1:13" s="193" customFormat="1" ht="28" customHeight="1" thickBot="1" x14ac:dyDescent="0.25">
      <c r="A36" s="246">
        <v>47015153</v>
      </c>
      <c r="B36" s="191">
        <v>1</v>
      </c>
      <c r="C36" s="191">
        <v>110</v>
      </c>
      <c r="D36" s="179">
        <v>100</v>
      </c>
      <c r="E36" s="191" t="s">
        <v>88</v>
      </c>
      <c r="F36" s="191" t="s">
        <v>88</v>
      </c>
      <c r="G36" s="191">
        <v>1</v>
      </c>
      <c r="H36" s="191" t="s">
        <v>88</v>
      </c>
      <c r="I36" s="192">
        <v>1336</v>
      </c>
      <c r="J36" s="191">
        <f t="shared" si="8"/>
        <v>100</v>
      </c>
      <c r="K36" s="190"/>
      <c r="M36" s="182" t="s">
        <v>325</v>
      </c>
    </row>
    <row r="37" spans="1:13" s="193" customFormat="1" ht="28" customHeight="1" thickBot="1" x14ac:dyDescent="0.25">
      <c r="A37" s="245">
        <v>47015154</v>
      </c>
      <c r="B37" s="191">
        <v>1</v>
      </c>
      <c r="C37" s="191">
        <v>109</v>
      </c>
      <c r="D37" s="179">
        <v>100</v>
      </c>
      <c r="E37" s="191" t="s">
        <v>88</v>
      </c>
      <c r="F37" s="191" t="s">
        <v>88</v>
      </c>
      <c r="G37" s="191">
        <v>1</v>
      </c>
      <c r="H37" s="191" t="s">
        <v>88</v>
      </c>
      <c r="I37" s="192">
        <v>1337</v>
      </c>
      <c r="J37" s="191">
        <f t="shared" ref="J37:J38" si="9">D37</f>
        <v>100</v>
      </c>
      <c r="K37" s="190"/>
      <c r="M37" s="182" t="s">
        <v>325</v>
      </c>
    </row>
    <row r="38" spans="1:13" s="193" customFormat="1" ht="28" customHeight="1" thickBot="1" x14ac:dyDescent="0.25">
      <c r="A38" s="246">
        <v>47015155</v>
      </c>
      <c r="B38" s="191">
        <v>1</v>
      </c>
      <c r="C38" s="191">
        <v>108</v>
      </c>
      <c r="D38" s="179">
        <v>100</v>
      </c>
      <c r="E38" s="191" t="s">
        <v>88</v>
      </c>
      <c r="F38" s="191" t="s">
        <v>88</v>
      </c>
      <c r="G38" s="191">
        <v>1</v>
      </c>
      <c r="H38" s="191" t="s">
        <v>88</v>
      </c>
      <c r="I38" s="192">
        <v>1330</v>
      </c>
      <c r="J38" s="191">
        <f t="shared" si="9"/>
        <v>100</v>
      </c>
      <c r="K38" s="190"/>
      <c r="M38" s="182" t="s">
        <v>326</v>
      </c>
    </row>
    <row r="39" spans="1:13" s="193" customFormat="1" ht="28" customHeight="1" thickBot="1" x14ac:dyDescent="0.25">
      <c r="A39" s="245">
        <v>47015156</v>
      </c>
      <c r="B39" s="191">
        <v>1</v>
      </c>
      <c r="C39" s="191">
        <v>107</v>
      </c>
      <c r="D39" s="179">
        <v>100</v>
      </c>
      <c r="E39" s="191" t="s">
        <v>88</v>
      </c>
      <c r="F39" s="191" t="s">
        <v>88</v>
      </c>
      <c r="G39" s="191">
        <v>1</v>
      </c>
      <c r="H39" s="191" t="s">
        <v>88</v>
      </c>
      <c r="I39" s="192">
        <v>1331</v>
      </c>
      <c r="J39" s="191">
        <f t="shared" ref="J39:J40" si="10">D39</f>
        <v>100</v>
      </c>
      <c r="K39" s="190"/>
      <c r="M39" s="182" t="s">
        <v>326</v>
      </c>
    </row>
    <row r="40" spans="1:13" s="193" customFormat="1" ht="28" customHeight="1" thickBot="1" x14ac:dyDescent="0.25">
      <c r="A40" s="246">
        <v>47015157</v>
      </c>
      <c r="B40" s="191">
        <v>1</v>
      </c>
      <c r="C40" s="191">
        <v>106</v>
      </c>
      <c r="D40" s="179">
        <v>100</v>
      </c>
      <c r="E40" s="191" t="s">
        <v>88</v>
      </c>
      <c r="F40" s="191" t="s">
        <v>88</v>
      </c>
      <c r="G40" s="191">
        <v>1</v>
      </c>
      <c r="H40" s="191" t="s">
        <v>88</v>
      </c>
      <c r="I40" s="192">
        <v>756</v>
      </c>
      <c r="J40" s="191">
        <f t="shared" si="10"/>
        <v>100</v>
      </c>
      <c r="K40" s="190"/>
      <c r="M40" s="182" t="s">
        <v>326</v>
      </c>
    </row>
    <row r="41" spans="1:13" s="193" customFormat="1" ht="28" customHeight="1" thickBot="1" x14ac:dyDescent="0.25">
      <c r="A41" s="245">
        <v>47015158</v>
      </c>
      <c r="B41" s="191">
        <v>1</v>
      </c>
      <c r="C41" s="191">
        <v>105</v>
      </c>
      <c r="D41" s="179">
        <v>100</v>
      </c>
      <c r="E41" s="191" t="s">
        <v>88</v>
      </c>
      <c r="F41" s="191" t="s">
        <v>88</v>
      </c>
      <c r="G41" s="191">
        <v>1</v>
      </c>
      <c r="H41" s="191" t="s">
        <v>88</v>
      </c>
      <c r="I41" s="192">
        <v>757</v>
      </c>
      <c r="J41" s="191">
        <f t="shared" ref="J41" si="11">D41</f>
        <v>100</v>
      </c>
      <c r="K41" s="190"/>
      <c r="M41" s="182" t="s">
        <v>326</v>
      </c>
    </row>
    <row r="42" spans="1:13" ht="28" customHeight="1" x14ac:dyDescent="0.15">
      <c r="A42" s="229">
        <v>47015160</v>
      </c>
      <c r="B42" s="179">
        <v>1</v>
      </c>
      <c r="C42" s="179">
        <v>100</v>
      </c>
      <c r="D42" s="179">
        <v>100</v>
      </c>
      <c r="E42" s="179" t="s">
        <v>253</v>
      </c>
      <c r="F42" s="179" t="s">
        <v>89</v>
      </c>
      <c r="G42" s="179">
        <v>1</v>
      </c>
      <c r="H42" s="179" t="s">
        <v>88</v>
      </c>
      <c r="I42" s="179" t="s">
        <v>89</v>
      </c>
      <c r="J42" s="189">
        <f t="shared" si="4"/>
        <v>100</v>
      </c>
      <c r="M42" s="136" t="s">
        <v>315</v>
      </c>
    </row>
    <row r="43" spans="1:13" ht="28" customHeight="1" thickBot="1" x14ac:dyDescent="0.2">
      <c r="A43" s="230">
        <v>47015161</v>
      </c>
      <c r="B43" s="179">
        <v>0</v>
      </c>
      <c r="C43" s="179">
        <v>60</v>
      </c>
      <c r="D43" s="179">
        <v>40</v>
      </c>
      <c r="E43" s="179" t="s">
        <v>253</v>
      </c>
      <c r="F43" s="179" t="s">
        <v>89</v>
      </c>
      <c r="G43" s="179" t="s">
        <v>253</v>
      </c>
      <c r="H43" s="179" t="s">
        <v>89</v>
      </c>
      <c r="I43" s="179" t="s">
        <v>89</v>
      </c>
      <c r="J43" s="189">
        <f t="shared" si="4"/>
        <v>40</v>
      </c>
      <c r="M43" s="138" t="s">
        <v>255</v>
      </c>
    </row>
    <row r="44" spans="1:13" ht="28" customHeight="1" x14ac:dyDescent="0.15">
      <c r="A44" s="229">
        <v>47015162</v>
      </c>
      <c r="B44" s="179">
        <v>0</v>
      </c>
      <c r="C44" s="179">
        <v>45</v>
      </c>
      <c r="D44" s="179">
        <v>100</v>
      </c>
      <c r="E44" s="179" t="s">
        <v>253</v>
      </c>
      <c r="F44" s="179" t="s">
        <v>89</v>
      </c>
      <c r="G44" s="179" t="s">
        <v>253</v>
      </c>
      <c r="H44" s="179" t="s">
        <v>253</v>
      </c>
      <c r="I44" s="179" t="s">
        <v>89</v>
      </c>
      <c r="J44" s="189">
        <f t="shared" si="4"/>
        <v>100</v>
      </c>
      <c r="M44" s="138" t="s">
        <v>294</v>
      </c>
    </row>
    <row r="45" spans="1:13" ht="28" customHeight="1" thickBot="1" x14ac:dyDescent="0.2">
      <c r="A45" s="230">
        <v>47015163</v>
      </c>
      <c r="B45" s="179">
        <v>0</v>
      </c>
      <c r="C45" s="179">
        <v>80</v>
      </c>
      <c r="D45" s="179">
        <v>80</v>
      </c>
      <c r="E45" s="179" t="s">
        <v>253</v>
      </c>
      <c r="F45" s="179" t="s">
        <v>89</v>
      </c>
      <c r="G45" s="179" t="s">
        <v>253</v>
      </c>
      <c r="H45" s="179" t="s">
        <v>89</v>
      </c>
      <c r="I45" s="179" t="s">
        <v>89</v>
      </c>
      <c r="J45" s="189">
        <f t="shared" si="4"/>
        <v>80</v>
      </c>
      <c r="M45" s="138" t="s">
        <v>317</v>
      </c>
    </row>
    <row r="46" spans="1:13" ht="28" customHeight="1" x14ac:dyDescent="0.15">
      <c r="A46" s="229">
        <v>47015164</v>
      </c>
      <c r="B46" s="179">
        <v>0</v>
      </c>
      <c r="C46" s="179">
        <v>101</v>
      </c>
      <c r="D46" s="179">
        <v>100</v>
      </c>
      <c r="E46" s="179" t="s">
        <v>253</v>
      </c>
      <c r="F46" s="179" t="s">
        <v>253</v>
      </c>
      <c r="G46" s="179">
        <v>1</v>
      </c>
      <c r="H46" s="179" t="s">
        <v>89</v>
      </c>
      <c r="I46" s="179" t="s">
        <v>89</v>
      </c>
      <c r="J46" s="189">
        <f t="shared" si="4"/>
        <v>100</v>
      </c>
      <c r="M46" s="138" t="s">
        <v>295</v>
      </c>
    </row>
    <row r="47" spans="1:13" ht="28" customHeight="1" thickBot="1" x14ac:dyDescent="0.2">
      <c r="A47" s="230">
        <v>47015165</v>
      </c>
      <c r="B47" s="179">
        <v>0</v>
      </c>
      <c r="C47" s="179">
        <v>105</v>
      </c>
      <c r="D47" s="179">
        <v>100</v>
      </c>
      <c r="E47" s="179">
        <v>50</v>
      </c>
      <c r="F47" s="179" t="s">
        <v>89</v>
      </c>
      <c r="G47" s="179">
        <v>1</v>
      </c>
      <c r="H47" s="179" t="s">
        <v>89</v>
      </c>
      <c r="I47" s="179" t="s">
        <v>89</v>
      </c>
      <c r="J47" s="189">
        <f t="shared" si="4"/>
        <v>100</v>
      </c>
      <c r="M47" s="139" t="s">
        <v>296</v>
      </c>
    </row>
    <row r="48" spans="1:13" ht="28" customHeight="1" x14ac:dyDescent="0.15">
      <c r="A48" s="231">
        <v>47015170</v>
      </c>
      <c r="B48" s="179">
        <v>1</v>
      </c>
      <c r="C48" s="179">
        <v>100</v>
      </c>
      <c r="D48" s="179">
        <v>100</v>
      </c>
      <c r="E48" s="179" t="s">
        <v>253</v>
      </c>
      <c r="F48" s="179" t="s">
        <v>89</v>
      </c>
      <c r="G48" s="179">
        <v>1</v>
      </c>
      <c r="H48" s="179" t="s">
        <v>89</v>
      </c>
      <c r="I48" s="179" t="s">
        <v>89</v>
      </c>
      <c r="J48" s="189">
        <f t="shared" si="4"/>
        <v>100</v>
      </c>
      <c r="M48" s="136" t="s">
        <v>297</v>
      </c>
    </row>
    <row r="49" spans="1:13" ht="28" customHeight="1" thickBot="1" x14ac:dyDescent="0.2">
      <c r="A49" s="232">
        <v>47015171</v>
      </c>
      <c r="B49" s="179">
        <v>0</v>
      </c>
      <c r="C49" s="179">
        <v>40</v>
      </c>
      <c r="D49" s="179">
        <v>60</v>
      </c>
      <c r="E49" s="179" t="s">
        <v>253</v>
      </c>
      <c r="F49" s="179" t="s">
        <v>89</v>
      </c>
      <c r="G49" s="179" t="s">
        <v>253</v>
      </c>
      <c r="H49" s="179" t="s">
        <v>89</v>
      </c>
      <c r="I49" s="179" t="s">
        <v>89</v>
      </c>
      <c r="J49" s="189">
        <f t="shared" si="4"/>
        <v>60</v>
      </c>
      <c r="M49" s="138" t="s">
        <v>256</v>
      </c>
    </row>
    <row r="50" spans="1:13" ht="28" customHeight="1" x14ac:dyDescent="0.15">
      <c r="A50" s="231">
        <v>47015172</v>
      </c>
      <c r="B50" s="179">
        <v>0</v>
      </c>
      <c r="C50" s="179">
        <v>55</v>
      </c>
      <c r="D50" s="179">
        <v>60</v>
      </c>
      <c r="E50" s="179" t="s">
        <v>253</v>
      </c>
      <c r="F50" s="179" t="s">
        <v>89</v>
      </c>
      <c r="G50" s="179">
        <v>2</v>
      </c>
      <c r="H50" s="179" t="s">
        <v>89</v>
      </c>
      <c r="I50" s="179" t="s">
        <v>89</v>
      </c>
      <c r="J50" s="189">
        <f t="shared" si="4"/>
        <v>60</v>
      </c>
      <c r="M50" s="138" t="s">
        <v>298</v>
      </c>
    </row>
    <row r="51" spans="1:13" ht="28" customHeight="1" thickBot="1" x14ac:dyDescent="0.2">
      <c r="A51" s="232">
        <v>47015173</v>
      </c>
      <c r="B51" s="179">
        <v>0</v>
      </c>
      <c r="C51" s="179">
        <v>50</v>
      </c>
      <c r="D51" s="179">
        <v>60</v>
      </c>
      <c r="E51" s="179" t="s">
        <v>253</v>
      </c>
      <c r="F51" s="179" t="s">
        <v>89</v>
      </c>
      <c r="G51" s="179">
        <v>2</v>
      </c>
      <c r="H51" s="179" t="s">
        <v>89</v>
      </c>
      <c r="I51" s="179" t="s">
        <v>89</v>
      </c>
      <c r="J51" s="189">
        <f t="shared" si="4"/>
        <v>60</v>
      </c>
      <c r="M51" s="138" t="s">
        <v>299</v>
      </c>
    </row>
    <row r="52" spans="1:13" ht="28" customHeight="1" x14ac:dyDescent="0.15">
      <c r="A52" s="231">
        <v>47015174</v>
      </c>
      <c r="B52" s="179">
        <v>0</v>
      </c>
      <c r="C52" s="179">
        <v>45</v>
      </c>
      <c r="D52" s="179">
        <v>60</v>
      </c>
      <c r="E52" s="179" t="s">
        <v>253</v>
      </c>
      <c r="F52" s="179" t="s">
        <v>89</v>
      </c>
      <c r="G52" s="179" t="s">
        <v>253</v>
      </c>
      <c r="H52" s="179" t="s">
        <v>89</v>
      </c>
      <c r="I52" s="179" t="s">
        <v>89</v>
      </c>
      <c r="J52" s="189">
        <f t="shared" si="4"/>
        <v>60</v>
      </c>
      <c r="M52" s="138" t="s">
        <v>302</v>
      </c>
    </row>
    <row r="53" spans="1:13" ht="28" customHeight="1" thickBot="1" x14ac:dyDescent="0.2">
      <c r="A53" s="232">
        <v>47015175</v>
      </c>
      <c r="B53" s="179">
        <v>0</v>
      </c>
      <c r="C53" s="179">
        <v>105</v>
      </c>
      <c r="D53" s="179">
        <v>100</v>
      </c>
      <c r="E53" s="179">
        <v>75</v>
      </c>
      <c r="F53" s="179" t="s">
        <v>89</v>
      </c>
      <c r="G53" s="179">
        <v>1</v>
      </c>
      <c r="H53" s="179">
        <v>1</v>
      </c>
      <c r="I53" s="179" t="s">
        <v>89</v>
      </c>
      <c r="J53" s="189">
        <f t="shared" si="4"/>
        <v>100</v>
      </c>
      <c r="M53" s="138" t="s">
        <v>300</v>
      </c>
    </row>
    <row r="54" spans="1:13" ht="28" customHeight="1" x14ac:dyDescent="0.15">
      <c r="A54" s="231">
        <v>47015176</v>
      </c>
      <c r="B54" s="179">
        <v>0</v>
      </c>
      <c r="C54" s="179">
        <v>500</v>
      </c>
      <c r="D54" s="179">
        <v>100</v>
      </c>
      <c r="E54" s="179">
        <v>30</v>
      </c>
      <c r="F54" s="179" t="s">
        <v>89</v>
      </c>
      <c r="G54" s="179">
        <v>1</v>
      </c>
      <c r="H54" s="179">
        <v>1</v>
      </c>
      <c r="I54" s="179" t="s">
        <v>89</v>
      </c>
      <c r="J54" s="189">
        <f t="shared" si="4"/>
        <v>100</v>
      </c>
      <c r="M54" s="138" t="s">
        <v>279</v>
      </c>
    </row>
    <row r="55" spans="1:13" ht="28" customHeight="1" thickBot="1" x14ac:dyDescent="0.2">
      <c r="A55" s="232">
        <v>47015177</v>
      </c>
      <c r="B55" s="180">
        <v>0</v>
      </c>
      <c r="C55" s="180">
        <v>200</v>
      </c>
      <c r="D55" s="180">
        <v>100</v>
      </c>
      <c r="E55" s="180">
        <v>30</v>
      </c>
      <c r="F55" s="180" t="s">
        <v>89</v>
      </c>
      <c r="G55" s="180">
        <v>1</v>
      </c>
      <c r="H55" s="180">
        <v>1</v>
      </c>
      <c r="I55" s="180" t="s">
        <v>89</v>
      </c>
      <c r="J55" s="194">
        <f t="shared" si="4"/>
        <v>100</v>
      </c>
      <c r="M55" s="139" t="s">
        <v>301</v>
      </c>
    </row>
    <row r="56" spans="1:13" ht="28" customHeight="1" thickBot="1" x14ac:dyDescent="0.2">
      <c r="A56" s="231">
        <v>47015178</v>
      </c>
      <c r="B56" s="180">
        <v>0</v>
      </c>
      <c r="C56" s="180">
        <v>100</v>
      </c>
      <c r="D56" s="180">
        <v>100</v>
      </c>
      <c r="E56" s="180" t="s">
        <v>88</v>
      </c>
      <c r="F56" s="180" t="s">
        <v>88</v>
      </c>
      <c r="G56" s="180">
        <v>0</v>
      </c>
      <c r="H56" s="180" t="s">
        <v>88</v>
      </c>
      <c r="I56" s="180">
        <v>0</v>
      </c>
      <c r="J56" s="194">
        <f t="shared" ref="J56:J57" si="12">D56</f>
        <v>100</v>
      </c>
      <c r="M56" s="204" t="s">
        <v>328</v>
      </c>
    </row>
    <row r="57" spans="1:13" s="193" customFormat="1" ht="28" customHeight="1" thickBot="1" x14ac:dyDescent="0.25">
      <c r="A57" s="247">
        <v>47015179</v>
      </c>
      <c r="B57" s="191">
        <v>0</v>
      </c>
      <c r="C57" s="191">
        <v>119</v>
      </c>
      <c r="D57" s="180">
        <v>100</v>
      </c>
      <c r="E57" s="191" t="s">
        <v>88</v>
      </c>
      <c r="F57" s="191" t="s">
        <v>88</v>
      </c>
      <c r="G57" s="180">
        <v>0</v>
      </c>
      <c r="H57" s="191" t="s">
        <v>88</v>
      </c>
      <c r="I57" s="192">
        <v>1703</v>
      </c>
      <c r="J57" s="191">
        <f t="shared" si="12"/>
        <v>100</v>
      </c>
      <c r="K57" s="190"/>
      <c r="M57" s="203" t="s">
        <v>330</v>
      </c>
    </row>
    <row r="58" spans="1:13" s="193" customFormat="1" ht="28" customHeight="1" thickBot="1" x14ac:dyDescent="0.25">
      <c r="A58" s="248">
        <v>47015180</v>
      </c>
      <c r="B58" s="191">
        <v>0</v>
      </c>
      <c r="C58" s="191">
        <v>118</v>
      </c>
      <c r="D58" s="180">
        <v>100</v>
      </c>
      <c r="E58" s="191" t="s">
        <v>88</v>
      </c>
      <c r="F58" s="191" t="s">
        <v>88</v>
      </c>
      <c r="G58" s="180">
        <v>0</v>
      </c>
      <c r="H58" s="191" t="s">
        <v>88</v>
      </c>
      <c r="I58" s="192">
        <v>1704</v>
      </c>
      <c r="J58" s="191">
        <f t="shared" ref="J58:J59" si="13">D58</f>
        <v>100</v>
      </c>
      <c r="K58" s="190"/>
      <c r="M58" s="203" t="s">
        <v>330</v>
      </c>
    </row>
    <row r="59" spans="1:13" s="193" customFormat="1" ht="28" customHeight="1" thickBot="1" x14ac:dyDescent="0.25">
      <c r="A59" s="247">
        <v>47015181</v>
      </c>
      <c r="B59" s="191">
        <v>0</v>
      </c>
      <c r="C59" s="191">
        <v>117</v>
      </c>
      <c r="D59" s="180">
        <v>100</v>
      </c>
      <c r="E59" s="191" t="s">
        <v>88</v>
      </c>
      <c r="F59" s="191" t="s">
        <v>88</v>
      </c>
      <c r="G59" s="180">
        <v>0</v>
      </c>
      <c r="H59" s="191" t="s">
        <v>88</v>
      </c>
      <c r="I59" s="192">
        <v>1326</v>
      </c>
      <c r="J59" s="191">
        <f t="shared" si="13"/>
        <v>100</v>
      </c>
      <c r="K59" s="190"/>
      <c r="M59" s="203" t="s">
        <v>332</v>
      </c>
    </row>
    <row r="60" spans="1:13" s="193" customFormat="1" ht="28" customHeight="1" thickBot="1" x14ac:dyDescent="0.25">
      <c r="A60" s="248">
        <v>47015182</v>
      </c>
      <c r="B60" s="191">
        <v>0</v>
      </c>
      <c r="C60" s="191">
        <v>116</v>
      </c>
      <c r="D60" s="180">
        <v>100</v>
      </c>
      <c r="E60" s="191" t="s">
        <v>88</v>
      </c>
      <c r="F60" s="191" t="s">
        <v>88</v>
      </c>
      <c r="G60" s="180">
        <v>0</v>
      </c>
      <c r="H60" s="191" t="s">
        <v>88</v>
      </c>
      <c r="I60" s="192">
        <v>1327</v>
      </c>
      <c r="J60" s="191">
        <f t="shared" ref="J60:J63" si="14">D60</f>
        <v>100</v>
      </c>
      <c r="K60" s="190"/>
      <c r="M60" s="203" t="s">
        <v>332</v>
      </c>
    </row>
    <row r="61" spans="1:13" s="193" customFormat="1" ht="28" customHeight="1" thickBot="1" x14ac:dyDescent="0.25">
      <c r="A61" s="247">
        <v>47015183</v>
      </c>
      <c r="B61" s="191">
        <v>0</v>
      </c>
      <c r="C61" s="191">
        <v>115</v>
      </c>
      <c r="D61" s="180">
        <v>100</v>
      </c>
      <c r="E61" s="191" t="s">
        <v>88</v>
      </c>
      <c r="F61" s="191" t="s">
        <v>88</v>
      </c>
      <c r="G61" s="180">
        <v>0</v>
      </c>
      <c r="H61" s="191" t="s">
        <v>88</v>
      </c>
      <c r="I61" s="192">
        <v>235</v>
      </c>
      <c r="J61" s="191">
        <f t="shared" si="14"/>
        <v>100</v>
      </c>
      <c r="K61" s="190"/>
      <c r="M61" s="202" t="s">
        <v>333</v>
      </c>
    </row>
    <row r="62" spans="1:13" s="193" customFormat="1" ht="28" customHeight="1" thickBot="1" x14ac:dyDescent="0.25">
      <c r="A62" s="248">
        <v>47015184</v>
      </c>
      <c r="B62" s="191">
        <v>0</v>
      </c>
      <c r="C62" s="191">
        <v>114</v>
      </c>
      <c r="D62" s="180">
        <v>100</v>
      </c>
      <c r="E62" s="191" t="s">
        <v>88</v>
      </c>
      <c r="F62" s="191" t="s">
        <v>88</v>
      </c>
      <c r="G62" s="180">
        <v>0</v>
      </c>
      <c r="H62" s="191" t="s">
        <v>88</v>
      </c>
      <c r="I62" s="192">
        <v>236</v>
      </c>
      <c r="J62" s="191">
        <f t="shared" si="14"/>
        <v>100</v>
      </c>
      <c r="K62" s="190"/>
      <c r="M62" s="202" t="s">
        <v>333</v>
      </c>
    </row>
    <row r="63" spans="1:13" s="193" customFormat="1" ht="28" customHeight="1" thickBot="1" x14ac:dyDescent="0.25">
      <c r="A63" s="247">
        <v>47015185</v>
      </c>
      <c r="B63" s="191">
        <v>0</v>
      </c>
      <c r="C63" s="191">
        <v>113</v>
      </c>
      <c r="D63" s="180">
        <v>100</v>
      </c>
      <c r="E63" s="191" t="s">
        <v>88</v>
      </c>
      <c r="F63" s="191" t="s">
        <v>88</v>
      </c>
      <c r="G63" s="180">
        <v>0</v>
      </c>
      <c r="H63" s="191" t="s">
        <v>88</v>
      </c>
      <c r="I63" s="192">
        <v>237</v>
      </c>
      <c r="J63" s="191">
        <f t="shared" si="14"/>
        <v>100</v>
      </c>
      <c r="K63" s="190"/>
      <c r="M63" s="202" t="s">
        <v>333</v>
      </c>
    </row>
    <row r="64" spans="1:13" s="193" customFormat="1" ht="28" customHeight="1" thickBot="1" x14ac:dyDescent="0.25">
      <c r="A64" s="248">
        <v>47015186</v>
      </c>
      <c r="B64" s="191">
        <v>0</v>
      </c>
      <c r="C64" s="191">
        <v>112</v>
      </c>
      <c r="D64" s="180">
        <v>100</v>
      </c>
      <c r="E64" s="191" t="s">
        <v>88</v>
      </c>
      <c r="F64" s="191" t="s">
        <v>88</v>
      </c>
      <c r="G64" s="180">
        <v>0</v>
      </c>
      <c r="H64" s="191" t="s">
        <v>88</v>
      </c>
      <c r="I64" s="192">
        <v>808</v>
      </c>
      <c r="J64" s="191">
        <f t="shared" ref="J64:J68" si="15">D64</f>
        <v>100</v>
      </c>
      <c r="K64" s="190"/>
      <c r="M64" s="202" t="s">
        <v>333</v>
      </c>
    </row>
    <row r="65" spans="1:13" s="193" customFormat="1" ht="28" customHeight="1" thickBot="1" x14ac:dyDescent="0.25">
      <c r="A65" s="247">
        <v>47015187</v>
      </c>
      <c r="B65" s="191">
        <v>0</v>
      </c>
      <c r="C65" s="191">
        <v>111</v>
      </c>
      <c r="D65" s="180">
        <v>100</v>
      </c>
      <c r="E65" s="191" t="s">
        <v>88</v>
      </c>
      <c r="F65" s="191" t="s">
        <v>88</v>
      </c>
      <c r="G65" s="180">
        <v>0</v>
      </c>
      <c r="H65" s="191" t="s">
        <v>88</v>
      </c>
      <c r="I65" s="192">
        <v>1058</v>
      </c>
      <c r="J65" s="191">
        <f t="shared" si="15"/>
        <v>100</v>
      </c>
      <c r="K65" s="190"/>
      <c r="M65" s="202" t="s">
        <v>333</v>
      </c>
    </row>
    <row r="66" spans="1:13" s="193" customFormat="1" ht="28" customHeight="1" thickBot="1" x14ac:dyDescent="0.25">
      <c r="A66" s="248">
        <v>47015188</v>
      </c>
      <c r="B66" s="191">
        <v>0</v>
      </c>
      <c r="C66" s="191">
        <v>110</v>
      </c>
      <c r="D66" s="180">
        <v>100</v>
      </c>
      <c r="E66" s="191" t="s">
        <v>88</v>
      </c>
      <c r="F66" s="191" t="s">
        <v>88</v>
      </c>
      <c r="G66" s="180">
        <v>0</v>
      </c>
      <c r="H66" s="191" t="s">
        <v>88</v>
      </c>
      <c r="I66" s="192">
        <v>1336</v>
      </c>
      <c r="J66" s="191">
        <f t="shared" si="15"/>
        <v>100</v>
      </c>
      <c r="K66" s="190"/>
      <c r="M66" s="202" t="s">
        <v>333</v>
      </c>
    </row>
    <row r="67" spans="1:13" s="193" customFormat="1" ht="28" customHeight="1" thickBot="1" x14ac:dyDescent="0.25">
      <c r="A67" s="247">
        <v>47015189</v>
      </c>
      <c r="B67" s="191">
        <v>0</v>
      </c>
      <c r="C67" s="191">
        <v>109</v>
      </c>
      <c r="D67" s="180">
        <v>100</v>
      </c>
      <c r="E67" s="191" t="s">
        <v>88</v>
      </c>
      <c r="F67" s="191" t="s">
        <v>88</v>
      </c>
      <c r="G67" s="180">
        <v>0</v>
      </c>
      <c r="H67" s="191" t="s">
        <v>88</v>
      </c>
      <c r="I67" s="192">
        <v>1337</v>
      </c>
      <c r="J67" s="191">
        <f t="shared" si="15"/>
        <v>100</v>
      </c>
      <c r="K67" s="190"/>
      <c r="M67" s="202" t="s">
        <v>333</v>
      </c>
    </row>
    <row r="68" spans="1:13" s="193" customFormat="1" ht="28" customHeight="1" thickBot="1" x14ac:dyDescent="0.25">
      <c r="A68" s="248">
        <v>47015190</v>
      </c>
      <c r="B68" s="191">
        <v>0</v>
      </c>
      <c r="C68" s="191">
        <v>108</v>
      </c>
      <c r="D68" s="180">
        <v>100</v>
      </c>
      <c r="E68" s="191" t="s">
        <v>88</v>
      </c>
      <c r="F68" s="191" t="s">
        <v>88</v>
      </c>
      <c r="G68" s="180">
        <v>0</v>
      </c>
      <c r="H68" s="191" t="s">
        <v>88</v>
      </c>
      <c r="I68" s="192">
        <v>1330</v>
      </c>
      <c r="J68" s="191">
        <f t="shared" si="15"/>
        <v>100</v>
      </c>
      <c r="K68" s="190"/>
      <c r="M68" s="203" t="s">
        <v>334</v>
      </c>
    </row>
    <row r="69" spans="1:13" s="193" customFormat="1" ht="28" customHeight="1" thickBot="1" x14ac:dyDescent="0.25">
      <c r="A69" s="247">
        <v>47015191</v>
      </c>
      <c r="B69" s="205">
        <v>0</v>
      </c>
      <c r="C69" s="191">
        <v>107</v>
      </c>
      <c r="D69" s="180">
        <v>100</v>
      </c>
      <c r="E69" s="205" t="s">
        <v>88</v>
      </c>
      <c r="F69" s="205" t="s">
        <v>88</v>
      </c>
      <c r="G69" s="180">
        <v>0</v>
      </c>
      <c r="H69" s="205" t="s">
        <v>88</v>
      </c>
      <c r="I69" s="206">
        <v>1331</v>
      </c>
      <c r="J69" s="205">
        <f t="shared" ref="J69:J136" si="16">D69</f>
        <v>100</v>
      </c>
      <c r="K69" s="190"/>
      <c r="M69" s="203" t="s">
        <v>334</v>
      </c>
    </row>
    <row r="70" spans="1:13" s="193" customFormat="1" ht="28" customHeight="1" thickBot="1" x14ac:dyDescent="0.25">
      <c r="A70" s="248">
        <v>47015192</v>
      </c>
      <c r="B70" s="191">
        <v>0</v>
      </c>
      <c r="C70" s="191">
        <v>106</v>
      </c>
      <c r="D70" s="180">
        <v>100</v>
      </c>
      <c r="E70" s="191" t="s">
        <v>88</v>
      </c>
      <c r="F70" s="191" t="s">
        <v>88</v>
      </c>
      <c r="G70" s="180">
        <v>0</v>
      </c>
      <c r="H70" s="191" t="s">
        <v>88</v>
      </c>
      <c r="I70" s="192">
        <v>756</v>
      </c>
      <c r="J70" s="191">
        <f t="shared" si="16"/>
        <v>100</v>
      </c>
      <c r="K70" s="190"/>
      <c r="M70" s="203" t="s">
        <v>334</v>
      </c>
    </row>
    <row r="71" spans="1:13" s="193" customFormat="1" ht="28" customHeight="1" thickBot="1" x14ac:dyDescent="0.25">
      <c r="A71" s="247">
        <v>47015193</v>
      </c>
      <c r="B71" s="205">
        <v>0</v>
      </c>
      <c r="C71" s="191">
        <v>105</v>
      </c>
      <c r="D71" s="180">
        <v>100</v>
      </c>
      <c r="E71" s="205" t="s">
        <v>88</v>
      </c>
      <c r="F71" s="205" t="s">
        <v>88</v>
      </c>
      <c r="G71" s="180">
        <v>0</v>
      </c>
      <c r="H71" s="205" t="s">
        <v>88</v>
      </c>
      <c r="I71" s="192">
        <v>757</v>
      </c>
      <c r="J71" s="205">
        <f t="shared" ref="J71" si="17">D71</f>
        <v>100</v>
      </c>
      <c r="K71" s="190"/>
      <c r="M71" s="203" t="s">
        <v>334</v>
      </c>
    </row>
    <row r="72" spans="1:13" ht="28" customHeight="1" x14ac:dyDescent="0.2">
      <c r="A72" s="239">
        <v>47015200</v>
      </c>
      <c r="B72" s="187">
        <v>1</v>
      </c>
      <c r="C72" s="187">
        <v>105</v>
      </c>
      <c r="D72" s="187">
        <v>0</v>
      </c>
      <c r="E72" s="187" t="s">
        <v>88</v>
      </c>
      <c r="F72" s="187" t="s">
        <v>88</v>
      </c>
      <c r="G72" s="187">
        <v>1</v>
      </c>
      <c r="H72" s="187" t="s">
        <v>88</v>
      </c>
      <c r="I72" s="188">
        <v>1703</v>
      </c>
      <c r="J72" s="189">
        <f t="shared" si="16"/>
        <v>0</v>
      </c>
      <c r="M72" s="136" t="s">
        <v>288</v>
      </c>
    </row>
    <row r="73" spans="1:13" ht="28" customHeight="1" x14ac:dyDescent="0.2">
      <c r="A73" s="240">
        <v>47015201</v>
      </c>
      <c r="B73" s="187">
        <v>1</v>
      </c>
      <c r="C73" s="187">
        <v>106</v>
      </c>
      <c r="D73" s="187">
        <v>0</v>
      </c>
      <c r="E73" s="187" t="s">
        <v>88</v>
      </c>
      <c r="F73" s="187" t="s">
        <v>88</v>
      </c>
      <c r="G73" s="187">
        <v>1</v>
      </c>
      <c r="H73" s="187" t="s">
        <v>88</v>
      </c>
      <c r="I73" s="188">
        <v>1704</v>
      </c>
      <c r="J73" s="189">
        <f t="shared" si="16"/>
        <v>0</v>
      </c>
      <c r="M73" s="137" t="s">
        <v>287</v>
      </c>
    </row>
    <row r="74" spans="1:13" ht="28" customHeight="1" x14ac:dyDescent="0.15">
      <c r="A74" s="239">
        <v>47015202</v>
      </c>
      <c r="B74" s="179">
        <v>1</v>
      </c>
      <c r="C74" s="179">
        <v>100</v>
      </c>
      <c r="D74" s="179">
        <v>100</v>
      </c>
      <c r="E74" s="179" t="s">
        <v>253</v>
      </c>
      <c r="F74" s="179" t="s">
        <v>88</v>
      </c>
      <c r="G74" s="179">
        <v>1</v>
      </c>
      <c r="H74" s="179" t="s">
        <v>88</v>
      </c>
      <c r="I74" s="179" t="s">
        <v>88</v>
      </c>
      <c r="J74" s="189">
        <f t="shared" si="16"/>
        <v>100</v>
      </c>
      <c r="M74" s="137" t="s">
        <v>273</v>
      </c>
    </row>
    <row r="75" spans="1:13" ht="28" customHeight="1" x14ac:dyDescent="0.15">
      <c r="A75" s="240">
        <v>47015203</v>
      </c>
      <c r="B75" s="179">
        <v>0</v>
      </c>
      <c r="C75" s="179" t="s">
        <v>88</v>
      </c>
      <c r="D75" s="179">
        <v>30</v>
      </c>
      <c r="E75" s="179" t="s">
        <v>253</v>
      </c>
      <c r="F75" s="179" t="s">
        <v>88</v>
      </c>
      <c r="G75" s="179" t="s">
        <v>253</v>
      </c>
      <c r="H75" s="179" t="s">
        <v>88</v>
      </c>
      <c r="I75" s="179" t="s">
        <v>88</v>
      </c>
      <c r="J75" s="189">
        <f t="shared" si="16"/>
        <v>30</v>
      </c>
      <c r="M75" s="138" t="s">
        <v>254</v>
      </c>
    </row>
    <row r="76" spans="1:13" ht="28" customHeight="1" thickBot="1" x14ac:dyDescent="0.2">
      <c r="A76" s="239">
        <v>47015204</v>
      </c>
      <c r="B76" s="179">
        <v>0</v>
      </c>
      <c r="C76" s="179" t="s">
        <v>88</v>
      </c>
      <c r="D76" s="179">
        <v>20</v>
      </c>
      <c r="E76" s="179" t="s">
        <v>253</v>
      </c>
      <c r="F76" s="179" t="s">
        <v>88</v>
      </c>
      <c r="G76" s="179" t="s">
        <v>253</v>
      </c>
      <c r="H76" s="179" t="s">
        <v>88</v>
      </c>
      <c r="I76" s="179" t="s">
        <v>88</v>
      </c>
      <c r="J76" s="189">
        <f t="shared" si="16"/>
        <v>20</v>
      </c>
      <c r="M76" s="139" t="s">
        <v>319</v>
      </c>
    </row>
    <row r="77" spans="1:13" ht="28" customHeight="1" thickBot="1" x14ac:dyDescent="0.2">
      <c r="A77" s="240">
        <v>47015205</v>
      </c>
      <c r="B77" s="179">
        <v>0</v>
      </c>
      <c r="C77" s="179">
        <v>99</v>
      </c>
      <c r="D77" s="179">
        <v>100</v>
      </c>
      <c r="E77" s="179">
        <v>50</v>
      </c>
      <c r="F77" s="179" t="s">
        <v>88</v>
      </c>
      <c r="G77" s="179">
        <v>1</v>
      </c>
      <c r="H77" s="179" t="s">
        <v>88</v>
      </c>
      <c r="I77" s="179" t="s">
        <v>88</v>
      </c>
      <c r="J77" s="189">
        <f t="shared" si="16"/>
        <v>100</v>
      </c>
      <c r="M77" s="136" t="s">
        <v>288</v>
      </c>
    </row>
    <row r="78" spans="1:13" ht="28" customHeight="1" x14ac:dyDescent="0.2">
      <c r="A78" s="249">
        <v>47015210</v>
      </c>
      <c r="B78" s="187">
        <v>1</v>
      </c>
      <c r="C78" s="187">
        <v>105</v>
      </c>
      <c r="D78" s="187">
        <v>0</v>
      </c>
      <c r="E78" s="187" t="s">
        <v>253</v>
      </c>
      <c r="F78" s="187" t="s">
        <v>88</v>
      </c>
      <c r="G78" s="187">
        <v>1</v>
      </c>
      <c r="H78" s="187" t="s">
        <v>88</v>
      </c>
      <c r="I78" s="188">
        <v>1703</v>
      </c>
      <c r="J78" s="189">
        <f t="shared" si="16"/>
        <v>0</v>
      </c>
      <c r="M78" s="136" t="s">
        <v>311</v>
      </c>
    </row>
    <row r="79" spans="1:13" ht="28" customHeight="1" thickBot="1" x14ac:dyDescent="0.25">
      <c r="A79" s="250">
        <v>47015211</v>
      </c>
      <c r="B79" s="187">
        <v>1</v>
      </c>
      <c r="C79" s="187">
        <v>106</v>
      </c>
      <c r="D79" s="187">
        <v>0</v>
      </c>
      <c r="E79" s="187" t="s">
        <v>88</v>
      </c>
      <c r="F79" s="187" t="s">
        <v>88</v>
      </c>
      <c r="G79" s="187">
        <v>1</v>
      </c>
      <c r="H79" s="187" t="s">
        <v>88</v>
      </c>
      <c r="I79" s="188">
        <v>1704</v>
      </c>
      <c r="J79" s="189">
        <f t="shared" si="16"/>
        <v>0</v>
      </c>
      <c r="M79" s="138" t="s">
        <v>289</v>
      </c>
    </row>
    <row r="80" spans="1:13" ht="28" customHeight="1" x14ac:dyDescent="0.15">
      <c r="A80" s="249">
        <v>47015212</v>
      </c>
      <c r="B80" s="179">
        <v>1</v>
      </c>
      <c r="C80" s="179">
        <v>100</v>
      </c>
      <c r="D80" s="179">
        <v>100</v>
      </c>
      <c r="E80" s="179" t="s">
        <v>253</v>
      </c>
      <c r="F80" s="179" t="s">
        <v>88</v>
      </c>
      <c r="G80" s="179">
        <v>1</v>
      </c>
      <c r="H80" s="179" t="s">
        <v>88</v>
      </c>
      <c r="I80" s="179" t="s">
        <v>88</v>
      </c>
      <c r="J80" s="189">
        <f t="shared" si="16"/>
        <v>100</v>
      </c>
      <c r="M80" s="137" t="s">
        <v>283</v>
      </c>
    </row>
    <row r="81" spans="1:13" ht="28" customHeight="1" thickBot="1" x14ac:dyDescent="0.2">
      <c r="A81" s="250">
        <v>47015213</v>
      </c>
      <c r="B81" s="179">
        <v>0</v>
      </c>
      <c r="C81" s="179" t="s">
        <v>253</v>
      </c>
      <c r="D81" s="179">
        <v>70</v>
      </c>
      <c r="E81" s="179" t="s">
        <v>253</v>
      </c>
      <c r="F81" s="179" t="s">
        <v>88</v>
      </c>
      <c r="G81" s="179" t="s">
        <v>253</v>
      </c>
      <c r="H81" s="179" t="s">
        <v>88</v>
      </c>
      <c r="I81" s="179" t="s">
        <v>88</v>
      </c>
      <c r="J81" s="189">
        <f t="shared" si="16"/>
        <v>70</v>
      </c>
      <c r="M81" s="142" t="s">
        <v>312</v>
      </c>
    </row>
    <row r="82" spans="1:13" ht="28" customHeight="1" thickBot="1" x14ac:dyDescent="0.2">
      <c r="A82" s="249">
        <v>47015214</v>
      </c>
      <c r="B82" s="179">
        <v>0</v>
      </c>
      <c r="C82" s="179">
        <v>150</v>
      </c>
      <c r="D82" s="179">
        <v>100</v>
      </c>
      <c r="E82" s="179">
        <v>50</v>
      </c>
      <c r="F82" s="179" t="s">
        <v>88</v>
      </c>
      <c r="G82" s="179">
        <v>1</v>
      </c>
      <c r="H82" s="179" t="s">
        <v>88</v>
      </c>
      <c r="I82" s="179" t="s">
        <v>88</v>
      </c>
      <c r="J82" s="189">
        <f t="shared" si="16"/>
        <v>100</v>
      </c>
      <c r="M82" s="136" t="s">
        <v>311</v>
      </c>
    </row>
    <row r="83" spans="1:13" ht="28" customHeight="1" x14ac:dyDescent="0.15">
      <c r="A83" s="251">
        <v>47015220</v>
      </c>
      <c r="B83" s="179">
        <v>1</v>
      </c>
      <c r="C83" s="179">
        <v>100</v>
      </c>
      <c r="D83" s="179">
        <v>100</v>
      </c>
      <c r="E83" s="179" t="s">
        <v>88</v>
      </c>
      <c r="F83" s="179" t="s">
        <v>88</v>
      </c>
      <c r="G83" s="179">
        <v>1</v>
      </c>
      <c r="H83" s="179" t="s">
        <v>88</v>
      </c>
      <c r="I83" s="179" t="s">
        <v>88</v>
      </c>
      <c r="J83" s="189">
        <f t="shared" si="16"/>
        <v>100</v>
      </c>
      <c r="M83" s="136" t="s">
        <v>290</v>
      </c>
    </row>
    <row r="84" spans="1:13" ht="28" customHeight="1" x14ac:dyDescent="0.15">
      <c r="A84" s="240">
        <v>47015221</v>
      </c>
      <c r="B84" s="179">
        <v>0</v>
      </c>
      <c r="C84" s="179">
        <v>80</v>
      </c>
      <c r="D84" s="179">
        <v>40</v>
      </c>
      <c r="E84" s="179" t="s">
        <v>88</v>
      </c>
      <c r="F84" s="179" t="s">
        <v>88</v>
      </c>
      <c r="G84" s="179">
        <v>2</v>
      </c>
      <c r="H84" s="179" t="s">
        <v>88</v>
      </c>
      <c r="I84" s="179" t="s">
        <v>88</v>
      </c>
      <c r="J84" s="189">
        <f t="shared" si="16"/>
        <v>40</v>
      </c>
      <c r="M84" s="137" t="s">
        <v>318</v>
      </c>
    </row>
    <row r="85" spans="1:13" ht="28" customHeight="1" x14ac:dyDescent="0.15">
      <c r="A85" s="252">
        <v>47015222</v>
      </c>
      <c r="B85" s="179">
        <v>0</v>
      </c>
      <c r="C85" s="179">
        <v>60</v>
      </c>
      <c r="D85" s="179">
        <v>60</v>
      </c>
      <c r="E85" s="179" t="s">
        <v>88</v>
      </c>
      <c r="F85" s="179" t="s">
        <v>88</v>
      </c>
      <c r="G85" s="179">
        <v>2</v>
      </c>
      <c r="H85" s="179" t="s">
        <v>88</v>
      </c>
      <c r="I85" s="179" t="s">
        <v>88</v>
      </c>
      <c r="J85" s="189">
        <f t="shared" si="16"/>
        <v>60</v>
      </c>
      <c r="M85" s="138" t="s">
        <v>307</v>
      </c>
    </row>
    <row r="86" spans="1:13" ht="28" customHeight="1" x14ac:dyDescent="0.15">
      <c r="A86" s="240">
        <v>47015223</v>
      </c>
      <c r="B86" s="179">
        <v>0</v>
      </c>
      <c r="C86" s="179">
        <v>50</v>
      </c>
      <c r="D86" s="179">
        <v>60</v>
      </c>
      <c r="E86" s="179" t="s">
        <v>88</v>
      </c>
      <c r="F86" s="179" t="s">
        <v>88</v>
      </c>
      <c r="G86" s="179" t="s">
        <v>88</v>
      </c>
      <c r="H86" s="179" t="s">
        <v>88</v>
      </c>
      <c r="I86" s="179" t="s">
        <v>88</v>
      </c>
      <c r="J86" s="189">
        <f t="shared" si="16"/>
        <v>60</v>
      </c>
      <c r="M86" s="138" t="s">
        <v>284</v>
      </c>
    </row>
    <row r="87" spans="1:13" ht="28" customHeight="1" thickBot="1" x14ac:dyDescent="0.2">
      <c r="A87" s="253">
        <v>47015224</v>
      </c>
      <c r="B87" s="179">
        <v>0</v>
      </c>
      <c r="C87" s="179">
        <v>99</v>
      </c>
      <c r="D87" s="179">
        <v>100</v>
      </c>
      <c r="E87" s="179">
        <v>50</v>
      </c>
      <c r="F87" s="179" t="s">
        <v>88</v>
      </c>
      <c r="G87" s="179">
        <v>1</v>
      </c>
      <c r="H87" s="179" t="s">
        <v>88</v>
      </c>
      <c r="I87" s="179" t="s">
        <v>88</v>
      </c>
      <c r="J87" s="189">
        <f t="shared" si="16"/>
        <v>100</v>
      </c>
      <c r="M87" s="139" t="s">
        <v>313</v>
      </c>
    </row>
    <row r="88" spans="1:13" ht="28" customHeight="1" x14ac:dyDescent="0.15">
      <c r="A88" s="171">
        <v>47015230</v>
      </c>
      <c r="B88" s="179">
        <v>1</v>
      </c>
      <c r="C88" s="179">
        <v>100</v>
      </c>
      <c r="D88" s="179">
        <v>100</v>
      </c>
      <c r="E88" s="179" t="s">
        <v>88</v>
      </c>
      <c r="F88" s="179" t="s">
        <v>88</v>
      </c>
      <c r="G88" s="179">
        <v>1</v>
      </c>
      <c r="H88" s="179" t="s">
        <v>88</v>
      </c>
      <c r="I88" s="179" t="s">
        <v>88</v>
      </c>
      <c r="J88" s="189">
        <f t="shared" si="16"/>
        <v>100</v>
      </c>
      <c r="M88" s="136" t="s">
        <v>310</v>
      </c>
    </row>
    <row r="89" spans="1:13" ht="28" customHeight="1" thickBot="1" x14ac:dyDescent="0.2">
      <c r="A89" s="250">
        <v>47015231</v>
      </c>
      <c r="B89" s="179">
        <v>0</v>
      </c>
      <c r="C89" s="179">
        <v>80</v>
      </c>
      <c r="D89" s="179">
        <v>50</v>
      </c>
      <c r="E89" s="179" t="s">
        <v>88</v>
      </c>
      <c r="F89" s="179" t="s">
        <v>88</v>
      </c>
      <c r="G89" s="179" t="s">
        <v>88</v>
      </c>
      <c r="H89" s="179" t="s">
        <v>88</v>
      </c>
      <c r="I89" s="179" t="s">
        <v>88</v>
      </c>
      <c r="J89" s="189">
        <f t="shared" si="16"/>
        <v>50</v>
      </c>
      <c r="M89" s="138" t="s">
        <v>314</v>
      </c>
    </row>
    <row r="90" spans="1:13" ht="28" customHeight="1" x14ac:dyDescent="0.15">
      <c r="A90" s="249">
        <v>47015232</v>
      </c>
      <c r="B90" s="179">
        <v>0</v>
      </c>
      <c r="C90" s="179">
        <v>60</v>
      </c>
      <c r="D90" s="179">
        <v>80</v>
      </c>
      <c r="E90" s="179" t="s">
        <v>88</v>
      </c>
      <c r="F90" s="179" t="s">
        <v>88</v>
      </c>
      <c r="G90" s="179" t="s">
        <v>88</v>
      </c>
      <c r="H90" s="179" t="s">
        <v>88</v>
      </c>
      <c r="I90" s="179" t="s">
        <v>88</v>
      </c>
      <c r="J90" s="189">
        <f t="shared" si="16"/>
        <v>80</v>
      </c>
      <c r="M90" s="138" t="s">
        <v>286</v>
      </c>
    </row>
    <row r="91" spans="1:13" ht="28" customHeight="1" thickBot="1" x14ac:dyDescent="0.2">
      <c r="A91" s="250">
        <v>47015233</v>
      </c>
      <c r="B91" s="179">
        <v>0</v>
      </c>
      <c r="C91" s="179">
        <v>110</v>
      </c>
      <c r="D91" s="179">
        <v>100</v>
      </c>
      <c r="E91" s="179" t="s">
        <v>88</v>
      </c>
      <c r="F91" s="179" t="s">
        <v>88</v>
      </c>
      <c r="G91" s="179">
        <v>1</v>
      </c>
      <c r="H91" s="179">
        <v>2</v>
      </c>
      <c r="I91" s="179" t="s">
        <v>88</v>
      </c>
      <c r="J91" s="189">
        <f t="shared" si="16"/>
        <v>100</v>
      </c>
      <c r="M91" s="138" t="s">
        <v>291</v>
      </c>
    </row>
    <row r="92" spans="1:13" ht="28" customHeight="1" thickBot="1" x14ac:dyDescent="0.2">
      <c r="A92" s="249">
        <v>47015234</v>
      </c>
      <c r="B92" s="179">
        <v>0</v>
      </c>
      <c r="C92" s="179">
        <v>115</v>
      </c>
      <c r="D92" s="179">
        <v>100</v>
      </c>
      <c r="E92" s="179">
        <v>50</v>
      </c>
      <c r="F92" s="179" t="s">
        <v>88</v>
      </c>
      <c r="G92" s="179">
        <v>1</v>
      </c>
      <c r="H92" s="179" t="s">
        <v>88</v>
      </c>
      <c r="I92" s="179" t="s">
        <v>88</v>
      </c>
      <c r="J92" s="189">
        <f t="shared" si="16"/>
        <v>100</v>
      </c>
      <c r="M92" s="139" t="s">
        <v>285</v>
      </c>
    </row>
    <row r="93" spans="1:13" ht="28" customHeight="1" x14ac:dyDescent="0.15">
      <c r="A93" s="242">
        <v>47015240</v>
      </c>
      <c r="B93" s="179">
        <v>1</v>
      </c>
      <c r="C93" s="179">
        <v>100</v>
      </c>
      <c r="D93" s="179">
        <v>100</v>
      </c>
      <c r="E93" s="179" t="s">
        <v>88</v>
      </c>
      <c r="F93" s="179" t="s">
        <v>88</v>
      </c>
      <c r="G93" s="179">
        <v>1</v>
      </c>
      <c r="H93" s="179" t="s">
        <v>88</v>
      </c>
      <c r="I93" s="179" t="s">
        <v>88</v>
      </c>
      <c r="J93" s="189">
        <f t="shared" si="16"/>
        <v>100</v>
      </c>
      <c r="M93" s="136" t="s">
        <v>309</v>
      </c>
    </row>
    <row r="94" spans="1:13" ht="28" customHeight="1" thickBot="1" x14ac:dyDescent="0.2">
      <c r="A94" s="240">
        <v>47015241</v>
      </c>
      <c r="B94" s="179">
        <v>0</v>
      </c>
      <c r="C94" s="179">
        <v>80</v>
      </c>
      <c r="D94" s="179">
        <v>60</v>
      </c>
      <c r="E94" s="179" t="s">
        <v>88</v>
      </c>
      <c r="F94" s="179" t="s">
        <v>88</v>
      </c>
      <c r="G94" s="179" t="s">
        <v>88</v>
      </c>
      <c r="H94" s="179" t="s">
        <v>88</v>
      </c>
      <c r="I94" s="179" t="s">
        <v>88</v>
      </c>
      <c r="J94" s="189">
        <f t="shared" si="16"/>
        <v>60</v>
      </c>
      <c r="M94" s="138" t="s">
        <v>292</v>
      </c>
    </row>
    <row r="95" spans="1:13" ht="28" customHeight="1" x14ac:dyDescent="0.15">
      <c r="A95" s="242">
        <v>47015242</v>
      </c>
      <c r="B95" s="179">
        <v>0</v>
      </c>
      <c r="C95" s="179">
        <v>60</v>
      </c>
      <c r="D95" s="179">
        <v>80</v>
      </c>
      <c r="E95" s="179" t="s">
        <v>88</v>
      </c>
      <c r="F95" s="179" t="s">
        <v>88</v>
      </c>
      <c r="G95" s="179">
        <v>1</v>
      </c>
      <c r="H95" s="179" t="s">
        <v>88</v>
      </c>
      <c r="I95" s="179" t="s">
        <v>88</v>
      </c>
      <c r="J95" s="189">
        <f t="shared" si="16"/>
        <v>80</v>
      </c>
      <c r="M95" s="138" t="s">
        <v>293</v>
      </c>
    </row>
    <row r="96" spans="1:13" ht="28" customHeight="1" thickBot="1" x14ac:dyDescent="0.2">
      <c r="A96" s="240">
        <v>47015243</v>
      </c>
      <c r="B96" s="179">
        <v>0</v>
      </c>
      <c r="C96" s="179">
        <v>101</v>
      </c>
      <c r="D96" s="179">
        <v>100</v>
      </c>
      <c r="E96" s="179">
        <v>50</v>
      </c>
      <c r="F96" s="179" t="s">
        <v>88</v>
      </c>
      <c r="G96" s="179">
        <v>1</v>
      </c>
      <c r="H96" s="179" t="s">
        <v>88</v>
      </c>
      <c r="I96" s="179" t="s">
        <v>88</v>
      </c>
      <c r="J96" s="189">
        <f t="shared" si="16"/>
        <v>100</v>
      </c>
      <c r="M96" s="139" t="s">
        <v>316</v>
      </c>
    </row>
    <row r="97" spans="1:13" s="193" customFormat="1" ht="28" customHeight="1" thickBot="1" x14ac:dyDescent="0.25">
      <c r="A97" s="242">
        <v>47015244</v>
      </c>
      <c r="B97" s="191">
        <v>1</v>
      </c>
      <c r="C97" s="191">
        <v>119</v>
      </c>
      <c r="D97" s="179">
        <v>100</v>
      </c>
      <c r="E97" s="191" t="s">
        <v>88</v>
      </c>
      <c r="F97" s="191" t="s">
        <v>88</v>
      </c>
      <c r="G97" s="191">
        <v>1</v>
      </c>
      <c r="H97" s="191" t="s">
        <v>88</v>
      </c>
      <c r="I97" s="192">
        <v>1703</v>
      </c>
      <c r="J97" s="191">
        <f t="shared" si="16"/>
        <v>100</v>
      </c>
      <c r="K97" s="190"/>
      <c r="M97" s="182" t="s">
        <v>320</v>
      </c>
    </row>
    <row r="98" spans="1:13" s="193" customFormat="1" ht="28" customHeight="1" thickBot="1" x14ac:dyDescent="0.25">
      <c r="A98" s="240">
        <v>47015245</v>
      </c>
      <c r="B98" s="191">
        <v>1</v>
      </c>
      <c r="C98" s="191">
        <v>118</v>
      </c>
      <c r="D98" s="179">
        <v>100</v>
      </c>
      <c r="E98" s="191" t="s">
        <v>88</v>
      </c>
      <c r="F98" s="191" t="s">
        <v>88</v>
      </c>
      <c r="G98" s="191">
        <v>1</v>
      </c>
      <c r="H98" s="191" t="s">
        <v>88</v>
      </c>
      <c r="I98" s="192">
        <v>1704</v>
      </c>
      <c r="J98" s="191">
        <f t="shared" si="16"/>
        <v>100</v>
      </c>
      <c r="K98" s="190"/>
      <c r="M98" s="182" t="s">
        <v>320</v>
      </c>
    </row>
    <row r="99" spans="1:13" s="193" customFormat="1" ht="28" customHeight="1" thickBot="1" x14ac:dyDescent="0.25">
      <c r="A99" s="242">
        <v>47015246</v>
      </c>
      <c r="B99" s="191">
        <v>1</v>
      </c>
      <c r="C99" s="191">
        <v>117</v>
      </c>
      <c r="D99" s="179">
        <v>100</v>
      </c>
      <c r="E99" s="191" t="s">
        <v>88</v>
      </c>
      <c r="F99" s="191" t="s">
        <v>88</v>
      </c>
      <c r="G99" s="191">
        <v>1</v>
      </c>
      <c r="H99" s="191" t="s">
        <v>88</v>
      </c>
      <c r="I99" s="192">
        <v>1326</v>
      </c>
      <c r="J99" s="191">
        <f t="shared" si="16"/>
        <v>100</v>
      </c>
      <c r="K99" s="190"/>
      <c r="M99" s="182" t="s">
        <v>322</v>
      </c>
    </row>
    <row r="100" spans="1:13" s="193" customFormat="1" ht="28" customHeight="1" thickBot="1" x14ac:dyDescent="0.25">
      <c r="A100" s="240">
        <v>47015247</v>
      </c>
      <c r="B100" s="191">
        <v>1</v>
      </c>
      <c r="C100" s="191">
        <v>116</v>
      </c>
      <c r="D100" s="179">
        <v>100</v>
      </c>
      <c r="E100" s="191" t="s">
        <v>88</v>
      </c>
      <c r="F100" s="191" t="s">
        <v>88</v>
      </c>
      <c r="G100" s="191">
        <v>1</v>
      </c>
      <c r="H100" s="191" t="s">
        <v>88</v>
      </c>
      <c r="I100" s="192">
        <v>1327</v>
      </c>
      <c r="J100" s="191">
        <f t="shared" si="16"/>
        <v>100</v>
      </c>
      <c r="K100" s="190"/>
      <c r="M100" s="182" t="s">
        <v>323</v>
      </c>
    </row>
    <row r="101" spans="1:13" s="193" customFormat="1" ht="28" customHeight="1" thickBot="1" x14ac:dyDescent="0.25">
      <c r="A101" s="242">
        <v>47015248</v>
      </c>
      <c r="B101" s="191">
        <v>1</v>
      </c>
      <c r="C101" s="191">
        <v>115</v>
      </c>
      <c r="D101" s="179">
        <v>100</v>
      </c>
      <c r="E101" s="191" t="s">
        <v>88</v>
      </c>
      <c r="F101" s="191" t="s">
        <v>88</v>
      </c>
      <c r="G101" s="191">
        <v>1</v>
      </c>
      <c r="H101" s="191" t="s">
        <v>88</v>
      </c>
      <c r="I101" s="192">
        <v>235</v>
      </c>
      <c r="J101" s="191">
        <f t="shared" si="16"/>
        <v>100</v>
      </c>
      <c r="K101" s="190"/>
      <c r="M101" s="182" t="s">
        <v>325</v>
      </c>
    </row>
    <row r="102" spans="1:13" s="193" customFormat="1" ht="28" customHeight="1" thickBot="1" x14ac:dyDescent="0.25">
      <c r="A102" s="240">
        <v>47015249</v>
      </c>
      <c r="B102" s="191">
        <v>1</v>
      </c>
      <c r="C102" s="191">
        <v>114</v>
      </c>
      <c r="D102" s="179">
        <v>100</v>
      </c>
      <c r="E102" s="191" t="s">
        <v>88</v>
      </c>
      <c r="F102" s="191" t="s">
        <v>88</v>
      </c>
      <c r="G102" s="191">
        <v>1</v>
      </c>
      <c r="H102" s="191" t="s">
        <v>88</v>
      </c>
      <c r="I102" s="192">
        <v>236</v>
      </c>
      <c r="J102" s="191">
        <f t="shared" si="16"/>
        <v>100</v>
      </c>
      <c r="K102" s="190"/>
      <c r="M102" s="182" t="s">
        <v>325</v>
      </c>
    </row>
    <row r="103" spans="1:13" s="193" customFormat="1" ht="28" customHeight="1" thickBot="1" x14ac:dyDescent="0.25">
      <c r="A103" s="242">
        <v>47015250</v>
      </c>
      <c r="B103" s="191">
        <v>1</v>
      </c>
      <c r="C103" s="191">
        <v>113</v>
      </c>
      <c r="D103" s="179">
        <v>100</v>
      </c>
      <c r="E103" s="191" t="s">
        <v>88</v>
      </c>
      <c r="F103" s="191" t="s">
        <v>88</v>
      </c>
      <c r="G103" s="191">
        <v>1</v>
      </c>
      <c r="H103" s="191" t="s">
        <v>88</v>
      </c>
      <c r="I103" s="192">
        <v>237</v>
      </c>
      <c r="J103" s="191">
        <f t="shared" si="16"/>
        <v>100</v>
      </c>
      <c r="K103" s="190"/>
      <c r="M103" s="182" t="s">
        <v>325</v>
      </c>
    </row>
    <row r="104" spans="1:13" s="193" customFormat="1" ht="28" customHeight="1" thickBot="1" x14ac:dyDescent="0.25">
      <c r="A104" s="240">
        <v>47015251</v>
      </c>
      <c r="B104" s="191">
        <v>1</v>
      </c>
      <c r="C104" s="191">
        <v>112</v>
      </c>
      <c r="D104" s="179">
        <v>100</v>
      </c>
      <c r="E104" s="191" t="s">
        <v>88</v>
      </c>
      <c r="F104" s="191" t="s">
        <v>88</v>
      </c>
      <c r="G104" s="191">
        <v>1</v>
      </c>
      <c r="H104" s="191" t="s">
        <v>88</v>
      </c>
      <c r="I104" s="192">
        <v>808</v>
      </c>
      <c r="J104" s="191">
        <f t="shared" si="16"/>
        <v>100</v>
      </c>
      <c r="K104" s="190"/>
      <c r="M104" s="182" t="s">
        <v>325</v>
      </c>
    </row>
    <row r="105" spans="1:13" s="193" customFormat="1" ht="28" customHeight="1" thickBot="1" x14ac:dyDescent="0.25">
      <c r="A105" s="242">
        <v>47015252</v>
      </c>
      <c r="B105" s="191">
        <v>1</v>
      </c>
      <c r="C105" s="191">
        <v>111</v>
      </c>
      <c r="D105" s="179">
        <v>100</v>
      </c>
      <c r="E105" s="191" t="s">
        <v>88</v>
      </c>
      <c r="F105" s="191" t="s">
        <v>88</v>
      </c>
      <c r="G105" s="191">
        <v>1</v>
      </c>
      <c r="H105" s="191" t="s">
        <v>88</v>
      </c>
      <c r="I105" s="192">
        <v>1058</v>
      </c>
      <c r="J105" s="191">
        <f t="shared" si="16"/>
        <v>100</v>
      </c>
      <c r="K105" s="190"/>
      <c r="M105" s="182" t="s">
        <v>325</v>
      </c>
    </row>
    <row r="106" spans="1:13" s="193" customFormat="1" ht="28" customHeight="1" thickBot="1" x14ac:dyDescent="0.25">
      <c r="A106" s="240">
        <v>47015253</v>
      </c>
      <c r="B106" s="191">
        <v>1</v>
      </c>
      <c r="C106" s="191">
        <v>110</v>
      </c>
      <c r="D106" s="179">
        <v>100</v>
      </c>
      <c r="E106" s="191" t="s">
        <v>88</v>
      </c>
      <c r="F106" s="191" t="s">
        <v>88</v>
      </c>
      <c r="G106" s="191">
        <v>1</v>
      </c>
      <c r="H106" s="191" t="s">
        <v>88</v>
      </c>
      <c r="I106" s="192">
        <v>1336</v>
      </c>
      <c r="J106" s="191">
        <f t="shared" si="16"/>
        <v>100</v>
      </c>
      <c r="K106" s="190"/>
      <c r="M106" s="182" t="s">
        <v>325</v>
      </c>
    </row>
    <row r="107" spans="1:13" s="193" customFormat="1" ht="28" customHeight="1" thickBot="1" x14ac:dyDescent="0.25">
      <c r="A107" s="242">
        <v>47015254</v>
      </c>
      <c r="B107" s="191">
        <v>1</v>
      </c>
      <c r="C107" s="191">
        <v>109</v>
      </c>
      <c r="D107" s="179">
        <v>100</v>
      </c>
      <c r="E107" s="191" t="s">
        <v>88</v>
      </c>
      <c r="F107" s="191" t="s">
        <v>88</v>
      </c>
      <c r="G107" s="191">
        <v>1</v>
      </c>
      <c r="H107" s="191" t="s">
        <v>88</v>
      </c>
      <c r="I107" s="192">
        <v>1337</v>
      </c>
      <c r="J107" s="191">
        <f t="shared" si="16"/>
        <v>100</v>
      </c>
      <c r="K107" s="190"/>
      <c r="M107" s="182" t="s">
        <v>325</v>
      </c>
    </row>
    <row r="108" spans="1:13" s="193" customFormat="1" ht="28" customHeight="1" thickBot="1" x14ac:dyDescent="0.25">
      <c r="A108" s="240">
        <v>47015255</v>
      </c>
      <c r="B108" s="191">
        <v>1</v>
      </c>
      <c r="C108" s="191">
        <v>108</v>
      </c>
      <c r="D108" s="179">
        <v>100</v>
      </c>
      <c r="E108" s="191" t="s">
        <v>88</v>
      </c>
      <c r="F108" s="191" t="s">
        <v>88</v>
      </c>
      <c r="G108" s="191">
        <v>1</v>
      </c>
      <c r="H108" s="191" t="s">
        <v>88</v>
      </c>
      <c r="I108" s="192">
        <v>1330</v>
      </c>
      <c r="J108" s="191">
        <f t="shared" si="16"/>
        <v>100</v>
      </c>
      <c r="K108" s="190"/>
      <c r="M108" s="182" t="s">
        <v>326</v>
      </c>
    </row>
    <row r="109" spans="1:13" s="193" customFormat="1" ht="28" customHeight="1" thickBot="1" x14ac:dyDescent="0.25">
      <c r="A109" s="242">
        <v>47015256</v>
      </c>
      <c r="B109" s="191">
        <v>1</v>
      </c>
      <c r="C109" s="191">
        <v>107</v>
      </c>
      <c r="D109" s="179">
        <v>100</v>
      </c>
      <c r="E109" s="191" t="s">
        <v>88</v>
      </c>
      <c r="F109" s="191" t="s">
        <v>88</v>
      </c>
      <c r="G109" s="191">
        <v>1</v>
      </c>
      <c r="H109" s="191" t="s">
        <v>88</v>
      </c>
      <c r="I109" s="192">
        <v>1331</v>
      </c>
      <c r="J109" s="191">
        <f t="shared" si="16"/>
        <v>100</v>
      </c>
      <c r="K109" s="190"/>
      <c r="M109" s="182" t="s">
        <v>326</v>
      </c>
    </row>
    <row r="110" spans="1:13" s="193" customFormat="1" ht="28" customHeight="1" thickBot="1" x14ac:dyDescent="0.25">
      <c r="A110" s="240">
        <v>47015257</v>
      </c>
      <c r="B110" s="191">
        <v>1</v>
      </c>
      <c r="C110" s="191">
        <v>106</v>
      </c>
      <c r="D110" s="179">
        <v>100</v>
      </c>
      <c r="E110" s="191" t="s">
        <v>88</v>
      </c>
      <c r="F110" s="191" t="s">
        <v>88</v>
      </c>
      <c r="G110" s="191">
        <v>1</v>
      </c>
      <c r="H110" s="191" t="s">
        <v>88</v>
      </c>
      <c r="I110" s="192">
        <v>756</v>
      </c>
      <c r="J110" s="191">
        <f t="shared" ref="J110:J111" si="18">D110</f>
        <v>100</v>
      </c>
      <c r="K110" s="190"/>
      <c r="M110" s="182" t="s">
        <v>326</v>
      </c>
    </row>
    <row r="111" spans="1:13" s="193" customFormat="1" ht="28" customHeight="1" thickBot="1" x14ac:dyDescent="0.25">
      <c r="A111" s="242">
        <v>47015258</v>
      </c>
      <c r="B111" s="191">
        <v>1</v>
      </c>
      <c r="C111" s="191">
        <v>105</v>
      </c>
      <c r="D111" s="179">
        <v>100</v>
      </c>
      <c r="E111" s="191" t="s">
        <v>88</v>
      </c>
      <c r="F111" s="191" t="s">
        <v>88</v>
      </c>
      <c r="G111" s="191">
        <v>1</v>
      </c>
      <c r="H111" s="191" t="s">
        <v>88</v>
      </c>
      <c r="I111" s="192">
        <v>757</v>
      </c>
      <c r="J111" s="191">
        <f t="shared" si="18"/>
        <v>100</v>
      </c>
      <c r="K111" s="190"/>
      <c r="M111" s="182" t="s">
        <v>326</v>
      </c>
    </row>
    <row r="112" spans="1:13" ht="28" customHeight="1" thickBot="1" x14ac:dyDescent="0.2">
      <c r="A112" s="249">
        <v>47015260</v>
      </c>
      <c r="B112" s="179">
        <v>1</v>
      </c>
      <c r="C112" s="179">
        <v>100</v>
      </c>
      <c r="D112" s="179">
        <v>100</v>
      </c>
      <c r="E112" s="179" t="s">
        <v>88</v>
      </c>
      <c r="F112" s="179" t="s">
        <v>88</v>
      </c>
      <c r="G112" s="179">
        <v>1</v>
      </c>
      <c r="H112" s="179" t="s">
        <v>88</v>
      </c>
      <c r="I112" s="179" t="s">
        <v>88</v>
      </c>
      <c r="J112" s="189">
        <f t="shared" si="16"/>
        <v>100</v>
      </c>
      <c r="M112" s="136" t="s">
        <v>315</v>
      </c>
    </row>
    <row r="113" spans="1:13" ht="28" customHeight="1" thickBot="1" x14ac:dyDescent="0.2">
      <c r="A113" s="249">
        <v>47015261</v>
      </c>
      <c r="B113" s="179">
        <v>0</v>
      </c>
      <c r="C113" s="179">
        <v>50</v>
      </c>
      <c r="D113" s="179">
        <v>80</v>
      </c>
      <c r="E113" s="179" t="s">
        <v>88</v>
      </c>
      <c r="F113" s="179" t="s">
        <v>88</v>
      </c>
      <c r="G113" s="179" t="s">
        <v>88</v>
      </c>
      <c r="H113" s="179" t="s">
        <v>88</v>
      </c>
      <c r="I113" s="179" t="s">
        <v>88</v>
      </c>
      <c r="J113" s="189">
        <f t="shared" si="16"/>
        <v>80</v>
      </c>
      <c r="M113" s="138" t="s">
        <v>255</v>
      </c>
    </row>
    <row r="114" spans="1:13" ht="28" customHeight="1" thickBot="1" x14ac:dyDescent="0.2">
      <c r="A114" s="249">
        <v>47015262</v>
      </c>
      <c r="B114" s="179">
        <v>0</v>
      </c>
      <c r="C114" s="179">
        <v>45</v>
      </c>
      <c r="D114" s="179">
        <v>60</v>
      </c>
      <c r="E114" s="179" t="s">
        <v>88</v>
      </c>
      <c r="F114" s="179" t="s">
        <v>88</v>
      </c>
      <c r="G114" s="179" t="s">
        <v>88</v>
      </c>
      <c r="H114" s="179" t="s">
        <v>88</v>
      </c>
      <c r="I114" s="179" t="s">
        <v>88</v>
      </c>
      <c r="J114" s="189">
        <f t="shared" si="16"/>
        <v>60</v>
      </c>
      <c r="M114" s="138" t="s">
        <v>294</v>
      </c>
    </row>
    <row r="115" spans="1:13" ht="28" customHeight="1" thickBot="1" x14ac:dyDescent="0.2">
      <c r="A115" s="249">
        <v>47015263</v>
      </c>
      <c r="B115" s="179">
        <v>0</v>
      </c>
      <c r="C115" s="179">
        <v>40</v>
      </c>
      <c r="D115" s="179">
        <v>50</v>
      </c>
      <c r="E115" s="179" t="s">
        <v>88</v>
      </c>
      <c r="F115" s="179" t="s">
        <v>88</v>
      </c>
      <c r="G115" s="179" t="s">
        <v>88</v>
      </c>
      <c r="H115" s="179" t="s">
        <v>88</v>
      </c>
      <c r="I115" s="179" t="s">
        <v>88</v>
      </c>
      <c r="J115" s="189">
        <f t="shared" si="16"/>
        <v>50</v>
      </c>
      <c r="M115" s="138" t="s">
        <v>317</v>
      </c>
    </row>
    <row r="116" spans="1:13" ht="28" customHeight="1" thickBot="1" x14ac:dyDescent="0.2">
      <c r="A116" s="249">
        <v>47015264</v>
      </c>
      <c r="B116" s="179">
        <v>0</v>
      </c>
      <c r="C116" s="179">
        <v>101</v>
      </c>
      <c r="D116" s="179">
        <v>100</v>
      </c>
      <c r="E116" s="179" t="s">
        <v>88</v>
      </c>
      <c r="F116" s="179" t="s">
        <v>88</v>
      </c>
      <c r="G116" s="179">
        <v>1</v>
      </c>
      <c r="H116" s="179" t="s">
        <v>88</v>
      </c>
      <c r="I116" s="179" t="s">
        <v>88</v>
      </c>
      <c r="J116" s="189">
        <f t="shared" si="16"/>
        <v>100</v>
      </c>
      <c r="M116" s="138" t="s">
        <v>295</v>
      </c>
    </row>
    <row r="117" spans="1:13" ht="28" customHeight="1" thickBot="1" x14ac:dyDescent="0.2">
      <c r="A117" s="249">
        <v>47015265</v>
      </c>
      <c r="B117" s="179">
        <v>0</v>
      </c>
      <c r="C117" s="179">
        <v>105</v>
      </c>
      <c r="D117" s="179">
        <v>100</v>
      </c>
      <c r="E117" s="179">
        <v>50</v>
      </c>
      <c r="F117" s="179" t="s">
        <v>88</v>
      </c>
      <c r="G117" s="179">
        <v>1</v>
      </c>
      <c r="H117" s="179" t="s">
        <v>88</v>
      </c>
      <c r="I117" s="179" t="s">
        <v>88</v>
      </c>
      <c r="J117" s="189">
        <f t="shared" si="16"/>
        <v>100</v>
      </c>
      <c r="M117" s="139" t="s">
        <v>296</v>
      </c>
    </row>
    <row r="118" spans="1:13" ht="28" customHeight="1" x14ac:dyDescent="0.15">
      <c r="A118" s="254">
        <v>47015270</v>
      </c>
      <c r="B118" s="179">
        <v>1</v>
      </c>
      <c r="C118" s="179">
        <v>100</v>
      </c>
      <c r="D118" s="179">
        <v>100</v>
      </c>
      <c r="E118" s="179" t="s">
        <v>88</v>
      </c>
      <c r="F118" s="179" t="s">
        <v>88</v>
      </c>
      <c r="G118" s="179">
        <v>1</v>
      </c>
      <c r="H118" s="179" t="s">
        <v>88</v>
      </c>
      <c r="I118" s="179" t="s">
        <v>88</v>
      </c>
      <c r="J118" s="189">
        <f t="shared" si="16"/>
        <v>100</v>
      </c>
      <c r="M118" s="136" t="s">
        <v>297</v>
      </c>
    </row>
    <row r="119" spans="1:13" ht="28" customHeight="1" x14ac:dyDescent="0.15">
      <c r="A119" s="228">
        <v>47015271</v>
      </c>
      <c r="B119" s="179">
        <v>0</v>
      </c>
      <c r="C119" s="179">
        <v>40</v>
      </c>
      <c r="D119" s="179">
        <v>40</v>
      </c>
      <c r="E119" s="179" t="s">
        <v>88</v>
      </c>
      <c r="F119" s="179" t="s">
        <v>88</v>
      </c>
      <c r="G119" s="179" t="s">
        <v>88</v>
      </c>
      <c r="H119" s="179" t="s">
        <v>88</v>
      </c>
      <c r="I119" s="179" t="s">
        <v>88</v>
      </c>
      <c r="J119" s="189">
        <f t="shared" si="16"/>
        <v>40</v>
      </c>
      <c r="M119" s="138" t="s">
        <v>256</v>
      </c>
    </row>
    <row r="120" spans="1:13" ht="28" customHeight="1" x14ac:dyDescent="0.15">
      <c r="A120" s="254">
        <v>47015272</v>
      </c>
      <c r="B120" s="179">
        <v>0</v>
      </c>
      <c r="C120" s="179">
        <v>55</v>
      </c>
      <c r="D120" s="179">
        <v>80</v>
      </c>
      <c r="E120" s="179" t="s">
        <v>88</v>
      </c>
      <c r="F120" s="179" t="s">
        <v>88</v>
      </c>
      <c r="G120" s="179">
        <v>2</v>
      </c>
      <c r="H120" s="179" t="s">
        <v>88</v>
      </c>
      <c r="I120" s="179" t="s">
        <v>88</v>
      </c>
      <c r="J120" s="189">
        <f t="shared" si="16"/>
        <v>80</v>
      </c>
      <c r="M120" s="138" t="s">
        <v>298</v>
      </c>
    </row>
    <row r="121" spans="1:13" ht="28" customHeight="1" x14ac:dyDescent="0.15">
      <c r="A121" s="228">
        <v>47015273</v>
      </c>
      <c r="B121" s="179">
        <v>0</v>
      </c>
      <c r="C121" s="179">
        <v>50</v>
      </c>
      <c r="D121" s="179">
        <v>70</v>
      </c>
      <c r="E121" s="179" t="s">
        <v>88</v>
      </c>
      <c r="F121" s="179" t="s">
        <v>88</v>
      </c>
      <c r="G121" s="179">
        <v>2</v>
      </c>
      <c r="H121" s="179" t="s">
        <v>88</v>
      </c>
      <c r="I121" s="179" t="s">
        <v>88</v>
      </c>
      <c r="J121" s="189">
        <f t="shared" si="16"/>
        <v>70</v>
      </c>
      <c r="M121" s="138" t="s">
        <v>299</v>
      </c>
    </row>
    <row r="122" spans="1:13" ht="28" customHeight="1" x14ac:dyDescent="0.15">
      <c r="A122" s="254">
        <v>47015274</v>
      </c>
      <c r="B122" s="179">
        <v>0</v>
      </c>
      <c r="C122" s="179">
        <v>45</v>
      </c>
      <c r="D122" s="179">
        <v>60</v>
      </c>
      <c r="E122" s="179" t="s">
        <v>88</v>
      </c>
      <c r="F122" s="179" t="s">
        <v>88</v>
      </c>
      <c r="G122" s="179" t="s">
        <v>88</v>
      </c>
      <c r="H122" s="179" t="s">
        <v>88</v>
      </c>
      <c r="I122" s="179" t="s">
        <v>88</v>
      </c>
      <c r="J122" s="189">
        <f t="shared" si="16"/>
        <v>60</v>
      </c>
      <c r="M122" s="138" t="s">
        <v>302</v>
      </c>
    </row>
    <row r="123" spans="1:13" ht="28" customHeight="1" x14ac:dyDescent="0.15">
      <c r="A123" s="228">
        <v>47015275</v>
      </c>
      <c r="B123" s="179">
        <v>0</v>
      </c>
      <c r="C123" s="179">
        <v>105</v>
      </c>
      <c r="D123" s="179">
        <v>100</v>
      </c>
      <c r="E123" s="179">
        <v>75</v>
      </c>
      <c r="F123" s="179" t="s">
        <v>88</v>
      </c>
      <c r="G123" s="179">
        <v>1</v>
      </c>
      <c r="H123" s="179">
        <v>1</v>
      </c>
      <c r="I123" s="179" t="s">
        <v>88</v>
      </c>
      <c r="J123" s="189">
        <f t="shared" si="16"/>
        <v>100</v>
      </c>
      <c r="M123" s="138" t="s">
        <v>300</v>
      </c>
    </row>
    <row r="124" spans="1:13" ht="28" customHeight="1" x14ac:dyDescent="0.15">
      <c r="A124" s="254">
        <v>47015276</v>
      </c>
      <c r="B124" s="179">
        <v>0</v>
      </c>
      <c r="C124" s="179">
        <v>500</v>
      </c>
      <c r="D124" s="179">
        <v>100</v>
      </c>
      <c r="E124" s="179">
        <v>25</v>
      </c>
      <c r="F124" s="179" t="s">
        <v>88</v>
      </c>
      <c r="G124" s="179">
        <v>1</v>
      </c>
      <c r="H124" s="179">
        <v>1</v>
      </c>
      <c r="I124" s="179" t="s">
        <v>88</v>
      </c>
      <c r="J124" s="189">
        <f t="shared" si="16"/>
        <v>100</v>
      </c>
      <c r="M124" s="138" t="s">
        <v>279</v>
      </c>
    </row>
    <row r="125" spans="1:13" ht="28" customHeight="1" thickBot="1" x14ac:dyDescent="0.2">
      <c r="A125" s="228">
        <v>47015277</v>
      </c>
      <c r="B125" s="180">
        <v>0</v>
      </c>
      <c r="C125" s="180">
        <v>200</v>
      </c>
      <c r="D125" s="180">
        <v>100</v>
      </c>
      <c r="E125" s="180">
        <v>25</v>
      </c>
      <c r="F125" s="180" t="s">
        <v>88</v>
      </c>
      <c r="G125" s="180">
        <v>1</v>
      </c>
      <c r="H125" s="180">
        <v>1</v>
      </c>
      <c r="I125" s="180" t="s">
        <v>88</v>
      </c>
      <c r="J125" s="194">
        <f t="shared" si="16"/>
        <v>100</v>
      </c>
      <c r="M125" s="139" t="s">
        <v>301</v>
      </c>
    </row>
    <row r="126" spans="1:13" ht="28" customHeight="1" thickBot="1" x14ac:dyDescent="0.2">
      <c r="A126" s="254">
        <v>47015278</v>
      </c>
      <c r="B126" s="180">
        <v>0</v>
      </c>
      <c r="C126" s="180">
        <v>100</v>
      </c>
      <c r="D126" s="180">
        <v>100</v>
      </c>
      <c r="E126" s="180" t="s">
        <v>88</v>
      </c>
      <c r="F126" s="180" t="s">
        <v>88</v>
      </c>
      <c r="G126" s="180">
        <v>0</v>
      </c>
      <c r="H126" s="180" t="s">
        <v>88</v>
      </c>
      <c r="I126" s="180">
        <v>0</v>
      </c>
      <c r="J126" s="194">
        <f t="shared" si="16"/>
        <v>100</v>
      </c>
      <c r="M126" s="204" t="s">
        <v>328</v>
      </c>
    </row>
    <row r="127" spans="1:13" s="193" customFormat="1" ht="28" customHeight="1" thickBot="1" x14ac:dyDescent="0.25">
      <c r="A127" s="254">
        <v>47015279</v>
      </c>
      <c r="B127" s="191">
        <v>0</v>
      </c>
      <c r="C127" s="191">
        <v>119</v>
      </c>
      <c r="D127" s="180">
        <v>100</v>
      </c>
      <c r="E127" s="191" t="s">
        <v>88</v>
      </c>
      <c r="F127" s="191" t="s">
        <v>88</v>
      </c>
      <c r="G127" s="191">
        <v>0</v>
      </c>
      <c r="H127" s="191" t="s">
        <v>88</v>
      </c>
      <c r="I127" s="192">
        <v>1703</v>
      </c>
      <c r="J127" s="191">
        <f t="shared" si="16"/>
        <v>100</v>
      </c>
      <c r="K127" s="190"/>
      <c r="M127" s="203" t="s">
        <v>330</v>
      </c>
    </row>
    <row r="128" spans="1:13" s="193" customFormat="1" ht="28" customHeight="1" thickBot="1" x14ac:dyDescent="0.25">
      <c r="A128" s="228">
        <v>47015280</v>
      </c>
      <c r="B128" s="191">
        <v>0</v>
      </c>
      <c r="C128" s="191">
        <v>118</v>
      </c>
      <c r="D128" s="180">
        <v>100</v>
      </c>
      <c r="E128" s="191" t="s">
        <v>88</v>
      </c>
      <c r="F128" s="191" t="s">
        <v>88</v>
      </c>
      <c r="G128" s="191">
        <v>0</v>
      </c>
      <c r="H128" s="191" t="s">
        <v>88</v>
      </c>
      <c r="I128" s="192">
        <v>1704</v>
      </c>
      <c r="J128" s="191">
        <f t="shared" si="16"/>
        <v>100</v>
      </c>
      <c r="K128" s="190"/>
      <c r="M128" s="203" t="s">
        <v>330</v>
      </c>
    </row>
    <row r="129" spans="1:13" s="193" customFormat="1" ht="28" customHeight="1" thickBot="1" x14ac:dyDescent="0.25">
      <c r="A129" s="254">
        <v>47015281</v>
      </c>
      <c r="B129" s="191">
        <v>0</v>
      </c>
      <c r="C129" s="191">
        <v>117</v>
      </c>
      <c r="D129" s="180">
        <v>100</v>
      </c>
      <c r="E129" s="191" t="s">
        <v>88</v>
      </c>
      <c r="F129" s="191" t="s">
        <v>88</v>
      </c>
      <c r="G129" s="191">
        <v>0</v>
      </c>
      <c r="H129" s="191" t="s">
        <v>88</v>
      </c>
      <c r="I129" s="192">
        <v>1326</v>
      </c>
      <c r="J129" s="191">
        <f t="shared" si="16"/>
        <v>100</v>
      </c>
      <c r="K129" s="190"/>
      <c r="M129" s="203" t="s">
        <v>332</v>
      </c>
    </row>
    <row r="130" spans="1:13" s="193" customFormat="1" ht="28" customHeight="1" thickBot="1" x14ac:dyDescent="0.25">
      <c r="A130" s="228">
        <v>47015282</v>
      </c>
      <c r="B130" s="191">
        <v>0</v>
      </c>
      <c r="C130" s="191">
        <v>116</v>
      </c>
      <c r="D130" s="180">
        <v>100</v>
      </c>
      <c r="E130" s="191" t="s">
        <v>88</v>
      </c>
      <c r="F130" s="191" t="s">
        <v>88</v>
      </c>
      <c r="G130" s="191">
        <v>0</v>
      </c>
      <c r="H130" s="191" t="s">
        <v>88</v>
      </c>
      <c r="I130" s="192">
        <v>1327</v>
      </c>
      <c r="J130" s="191">
        <f t="shared" si="16"/>
        <v>100</v>
      </c>
      <c r="K130" s="190"/>
      <c r="M130" s="203" t="s">
        <v>332</v>
      </c>
    </row>
    <row r="131" spans="1:13" s="193" customFormat="1" ht="28" customHeight="1" thickBot="1" x14ac:dyDescent="0.25">
      <c r="A131" s="254">
        <v>47015283</v>
      </c>
      <c r="B131" s="191">
        <v>0</v>
      </c>
      <c r="C131" s="191">
        <v>115</v>
      </c>
      <c r="D131" s="180">
        <v>100</v>
      </c>
      <c r="E131" s="191" t="s">
        <v>88</v>
      </c>
      <c r="F131" s="191" t="s">
        <v>88</v>
      </c>
      <c r="G131" s="191">
        <v>0</v>
      </c>
      <c r="H131" s="191" t="s">
        <v>88</v>
      </c>
      <c r="I131" s="192">
        <v>235</v>
      </c>
      <c r="J131" s="191">
        <f t="shared" si="16"/>
        <v>100</v>
      </c>
      <c r="K131" s="190"/>
      <c r="M131" s="202" t="s">
        <v>333</v>
      </c>
    </row>
    <row r="132" spans="1:13" s="193" customFormat="1" ht="28" customHeight="1" thickBot="1" x14ac:dyDescent="0.25">
      <c r="A132" s="228">
        <v>47015284</v>
      </c>
      <c r="B132" s="191">
        <v>0</v>
      </c>
      <c r="C132" s="191">
        <v>114</v>
      </c>
      <c r="D132" s="180">
        <v>100</v>
      </c>
      <c r="E132" s="191" t="s">
        <v>88</v>
      </c>
      <c r="F132" s="191" t="s">
        <v>88</v>
      </c>
      <c r="G132" s="191">
        <v>0</v>
      </c>
      <c r="H132" s="191" t="s">
        <v>88</v>
      </c>
      <c r="I132" s="192">
        <v>236</v>
      </c>
      <c r="J132" s="191">
        <f t="shared" si="16"/>
        <v>100</v>
      </c>
      <c r="K132" s="190"/>
      <c r="M132" s="202" t="s">
        <v>333</v>
      </c>
    </row>
    <row r="133" spans="1:13" s="193" customFormat="1" ht="28" customHeight="1" thickBot="1" x14ac:dyDescent="0.25">
      <c r="A133" s="254">
        <v>47015285</v>
      </c>
      <c r="B133" s="191">
        <v>0</v>
      </c>
      <c r="C133" s="191">
        <v>113</v>
      </c>
      <c r="D133" s="180">
        <v>100</v>
      </c>
      <c r="E133" s="191" t="s">
        <v>88</v>
      </c>
      <c r="F133" s="191" t="s">
        <v>88</v>
      </c>
      <c r="G133" s="191">
        <v>0</v>
      </c>
      <c r="H133" s="191" t="s">
        <v>88</v>
      </c>
      <c r="I133" s="192">
        <v>237</v>
      </c>
      <c r="J133" s="191">
        <f t="shared" si="16"/>
        <v>100</v>
      </c>
      <c r="K133" s="190"/>
      <c r="M133" s="202" t="s">
        <v>333</v>
      </c>
    </row>
    <row r="134" spans="1:13" s="193" customFormat="1" ht="28" customHeight="1" thickBot="1" x14ac:dyDescent="0.25">
      <c r="A134" s="228">
        <v>47015286</v>
      </c>
      <c r="B134" s="191">
        <v>0</v>
      </c>
      <c r="C134" s="191">
        <v>112</v>
      </c>
      <c r="D134" s="180">
        <v>100</v>
      </c>
      <c r="E134" s="191" t="s">
        <v>88</v>
      </c>
      <c r="F134" s="191" t="s">
        <v>88</v>
      </c>
      <c r="G134" s="191">
        <v>0</v>
      </c>
      <c r="H134" s="191" t="s">
        <v>88</v>
      </c>
      <c r="I134" s="192">
        <v>808</v>
      </c>
      <c r="J134" s="191">
        <f t="shared" si="16"/>
        <v>100</v>
      </c>
      <c r="K134" s="190"/>
      <c r="M134" s="202" t="s">
        <v>333</v>
      </c>
    </row>
    <row r="135" spans="1:13" s="193" customFormat="1" ht="28" customHeight="1" thickBot="1" x14ac:dyDescent="0.25">
      <c r="A135" s="254">
        <v>47015287</v>
      </c>
      <c r="B135" s="191">
        <v>0</v>
      </c>
      <c r="C135" s="191">
        <v>111</v>
      </c>
      <c r="D135" s="180">
        <v>100</v>
      </c>
      <c r="E135" s="191" t="s">
        <v>88</v>
      </c>
      <c r="F135" s="191" t="s">
        <v>88</v>
      </c>
      <c r="G135" s="191">
        <v>0</v>
      </c>
      <c r="H135" s="191" t="s">
        <v>88</v>
      </c>
      <c r="I135" s="192">
        <v>1058</v>
      </c>
      <c r="J135" s="191">
        <f t="shared" si="16"/>
        <v>100</v>
      </c>
      <c r="K135" s="190"/>
      <c r="M135" s="202" t="s">
        <v>333</v>
      </c>
    </row>
    <row r="136" spans="1:13" s="193" customFormat="1" ht="28" customHeight="1" thickBot="1" x14ac:dyDescent="0.25">
      <c r="A136" s="254">
        <v>47015288</v>
      </c>
      <c r="B136" s="191">
        <v>0</v>
      </c>
      <c r="C136" s="191">
        <v>110</v>
      </c>
      <c r="D136" s="180">
        <v>100</v>
      </c>
      <c r="E136" s="191" t="s">
        <v>88</v>
      </c>
      <c r="F136" s="191" t="s">
        <v>88</v>
      </c>
      <c r="G136" s="191">
        <v>0</v>
      </c>
      <c r="H136" s="191" t="s">
        <v>88</v>
      </c>
      <c r="I136" s="192">
        <v>1336</v>
      </c>
      <c r="J136" s="191">
        <f t="shared" si="16"/>
        <v>100</v>
      </c>
      <c r="K136" s="190"/>
      <c r="M136" s="202" t="s">
        <v>333</v>
      </c>
    </row>
    <row r="137" spans="1:13" s="193" customFormat="1" ht="28" customHeight="1" thickBot="1" x14ac:dyDescent="0.25">
      <c r="A137" s="228">
        <v>47015289</v>
      </c>
      <c r="B137" s="191">
        <v>0</v>
      </c>
      <c r="C137" s="191">
        <v>109</v>
      </c>
      <c r="D137" s="180">
        <v>100</v>
      </c>
      <c r="E137" s="191" t="s">
        <v>88</v>
      </c>
      <c r="F137" s="191" t="s">
        <v>88</v>
      </c>
      <c r="G137" s="191">
        <v>0</v>
      </c>
      <c r="H137" s="191" t="s">
        <v>88</v>
      </c>
      <c r="I137" s="192">
        <v>1337</v>
      </c>
      <c r="J137" s="191">
        <f t="shared" ref="J137:J204" si="19">D137</f>
        <v>100</v>
      </c>
      <c r="K137" s="190"/>
      <c r="M137" s="202" t="s">
        <v>333</v>
      </c>
    </row>
    <row r="138" spans="1:13" s="193" customFormat="1" ht="28" customHeight="1" thickBot="1" x14ac:dyDescent="0.25">
      <c r="A138" s="254">
        <v>47015290</v>
      </c>
      <c r="B138" s="191">
        <v>0</v>
      </c>
      <c r="C138" s="191">
        <v>108</v>
      </c>
      <c r="D138" s="180">
        <v>100</v>
      </c>
      <c r="E138" s="191" t="s">
        <v>88</v>
      </c>
      <c r="F138" s="191" t="s">
        <v>88</v>
      </c>
      <c r="G138" s="191">
        <v>0</v>
      </c>
      <c r="H138" s="191" t="s">
        <v>88</v>
      </c>
      <c r="I138" s="192">
        <v>1330</v>
      </c>
      <c r="J138" s="191">
        <f t="shared" si="19"/>
        <v>100</v>
      </c>
      <c r="K138" s="190"/>
      <c r="M138" s="203" t="s">
        <v>334</v>
      </c>
    </row>
    <row r="139" spans="1:13" s="193" customFormat="1" ht="28" customHeight="1" x14ac:dyDescent="0.2">
      <c r="A139" s="228">
        <v>47015291</v>
      </c>
      <c r="B139" s="205">
        <v>0</v>
      </c>
      <c r="C139" s="191">
        <v>107</v>
      </c>
      <c r="D139" s="180">
        <v>100</v>
      </c>
      <c r="E139" s="205" t="s">
        <v>88</v>
      </c>
      <c r="F139" s="205" t="s">
        <v>88</v>
      </c>
      <c r="G139" s="191">
        <v>0</v>
      </c>
      <c r="H139" s="205" t="s">
        <v>88</v>
      </c>
      <c r="I139" s="206">
        <v>1331</v>
      </c>
      <c r="J139" s="205">
        <f t="shared" si="19"/>
        <v>100</v>
      </c>
      <c r="K139" s="190"/>
      <c r="M139" s="207" t="s">
        <v>334</v>
      </c>
    </row>
    <row r="140" spans="1:13" s="193" customFormat="1" ht="28" customHeight="1" thickBot="1" x14ac:dyDescent="0.25">
      <c r="A140" s="254">
        <v>47015292</v>
      </c>
      <c r="B140" s="191">
        <v>0</v>
      </c>
      <c r="C140" s="191">
        <v>106</v>
      </c>
      <c r="D140" s="180">
        <v>100</v>
      </c>
      <c r="E140" s="191" t="s">
        <v>88</v>
      </c>
      <c r="F140" s="191" t="s">
        <v>88</v>
      </c>
      <c r="G140" s="191">
        <v>0</v>
      </c>
      <c r="H140" s="191" t="s">
        <v>88</v>
      </c>
      <c r="I140" s="192">
        <v>756</v>
      </c>
      <c r="J140" s="191">
        <f t="shared" ref="J140:J141" si="20">D140</f>
        <v>100</v>
      </c>
      <c r="K140" s="190"/>
      <c r="M140" s="203" t="s">
        <v>334</v>
      </c>
    </row>
    <row r="141" spans="1:13" s="193" customFormat="1" ht="28" customHeight="1" thickBot="1" x14ac:dyDescent="0.25">
      <c r="A141" s="228">
        <v>47015293</v>
      </c>
      <c r="B141" s="205">
        <v>0</v>
      </c>
      <c r="C141" s="191">
        <v>105</v>
      </c>
      <c r="D141" s="180">
        <v>100</v>
      </c>
      <c r="E141" s="205" t="s">
        <v>88</v>
      </c>
      <c r="F141" s="205" t="s">
        <v>88</v>
      </c>
      <c r="G141" s="191">
        <v>0</v>
      </c>
      <c r="H141" s="205" t="s">
        <v>88</v>
      </c>
      <c r="I141" s="192">
        <v>757</v>
      </c>
      <c r="J141" s="205">
        <f t="shared" si="20"/>
        <v>100</v>
      </c>
      <c r="K141" s="190"/>
      <c r="M141" s="207" t="s">
        <v>334</v>
      </c>
    </row>
    <row r="142" spans="1:13" ht="28" customHeight="1" x14ac:dyDescent="0.2">
      <c r="A142" s="239">
        <v>47015300</v>
      </c>
      <c r="B142" s="187">
        <v>1</v>
      </c>
      <c r="C142" s="187">
        <v>105</v>
      </c>
      <c r="D142" s="187">
        <v>0</v>
      </c>
      <c r="E142" s="187" t="s">
        <v>88</v>
      </c>
      <c r="F142" s="187" t="s">
        <v>88</v>
      </c>
      <c r="G142" s="187">
        <v>1</v>
      </c>
      <c r="H142" s="187" t="s">
        <v>88</v>
      </c>
      <c r="I142" s="188">
        <v>1703</v>
      </c>
      <c r="J142" s="189">
        <f t="shared" si="19"/>
        <v>0</v>
      </c>
      <c r="M142" s="136" t="s">
        <v>288</v>
      </c>
    </row>
    <row r="143" spans="1:13" ht="28" customHeight="1" x14ac:dyDescent="0.2">
      <c r="A143" s="240">
        <v>47015301</v>
      </c>
      <c r="B143" s="187">
        <v>1</v>
      </c>
      <c r="C143" s="187">
        <v>106</v>
      </c>
      <c r="D143" s="187">
        <v>0</v>
      </c>
      <c r="E143" s="187" t="s">
        <v>88</v>
      </c>
      <c r="F143" s="187" t="s">
        <v>88</v>
      </c>
      <c r="G143" s="187">
        <v>1</v>
      </c>
      <c r="H143" s="187" t="s">
        <v>88</v>
      </c>
      <c r="I143" s="188">
        <v>1704</v>
      </c>
      <c r="J143" s="189">
        <f t="shared" si="19"/>
        <v>0</v>
      </c>
      <c r="M143" s="137" t="s">
        <v>287</v>
      </c>
    </row>
    <row r="144" spans="1:13" ht="28" customHeight="1" x14ac:dyDescent="0.15">
      <c r="A144" s="239">
        <v>47015302</v>
      </c>
      <c r="B144" s="179">
        <v>1</v>
      </c>
      <c r="C144" s="179">
        <v>100</v>
      </c>
      <c r="D144" s="179">
        <v>100</v>
      </c>
      <c r="E144" s="179" t="s">
        <v>253</v>
      </c>
      <c r="F144" s="179" t="s">
        <v>88</v>
      </c>
      <c r="G144" s="179">
        <v>1</v>
      </c>
      <c r="H144" s="179" t="s">
        <v>88</v>
      </c>
      <c r="I144" s="179" t="s">
        <v>88</v>
      </c>
      <c r="J144" s="189">
        <f t="shared" si="19"/>
        <v>100</v>
      </c>
      <c r="M144" s="137" t="s">
        <v>273</v>
      </c>
    </row>
    <row r="145" spans="1:13" ht="28" customHeight="1" x14ac:dyDescent="0.15">
      <c r="A145" s="240">
        <v>47015303</v>
      </c>
      <c r="B145" s="179">
        <v>0</v>
      </c>
      <c r="C145" s="179">
        <v>80</v>
      </c>
      <c r="D145" s="179">
        <v>60</v>
      </c>
      <c r="E145" s="179" t="s">
        <v>253</v>
      </c>
      <c r="F145" s="179" t="s">
        <v>88</v>
      </c>
      <c r="G145" s="179" t="s">
        <v>253</v>
      </c>
      <c r="H145" s="179" t="s">
        <v>88</v>
      </c>
      <c r="I145" s="179" t="s">
        <v>88</v>
      </c>
      <c r="J145" s="189">
        <f t="shared" si="19"/>
        <v>60</v>
      </c>
      <c r="M145" s="138" t="s">
        <v>254</v>
      </c>
    </row>
    <row r="146" spans="1:13" ht="28" customHeight="1" thickBot="1" x14ac:dyDescent="0.2">
      <c r="A146" s="239">
        <v>47015304</v>
      </c>
      <c r="B146" s="179">
        <v>0</v>
      </c>
      <c r="C146" s="179">
        <v>90</v>
      </c>
      <c r="D146" s="179">
        <v>80</v>
      </c>
      <c r="E146" s="179" t="s">
        <v>253</v>
      </c>
      <c r="F146" s="179" t="s">
        <v>88</v>
      </c>
      <c r="G146" s="179" t="s">
        <v>253</v>
      </c>
      <c r="H146" s="179" t="s">
        <v>88</v>
      </c>
      <c r="I146" s="179" t="s">
        <v>88</v>
      </c>
      <c r="J146" s="189">
        <f t="shared" si="19"/>
        <v>80</v>
      </c>
      <c r="M146" s="139" t="s">
        <v>319</v>
      </c>
    </row>
    <row r="147" spans="1:13" ht="28" customHeight="1" thickBot="1" x14ac:dyDescent="0.2">
      <c r="A147" s="240">
        <v>47015305</v>
      </c>
      <c r="B147" s="179">
        <v>0</v>
      </c>
      <c r="C147" s="179">
        <v>101</v>
      </c>
      <c r="D147" s="179">
        <v>100</v>
      </c>
      <c r="E147" s="179">
        <v>50</v>
      </c>
      <c r="F147" s="179" t="s">
        <v>88</v>
      </c>
      <c r="G147" s="179">
        <v>1</v>
      </c>
      <c r="H147" s="179" t="s">
        <v>88</v>
      </c>
      <c r="I147" s="179" t="s">
        <v>88</v>
      </c>
      <c r="J147" s="189">
        <f t="shared" si="19"/>
        <v>100</v>
      </c>
      <c r="M147" s="136" t="s">
        <v>288</v>
      </c>
    </row>
    <row r="148" spans="1:13" ht="28" customHeight="1" x14ac:dyDescent="0.2">
      <c r="A148" s="249">
        <v>47015310</v>
      </c>
      <c r="B148" s="187">
        <v>1</v>
      </c>
      <c r="C148" s="187">
        <v>105</v>
      </c>
      <c r="D148" s="187">
        <v>0</v>
      </c>
      <c r="E148" s="187" t="s">
        <v>253</v>
      </c>
      <c r="F148" s="187" t="s">
        <v>88</v>
      </c>
      <c r="G148" s="187">
        <v>1</v>
      </c>
      <c r="H148" s="187" t="s">
        <v>88</v>
      </c>
      <c r="I148" s="188">
        <v>1703</v>
      </c>
      <c r="J148" s="189">
        <f t="shared" si="19"/>
        <v>0</v>
      </c>
      <c r="M148" s="136" t="s">
        <v>311</v>
      </c>
    </row>
    <row r="149" spans="1:13" ht="28" customHeight="1" thickBot="1" x14ac:dyDescent="0.25">
      <c r="A149" s="250">
        <v>47015311</v>
      </c>
      <c r="B149" s="187">
        <v>1</v>
      </c>
      <c r="C149" s="187">
        <v>106</v>
      </c>
      <c r="D149" s="187">
        <v>0</v>
      </c>
      <c r="E149" s="187" t="s">
        <v>88</v>
      </c>
      <c r="F149" s="187" t="s">
        <v>88</v>
      </c>
      <c r="G149" s="187">
        <v>1</v>
      </c>
      <c r="H149" s="187" t="s">
        <v>88</v>
      </c>
      <c r="I149" s="188">
        <v>1704</v>
      </c>
      <c r="J149" s="189">
        <f t="shared" si="19"/>
        <v>0</v>
      </c>
      <c r="M149" s="138" t="s">
        <v>289</v>
      </c>
    </row>
    <row r="150" spans="1:13" ht="28" customHeight="1" x14ac:dyDescent="0.15">
      <c r="A150" s="249">
        <v>47015312</v>
      </c>
      <c r="B150" s="179">
        <v>1</v>
      </c>
      <c r="C150" s="179">
        <v>100</v>
      </c>
      <c r="D150" s="179">
        <v>100</v>
      </c>
      <c r="E150" s="179" t="s">
        <v>253</v>
      </c>
      <c r="F150" s="179" t="s">
        <v>88</v>
      </c>
      <c r="G150" s="179">
        <v>1</v>
      </c>
      <c r="H150" s="179" t="s">
        <v>88</v>
      </c>
      <c r="I150" s="179" t="s">
        <v>88</v>
      </c>
      <c r="J150" s="189">
        <f t="shared" si="19"/>
        <v>100</v>
      </c>
      <c r="M150" s="137" t="s">
        <v>283</v>
      </c>
    </row>
    <row r="151" spans="1:13" ht="28" customHeight="1" thickBot="1" x14ac:dyDescent="0.2">
      <c r="A151" s="250">
        <v>47015313</v>
      </c>
      <c r="B151" s="179">
        <v>0</v>
      </c>
      <c r="C151" s="179" t="s">
        <v>253</v>
      </c>
      <c r="D151" s="179">
        <v>70</v>
      </c>
      <c r="E151" s="179" t="s">
        <v>253</v>
      </c>
      <c r="F151" s="179" t="s">
        <v>88</v>
      </c>
      <c r="G151" s="179" t="s">
        <v>253</v>
      </c>
      <c r="H151" s="179" t="s">
        <v>88</v>
      </c>
      <c r="I151" s="179" t="s">
        <v>88</v>
      </c>
      <c r="J151" s="189">
        <f t="shared" si="19"/>
        <v>70</v>
      </c>
      <c r="M151" s="142" t="s">
        <v>312</v>
      </c>
    </row>
    <row r="152" spans="1:13" ht="28" customHeight="1" x14ac:dyDescent="0.15">
      <c r="A152" s="249">
        <v>47015314</v>
      </c>
      <c r="B152" s="179">
        <v>0</v>
      </c>
      <c r="C152" s="179">
        <v>150</v>
      </c>
      <c r="D152" s="179">
        <v>100</v>
      </c>
      <c r="E152" s="179">
        <v>50</v>
      </c>
      <c r="F152" s="179" t="s">
        <v>88</v>
      </c>
      <c r="G152" s="179">
        <v>1</v>
      </c>
      <c r="H152" s="179" t="s">
        <v>88</v>
      </c>
      <c r="I152" s="179" t="s">
        <v>88</v>
      </c>
      <c r="J152" s="189">
        <f t="shared" si="19"/>
        <v>100</v>
      </c>
      <c r="M152" s="136" t="s">
        <v>311</v>
      </c>
    </row>
    <row r="153" spans="1:13" s="211" customFormat="1" ht="28" customHeight="1" x14ac:dyDescent="0.15">
      <c r="A153" s="257">
        <v>47015320</v>
      </c>
      <c r="B153" s="179">
        <v>1</v>
      </c>
      <c r="C153" s="179">
        <v>100</v>
      </c>
      <c r="D153" s="179">
        <v>100</v>
      </c>
      <c r="E153" s="179" t="s">
        <v>88</v>
      </c>
      <c r="F153" s="179" t="s">
        <v>88</v>
      </c>
      <c r="G153" s="179">
        <v>1</v>
      </c>
      <c r="H153" s="179" t="s">
        <v>88</v>
      </c>
      <c r="I153" s="179" t="s">
        <v>88</v>
      </c>
      <c r="J153" s="189">
        <f t="shared" si="19"/>
        <v>100</v>
      </c>
      <c r="K153" s="210"/>
      <c r="M153" s="138" t="s">
        <v>290</v>
      </c>
    </row>
    <row r="154" spans="1:13" s="211" customFormat="1" ht="28" customHeight="1" x14ac:dyDescent="0.15">
      <c r="A154" s="255">
        <v>47015321</v>
      </c>
      <c r="B154" s="179">
        <v>0</v>
      </c>
      <c r="C154" s="179" t="s">
        <v>88</v>
      </c>
      <c r="D154" s="179">
        <v>40</v>
      </c>
      <c r="E154" s="179" t="s">
        <v>88</v>
      </c>
      <c r="F154" s="179" t="s">
        <v>88</v>
      </c>
      <c r="G154" s="179">
        <v>2</v>
      </c>
      <c r="H154" s="179" t="s">
        <v>88</v>
      </c>
      <c r="I154" s="179" t="s">
        <v>88</v>
      </c>
      <c r="J154" s="189">
        <f t="shared" si="19"/>
        <v>40</v>
      </c>
      <c r="K154" s="210"/>
      <c r="M154" s="137" t="s">
        <v>318</v>
      </c>
    </row>
    <row r="155" spans="1:13" s="211" customFormat="1" ht="28" customHeight="1" x14ac:dyDescent="0.15">
      <c r="A155" s="257">
        <v>47015322</v>
      </c>
      <c r="B155" s="179">
        <v>0</v>
      </c>
      <c r="C155" s="179" t="s">
        <v>88</v>
      </c>
      <c r="D155" s="179">
        <v>40</v>
      </c>
      <c r="E155" s="179" t="s">
        <v>88</v>
      </c>
      <c r="F155" s="179" t="s">
        <v>88</v>
      </c>
      <c r="G155" s="179">
        <v>2</v>
      </c>
      <c r="H155" s="179" t="s">
        <v>88</v>
      </c>
      <c r="I155" s="179" t="s">
        <v>88</v>
      </c>
      <c r="J155" s="189">
        <f t="shared" si="19"/>
        <v>40</v>
      </c>
      <c r="K155" s="210"/>
      <c r="M155" s="138" t="s">
        <v>307</v>
      </c>
    </row>
    <row r="156" spans="1:13" s="211" customFormat="1" ht="28" customHeight="1" x14ac:dyDescent="0.15">
      <c r="A156" s="255">
        <v>47015323</v>
      </c>
      <c r="B156" s="179">
        <v>0</v>
      </c>
      <c r="C156" s="179" t="s">
        <v>88</v>
      </c>
      <c r="D156" s="179">
        <v>40</v>
      </c>
      <c r="E156" s="179" t="s">
        <v>88</v>
      </c>
      <c r="F156" s="179" t="s">
        <v>88</v>
      </c>
      <c r="G156" s="179" t="s">
        <v>88</v>
      </c>
      <c r="H156" s="179" t="s">
        <v>88</v>
      </c>
      <c r="I156" s="179" t="s">
        <v>88</v>
      </c>
      <c r="J156" s="189">
        <f t="shared" si="19"/>
        <v>40</v>
      </c>
      <c r="K156" s="210"/>
      <c r="M156" s="138" t="s">
        <v>284</v>
      </c>
    </row>
    <row r="157" spans="1:13" s="211" customFormat="1" ht="28" customHeight="1" x14ac:dyDescent="0.15">
      <c r="A157" s="257">
        <v>47015324</v>
      </c>
      <c r="B157" s="179">
        <v>0</v>
      </c>
      <c r="C157" s="179">
        <v>99</v>
      </c>
      <c r="D157" s="179">
        <v>100</v>
      </c>
      <c r="E157" s="179">
        <v>50</v>
      </c>
      <c r="F157" s="179" t="s">
        <v>88</v>
      </c>
      <c r="G157" s="179">
        <v>1</v>
      </c>
      <c r="H157" s="179" t="s">
        <v>88</v>
      </c>
      <c r="I157" s="179" t="s">
        <v>88</v>
      </c>
      <c r="J157" s="189">
        <f t="shared" si="19"/>
        <v>100</v>
      </c>
      <c r="K157" s="210"/>
      <c r="M157" s="138" t="s">
        <v>313</v>
      </c>
    </row>
    <row r="158" spans="1:13" s="211" customFormat="1" ht="28" customHeight="1" x14ac:dyDescent="0.15">
      <c r="A158" s="256">
        <v>47015330</v>
      </c>
      <c r="B158" s="179">
        <v>1</v>
      </c>
      <c r="C158" s="179">
        <v>100</v>
      </c>
      <c r="D158" s="179">
        <v>100</v>
      </c>
      <c r="E158" s="179" t="s">
        <v>88</v>
      </c>
      <c r="F158" s="179" t="s">
        <v>88</v>
      </c>
      <c r="G158" s="179">
        <v>1</v>
      </c>
      <c r="H158" s="179" t="s">
        <v>88</v>
      </c>
      <c r="I158" s="179" t="s">
        <v>88</v>
      </c>
      <c r="J158" s="189">
        <f t="shared" si="19"/>
        <v>100</v>
      </c>
      <c r="K158" s="210"/>
      <c r="M158" s="138" t="s">
        <v>310</v>
      </c>
    </row>
    <row r="159" spans="1:13" s="211" customFormat="1" ht="28" customHeight="1" x14ac:dyDescent="0.15">
      <c r="A159" s="256">
        <v>47015331</v>
      </c>
      <c r="B159" s="179">
        <v>0</v>
      </c>
      <c r="C159" s="179" t="s">
        <v>88</v>
      </c>
      <c r="D159" s="179">
        <v>50</v>
      </c>
      <c r="E159" s="179" t="s">
        <v>88</v>
      </c>
      <c r="F159" s="179" t="s">
        <v>88</v>
      </c>
      <c r="G159" s="179" t="s">
        <v>88</v>
      </c>
      <c r="H159" s="179" t="s">
        <v>88</v>
      </c>
      <c r="I159" s="179" t="s">
        <v>88</v>
      </c>
      <c r="J159" s="189">
        <f t="shared" si="19"/>
        <v>50</v>
      </c>
      <c r="K159" s="210"/>
      <c r="M159" s="138" t="s">
        <v>314</v>
      </c>
    </row>
    <row r="160" spans="1:13" s="211" customFormat="1" ht="28" customHeight="1" x14ac:dyDescent="0.15">
      <c r="A160" s="256">
        <v>47015332</v>
      </c>
      <c r="B160" s="179">
        <v>0</v>
      </c>
      <c r="C160" s="179" t="s">
        <v>88</v>
      </c>
      <c r="D160" s="179">
        <v>50</v>
      </c>
      <c r="E160" s="179" t="s">
        <v>88</v>
      </c>
      <c r="F160" s="179" t="s">
        <v>88</v>
      </c>
      <c r="G160" s="179" t="s">
        <v>88</v>
      </c>
      <c r="H160" s="179" t="s">
        <v>88</v>
      </c>
      <c r="I160" s="179" t="s">
        <v>88</v>
      </c>
      <c r="J160" s="189">
        <f t="shared" si="19"/>
        <v>50</v>
      </c>
      <c r="K160" s="210"/>
      <c r="M160" s="138" t="s">
        <v>286</v>
      </c>
    </row>
    <row r="161" spans="1:13" s="211" customFormat="1" ht="28" customHeight="1" x14ac:dyDescent="0.15">
      <c r="A161" s="256">
        <v>47015333</v>
      </c>
      <c r="B161" s="179">
        <v>0</v>
      </c>
      <c r="C161" s="179">
        <v>110</v>
      </c>
      <c r="D161" s="179">
        <v>100</v>
      </c>
      <c r="E161" s="179" t="s">
        <v>88</v>
      </c>
      <c r="F161" s="179" t="s">
        <v>88</v>
      </c>
      <c r="G161" s="179">
        <v>1</v>
      </c>
      <c r="H161" s="179">
        <v>2</v>
      </c>
      <c r="I161" s="179" t="s">
        <v>88</v>
      </c>
      <c r="J161" s="189">
        <f t="shared" si="19"/>
        <v>100</v>
      </c>
      <c r="K161" s="210"/>
      <c r="M161" s="138" t="s">
        <v>291</v>
      </c>
    </row>
    <row r="162" spans="1:13" s="211" customFormat="1" ht="28" customHeight="1" x14ac:dyDescent="0.15">
      <c r="A162" s="256">
        <v>47015334</v>
      </c>
      <c r="B162" s="179">
        <v>0</v>
      </c>
      <c r="C162" s="179">
        <v>115</v>
      </c>
      <c r="D162" s="179">
        <v>100</v>
      </c>
      <c r="E162" s="179">
        <v>50</v>
      </c>
      <c r="F162" s="179" t="s">
        <v>88</v>
      </c>
      <c r="G162" s="179">
        <v>1</v>
      </c>
      <c r="H162" s="179" t="s">
        <v>88</v>
      </c>
      <c r="I162" s="179" t="s">
        <v>88</v>
      </c>
      <c r="J162" s="189">
        <f t="shared" si="19"/>
        <v>100</v>
      </c>
      <c r="K162" s="210"/>
      <c r="M162" s="138" t="s">
        <v>285</v>
      </c>
    </row>
    <row r="163" spans="1:13" s="211" customFormat="1" ht="28" customHeight="1" x14ac:dyDescent="0.15">
      <c r="A163" s="255">
        <v>47015340</v>
      </c>
      <c r="B163" s="179">
        <v>1</v>
      </c>
      <c r="C163" s="179">
        <v>100</v>
      </c>
      <c r="D163" s="179">
        <v>100</v>
      </c>
      <c r="E163" s="179" t="s">
        <v>88</v>
      </c>
      <c r="F163" s="179" t="s">
        <v>88</v>
      </c>
      <c r="G163" s="179">
        <v>1</v>
      </c>
      <c r="H163" s="179" t="s">
        <v>88</v>
      </c>
      <c r="I163" s="179" t="s">
        <v>88</v>
      </c>
      <c r="J163" s="189">
        <f t="shared" si="19"/>
        <v>100</v>
      </c>
      <c r="K163" s="210"/>
      <c r="M163" s="138" t="s">
        <v>309</v>
      </c>
    </row>
    <row r="164" spans="1:13" s="211" customFormat="1" ht="28" customHeight="1" x14ac:dyDescent="0.15">
      <c r="A164" s="255">
        <v>47015341</v>
      </c>
      <c r="B164" s="179">
        <v>0</v>
      </c>
      <c r="C164" s="179" t="s">
        <v>88</v>
      </c>
      <c r="D164" s="179">
        <v>40</v>
      </c>
      <c r="E164" s="179" t="s">
        <v>88</v>
      </c>
      <c r="F164" s="179" t="s">
        <v>88</v>
      </c>
      <c r="G164" s="179" t="s">
        <v>88</v>
      </c>
      <c r="H164" s="179" t="s">
        <v>88</v>
      </c>
      <c r="I164" s="179" t="s">
        <v>88</v>
      </c>
      <c r="J164" s="189">
        <f t="shared" si="19"/>
        <v>40</v>
      </c>
      <c r="K164" s="210"/>
      <c r="M164" s="138" t="s">
        <v>292</v>
      </c>
    </row>
    <row r="165" spans="1:13" s="211" customFormat="1" ht="28" customHeight="1" x14ac:dyDescent="0.15">
      <c r="A165" s="255">
        <v>47015342</v>
      </c>
      <c r="B165" s="179">
        <v>0</v>
      </c>
      <c r="C165" s="179" t="s">
        <v>88</v>
      </c>
      <c r="D165" s="179">
        <v>40</v>
      </c>
      <c r="E165" s="179" t="s">
        <v>88</v>
      </c>
      <c r="F165" s="179" t="s">
        <v>88</v>
      </c>
      <c r="G165" s="179">
        <v>1</v>
      </c>
      <c r="H165" s="179" t="s">
        <v>88</v>
      </c>
      <c r="I165" s="179" t="s">
        <v>88</v>
      </c>
      <c r="J165" s="189">
        <f t="shared" si="19"/>
        <v>40</v>
      </c>
      <c r="K165" s="210"/>
      <c r="M165" s="138" t="s">
        <v>293</v>
      </c>
    </row>
    <row r="166" spans="1:13" s="211" customFormat="1" ht="28" customHeight="1" x14ac:dyDescent="0.15">
      <c r="A166" s="255">
        <v>47015343</v>
      </c>
      <c r="B166" s="179">
        <v>0</v>
      </c>
      <c r="C166" s="179">
        <v>101</v>
      </c>
      <c r="D166" s="179">
        <v>100</v>
      </c>
      <c r="E166" s="179">
        <v>50</v>
      </c>
      <c r="F166" s="179" t="s">
        <v>88</v>
      </c>
      <c r="G166" s="179">
        <v>1</v>
      </c>
      <c r="H166" s="179" t="s">
        <v>88</v>
      </c>
      <c r="I166" s="179" t="s">
        <v>88</v>
      </c>
      <c r="J166" s="189">
        <f t="shared" si="19"/>
        <v>100</v>
      </c>
      <c r="K166" s="210"/>
      <c r="M166" s="138" t="s">
        <v>316</v>
      </c>
    </row>
    <row r="167" spans="1:13" s="191" customFormat="1" ht="28" customHeight="1" x14ac:dyDescent="0.2">
      <c r="A167" s="255">
        <v>47015344</v>
      </c>
      <c r="B167" s="191">
        <v>1</v>
      </c>
      <c r="C167" s="191">
        <v>119</v>
      </c>
      <c r="D167" s="179">
        <v>100</v>
      </c>
      <c r="E167" s="191" t="s">
        <v>88</v>
      </c>
      <c r="F167" s="191" t="s">
        <v>88</v>
      </c>
      <c r="G167" s="191">
        <v>1</v>
      </c>
      <c r="H167" s="191" t="s">
        <v>88</v>
      </c>
      <c r="I167" s="192">
        <v>1703</v>
      </c>
      <c r="J167" s="191">
        <f t="shared" si="19"/>
        <v>100</v>
      </c>
      <c r="K167" s="210"/>
      <c r="M167" s="215" t="s">
        <v>320</v>
      </c>
    </row>
    <row r="168" spans="1:13" s="191" customFormat="1" ht="28" customHeight="1" x14ac:dyDescent="0.2">
      <c r="A168" s="255">
        <v>47015345</v>
      </c>
      <c r="B168" s="191">
        <v>1</v>
      </c>
      <c r="C168" s="191">
        <v>118</v>
      </c>
      <c r="D168" s="179">
        <v>100</v>
      </c>
      <c r="E168" s="191" t="s">
        <v>88</v>
      </c>
      <c r="F168" s="191" t="s">
        <v>88</v>
      </c>
      <c r="G168" s="191">
        <v>1</v>
      </c>
      <c r="H168" s="191" t="s">
        <v>88</v>
      </c>
      <c r="I168" s="192">
        <v>1704</v>
      </c>
      <c r="J168" s="191">
        <f t="shared" si="19"/>
        <v>100</v>
      </c>
      <c r="K168" s="210"/>
      <c r="M168" s="215" t="s">
        <v>320</v>
      </c>
    </row>
    <row r="169" spans="1:13" s="191" customFormat="1" ht="28" customHeight="1" x14ac:dyDescent="0.2">
      <c r="A169" s="255">
        <v>47015346</v>
      </c>
      <c r="B169" s="191">
        <v>1</v>
      </c>
      <c r="C169" s="191">
        <v>117</v>
      </c>
      <c r="D169" s="179">
        <v>100</v>
      </c>
      <c r="E169" s="191" t="s">
        <v>88</v>
      </c>
      <c r="F169" s="191" t="s">
        <v>88</v>
      </c>
      <c r="G169" s="191">
        <v>1</v>
      </c>
      <c r="H169" s="191" t="s">
        <v>88</v>
      </c>
      <c r="I169" s="192">
        <v>1326</v>
      </c>
      <c r="J169" s="191">
        <f t="shared" si="19"/>
        <v>100</v>
      </c>
      <c r="K169" s="210"/>
      <c r="M169" s="215" t="s">
        <v>322</v>
      </c>
    </row>
    <row r="170" spans="1:13" s="191" customFormat="1" ht="28" customHeight="1" x14ac:dyDescent="0.2">
      <c r="A170" s="255">
        <v>47015347</v>
      </c>
      <c r="B170" s="191">
        <v>1</v>
      </c>
      <c r="C170" s="191">
        <v>116</v>
      </c>
      <c r="D170" s="179">
        <v>100</v>
      </c>
      <c r="E170" s="191" t="s">
        <v>88</v>
      </c>
      <c r="F170" s="191" t="s">
        <v>88</v>
      </c>
      <c r="G170" s="191">
        <v>1</v>
      </c>
      <c r="H170" s="191" t="s">
        <v>88</v>
      </c>
      <c r="I170" s="192">
        <v>1327</v>
      </c>
      <c r="J170" s="191">
        <f t="shared" si="19"/>
        <v>100</v>
      </c>
      <c r="K170" s="210"/>
      <c r="M170" s="215" t="s">
        <v>323</v>
      </c>
    </row>
    <row r="171" spans="1:13" s="191" customFormat="1" ht="28" customHeight="1" x14ac:dyDescent="0.2">
      <c r="A171" s="255">
        <v>47015348</v>
      </c>
      <c r="B171" s="191">
        <v>1</v>
      </c>
      <c r="C171" s="191">
        <v>115</v>
      </c>
      <c r="D171" s="179">
        <v>100</v>
      </c>
      <c r="E171" s="191" t="s">
        <v>88</v>
      </c>
      <c r="F171" s="191" t="s">
        <v>88</v>
      </c>
      <c r="G171" s="191">
        <v>1</v>
      </c>
      <c r="H171" s="191" t="s">
        <v>88</v>
      </c>
      <c r="I171" s="192">
        <v>235</v>
      </c>
      <c r="J171" s="191">
        <f t="shared" si="19"/>
        <v>100</v>
      </c>
      <c r="K171" s="210"/>
      <c r="M171" s="215" t="s">
        <v>325</v>
      </c>
    </row>
    <row r="172" spans="1:13" s="191" customFormat="1" ht="28" customHeight="1" x14ac:dyDescent="0.2">
      <c r="A172" s="255">
        <v>47015349</v>
      </c>
      <c r="B172" s="191">
        <v>1</v>
      </c>
      <c r="C172" s="191">
        <v>114</v>
      </c>
      <c r="D172" s="179">
        <v>100</v>
      </c>
      <c r="E172" s="191" t="s">
        <v>88</v>
      </c>
      <c r="F172" s="191" t="s">
        <v>88</v>
      </c>
      <c r="G172" s="191">
        <v>1</v>
      </c>
      <c r="H172" s="191" t="s">
        <v>88</v>
      </c>
      <c r="I172" s="192">
        <v>236</v>
      </c>
      <c r="J172" s="191">
        <f t="shared" si="19"/>
        <v>100</v>
      </c>
      <c r="K172" s="210"/>
      <c r="M172" s="215" t="s">
        <v>325</v>
      </c>
    </row>
    <row r="173" spans="1:13" s="191" customFormat="1" ht="28" customHeight="1" x14ac:dyDescent="0.2">
      <c r="A173" s="255">
        <v>47015350</v>
      </c>
      <c r="B173" s="191">
        <v>1</v>
      </c>
      <c r="C173" s="191">
        <v>113</v>
      </c>
      <c r="D173" s="179">
        <v>100</v>
      </c>
      <c r="E173" s="191" t="s">
        <v>88</v>
      </c>
      <c r="F173" s="191" t="s">
        <v>88</v>
      </c>
      <c r="G173" s="191">
        <v>1</v>
      </c>
      <c r="H173" s="191" t="s">
        <v>88</v>
      </c>
      <c r="I173" s="192">
        <v>237</v>
      </c>
      <c r="J173" s="191">
        <f t="shared" si="19"/>
        <v>100</v>
      </c>
      <c r="K173" s="210"/>
      <c r="M173" s="215" t="s">
        <v>325</v>
      </c>
    </row>
    <row r="174" spans="1:13" s="191" customFormat="1" ht="28" customHeight="1" x14ac:dyDescent="0.2">
      <c r="A174" s="255">
        <v>47015351</v>
      </c>
      <c r="B174" s="191">
        <v>1</v>
      </c>
      <c r="C174" s="191">
        <v>112</v>
      </c>
      <c r="D174" s="179">
        <v>100</v>
      </c>
      <c r="E174" s="191" t="s">
        <v>88</v>
      </c>
      <c r="F174" s="191" t="s">
        <v>88</v>
      </c>
      <c r="G174" s="191">
        <v>1</v>
      </c>
      <c r="H174" s="191" t="s">
        <v>88</v>
      </c>
      <c r="I174" s="192">
        <v>808</v>
      </c>
      <c r="J174" s="191">
        <f t="shared" si="19"/>
        <v>100</v>
      </c>
      <c r="K174" s="210"/>
      <c r="M174" s="215" t="s">
        <v>325</v>
      </c>
    </row>
    <row r="175" spans="1:13" s="191" customFormat="1" ht="28" customHeight="1" x14ac:dyDescent="0.2">
      <c r="A175" s="255">
        <v>47015352</v>
      </c>
      <c r="B175" s="191">
        <v>1</v>
      </c>
      <c r="C175" s="191">
        <v>111</v>
      </c>
      <c r="D175" s="179">
        <v>100</v>
      </c>
      <c r="E175" s="191" t="s">
        <v>88</v>
      </c>
      <c r="F175" s="191" t="s">
        <v>88</v>
      </c>
      <c r="G175" s="191">
        <v>1</v>
      </c>
      <c r="H175" s="191" t="s">
        <v>88</v>
      </c>
      <c r="I175" s="192">
        <v>1058</v>
      </c>
      <c r="J175" s="191">
        <f t="shared" si="19"/>
        <v>100</v>
      </c>
      <c r="K175" s="210"/>
      <c r="M175" s="215" t="s">
        <v>325</v>
      </c>
    </row>
    <row r="176" spans="1:13" s="191" customFormat="1" ht="28" customHeight="1" x14ac:dyDescent="0.2">
      <c r="A176" s="255">
        <v>47015353</v>
      </c>
      <c r="B176" s="191">
        <v>1</v>
      </c>
      <c r="C176" s="191">
        <v>110</v>
      </c>
      <c r="D176" s="179">
        <v>100</v>
      </c>
      <c r="E176" s="191" t="s">
        <v>88</v>
      </c>
      <c r="F176" s="191" t="s">
        <v>88</v>
      </c>
      <c r="G176" s="191">
        <v>1</v>
      </c>
      <c r="H176" s="191" t="s">
        <v>88</v>
      </c>
      <c r="I176" s="192">
        <v>1336</v>
      </c>
      <c r="J176" s="191">
        <f t="shared" si="19"/>
        <v>100</v>
      </c>
      <c r="K176" s="210"/>
      <c r="M176" s="215" t="s">
        <v>325</v>
      </c>
    </row>
    <row r="177" spans="1:13" s="191" customFormat="1" ht="28" customHeight="1" x14ac:dyDescent="0.2">
      <c r="A177" s="255">
        <v>47015354</v>
      </c>
      <c r="B177" s="191">
        <v>1</v>
      </c>
      <c r="C177" s="191">
        <v>109</v>
      </c>
      <c r="D177" s="179">
        <v>100</v>
      </c>
      <c r="E177" s="191" t="s">
        <v>88</v>
      </c>
      <c r="F177" s="191" t="s">
        <v>88</v>
      </c>
      <c r="G177" s="191">
        <v>1</v>
      </c>
      <c r="H177" s="191" t="s">
        <v>88</v>
      </c>
      <c r="I177" s="192">
        <v>1337</v>
      </c>
      <c r="J177" s="191">
        <f t="shared" si="19"/>
        <v>100</v>
      </c>
      <c r="K177" s="210"/>
      <c r="M177" s="215" t="s">
        <v>325</v>
      </c>
    </row>
    <row r="178" spans="1:13" s="191" customFormat="1" ht="28" customHeight="1" x14ac:dyDescent="0.2">
      <c r="A178" s="255">
        <v>47015355</v>
      </c>
      <c r="B178" s="191">
        <v>1</v>
      </c>
      <c r="C178" s="191">
        <v>108</v>
      </c>
      <c r="D178" s="179">
        <v>100</v>
      </c>
      <c r="E178" s="191" t="s">
        <v>88</v>
      </c>
      <c r="F178" s="191" t="s">
        <v>88</v>
      </c>
      <c r="G178" s="191">
        <v>1</v>
      </c>
      <c r="H178" s="191" t="s">
        <v>88</v>
      </c>
      <c r="I178" s="192">
        <v>1330</v>
      </c>
      <c r="J178" s="191">
        <f t="shared" si="19"/>
        <v>100</v>
      </c>
      <c r="K178" s="210"/>
      <c r="M178" s="215" t="s">
        <v>326</v>
      </c>
    </row>
    <row r="179" spans="1:13" s="191" customFormat="1" ht="28" customHeight="1" x14ac:dyDescent="0.2">
      <c r="A179" s="255">
        <v>47015356</v>
      </c>
      <c r="B179" s="191">
        <v>1</v>
      </c>
      <c r="C179" s="191">
        <v>107</v>
      </c>
      <c r="D179" s="179">
        <v>100</v>
      </c>
      <c r="E179" s="191" t="s">
        <v>88</v>
      </c>
      <c r="F179" s="191" t="s">
        <v>88</v>
      </c>
      <c r="G179" s="191">
        <v>1</v>
      </c>
      <c r="H179" s="191" t="s">
        <v>88</v>
      </c>
      <c r="I179" s="192">
        <v>1331</v>
      </c>
      <c r="J179" s="191">
        <f t="shared" si="19"/>
        <v>100</v>
      </c>
      <c r="K179" s="210"/>
      <c r="M179" s="215" t="s">
        <v>326</v>
      </c>
    </row>
    <row r="180" spans="1:13" s="191" customFormat="1" ht="28" customHeight="1" x14ac:dyDescent="0.2">
      <c r="A180" s="255">
        <v>47015357</v>
      </c>
      <c r="B180" s="191">
        <v>1</v>
      </c>
      <c r="C180" s="191">
        <v>106</v>
      </c>
      <c r="D180" s="179">
        <v>100</v>
      </c>
      <c r="E180" s="191" t="s">
        <v>88</v>
      </c>
      <c r="F180" s="191" t="s">
        <v>88</v>
      </c>
      <c r="G180" s="191">
        <v>1</v>
      </c>
      <c r="H180" s="191" t="s">
        <v>88</v>
      </c>
      <c r="I180" s="192">
        <v>756</v>
      </c>
      <c r="J180" s="191">
        <f t="shared" ref="J180:J181" si="21">D180</f>
        <v>100</v>
      </c>
      <c r="K180" s="210"/>
      <c r="M180" s="215" t="s">
        <v>326</v>
      </c>
    </row>
    <row r="181" spans="1:13" s="191" customFormat="1" ht="28" customHeight="1" x14ac:dyDescent="0.2">
      <c r="A181" s="255">
        <v>47015358</v>
      </c>
      <c r="B181" s="191">
        <v>1</v>
      </c>
      <c r="C181" s="191">
        <v>105</v>
      </c>
      <c r="D181" s="179">
        <v>100</v>
      </c>
      <c r="E181" s="191" t="s">
        <v>88</v>
      </c>
      <c r="F181" s="191" t="s">
        <v>88</v>
      </c>
      <c r="G181" s="191">
        <v>1</v>
      </c>
      <c r="H181" s="191" t="s">
        <v>88</v>
      </c>
      <c r="I181" s="192">
        <v>757</v>
      </c>
      <c r="J181" s="191">
        <f t="shared" si="21"/>
        <v>100</v>
      </c>
      <c r="K181" s="210"/>
      <c r="M181" s="215" t="s">
        <v>326</v>
      </c>
    </row>
    <row r="182" spans="1:13" s="211" customFormat="1" ht="28" customHeight="1" x14ac:dyDescent="0.15">
      <c r="A182" s="256">
        <v>47015360</v>
      </c>
      <c r="B182" s="179">
        <v>1</v>
      </c>
      <c r="C182" s="179">
        <v>100</v>
      </c>
      <c r="D182" s="179">
        <v>100</v>
      </c>
      <c r="E182" s="179" t="s">
        <v>88</v>
      </c>
      <c r="F182" s="179" t="s">
        <v>88</v>
      </c>
      <c r="G182" s="179">
        <v>1</v>
      </c>
      <c r="H182" s="179" t="s">
        <v>88</v>
      </c>
      <c r="I182" s="179" t="s">
        <v>88</v>
      </c>
      <c r="J182" s="189">
        <f t="shared" si="19"/>
        <v>100</v>
      </c>
      <c r="K182" s="210"/>
      <c r="M182" s="138" t="s">
        <v>315</v>
      </c>
    </row>
    <row r="183" spans="1:13" s="211" customFormat="1" ht="28" customHeight="1" x14ac:dyDescent="0.15">
      <c r="A183" s="256">
        <v>47015361</v>
      </c>
      <c r="B183" s="179">
        <v>0</v>
      </c>
      <c r="C183" s="179">
        <v>50</v>
      </c>
      <c r="D183" s="179">
        <v>40</v>
      </c>
      <c r="E183" s="179" t="s">
        <v>88</v>
      </c>
      <c r="F183" s="179" t="s">
        <v>88</v>
      </c>
      <c r="G183" s="179" t="s">
        <v>88</v>
      </c>
      <c r="H183" s="179" t="s">
        <v>88</v>
      </c>
      <c r="I183" s="179" t="s">
        <v>88</v>
      </c>
      <c r="J183" s="189">
        <f t="shared" si="19"/>
        <v>40</v>
      </c>
      <c r="K183" s="210"/>
      <c r="M183" s="138" t="s">
        <v>255</v>
      </c>
    </row>
    <row r="184" spans="1:13" s="211" customFormat="1" ht="28" customHeight="1" x14ac:dyDescent="0.15">
      <c r="A184" s="256">
        <v>47015362</v>
      </c>
      <c r="B184" s="179">
        <v>0</v>
      </c>
      <c r="C184" s="179">
        <v>45</v>
      </c>
      <c r="D184" s="179">
        <v>40</v>
      </c>
      <c r="E184" s="179" t="s">
        <v>88</v>
      </c>
      <c r="F184" s="179" t="s">
        <v>88</v>
      </c>
      <c r="G184" s="179" t="s">
        <v>88</v>
      </c>
      <c r="H184" s="179" t="s">
        <v>88</v>
      </c>
      <c r="I184" s="179" t="s">
        <v>88</v>
      </c>
      <c r="J184" s="189">
        <f t="shared" si="19"/>
        <v>40</v>
      </c>
      <c r="K184" s="210"/>
      <c r="M184" s="138" t="s">
        <v>294</v>
      </c>
    </row>
    <row r="185" spans="1:13" s="211" customFormat="1" ht="28" customHeight="1" x14ac:dyDescent="0.15">
      <c r="A185" s="256">
        <v>47015363</v>
      </c>
      <c r="B185" s="179">
        <v>0</v>
      </c>
      <c r="C185" s="179">
        <v>40</v>
      </c>
      <c r="D185" s="179">
        <v>40</v>
      </c>
      <c r="E185" s="179" t="s">
        <v>88</v>
      </c>
      <c r="F185" s="179" t="s">
        <v>88</v>
      </c>
      <c r="G185" s="179" t="s">
        <v>88</v>
      </c>
      <c r="H185" s="179" t="s">
        <v>88</v>
      </c>
      <c r="I185" s="179" t="s">
        <v>88</v>
      </c>
      <c r="J185" s="189">
        <f t="shared" si="19"/>
        <v>40</v>
      </c>
      <c r="K185" s="210"/>
      <c r="M185" s="138" t="s">
        <v>317</v>
      </c>
    </row>
    <row r="186" spans="1:13" s="211" customFormat="1" ht="28" customHeight="1" x14ac:dyDescent="0.15">
      <c r="A186" s="256">
        <v>47015364</v>
      </c>
      <c r="B186" s="179">
        <v>0</v>
      </c>
      <c r="C186" s="179">
        <v>101</v>
      </c>
      <c r="D186" s="179">
        <v>100</v>
      </c>
      <c r="E186" s="179" t="s">
        <v>88</v>
      </c>
      <c r="F186" s="179" t="s">
        <v>88</v>
      </c>
      <c r="G186" s="179">
        <v>1</v>
      </c>
      <c r="H186" s="179" t="s">
        <v>88</v>
      </c>
      <c r="I186" s="179" t="s">
        <v>88</v>
      </c>
      <c r="J186" s="189">
        <f t="shared" si="19"/>
        <v>100</v>
      </c>
      <c r="K186" s="210"/>
      <c r="M186" s="138" t="s">
        <v>295</v>
      </c>
    </row>
    <row r="187" spans="1:13" s="211" customFormat="1" ht="28" customHeight="1" x14ac:dyDescent="0.15">
      <c r="A187" s="256">
        <v>47015365</v>
      </c>
      <c r="B187" s="179">
        <v>0</v>
      </c>
      <c r="C187" s="179">
        <v>105</v>
      </c>
      <c r="D187" s="179">
        <v>100</v>
      </c>
      <c r="E187" s="179">
        <v>50</v>
      </c>
      <c r="F187" s="179" t="s">
        <v>88</v>
      </c>
      <c r="G187" s="179">
        <v>1</v>
      </c>
      <c r="H187" s="179" t="s">
        <v>88</v>
      </c>
      <c r="I187" s="179" t="s">
        <v>88</v>
      </c>
      <c r="J187" s="189">
        <f t="shared" si="19"/>
        <v>100</v>
      </c>
      <c r="K187" s="210"/>
      <c r="M187" s="138" t="s">
        <v>296</v>
      </c>
    </row>
    <row r="188" spans="1:13" s="211" customFormat="1" ht="28" customHeight="1" x14ac:dyDescent="0.15">
      <c r="A188" s="258">
        <v>47015370</v>
      </c>
      <c r="B188" s="179">
        <v>1</v>
      </c>
      <c r="C188" s="179">
        <v>100</v>
      </c>
      <c r="D188" s="179">
        <v>100</v>
      </c>
      <c r="E188" s="179" t="s">
        <v>88</v>
      </c>
      <c r="F188" s="179" t="s">
        <v>88</v>
      </c>
      <c r="G188" s="179">
        <v>1</v>
      </c>
      <c r="H188" s="179" t="s">
        <v>88</v>
      </c>
      <c r="I188" s="179" t="s">
        <v>88</v>
      </c>
      <c r="J188" s="189">
        <f t="shared" si="19"/>
        <v>100</v>
      </c>
      <c r="K188" s="210"/>
      <c r="M188" s="138" t="s">
        <v>297</v>
      </c>
    </row>
    <row r="189" spans="1:13" s="211" customFormat="1" ht="28" customHeight="1" x14ac:dyDescent="0.15">
      <c r="A189" s="258">
        <v>47015371</v>
      </c>
      <c r="B189" s="179">
        <v>0</v>
      </c>
      <c r="C189" s="179">
        <v>40</v>
      </c>
      <c r="D189" s="179">
        <v>40</v>
      </c>
      <c r="E189" s="179" t="s">
        <v>88</v>
      </c>
      <c r="F189" s="179" t="s">
        <v>88</v>
      </c>
      <c r="G189" s="179" t="s">
        <v>88</v>
      </c>
      <c r="H189" s="179" t="s">
        <v>88</v>
      </c>
      <c r="I189" s="179" t="s">
        <v>88</v>
      </c>
      <c r="J189" s="189">
        <f t="shared" si="19"/>
        <v>40</v>
      </c>
      <c r="K189" s="210"/>
      <c r="M189" s="138" t="s">
        <v>256</v>
      </c>
    </row>
    <row r="190" spans="1:13" s="211" customFormat="1" ht="28" customHeight="1" x14ac:dyDescent="0.15">
      <c r="A190" s="258">
        <v>47015372</v>
      </c>
      <c r="B190" s="179">
        <v>0</v>
      </c>
      <c r="C190" s="179">
        <v>55</v>
      </c>
      <c r="D190" s="179">
        <v>40</v>
      </c>
      <c r="E190" s="179" t="s">
        <v>88</v>
      </c>
      <c r="F190" s="179" t="s">
        <v>88</v>
      </c>
      <c r="G190" s="179">
        <v>2</v>
      </c>
      <c r="H190" s="179" t="s">
        <v>88</v>
      </c>
      <c r="I190" s="179" t="s">
        <v>88</v>
      </c>
      <c r="J190" s="189">
        <f t="shared" si="19"/>
        <v>40</v>
      </c>
      <c r="K190" s="210"/>
      <c r="M190" s="138" t="s">
        <v>298</v>
      </c>
    </row>
    <row r="191" spans="1:13" s="211" customFormat="1" ht="28" customHeight="1" x14ac:dyDescent="0.15">
      <c r="A191" s="258">
        <v>47015373</v>
      </c>
      <c r="B191" s="179">
        <v>0</v>
      </c>
      <c r="C191" s="179">
        <v>50</v>
      </c>
      <c r="D191" s="179">
        <v>40</v>
      </c>
      <c r="E191" s="179" t="s">
        <v>88</v>
      </c>
      <c r="F191" s="179" t="s">
        <v>88</v>
      </c>
      <c r="G191" s="179">
        <v>2</v>
      </c>
      <c r="H191" s="179" t="s">
        <v>88</v>
      </c>
      <c r="I191" s="179" t="s">
        <v>88</v>
      </c>
      <c r="J191" s="189">
        <f t="shared" si="19"/>
        <v>40</v>
      </c>
      <c r="K191" s="210"/>
      <c r="M191" s="138" t="s">
        <v>299</v>
      </c>
    </row>
    <row r="192" spans="1:13" s="211" customFormat="1" ht="28" customHeight="1" x14ac:dyDescent="0.15">
      <c r="A192" s="258">
        <v>47015374</v>
      </c>
      <c r="B192" s="179">
        <v>0</v>
      </c>
      <c r="C192" s="179">
        <v>45</v>
      </c>
      <c r="D192" s="179">
        <v>40</v>
      </c>
      <c r="E192" s="179" t="s">
        <v>88</v>
      </c>
      <c r="F192" s="179" t="s">
        <v>88</v>
      </c>
      <c r="G192" s="179" t="s">
        <v>88</v>
      </c>
      <c r="H192" s="179" t="s">
        <v>88</v>
      </c>
      <c r="I192" s="179" t="s">
        <v>88</v>
      </c>
      <c r="J192" s="189">
        <f t="shared" si="19"/>
        <v>40</v>
      </c>
      <c r="K192" s="210"/>
      <c r="M192" s="138" t="s">
        <v>302</v>
      </c>
    </row>
    <row r="193" spans="1:13" s="211" customFormat="1" ht="28" customHeight="1" x14ac:dyDescent="0.15">
      <c r="A193" s="258">
        <v>47015375</v>
      </c>
      <c r="B193" s="179">
        <v>0</v>
      </c>
      <c r="C193" s="179">
        <v>105</v>
      </c>
      <c r="D193" s="179">
        <v>100</v>
      </c>
      <c r="E193" s="179">
        <v>75</v>
      </c>
      <c r="F193" s="179" t="s">
        <v>88</v>
      </c>
      <c r="G193" s="179">
        <v>1</v>
      </c>
      <c r="H193" s="179">
        <v>1</v>
      </c>
      <c r="I193" s="179" t="s">
        <v>88</v>
      </c>
      <c r="J193" s="189">
        <f t="shared" si="19"/>
        <v>100</v>
      </c>
      <c r="K193" s="210"/>
      <c r="M193" s="138" t="s">
        <v>300</v>
      </c>
    </row>
    <row r="194" spans="1:13" s="211" customFormat="1" ht="28" customHeight="1" x14ac:dyDescent="0.15">
      <c r="A194" s="258">
        <v>47015376</v>
      </c>
      <c r="B194" s="179">
        <v>0</v>
      </c>
      <c r="C194" s="179">
        <v>500</v>
      </c>
      <c r="D194" s="179">
        <v>100</v>
      </c>
      <c r="E194" s="179">
        <v>20</v>
      </c>
      <c r="F194" s="179" t="s">
        <v>88</v>
      </c>
      <c r="G194" s="179">
        <v>1</v>
      </c>
      <c r="H194" s="179">
        <v>1</v>
      </c>
      <c r="I194" s="179" t="s">
        <v>88</v>
      </c>
      <c r="J194" s="189">
        <f t="shared" si="19"/>
        <v>100</v>
      </c>
      <c r="K194" s="210"/>
      <c r="M194" s="138" t="s">
        <v>279</v>
      </c>
    </row>
    <row r="195" spans="1:13" s="211" customFormat="1" ht="28" customHeight="1" x14ac:dyDescent="0.15">
      <c r="A195" s="258">
        <v>47015377</v>
      </c>
      <c r="B195" s="179">
        <v>0</v>
      </c>
      <c r="C195" s="179">
        <v>200</v>
      </c>
      <c r="D195" s="179">
        <v>100</v>
      </c>
      <c r="E195" s="179">
        <v>20</v>
      </c>
      <c r="F195" s="179" t="s">
        <v>88</v>
      </c>
      <c r="G195" s="179">
        <v>1</v>
      </c>
      <c r="H195" s="179">
        <v>1</v>
      </c>
      <c r="I195" s="179" t="s">
        <v>88</v>
      </c>
      <c r="J195" s="189">
        <f t="shared" si="19"/>
        <v>100</v>
      </c>
      <c r="K195" s="210"/>
      <c r="M195" s="138" t="s">
        <v>301</v>
      </c>
    </row>
    <row r="196" spans="1:13" s="211" customFormat="1" ht="28" customHeight="1" x14ac:dyDescent="0.15">
      <c r="A196" s="258">
        <v>47015378</v>
      </c>
      <c r="B196" s="179">
        <v>0</v>
      </c>
      <c r="C196" s="179">
        <v>100</v>
      </c>
      <c r="D196" s="179">
        <v>100</v>
      </c>
      <c r="E196" s="179" t="s">
        <v>88</v>
      </c>
      <c r="F196" s="179" t="s">
        <v>88</v>
      </c>
      <c r="G196" s="179">
        <v>0</v>
      </c>
      <c r="H196" s="179" t="s">
        <v>88</v>
      </c>
      <c r="I196" s="179">
        <v>0</v>
      </c>
      <c r="J196" s="189">
        <f t="shared" si="19"/>
        <v>100</v>
      </c>
      <c r="K196" s="210"/>
      <c r="M196" s="217" t="s">
        <v>328</v>
      </c>
    </row>
    <row r="197" spans="1:13" s="191" customFormat="1" ht="28" customHeight="1" x14ac:dyDescent="0.2">
      <c r="A197" s="258">
        <v>47015379</v>
      </c>
      <c r="B197" s="191">
        <v>0</v>
      </c>
      <c r="C197" s="191">
        <v>119</v>
      </c>
      <c r="D197" s="179">
        <v>100</v>
      </c>
      <c r="E197" s="191" t="s">
        <v>88</v>
      </c>
      <c r="F197" s="191" t="s">
        <v>88</v>
      </c>
      <c r="G197" s="191">
        <v>0</v>
      </c>
      <c r="H197" s="191" t="s">
        <v>88</v>
      </c>
      <c r="I197" s="192">
        <v>1703</v>
      </c>
      <c r="J197" s="191">
        <f t="shared" si="19"/>
        <v>100</v>
      </c>
      <c r="K197" s="210"/>
      <c r="M197" s="218" t="s">
        <v>330</v>
      </c>
    </row>
    <row r="198" spans="1:13" s="191" customFormat="1" ht="28" customHeight="1" thickBot="1" x14ac:dyDescent="0.25">
      <c r="A198" s="258">
        <v>47015380</v>
      </c>
      <c r="B198" s="191">
        <v>0</v>
      </c>
      <c r="C198" s="191">
        <v>118</v>
      </c>
      <c r="D198" s="179">
        <v>100</v>
      </c>
      <c r="E198" s="191" t="s">
        <v>88</v>
      </c>
      <c r="F198" s="191" t="s">
        <v>88</v>
      </c>
      <c r="G198" s="220">
        <v>0</v>
      </c>
      <c r="H198" s="191" t="s">
        <v>88</v>
      </c>
      <c r="I198" s="192">
        <v>1704</v>
      </c>
      <c r="J198" s="191">
        <f t="shared" si="19"/>
        <v>100</v>
      </c>
      <c r="K198" s="210"/>
      <c r="M198" s="218" t="s">
        <v>330</v>
      </c>
    </row>
    <row r="199" spans="1:13" s="191" customFormat="1" ht="28" customHeight="1" thickTop="1" thickBot="1" x14ac:dyDescent="0.25">
      <c r="A199" s="258">
        <v>47015381</v>
      </c>
      <c r="B199" s="191">
        <v>0</v>
      </c>
      <c r="C199" s="191">
        <v>117</v>
      </c>
      <c r="D199" s="179">
        <v>100</v>
      </c>
      <c r="E199" s="191" t="s">
        <v>88</v>
      </c>
      <c r="F199" s="191" t="s">
        <v>88</v>
      </c>
      <c r="G199" s="220">
        <v>0</v>
      </c>
      <c r="H199" s="191" t="s">
        <v>88</v>
      </c>
      <c r="I199" s="192">
        <v>1326</v>
      </c>
      <c r="J199" s="191">
        <f t="shared" si="19"/>
        <v>100</v>
      </c>
      <c r="K199" s="210"/>
      <c r="M199" s="218" t="s">
        <v>332</v>
      </c>
    </row>
    <row r="200" spans="1:13" s="191" customFormat="1" ht="28" customHeight="1" thickTop="1" thickBot="1" x14ac:dyDescent="0.25">
      <c r="A200" s="258">
        <v>47015382</v>
      </c>
      <c r="B200" s="191">
        <v>0</v>
      </c>
      <c r="C200" s="191">
        <v>116</v>
      </c>
      <c r="D200" s="179">
        <v>100</v>
      </c>
      <c r="E200" s="191" t="s">
        <v>88</v>
      </c>
      <c r="F200" s="191" t="s">
        <v>88</v>
      </c>
      <c r="G200" s="220">
        <v>0</v>
      </c>
      <c r="H200" s="191" t="s">
        <v>88</v>
      </c>
      <c r="I200" s="192">
        <v>1327</v>
      </c>
      <c r="J200" s="191">
        <f t="shared" si="19"/>
        <v>100</v>
      </c>
      <c r="K200" s="210"/>
      <c r="M200" s="218" t="s">
        <v>332</v>
      </c>
    </row>
    <row r="201" spans="1:13" s="191" customFormat="1" ht="28" customHeight="1" thickTop="1" thickBot="1" x14ac:dyDescent="0.25">
      <c r="A201" s="258">
        <v>47015383</v>
      </c>
      <c r="B201" s="191">
        <v>0</v>
      </c>
      <c r="C201" s="191">
        <v>115</v>
      </c>
      <c r="D201" s="179">
        <v>100</v>
      </c>
      <c r="E201" s="191" t="s">
        <v>88</v>
      </c>
      <c r="F201" s="191" t="s">
        <v>88</v>
      </c>
      <c r="G201" s="220">
        <v>0</v>
      </c>
      <c r="H201" s="191" t="s">
        <v>88</v>
      </c>
      <c r="I201" s="192">
        <v>235</v>
      </c>
      <c r="J201" s="191">
        <f t="shared" si="19"/>
        <v>100</v>
      </c>
      <c r="K201" s="210"/>
      <c r="M201" s="219" t="s">
        <v>333</v>
      </c>
    </row>
    <row r="202" spans="1:13" s="191" customFormat="1" ht="28" customHeight="1" thickTop="1" thickBot="1" x14ac:dyDescent="0.25">
      <c r="A202" s="258">
        <v>47015384</v>
      </c>
      <c r="B202" s="191">
        <v>0</v>
      </c>
      <c r="C202" s="191">
        <v>114</v>
      </c>
      <c r="D202" s="179">
        <v>100</v>
      </c>
      <c r="E202" s="191" t="s">
        <v>88</v>
      </c>
      <c r="F202" s="191" t="s">
        <v>88</v>
      </c>
      <c r="G202" s="220">
        <v>0</v>
      </c>
      <c r="H202" s="191" t="s">
        <v>88</v>
      </c>
      <c r="I202" s="192">
        <v>236</v>
      </c>
      <c r="J202" s="191">
        <f t="shared" si="19"/>
        <v>100</v>
      </c>
      <c r="K202" s="210"/>
      <c r="M202" s="219" t="s">
        <v>333</v>
      </c>
    </row>
    <row r="203" spans="1:13" s="191" customFormat="1" ht="28" customHeight="1" thickTop="1" thickBot="1" x14ac:dyDescent="0.25">
      <c r="A203" s="258">
        <v>47015385</v>
      </c>
      <c r="B203" s="191">
        <v>0</v>
      </c>
      <c r="C203" s="191">
        <v>113</v>
      </c>
      <c r="D203" s="179">
        <v>100</v>
      </c>
      <c r="E203" s="191" t="s">
        <v>88</v>
      </c>
      <c r="F203" s="191" t="s">
        <v>88</v>
      </c>
      <c r="G203" s="220">
        <v>0</v>
      </c>
      <c r="H203" s="191" t="s">
        <v>88</v>
      </c>
      <c r="I203" s="192">
        <v>237</v>
      </c>
      <c r="J203" s="191">
        <f t="shared" si="19"/>
        <v>100</v>
      </c>
      <c r="K203" s="210"/>
      <c r="M203" s="219" t="s">
        <v>333</v>
      </c>
    </row>
    <row r="204" spans="1:13" s="191" customFormat="1" ht="28" customHeight="1" thickTop="1" thickBot="1" x14ac:dyDescent="0.25">
      <c r="A204" s="258">
        <v>47015386</v>
      </c>
      <c r="B204" s="191">
        <v>0</v>
      </c>
      <c r="C204" s="191">
        <v>112</v>
      </c>
      <c r="D204" s="179">
        <v>100</v>
      </c>
      <c r="E204" s="191" t="s">
        <v>88</v>
      </c>
      <c r="F204" s="191" t="s">
        <v>88</v>
      </c>
      <c r="G204" s="220">
        <v>0</v>
      </c>
      <c r="H204" s="191" t="s">
        <v>88</v>
      </c>
      <c r="I204" s="192">
        <v>808</v>
      </c>
      <c r="J204" s="191">
        <f t="shared" si="19"/>
        <v>100</v>
      </c>
      <c r="K204" s="210"/>
      <c r="M204" s="219" t="s">
        <v>333</v>
      </c>
    </row>
    <row r="205" spans="1:13" s="191" customFormat="1" ht="28" customHeight="1" thickTop="1" thickBot="1" x14ac:dyDescent="0.25">
      <c r="A205" s="258">
        <v>47015387</v>
      </c>
      <c r="B205" s="191">
        <v>0</v>
      </c>
      <c r="C205" s="191">
        <v>111</v>
      </c>
      <c r="D205" s="179">
        <v>100</v>
      </c>
      <c r="E205" s="191" t="s">
        <v>88</v>
      </c>
      <c r="F205" s="191" t="s">
        <v>88</v>
      </c>
      <c r="G205" s="220">
        <v>0</v>
      </c>
      <c r="H205" s="191" t="s">
        <v>88</v>
      </c>
      <c r="I205" s="192">
        <v>1058</v>
      </c>
      <c r="J205" s="191">
        <f t="shared" ref="J205:J209" si="22">D205</f>
        <v>100</v>
      </c>
      <c r="K205" s="210"/>
      <c r="M205" s="219" t="s">
        <v>333</v>
      </c>
    </row>
    <row r="206" spans="1:13" s="191" customFormat="1" ht="28" customHeight="1" thickTop="1" thickBot="1" x14ac:dyDescent="0.25">
      <c r="A206" s="258">
        <v>47015388</v>
      </c>
      <c r="B206" s="191">
        <v>0</v>
      </c>
      <c r="C206" s="191">
        <v>110</v>
      </c>
      <c r="D206" s="179">
        <v>100</v>
      </c>
      <c r="E206" s="191" t="s">
        <v>88</v>
      </c>
      <c r="F206" s="191" t="s">
        <v>88</v>
      </c>
      <c r="G206" s="220">
        <v>0</v>
      </c>
      <c r="H206" s="191" t="s">
        <v>88</v>
      </c>
      <c r="I206" s="192">
        <v>1336</v>
      </c>
      <c r="J206" s="191">
        <f t="shared" si="22"/>
        <v>100</v>
      </c>
      <c r="K206" s="210"/>
      <c r="M206" s="219" t="s">
        <v>333</v>
      </c>
    </row>
    <row r="207" spans="1:13" s="191" customFormat="1" ht="28" customHeight="1" thickTop="1" thickBot="1" x14ac:dyDescent="0.25">
      <c r="A207" s="258">
        <v>47015389</v>
      </c>
      <c r="B207" s="191">
        <v>0</v>
      </c>
      <c r="C207" s="191">
        <v>109</v>
      </c>
      <c r="D207" s="179">
        <v>100</v>
      </c>
      <c r="E207" s="191" t="s">
        <v>88</v>
      </c>
      <c r="F207" s="191" t="s">
        <v>88</v>
      </c>
      <c r="G207" s="220">
        <v>0</v>
      </c>
      <c r="H207" s="191" t="s">
        <v>88</v>
      </c>
      <c r="I207" s="192">
        <v>1337</v>
      </c>
      <c r="J207" s="191">
        <f t="shared" si="22"/>
        <v>100</v>
      </c>
      <c r="K207" s="210"/>
      <c r="M207" s="219" t="s">
        <v>333</v>
      </c>
    </row>
    <row r="208" spans="1:13" s="191" customFormat="1" ht="28" customHeight="1" thickTop="1" thickBot="1" x14ac:dyDescent="0.25">
      <c r="A208" s="258">
        <v>47015390</v>
      </c>
      <c r="B208" s="191">
        <v>0</v>
      </c>
      <c r="C208" s="191">
        <v>108</v>
      </c>
      <c r="D208" s="179">
        <v>100</v>
      </c>
      <c r="E208" s="191" t="s">
        <v>88</v>
      </c>
      <c r="F208" s="191" t="s">
        <v>88</v>
      </c>
      <c r="G208" s="220">
        <v>0</v>
      </c>
      <c r="H208" s="191" t="s">
        <v>88</v>
      </c>
      <c r="I208" s="192">
        <v>1330</v>
      </c>
      <c r="J208" s="191">
        <f t="shared" si="22"/>
        <v>100</v>
      </c>
      <c r="K208" s="210"/>
      <c r="M208" s="218" t="s">
        <v>334</v>
      </c>
    </row>
    <row r="209" spans="1:13" s="220" customFormat="1" ht="28" customHeight="1" thickTop="1" thickBot="1" x14ac:dyDescent="0.25">
      <c r="A209" s="258">
        <v>47015391</v>
      </c>
      <c r="B209" s="220">
        <v>0</v>
      </c>
      <c r="C209" s="191">
        <v>107</v>
      </c>
      <c r="D209" s="179">
        <v>100</v>
      </c>
      <c r="E209" s="220" t="s">
        <v>88</v>
      </c>
      <c r="F209" s="220" t="s">
        <v>88</v>
      </c>
      <c r="G209" s="220">
        <v>0</v>
      </c>
      <c r="H209" s="220" t="s">
        <v>88</v>
      </c>
      <c r="I209" s="221">
        <v>1331</v>
      </c>
      <c r="J209" s="220">
        <f t="shared" si="22"/>
        <v>100</v>
      </c>
      <c r="K209" s="264"/>
      <c r="M209" s="222" t="s">
        <v>334</v>
      </c>
    </row>
    <row r="210" spans="1:13" s="191" customFormat="1" ht="28" customHeight="1" thickTop="1" thickBot="1" x14ac:dyDescent="0.25">
      <c r="A210" s="258">
        <v>47015392</v>
      </c>
      <c r="B210" s="191">
        <v>0</v>
      </c>
      <c r="C210" s="191">
        <v>106</v>
      </c>
      <c r="D210" s="179">
        <v>100</v>
      </c>
      <c r="E210" s="191" t="s">
        <v>88</v>
      </c>
      <c r="F210" s="191" t="s">
        <v>88</v>
      </c>
      <c r="G210" s="220">
        <v>0</v>
      </c>
      <c r="H210" s="191" t="s">
        <v>88</v>
      </c>
      <c r="I210" s="192">
        <v>756</v>
      </c>
      <c r="J210" s="191">
        <f t="shared" ref="J210:J211" si="23">D210</f>
        <v>100</v>
      </c>
      <c r="K210" s="210"/>
      <c r="M210" s="218" t="s">
        <v>334</v>
      </c>
    </row>
    <row r="211" spans="1:13" s="220" customFormat="1" ht="28" customHeight="1" thickTop="1" thickBot="1" x14ac:dyDescent="0.25">
      <c r="A211" s="258">
        <v>47015393</v>
      </c>
      <c r="B211" s="220">
        <v>0</v>
      </c>
      <c r="C211" s="191">
        <v>105</v>
      </c>
      <c r="D211" s="179">
        <v>100</v>
      </c>
      <c r="E211" s="220" t="s">
        <v>88</v>
      </c>
      <c r="F211" s="220" t="s">
        <v>88</v>
      </c>
      <c r="G211" s="220">
        <v>0</v>
      </c>
      <c r="H211" s="220" t="s">
        <v>88</v>
      </c>
      <c r="I211" s="192">
        <v>757</v>
      </c>
      <c r="J211" s="220">
        <f t="shared" si="23"/>
        <v>100</v>
      </c>
      <c r="K211" s="264"/>
      <c r="M211" s="222" t="s">
        <v>334</v>
      </c>
    </row>
    <row r="212" spans="1:13" ht="28" customHeight="1" thickTop="1" x14ac:dyDescent="0.15">
      <c r="M212" s="178"/>
    </row>
  </sheetData>
  <autoFilter ref="A1:G1"/>
  <phoneticPr fontId="5"/>
  <conditionalFormatting sqref="K212:K1048576 K1:K2 K4:K8 K11:K26 K42:K55">
    <cfRule type="duplicateValues" dxfId="97" priority="156"/>
  </conditionalFormatting>
  <conditionalFormatting sqref="K3">
    <cfRule type="duplicateValues" dxfId="96" priority="155"/>
  </conditionalFormatting>
  <conditionalFormatting sqref="K9">
    <cfRule type="duplicateValues" dxfId="95" priority="154"/>
  </conditionalFormatting>
  <conditionalFormatting sqref="K10">
    <cfRule type="duplicateValues" dxfId="94" priority="153"/>
  </conditionalFormatting>
  <conditionalFormatting sqref="K27:K28">
    <cfRule type="duplicateValues" dxfId="93" priority="144"/>
  </conditionalFormatting>
  <conditionalFormatting sqref="K29:K30">
    <cfRule type="duplicateValues" dxfId="92" priority="143"/>
  </conditionalFormatting>
  <conditionalFormatting sqref="K31:K32">
    <cfRule type="duplicateValues" dxfId="91" priority="142"/>
  </conditionalFormatting>
  <conditionalFormatting sqref="K33:K34">
    <cfRule type="duplicateValues" dxfId="90" priority="141"/>
  </conditionalFormatting>
  <conditionalFormatting sqref="K35">
    <cfRule type="duplicateValues" dxfId="89" priority="140"/>
  </conditionalFormatting>
  <conditionalFormatting sqref="K36">
    <cfRule type="duplicateValues" dxfId="88" priority="139"/>
  </conditionalFormatting>
  <conditionalFormatting sqref="K37">
    <cfRule type="duplicateValues" dxfId="87" priority="138"/>
  </conditionalFormatting>
  <conditionalFormatting sqref="K38">
    <cfRule type="duplicateValues" dxfId="86" priority="137"/>
  </conditionalFormatting>
  <conditionalFormatting sqref="K39">
    <cfRule type="duplicateValues" dxfId="85" priority="136"/>
  </conditionalFormatting>
  <conditionalFormatting sqref="K56">
    <cfRule type="duplicateValues" dxfId="84" priority="135"/>
  </conditionalFormatting>
  <conditionalFormatting sqref="K57">
    <cfRule type="duplicateValues" dxfId="83" priority="134"/>
  </conditionalFormatting>
  <conditionalFormatting sqref="K58">
    <cfRule type="duplicateValues" dxfId="82" priority="133"/>
  </conditionalFormatting>
  <conditionalFormatting sqref="K59">
    <cfRule type="duplicateValues" dxfId="81" priority="132"/>
  </conditionalFormatting>
  <conditionalFormatting sqref="K60">
    <cfRule type="duplicateValues" dxfId="80" priority="131"/>
  </conditionalFormatting>
  <conditionalFormatting sqref="K61">
    <cfRule type="duplicateValues" dxfId="79" priority="130"/>
  </conditionalFormatting>
  <conditionalFormatting sqref="K62">
    <cfRule type="duplicateValues" dxfId="78" priority="129"/>
  </conditionalFormatting>
  <conditionalFormatting sqref="K63">
    <cfRule type="duplicateValues" dxfId="77" priority="128"/>
  </conditionalFormatting>
  <conditionalFormatting sqref="K64">
    <cfRule type="duplicateValues" dxfId="76" priority="127"/>
  </conditionalFormatting>
  <conditionalFormatting sqref="K65">
    <cfRule type="duplicateValues" dxfId="75" priority="126"/>
  </conditionalFormatting>
  <conditionalFormatting sqref="K66">
    <cfRule type="duplicateValues" dxfId="74" priority="125"/>
  </conditionalFormatting>
  <conditionalFormatting sqref="K67">
    <cfRule type="duplicateValues" dxfId="73" priority="124"/>
  </conditionalFormatting>
  <conditionalFormatting sqref="K68">
    <cfRule type="duplicateValues" dxfId="72" priority="123"/>
  </conditionalFormatting>
  <conditionalFormatting sqref="K69">
    <cfRule type="duplicateValues" dxfId="71" priority="122"/>
  </conditionalFormatting>
  <conditionalFormatting sqref="K72 K83:K96 K112:K125">
    <cfRule type="duplicateValues" dxfId="70" priority="77"/>
  </conditionalFormatting>
  <conditionalFormatting sqref="K97:K98">
    <cfRule type="duplicateValues" dxfId="69" priority="73"/>
  </conditionalFormatting>
  <conditionalFormatting sqref="K99:K100">
    <cfRule type="duplicateValues" dxfId="68" priority="72"/>
  </conditionalFormatting>
  <conditionalFormatting sqref="K101:K102">
    <cfRule type="duplicateValues" dxfId="67" priority="71"/>
  </conditionalFormatting>
  <conditionalFormatting sqref="K103:K104">
    <cfRule type="duplicateValues" dxfId="66" priority="70"/>
  </conditionalFormatting>
  <conditionalFormatting sqref="K105">
    <cfRule type="duplicateValues" dxfId="65" priority="69"/>
  </conditionalFormatting>
  <conditionalFormatting sqref="K106">
    <cfRule type="duplicateValues" dxfId="64" priority="68"/>
  </conditionalFormatting>
  <conditionalFormatting sqref="K107">
    <cfRule type="duplicateValues" dxfId="63" priority="67"/>
  </conditionalFormatting>
  <conditionalFormatting sqref="K108">
    <cfRule type="duplicateValues" dxfId="62" priority="66"/>
  </conditionalFormatting>
  <conditionalFormatting sqref="K109">
    <cfRule type="duplicateValues" dxfId="61" priority="65"/>
  </conditionalFormatting>
  <conditionalFormatting sqref="K126">
    <cfRule type="duplicateValues" dxfId="60" priority="64"/>
  </conditionalFormatting>
  <conditionalFormatting sqref="K127">
    <cfRule type="duplicateValues" dxfId="59" priority="63"/>
  </conditionalFormatting>
  <conditionalFormatting sqref="K128">
    <cfRule type="duplicateValues" dxfId="58" priority="62"/>
  </conditionalFormatting>
  <conditionalFormatting sqref="K129">
    <cfRule type="duplicateValues" dxfId="57" priority="61"/>
  </conditionalFormatting>
  <conditionalFormatting sqref="K130">
    <cfRule type="duplicateValues" dxfId="56" priority="60"/>
  </conditionalFormatting>
  <conditionalFormatting sqref="K131">
    <cfRule type="duplicateValues" dxfId="55" priority="59"/>
  </conditionalFormatting>
  <conditionalFormatting sqref="K132">
    <cfRule type="duplicateValues" dxfId="54" priority="58"/>
  </conditionalFormatting>
  <conditionalFormatting sqref="K133">
    <cfRule type="duplicateValues" dxfId="53" priority="57"/>
  </conditionalFormatting>
  <conditionalFormatting sqref="K134">
    <cfRule type="duplicateValues" dxfId="52" priority="56"/>
  </conditionalFormatting>
  <conditionalFormatting sqref="K135">
    <cfRule type="duplicateValues" dxfId="51" priority="55"/>
  </conditionalFormatting>
  <conditionalFormatting sqref="K136">
    <cfRule type="duplicateValues" dxfId="50" priority="54"/>
  </conditionalFormatting>
  <conditionalFormatting sqref="K137">
    <cfRule type="duplicateValues" dxfId="49" priority="53"/>
  </conditionalFormatting>
  <conditionalFormatting sqref="K138">
    <cfRule type="duplicateValues" dxfId="48" priority="52"/>
  </conditionalFormatting>
  <conditionalFormatting sqref="K153:K166 K182:K195">
    <cfRule type="duplicateValues" dxfId="47" priority="50"/>
  </conditionalFormatting>
  <conditionalFormatting sqref="K167:K168">
    <cfRule type="duplicateValues" dxfId="46" priority="46"/>
  </conditionalFormatting>
  <conditionalFormatting sqref="K169:K170">
    <cfRule type="duplicateValues" dxfId="45" priority="45"/>
  </conditionalFormatting>
  <conditionalFormatting sqref="K171:K172">
    <cfRule type="duplicateValues" dxfId="44" priority="44"/>
  </conditionalFormatting>
  <conditionalFormatting sqref="K173:K174">
    <cfRule type="duplicateValues" dxfId="43" priority="43"/>
  </conditionalFormatting>
  <conditionalFormatting sqref="K175">
    <cfRule type="duplicateValues" dxfId="42" priority="42"/>
  </conditionalFormatting>
  <conditionalFormatting sqref="K176">
    <cfRule type="duplicateValues" dxfId="41" priority="41"/>
  </conditionalFormatting>
  <conditionalFormatting sqref="K177">
    <cfRule type="duplicateValues" dxfId="40" priority="40"/>
  </conditionalFormatting>
  <conditionalFormatting sqref="K178">
    <cfRule type="duplicateValues" dxfId="39" priority="39"/>
  </conditionalFormatting>
  <conditionalFormatting sqref="K179">
    <cfRule type="duplicateValues" dxfId="38" priority="38"/>
  </conditionalFormatting>
  <conditionalFormatting sqref="K196">
    <cfRule type="duplicateValues" dxfId="37" priority="37"/>
  </conditionalFormatting>
  <conditionalFormatting sqref="K197">
    <cfRule type="duplicateValues" dxfId="36" priority="36"/>
  </conditionalFormatting>
  <conditionalFormatting sqref="K198">
    <cfRule type="duplicateValues" dxfId="35" priority="35"/>
  </conditionalFormatting>
  <conditionalFormatting sqref="K199">
    <cfRule type="duplicateValues" dxfId="34" priority="34"/>
  </conditionalFormatting>
  <conditionalFormatting sqref="K200">
    <cfRule type="duplicateValues" dxfId="33" priority="33"/>
  </conditionalFormatting>
  <conditionalFormatting sqref="K201">
    <cfRule type="duplicateValues" dxfId="32" priority="32"/>
  </conditionalFormatting>
  <conditionalFormatting sqref="K202">
    <cfRule type="duplicateValues" dxfId="31" priority="31"/>
  </conditionalFormatting>
  <conditionalFormatting sqref="K203">
    <cfRule type="duplicateValues" dxfId="30" priority="30"/>
  </conditionalFormatting>
  <conditionalFormatting sqref="K204">
    <cfRule type="duplicateValues" dxfId="29" priority="29"/>
  </conditionalFormatting>
  <conditionalFormatting sqref="K205">
    <cfRule type="duplicateValues" dxfId="28" priority="28"/>
  </conditionalFormatting>
  <conditionalFormatting sqref="K206">
    <cfRule type="duplicateValues" dxfId="27" priority="27"/>
  </conditionalFormatting>
  <conditionalFormatting sqref="K207">
    <cfRule type="duplicateValues" dxfId="26" priority="26"/>
  </conditionalFormatting>
  <conditionalFormatting sqref="K208">
    <cfRule type="duplicateValues" dxfId="25" priority="25"/>
  </conditionalFormatting>
  <conditionalFormatting sqref="K209">
    <cfRule type="duplicateValues" dxfId="24" priority="24"/>
  </conditionalFormatting>
  <conditionalFormatting sqref="K139">
    <cfRule type="duplicateValues" dxfId="23" priority="161"/>
  </conditionalFormatting>
  <conditionalFormatting sqref="K73">
    <cfRule type="duplicateValues" dxfId="22" priority="23"/>
  </conditionalFormatting>
  <conditionalFormatting sqref="K74:K77">
    <cfRule type="duplicateValues" dxfId="21" priority="22"/>
  </conditionalFormatting>
  <conditionalFormatting sqref="K78 K81:K82">
    <cfRule type="duplicateValues" dxfId="20" priority="21"/>
  </conditionalFormatting>
  <conditionalFormatting sqref="K79">
    <cfRule type="duplicateValues" dxfId="19" priority="20"/>
  </conditionalFormatting>
  <conditionalFormatting sqref="K80">
    <cfRule type="duplicateValues" dxfId="18" priority="19"/>
  </conditionalFormatting>
  <conditionalFormatting sqref="K142">
    <cfRule type="duplicateValues" dxfId="17" priority="18"/>
  </conditionalFormatting>
  <conditionalFormatting sqref="K143">
    <cfRule type="duplicateValues" dxfId="16" priority="17"/>
  </conditionalFormatting>
  <conditionalFormatting sqref="K144:K147">
    <cfRule type="duplicateValues" dxfId="15" priority="16"/>
  </conditionalFormatting>
  <conditionalFormatting sqref="K148 K151:K152">
    <cfRule type="duplicateValues" dxfId="14" priority="15"/>
  </conditionalFormatting>
  <conditionalFormatting sqref="K149">
    <cfRule type="duplicateValues" dxfId="13" priority="14"/>
  </conditionalFormatting>
  <conditionalFormatting sqref="K150">
    <cfRule type="duplicateValues" dxfId="12" priority="13"/>
  </conditionalFormatting>
  <conditionalFormatting sqref="K40">
    <cfRule type="duplicateValues" dxfId="11" priority="12"/>
  </conditionalFormatting>
  <conditionalFormatting sqref="K41">
    <cfRule type="duplicateValues" dxfId="10" priority="11"/>
  </conditionalFormatting>
  <conditionalFormatting sqref="K70">
    <cfRule type="duplicateValues" dxfId="9" priority="10"/>
  </conditionalFormatting>
  <conditionalFormatting sqref="K71">
    <cfRule type="duplicateValues" dxfId="8" priority="9"/>
  </conditionalFormatting>
  <conditionalFormatting sqref="K110">
    <cfRule type="duplicateValues" dxfId="7" priority="8"/>
  </conditionalFormatting>
  <conditionalFormatting sqref="K111">
    <cfRule type="duplicateValues" dxfId="6" priority="7"/>
  </conditionalFormatting>
  <conditionalFormatting sqref="K140">
    <cfRule type="duplicateValues" dxfId="5" priority="5"/>
  </conditionalFormatting>
  <conditionalFormatting sqref="K141">
    <cfRule type="duplicateValues" dxfId="4" priority="6"/>
  </conditionalFormatting>
  <conditionalFormatting sqref="K180">
    <cfRule type="duplicateValues" dxfId="3" priority="4"/>
  </conditionalFormatting>
  <conditionalFormatting sqref="K181">
    <cfRule type="duplicateValues" dxfId="2" priority="3"/>
  </conditionalFormatting>
  <conditionalFormatting sqref="K210">
    <cfRule type="duplicateValues" dxfId="1" priority="2"/>
  </conditionalFormatting>
  <conditionalFormatting sqref="K211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XFD25"/>
  <sheetViews>
    <sheetView workbookViewId="0">
      <selection activeCell="F30" sqref="F30"/>
    </sheetView>
  </sheetViews>
  <sheetFormatPr baseColWidth="12" defaultRowHeight="21" customHeight="1" x14ac:dyDescent="0.15"/>
  <cols>
    <col min="17" max="18" width="19" bestFit="1" customWidth="1"/>
  </cols>
  <sheetData>
    <row r="1" spans="1:18 16384:16384" ht="21" customHeight="1" x14ac:dyDescent="0.15">
      <c r="A1" s="51" t="s">
        <v>150</v>
      </c>
      <c r="B1" s="51" t="s">
        <v>151</v>
      </c>
      <c r="C1" s="52" t="s">
        <v>152</v>
      </c>
      <c r="D1" s="59" t="s">
        <v>153</v>
      </c>
      <c r="E1" s="53" t="s">
        <v>154</v>
      </c>
      <c r="F1" s="51" t="s">
        <v>155</v>
      </c>
      <c r="G1" s="51" t="s">
        <v>156</v>
      </c>
      <c r="H1" s="51" t="s">
        <v>157</v>
      </c>
      <c r="I1" s="51" t="s">
        <v>158</v>
      </c>
      <c r="J1" s="51" t="s">
        <v>159</v>
      </c>
      <c r="K1" s="51" t="s">
        <v>160</v>
      </c>
      <c r="L1" s="51" t="s">
        <v>161</v>
      </c>
      <c r="M1" s="51" t="s">
        <v>162</v>
      </c>
      <c r="N1" s="51" t="s">
        <v>163</v>
      </c>
      <c r="O1" s="51" t="s">
        <v>164</v>
      </c>
      <c r="P1" s="51" t="s">
        <v>165</v>
      </c>
      <c r="Q1" s="51" t="s">
        <v>166</v>
      </c>
      <c r="R1" s="51" t="s">
        <v>167</v>
      </c>
    </row>
    <row r="2" spans="1:18 16384:16384" ht="21" customHeight="1" x14ac:dyDescent="0.15">
      <c r="A2" s="44">
        <f>floors!C4</f>
        <v>47015</v>
      </c>
      <c r="B2" s="44">
        <v>3</v>
      </c>
      <c r="C2" s="58" t="str">
        <f t="shared" ref="C2:C8" si="0">A2&amp; "_"&amp;B2</f>
        <v>47015_3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44">
        <v>1</v>
      </c>
      <c r="F2" s="44" t="s">
        <v>347</v>
      </c>
      <c r="G2" s="124">
        <v>1699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0</v>
      </c>
      <c r="N2" s="44">
        <v>0</v>
      </c>
      <c r="O2" s="44">
        <v>1</v>
      </c>
      <c r="P2" s="44">
        <v>301</v>
      </c>
      <c r="Q2" s="44" t="s">
        <v>168</v>
      </c>
      <c r="R2" s="44" t="s">
        <v>169</v>
      </c>
    </row>
    <row r="3" spans="1:18 16384:16384" ht="21" customHeight="1" x14ac:dyDescent="0.15">
      <c r="A3" s="44">
        <f>floors!C5</f>
        <v>47015</v>
      </c>
      <c r="B3" s="44">
        <v>3</v>
      </c>
      <c r="C3" s="58" t="str">
        <f t="shared" si="0"/>
        <v>47015_3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44">
        <v>2</v>
      </c>
      <c r="F3" s="44" t="s">
        <v>347</v>
      </c>
      <c r="G3" s="44">
        <v>607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0</v>
      </c>
      <c r="N3" s="44">
        <v>0</v>
      </c>
      <c r="O3" s="44">
        <v>1</v>
      </c>
      <c r="P3" s="44">
        <v>33</v>
      </c>
      <c r="Q3" s="44" t="s">
        <v>168</v>
      </c>
      <c r="R3" s="44" t="s">
        <v>169</v>
      </c>
    </row>
    <row r="4" spans="1:18 16384:16384" ht="21" customHeight="1" x14ac:dyDescent="0.15">
      <c r="A4" s="44">
        <f>floors!C6</f>
        <v>47015</v>
      </c>
      <c r="B4" s="44">
        <v>3</v>
      </c>
      <c r="C4" s="58" t="str">
        <f t="shared" si="0"/>
        <v>47015_3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44">
        <v>3</v>
      </c>
      <c r="F4" s="44" t="s">
        <v>347</v>
      </c>
      <c r="G4" s="44">
        <v>608</v>
      </c>
      <c r="H4" s="44">
        <v>1</v>
      </c>
      <c r="I4" s="44">
        <v>1</v>
      </c>
      <c r="J4" s="44">
        <v>1</v>
      </c>
      <c r="K4" s="44">
        <v>0</v>
      </c>
      <c r="L4" s="44">
        <v>0</v>
      </c>
      <c r="M4" s="44">
        <v>0</v>
      </c>
      <c r="N4" s="44">
        <v>0</v>
      </c>
      <c r="O4" s="44">
        <v>1</v>
      </c>
      <c r="P4" s="44">
        <v>33</v>
      </c>
      <c r="Q4" s="44" t="s">
        <v>168</v>
      </c>
      <c r="R4" s="44" t="s">
        <v>169</v>
      </c>
    </row>
    <row r="5" spans="1:18 16384:16384" ht="21" customHeight="1" x14ac:dyDescent="0.15">
      <c r="A5" s="44">
        <f>floors!C7</f>
        <v>47015</v>
      </c>
      <c r="B5" s="44">
        <v>3</v>
      </c>
      <c r="C5" s="58" t="str">
        <f t="shared" si="0"/>
        <v>47015_3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44">
        <v>4</v>
      </c>
      <c r="F5" s="44" t="s">
        <v>347</v>
      </c>
      <c r="G5" s="44">
        <v>609</v>
      </c>
      <c r="H5" s="44">
        <v>1</v>
      </c>
      <c r="I5" s="44">
        <v>1</v>
      </c>
      <c r="J5" s="44">
        <v>1</v>
      </c>
      <c r="K5" s="44">
        <v>0</v>
      </c>
      <c r="L5" s="44">
        <v>0</v>
      </c>
      <c r="M5" s="44">
        <v>0</v>
      </c>
      <c r="N5" s="44">
        <v>0</v>
      </c>
      <c r="O5" s="44">
        <v>1</v>
      </c>
      <c r="P5" s="44">
        <v>33</v>
      </c>
      <c r="Q5" s="44" t="s">
        <v>168</v>
      </c>
      <c r="R5" s="44" t="s">
        <v>169</v>
      </c>
    </row>
    <row r="6" spans="1:18 16384:16384" ht="21" customHeight="1" x14ac:dyDescent="0.15">
      <c r="A6" s="44">
        <f>floors!C8</f>
        <v>47015</v>
      </c>
      <c r="B6" s="44">
        <v>3</v>
      </c>
      <c r="C6" s="58" t="str">
        <f t="shared" si="0"/>
        <v>47015_3</v>
      </c>
      <c r="D6" s="1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44">
        <v>5</v>
      </c>
      <c r="F6" t="s">
        <v>364</v>
      </c>
      <c r="G6" s="44">
        <v>707</v>
      </c>
      <c r="H6" s="44">
        <v>1</v>
      </c>
      <c r="I6" s="44">
        <v>1</v>
      </c>
      <c r="J6" s="44">
        <v>1</v>
      </c>
      <c r="K6" s="44">
        <v>0</v>
      </c>
      <c r="L6" s="44">
        <v>0</v>
      </c>
      <c r="M6" s="44">
        <v>0</v>
      </c>
      <c r="N6" s="44">
        <v>0</v>
      </c>
      <c r="O6" s="44">
        <v>1</v>
      </c>
      <c r="P6" s="44">
        <v>100</v>
      </c>
      <c r="Q6" s="44" t="s">
        <v>168</v>
      </c>
      <c r="R6" s="44" t="s">
        <v>169</v>
      </c>
    </row>
    <row r="7" spans="1:18 16384:16384" ht="21" customHeight="1" x14ac:dyDescent="0.15">
      <c r="A7" s="44">
        <f>floors!C9</f>
        <v>47015</v>
      </c>
      <c r="B7" s="44">
        <v>3</v>
      </c>
      <c r="C7" s="58" t="str">
        <f t="shared" si="0"/>
        <v>47015_3</v>
      </c>
      <c r="D7" s="1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44">
        <v>6</v>
      </c>
      <c r="F7" t="s">
        <v>364</v>
      </c>
      <c r="G7" s="44">
        <v>707</v>
      </c>
      <c r="H7" s="44">
        <v>2</v>
      </c>
      <c r="I7" s="44">
        <v>1</v>
      </c>
      <c r="J7" s="44">
        <v>1</v>
      </c>
      <c r="K7" s="44">
        <v>0</v>
      </c>
      <c r="L7" s="44">
        <v>0</v>
      </c>
      <c r="M7" s="44">
        <v>0</v>
      </c>
      <c r="N7" s="44">
        <v>0</v>
      </c>
      <c r="O7" s="44">
        <v>1</v>
      </c>
      <c r="P7" s="44">
        <v>200</v>
      </c>
      <c r="Q7" s="44" t="s">
        <v>168</v>
      </c>
      <c r="R7" s="44" t="s">
        <v>169</v>
      </c>
    </row>
    <row r="8" spans="1:18 16384:16384" ht="21" customHeight="1" x14ac:dyDescent="0.15">
      <c r="A8" s="44">
        <v>47015</v>
      </c>
      <c r="B8" s="44">
        <v>3</v>
      </c>
      <c r="C8" s="58" t="str">
        <f t="shared" si="0"/>
        <v>47015_3</v>
      </c>
      <c r="D8" s="11" t="str">
        <f ca="1">VLOOKUP($C8,OFFSET([2]stages!$A$1,0,0,COUNTA([2]stages!$A:$A),MATCH(D$1,[2]stages!$2:$2,0)-MATCH($C$1,[2]stages!$2:$2,0)+1),MATCH(D$1,[2]stages!$2:$2,0)-MATCH($C$1,[2]stages!$2:$2,0)+1,FALSE)</f>
        <v>everyone</v>
      </c>
      <c r="E8" s="44">
        <v>7</v>
      </c>
      <c r="F8" t="s">
        <v>364</v>
      </c>
      <c r="G8" s="44">
        <v>707</v>
      </c>
      <c r="H8" s="44">
        <v>3</v>
      </c>
      <c r="I8" s="44">
        <v>1</v>
      </c>
      <c r="J8" s="44">
        <v>1</v>
      </c>
      <c r="K8" s="44">
        <v>0</v>
      </c>
      <c r="L8" s="44">
        <v>0</v>
      </c>
      <c r="M8" s="44">
        <v>0</v>
      </c>
      <c r="N8" s="44">
        <v>0</v>
      </c>
      <c r="O8" s="44">
        <v>1</v>
      </c>
      <c r="P8" s="44">
        <v>300</v>
      </c>
      <c r="Q8" s="44" t="s">
        <v>168</v>
      </c>
      <c r="R8" s="44" t="s">
        <v>169</v>
      </c>
    </row>
    <row r="9" spans="1:18 16384:16384" ht="21" customHeight="1" x14ac:dyDescent="0.15">
      <c r="A9" s="44">
        <v>47015</v>
      </c>
      <c r="B9" s="50">
        <v>2</v>
      </c>
      <c r="C9" s="58" t="str">
        <f t="shared" ref="C9:C16" si="1">A9&amp; "_"&amp;B9</f>
        <v>47015_2</v>
      </c>
      <c r="D9" s="11" t="str">
        <f ca="1">VLOOKUP($C9,OFFSET([2]stages!$A$1,0,0,COUNTA([2]stages!$A:$A),MATCH(D$1,[2]stages!$2:$2,0)-MATCH($C$1,[2]stages!$2:$2,0)+1),MATCH(D$1,[2]stages!$2:$2,0)-MATCH($C$1,[2]stages!$2:$2,0)+1,FALSE)</f>
        <v>everyone</v>
      </c>
      <c r="E9" s="44">
        <v>8</v>
      </c>
      <c r="F9" s="44" t="s">
        <v>347</v>
      </c>
      <c r="G9" s="124">
        <v>1699</v>
      </c>
      <c r="H9" s="44">
        <v>1</v>
      </c>
      <c r="I9" s="44">
        <v>1</v>
      </c>
      <c r="J9" s="44">
        <v>1</v>
      </c>
      <c r="K9" s="44">
        <v>0</v>
      </c>
      <c r="L9" s="44">
        <v>0</v>
      </c>
      <c r="M9" s="44">
        <v>0</v>
      </c>
      <c r="N9" s="44">
        <v>0</v>
      </c>
      <c r="O9" s="44">
        <v>1</v>
      </c>
      <c r="P9" s="44">
        <v>251</v>
      </c>
      <c r="Q9" s="44" t="s">
        <v>168</v>
      </c>
      <c r="R9" s="44" t="s">
        <v>169</v>
      </c>
      <c r="XFD9">
        <f t="shared" ref="XFD9:XFD16" ca="1" si="2">SUM(A9:XFC9)</f>
        <v>48979</v>
      </c>
    </row>
    <row r="10" spans="1:18 16384:16384" ht="21" customHeight="1" x14ac:dyDescent="0.15">
      <c r="A10" s="44">
        <v>47015</v>
      </c>
      <c r="B10" s="50">
        <v>2</v>
      </c>
      <c r="C10" s="58" t="str">
        <f t="shared" si="1"/>
        <v>47015_2</v>
      </c>
      <c r="D10" s="11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44">
        <v>9</v>
      </c>
      <c r="F10" s="44" t="s">
        <v>347</v>
      </c>
      <c r="G10" s="44">
        <v>121</v>
      </c>
      <c r="H10" s="44">
        <v>1</v>
      </c>
      <c r="I10" s="44">
        <v>1</v>
      </c>
      <c r="J10" s="44">
        <v>1</v>
      </c>
      <c r="K10" s="44">
        <v>0</v>
      </c>
      <c r="L10" s="44">
        <v>0</v>
      </c>
      <c r="M10" s="44">
        <v>0</v>
      </c>
      <c r="N10" s="44">
        <v>0</v>
      </c>
      <c r="O10" s="44">
        <v>1</v>
      </c>
      <c r="P10" s="44">
        <v>93</v>
      </c>
      <c r="Q10" s="44" t="s">
        <v>168</v>
      </c>
      <c r="R10" s="44" t="s">
        <v>169</v>
      </c>
      <c r="XFD10">
        <f t="shared" ca="1" si="2"/>
        <v>47244</v>
      </c>
    </row>
    <row r="11" spans="1:18 16384:16384" ht="21" customHeight="1" x14ac:dyDescent="0.15">
      <c r="A11" s="44">
        <v>47015</v>
      </c>
      <c r="B11" s="50">
        <v>2</v>
      </c>
      <c r="C11" s="58" t="str">
        <f t="shared" si="1"/>
        <v>47015_2</v>
      </c>
      <c r="D11" s="11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44">
        <v>10</v>
      </c>
      <c r="F11" s="44" t="s">
        <v>347</v>
      </c>
      <c r="G11" s="44">
        <v>122</v>
      </c>
      <c r="H11" s="44">
        <v>1</v>
      </c>
      <c r="I11" s="44">
        <v>1</v>
      </c>
      <c r="J11" s="44">
        <v>1</v>
      </c>
      <c r="K11" s="44">
        <v>0</v>
      </c>
      <c r="L11" s="44">
        <v>0</v>
      </c>
      <c r="M11" s="44">
        <v>0</v>
      </c>
      <c r="N11" s="44">
        <v>0</v>
      </c>
      <c r="O11" s="44">
        <v>1</v>
      </c>
      <c r="P11" s="44">
        <v>93</v>
      </c>
      <c r="Q11" s="44" t="s">
        <v>168</v>
      </c>
      <c r="R11" s="44" t="s">
        <v>169</v>
      </c>
      <c r="XFD11">
        <f t="shared" ca="1" si="2"/>
        <v>47246</v>
      </c>
    </row>
    <row r="12" spans="1:18 16384:16384" ht="21" customHeight="1" x14ac:dyDescent="0.15">
      <c r="A12" s="44">
        <v>47015</v>
      </c>
      <c r="B12" s="50">
        <v>2</v>
      </c>
      <c r="C12" s="58" t="str">
        <f t="shared" si="1"/>
        <v>47015_2</v>
      </c>
      <c r="D12" s="11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44">
        <v>11</v>
      </c>
      <c r="F12" s="44" t="s">
        <v>347</v>
      </c>
      <c r="G12" s="44">
        <v>123</v>
      </c>
      <c r="H12" s="44">
        <v>1</v>
      </c>
      <c r="I12" s="44">
        <v>1</v>
      </c>
      <c r="J12" s="44">
        <v>1</v>
      </c>
      <c r="K12" s="44">
        <v>0</v>
      </c>
      <c r="L12" s="44">
        <v>0</v>
      </c>
      <c r="M12" s="44">
        <v>0</v>
      </c>
      <c r="N12" s="44">
        <v>0</v>
      </c>
      <c r="O12" s="44">
        <v>1</v>
      </c>
      <c r="P12" s="44">
        <v>93</v>
      </c>
      <c r="Q12" s="44" t="s">
        <v>168</v>
      </c>
      <c r="R12" s="44" t="s">
        <v>169</v>
      </c>
      <c r="XFD12">
        <f t="shared" ca="1" si="2"/>
        <v>47248</v>
      </c>
    </row>
    <row r="13" spans="1:18 16384:16384" ht="21" customHeight="1" x14ac:dyDescent="0.15">
      <c r="A13" s="44">
        <v>47015</v>
      </c>
      <c r="B13" s="50">
        <v>2</v>
      </c>
      <c r="C13" s="58" t="str">
        <f t="shared" ref="C13" si="3">A13&amp; "_"&amp;B13</f>
        <v>47015_2</v>
      </c>
      <c r="D13" s="11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44">
        <v>12</v>
      </c>
      <c r="F13" s="44" t="s">
        <v>347</v>
      </c>
      <c r="G13" s="44">
        <v>125</v>
      </c>
      <c r="H13" s="44">
        <v>1</v>
      </c>
      <c r="I13" s="44">
        <v>1</v>
      </c>
      <c r="J13" s="44">
        <v>1</v>
      </c>
      <c r="K13" s="44">
        <v>0</v>
      </c>
      <c r="L13" s="44">
        <v>0</v>
      </c>
      <c r="M13" s="44">
        <v>0</v>
      </c>
      <c r="N13" s="44">
        <v>0</v>
      </c>
      <c r="O13" s="44">
        <v>1</v>
      </c>
      <c r="P13" s="44">
        <v>20</v>
      </c>
      <c r="Q13" s="44" t="s">
        <v>168</v>
      </c>
      <c r="R13" s="44" t="s">
        <v>169</v>
      </c>
      <c r="XFD13">
        <f t="shared" ca="1" si="2"/>
        <v>47178</v>
      </c>
    </row>
    <row r="14" spans="1:18 16384:16384" ht="21" customHeight="1" x14ac:dyDescent="0.15">
      <c r="A14" s="44">
        <v>47015</v>
      </c>
      <c r="B14" s="50">
        <v>2</v>
      </c>
      <c r="C14" s="58" t="str">
        <f t="shared" si="1"/>
        <v>47015_2</v>
      </c>
      <c r="D14" s="11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44">
        <v>13</v>
      </c>
      <c r="F14" t="s">
        <v>364</v>
      </c>
      <c r="G14" s="44">
        <v>707</v>
      </c>
      <c r="H14" s="44">
        <v>1</v>
      </c>
      <c r="I14" s="44">
        <v>1</v>
      </c>
      <c r="J14" s="44">
        <v>1</v>
      </c>
      <c r="K14" s="44">
        <v>0</v>
      </c>
      <c r="L14" s="44">
        <v>0</v>
      </c>
      <c r="M14" s="44">
        <v>0</v>
      </c>
      <c r="N14" s="44">
        <v>0</v>
      </c>
      <c r="O14" s="44">
        <v>1</v>
      </c>
      <c r="P14" s="44">
        <v>80</v>
      </c>
      <c r="Q14" s="44" t="s">
        <v>168</v>
      </c>
      <c r="R14" s="44" t="s">
        <v>169</v>
      </c>
      <c r="XFD14">
        <f t="shared" ca="1" si="2"/>
        <v>47821</v>
      </c>
    </row>
    <row r="15" spans="1:18 16384:16384" ht="21" customHeight="1" x14ac:dyDescent="0.15">
      <c r="A15" s="44">
        <v>47015</v>
      </c>
      <c r="B15" s="50">
        <v>2</v>
      </c>
      <c r="C15" s="58" t="str">
        <f t="shared" si="1"/>
        <v>47015_2</v>
      </c>
      <c r="D15" s="11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44">
        <v>14</v>
      </c>
      <c r="F15" t="s">
        <v>364</v>
      </c>
      <c r="G15" s="44">
        <v>707</v>
      </c>
      <c r="H15" s="44">
        <v>2</v>
      </c>
      <c r="I15" s="44">
        <v>1</v>
      </c>
      <c r="J15" s="44">
        <v>1</v>
      </c>
      <c r="K15" s="44">
        <v>0</v>
      </c>
      <c r="L15" s="44">
        <v>0</v>
      </c>
      <c r="M15" s="44">
        <v>0</v>
      </c>
      <c r="N15" s="44">
        <v>0</v>
      </c>
      <c r="O15" s="44">
        <v>1</v>
      </c>
      <c r="P15" s="44">
        <v>250</v>
      </c>
      <c r="Q15" s="44" t="s">
        <v>168</v>
      </c>
      <c r="R15" s="44" t="s">
        <v>169</v>
      </c>
      <c r="XFD15">
        <f t="shared" ca="1" si="2"/>
        <v>47993</v>
      </c>
    </row>
    <row r="16" spans="1:18 16384:16384" ht="21" customHeight="1" x14ac:dyDescent="0.15">
      <c r="A16" s="44">
        <v>47015</v>
      </c>
      <c r="B16" s="50">
        <v>2</v>
      </c>
      <c r="C16" s="58" t="str">
        <f t="shared" si="1"/>
        <v>47015_2</v>
      </c>
      <c r="D16" s="11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44">
        <v>15</v>
      </c>
      <c r="F16" t="s">
        <v>364</v>
      </c>
      <c r="G16" s="44">
        <v>707</v>
      </c>
      <c r="H16" s="44">
        <v>3</v>
      </c>
      <c r="I16" s="44">
        <v>1</v>
      </c>
      <c r="J16" s="44">
        <v>1</v>
      </c>
      <c r="K16" s="44">
        <v>0</v>
      </c>
      <c r="L16" s="44">
        <v>0</v>
      </c>
      <c r="M16" s="44">
        <v>0</v>
      </c>
      <c r="N16" s="44">
        <v>0</v>
      </c>
      <c r="O16" s="44">
        <v>1</v>
      </c>
      <c r="P16" s="44">
        <v>120</v>
      </c>
      <c r="Q16" s="44" t="s">
        <v>168</v>
      </c>
      <c r="R16" s="44" t="s">
        <v>169</v>
      </c>
      <c r="XFD16">
        <f t="shared" ca="1" si="2"/>
        <v>47865</v>
      </c>
    </row>
    <row r="17" spans="1:18" ht="21" customHeight="1" x14ac:dyDescent="0.15">
      <c r="A17" s="44">
        <v>47015</v>
      </c>
      <c r="B17" s="44">
        <v>1</v>
      </c>
      <c r="C17" s="58" t="str">
        <f t="shared" ref="C17:C25" si="4">A17&amp; "_"&amp;B17</f>
        <v>47015_1</v>
      </c>
      <c r="D17" s="11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44">
        <v>16</v>
      </c>
      <c r="F17" s="44" t="s">
        <v>347</v>
      </c>
      <c r="G17" s="124">
        <v>1699</v>
      </c>
      <c r="H17" s="44">
        <v>1</v>
      </c>
      <c r="I17" s="44">
        <v>1</v>
      </c>
      <c r="J17" s="44">
        <v>1</v>
      </c>
      <c r="K17" s="44">
        <v>0</v>
      </c>
      <c r="L17" s="44">
        <v>0</v>
      </c>
      <c r="M17" s="44">
        <v>0</v>
      </c>
      <c r="N17" s="44">
        <v>0</v>
      </c>
      <c r="O17" s="44">
        <v>1</v>
      </c>
      <c r="P17" s="44">
        <v>100</v>
      </c>
      <c r="Q17" s="44" t="s">
        <v>168</v>
      </c>
      <c r="R17" s="44" t="s">
        <v>169</v>
      </c>
    </row>
    <row r="18" spans="1:18" ht="21" customHeight="1" x14ac:dyDescent="0.15">
      <c r="A18" s="44">
        <v>47015</v>
      </c>
      <c r="B18" s="44">
        <v>1</v>
      </c>
      <c r="C18" s="58" t="str">
        <f t="shared" si="4"/>
        <v>47015_1</v>
      </c>
      <c r="D18" s="11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44">
        <v>17</v>
      </c>
      <c r="F18" s="44" t="s">
        <v>347</v>
      </c>
      <c r="G18" s="265">
        <v>350</v>
      </c>
      <c r="H18" s="44">
        <v>1</v>
      </c>
      <c r="I18" s="44">
        <v>1</v>
      </c>
      <c r="J18" s="44">
        <v>1</v>
      </c>
      <c r="K18" s="44">
        <v>0</v>
      </c>
      <c r="L18" s="44">
        <v>0</v>
      </c>
      <c r="M18" s="44">
        <v>0</v>
      </c>
      <c r="N18" s="44">
        <v>0</v>
      </c>
      <c r="O18" s="44">
        <v>1</v>
      </c>
      <c r="P18" s="44">
        <v>150</v>
      </c>
      <c r="Q18" s="44" t="s">
        <v>168</v>
      </c>
      <c r="R18" s="44" t="s">
        <v>169</v>
      </c>
    </row>
    <row r="19" spans="1:18" ht="21" customHeight="1" x14ac:dyDescent="0.15">
      <c r="A19" s="44">
        <v>47015</v>
      </c>
      <c r="B19" s="44">
        <v>1</v>
      </c>
      <c r="C19" s="58" t="str">
        <f t="shared" si="4"/>
        <v>47015_1</v>
      </c>
      <c r="D19" s="11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44">
        <v>18</v>
      </c>
      <c r="F19" s="44" t="s">
        <v>347</v>
      </c>
      <c r="G19" s="44">
        <v>121</v>
      </c>
      <c r="H19" s="44">
        <v>1</v>
      </c>
      <c r="I19" s="44">
        <v>1</v>
      </c>
      <c r="J19" s="44">
        <v>1</v>
      </c>
      <c r="K19" s="44">
        <v>0</v>
      </c>
      <c r="L19" s="44">
        <v>0</v>
      </c>
      <c r="M19" s="44">
        <v>0</v>
      </c>
      <c r="N19" s="44">
        <v>0</v>
      </c>
      <c r="O19" s="44">
        <v>1</v>
      </c>
      <c r="P19" s="44">
        <v>130</v>
      </c>
      <c r="Q19" s="44" t="s">
        <v>168</v>
      </c>
      <c r="R19" s="44" t="s">
        <v>169</v>
      </c>
    </row>
    <row r="20" spans="1:18" ht="21" customHeight="1" x14ac:dyDescent="0.15">
      <c r="A20" s="44">
        <v>47015</v>
      </c>
      <c r="B20" s="44">
        <v>1</v>
      </c>
      <c r="C20" s="58" t="str">
        <f t="shared" si="4"/>
        <v>47015_1</v>
      </c>
      <c r="D20" s="11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44">
        <v>19</v>
      </c>
      <c r="F20" s="44" t="s">
        <v>347</v>
      </c>
      <c r="G20" s="44">
        <v>122</v>
      </c>
      <c r="H20" s="44">
        <v>1</v>
      </c>
      <c r="I20" s="44">
        <v>1</v>
      </c>
      <c r="J20" s="44">
        <v>1</v>
      </c>
      <c r="K20" s="44">
        <v>0</v>
      </c>
      <c r="L20" s="44">
        <v>0</v>
      </c>
      <c r="M20" s="44">
        <v>0</v>
      </c>
      <c r="N20" s="44">
        <v>0</v>
      </c>
      <c r="O20" s="44">
        <v>1</v>
      </c>
      <c r="P20" s="44">
        <v>130</v>
      </c>
      <c r="Q20" s="44" t="s">
        <v>168</v>
      </c>
      <c r="R20" s="44" t="s">
        <v>169</v>
      </c>
    </row>
    <row r="21" spans="1:18" ht="21" customHeight="1" x14ac:dyDescent="0.15">
      <c r="A21" s="44">
        <v>47015</v>
      </c>
      <c r="B21" s="44">
        <v>1</v>
      </c>
      <c r="C21" s="58" t="str">
        <f t="shared" si="4"/>
        <v>47015_1</v>
      </c>
      <c r="D21" s="11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44">
        <v>20</v>
      </c>
      <c r="F21" s="44" t="s">
        <v>347</v>
      </c>
      <c r="G21" s="44">
        <v>123</v>
      </c>
      <c r="H21" s="44">
        <v>1</v>
      </c>
      <c r="I21" s="44">
        <v>1</v>
      </c>
      <c r="J21" s="44">
        <v>1</v>
      </c>
      <c r="K21" s="44">
        <v>0</v>
      </c>
      <c r="L21" s="44">
        <v>0</v>
      </c>
      <c r="M21" s="44">
        <v>0</v>
      </c>
      <c r="N21" s="44">
        <v>0</v>
      </c>
      <c r="O21" s="44">
        <v>1</v>
      </c>
      <c r="P21" s="44">
        <v>130</v>
      </c>
      <c r="Q21" s="44" t="s">
        <v>168</v>
      </c>
      <c r="R21" s="44" t="s">
        <v>169</v>
      </c>
    </row>
    <row r="22" spans="1:18" ht="21" customHeight="1" x14ac:dyDescent="0.15">
      <c r="A22" s="44">
        <v>47015</v>
      </c>
      <c r="B22" s="44">
        <v>1</v>
      </c>
      <c r="C22" s="58" t="str">
        <f t="shared" ref="C22" si="5">A22&amp; "_"&amp;B22</f>
        <v>47015_1</v>
      </c>
      <c r="D22" s="11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44">
        <v>21</v>
      </c>
      <c r="F22" s="44" t="s">
        <v>347</v>
      </c>
      <c r="G22" s="44">
        <v>125</v>
      </c>
      <c r="H22" s="44">
        <v>1</v>
      </c>
      <c r="I22" s="44">
        <v>1</v>
      </c>
      <c r="J22" s="44">
        <v>1</v>
      </c>
      <c r="K22" s="44">
        <v>0</v>
      </c>
      <c r="L22" s="44">
        <v>0</v>
      </c>
      <c r="M22" s="44">
        <v>0</v>
      </c>
      <c r="N22" s="44">
        <v>0</v>
      </c>
      <c r="O22" s="44">
        <v>1</v>
      </c>
      <c r="P22" s="44">
        <v>10</v>
      </c>
      <c r="Q22" s="44" t="s">
        <v>168</v>
      </c>
      <c r="R22" s="44" t="s">
        <v>169</v>
      </c>
    </row>
    <row r="23" spans="1:18" ht="21" customHeight="1" x14ac:dyDescent="0.15">
      <c r="A23" s="44">
        <v>47015</v>
      </c>
      <c r="B23" s="44">
        <v>1</v>
      </c>
      <c r="C23" s="58" t="str">
        <f t="shared" si="4"/>
        <v>47015_1</v>
      </c>
      <c r="D23" s="11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44">
        <v>22</v>
      </c>
      <c r="F23" t="s">
        <v>364</v>
      </c>
      <c r="G23" s="44">
        <v>707</v>
      </c>
      <c r="H23" s="44">
        <v>1</v>
      </c>
      <c r="I23" s="44">
        <v>1</v>
      </c>
      <c r="J23" s="44">
        <v>1</v>
      </c>
      <c r="K23" s="44">
        <v>0</v>
      </c>
      <c r="L23" s="44">
        <v>0</v>
      </c>
      <c r="M23" s="44">
        <v>0</v>
      </c>
      <c r="N23" s="44">
        <v>0</v>
      </c>
      <c r="O23" s="44">
        <v>1</v>
      </c>
      <c r="P23" s="44">
        <v>50</v>
      </c>
      <c r="Q23" s="44" t="s">
        <v>168</v>
      </c>
      <c r="R23" s="44" t="s">
        <v>169</v>
      </c>
    </row>
    <row r="24" spans="1:18" ht="21" customHeight="1" x14ac:dyDescent="0.15">
      <c r="A24" s="44">
        <v>47015</v>
      </c>
      <c r="B24" s="44">
        <v>1</v>
      </c>
      <c r="C24" s="58" t="str">
        <f t="shared" si="4"/>
        <v>47015_1</v>
      </c>
      <c r="D24" s="11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44">
        <v>23</v>
      </c>
      <c r="F24" t="s">
        <v>364</v>
      </c>
      <c r="G24" s="44">
        <v>707</v>
      </c>
      <c r="H24" s="44">
        <v>2</v>
      </c>
      <c r="I24" s="44">
        <v>1</v>
      </c>
      <c r="J24" s="44">
        <v>1</v>
      </c>
      <c r="K24" s="44">
        <v>0</v>
      </c>
      <c r="L24" s="44">
        <v>0</v>
      </c>
      <c r="M24" s="44">
        <v>0</v>
      </c>
      <c r="N24" s="44">
        <v>0</v>
      </c>
      <c r="O24" s="44">
        <v>1</v>
      </c>
      <c r="P24" s="44">
        <v>200</v>
      </c>
      <c r="Q24" s="44" t="s">
        <v>168</v>
      </c>
      <c r="R24" s="44" t="s">
        <v>169</v>
      </c>
    </row>
    <row r="25" spans="1:18" ht="21" customHeight="1" x14ac:dyDescent="0.15">
      <c r="A25" s="44">
        <v>47015</v>
      </c>
      <c r="B25" s="44">
        <v>1</v>
      </c>
      <c r="C25" s="58" t="str">
        <f t="shared" si="4"/>
        <v>47015_1</v>
      </c>
      <c r="D25" s="11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44">
        <v>24</v>
      </c>
      <c r="F25" t="s">
        <v>364</v>
      </c>
      <c r="G25" s="44">
        <v>707</v>
      </c>
      <c r="H25" s="44">
        <v>3</v>
      </c>
      <c r="I25" s="44">
        <v>1</v>
      </c>
      <c r="J25" s="44">
        <v>1</v>
      </c>
      <c r="K25" s="44">
        <v>0</v>
      </c>
      <c r="L25" s="44">
        <v>0</v>
      </c>
      <c r="M25" s="44">
        <v>0</v>
      </c>
      <c r="N25" s="44">
        <v>0</v>
      </c>
      <c r="O25" s="44">
        <v>1</v>
      </c>
      <c r="P25" s="44">
        <v>100</v>
      </c>
      <c r="Q25" s="44" t="s">
        <v>168</v>
      </c>
      <c r="R25" s="44" t="s">
        <v>169</v>
      </c>
    </row>
  </sheetData>
  <phoneticPr fontId="5"/>
  <dataValidations count="1">
    <dataValidation type="list" allowBlank="1" showInputMessage="1" showErrorMessage="1" sqref="F2:F5 F9:F13 F17:F22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L56" sqref="L56"/>
    </sheetView>
  </sheetViews>
  <sheetFormatPr baseColWidth="12" defaultColWidth="13" defaultRowHeight="15" outlineLevelCol="1" x14ac:dyDescent="0.15"/>
  <cols>
    <col min="1" max="1" width="13" style="7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63" t="s">
        <v>186</v>
      </c>
      <c r="B1" s="60" t="s">
        <v>187</v>
      </c>
      <c r="C1" s="64" t="s">
        <v>188</v>
      </c>
      <c r="D1" s="64" t="s">
        <v>33</v>
      </c>
      <c r="E1" s="60" t="s">
        <v>189</v>
      </c>
      <c r="F1" s="64" t="s">
        <v>190</v>
      </c>
      <c r="G1" s="64" t="s">
        <v>33</v>
      </c>
      <c r="H1" s="60" t="s">
        <v>191</v>
      </c>
      <c r="I1" s="78" t="s">
        <v>193</v>
      </c>
      <c r="J1" s="66" t="s">
        <v>126</v>
      </c>
      <c r="K1" s="65" t="s">
        <v>185</v>
      </c>
      <c r="L1" s="79" t="s">
        <v>184</v>
      </c>
      <c r="M1" s="67" t="s">
        <v>194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32"/>
  <sheetViews>
    <sheetView showGridLines="0" zoomScale="120" zoomScaleNormal="120" zoomScalePageLayoutView="120" workbookViewId="0">
      <pane ySplit="1" topLeftCell="A12" activePane="bottomLeft" state="frozen"/>
      <selection pane="bottomLeft" activeCell="M13" sqref="M13"/>
    </sheetView>
  </sheetViews>
  <sheetFormatPr baseColWidth="12" defaultColWidth="13" defaultRowHeight="60" customHeight="1" outlineLevelCol="1" x14ac:dyDescent="0.15"/>
  <cols>
    <col min="1" max="1" width="13" style="7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1" width="11.1640625" customWidth="1"/>
    <col min="12" max="12" width="19.33203125" customWidth="1"/>
    <col min="13" max="13" width="31.1640625" style="224" customWidth="1"/>
  </cols>
  <sheetData>
    <row r="1" spans="1:14" ht="14" customHeight="1" x14ac:dyDescent="0.15">
      <c r="A1" s="63" t="s">
        <v>186</v>
      </c>
      <c r="B1" s="60" t="s">
        <v>150</v>
      </c>
      <c r="C1" s="64" t="s">
        <v>188</v>
      </c>
      <c r="D1" s="64" t="s">
        <v>33</v>
      </c>
      <c r="E1" s="60" t="s">
        <v>189</v>
      </c>
      <c r="F1" s="64" t="s">
        <v>18</v>
      </c>
      <c r="G1" s="64" t="s">
        <v>33</v>
      </c>
      <c r="H1" s="60" t="s">
        <v>191</v>
      </c>
      <c r="I1" s="76" t="s">
        <v>192</v>
      </c>
      <c r="J1" s="78" t="s">
        <v>193</v>
      </c>
      <c r="K1" s="66" t="s">
        <v>126</v>
      </c>
      <c r="L1" s="65" t="s">
        <v>185</v>
      </c>
      <c r="M1" s="223" t="s">
        <v>184</v>
      </c>
      <c r="N1" s="67" t="s">
        <v>194</v>
      </c>
    </row>
    <row r="2" spans="1:14" ht="86" customHeight="1" x14ac:dyDescent="0.15">
      <c r="A2" s="68" t="s">
        <v>195</v>
      </c>
      <c r="B2" s="69">
        <f>floors!$C$2</f>
        <v>47015</v>
      </c>
      <c r="C2" s="70" t="str">
        <f ca="1">VLOOKUP($B2,OFFSET([2]quests!$A$1,0,0,COUNTA([2]quests!$A:$A),MATCH(C$1,[2]quests!$1:$1,0)-MATCH($B$1,[2]quests!$1:$1,0)+1),MATCH(C$1,[2]quests!$1:$1,0)-MATCH($B$1,[2]quests!$1:$1,0)+1,FALSE)</f>
        <v>後光射す白無垢装束</v>
      </c>
      <c r="D2" s="70" t="str">
        <f ca="1">VLOOKUP($B2,OFFSET([2]quests!$A$1,0,0,COUNTA([2]quests!$A:$A),MATCH(D$1,[2]quests!$1:$1,0)-MATCH($B$1,[2]quests!$1:$1,0)+1),MATCH(D$1,[2]quests!$1:$1,0)-MATCH($B$1,[2]quests!$1:$1,0)+1,FALSE)</f>
        <v>季節イベント</v>
      </c>
      <c r="E2" s="71">
        <v>1</v>
      </c>
      <c r="F2" s="70" t="str">
        <f ca="1">VLOOKUP($B2&amp;"_"&amp;$E2,OFFSET([2]stages!$A$1,0,0,COUNTA([2]stages!$A:$A),MATCH(F$1,[2]stages!$2:$2,0)-MATCH("temp_stage",[2]stages!$2:$2,0)+1),MATCH(F$1,[2]stages!$2:$2,0)-MATCH("temp_stage",[2]stages!$2:$2,0)+1,FALSE)</f>
        <v>【上級】後光射す白無垢装束</v>
      </c>
      <c r="G2" s="70" t="str">
        <f ca="1">VLOOKUP($B2&amp;"_"&amp;$E2,OFFSET([2]stages!$A$1,0,0,COUNTA([2]stages!$A:$A),MATCH(G$1,[2]stages!$2:$2,0)-MATCH("temp_stage",[2]stages!$2:$2,0)+1),MATCH(G$1,[2]stages!$2:$2,0)-MATCH("temp_stage",[2]stages!$2:$2,0)+1,FALSE)</f>
        <v>季節イベント</v>
      </c>
      <c r="H2" s="72">
        <v>1</v>
      </c>
      <c r="I2" s="77">
        <f>ROW()-1</f>
        <v>1</v>
      </c>
      <c r="J2" s="73" t="str">
        <f>B2&amp;TEXT(I2,"00")</f>
        <v>4701501</v>
      </c>
      <c r="K2" s="71" t="s">
        <v>196</v>
      </c>
      <c r="L2" s="74" t="s">
        <v>252</v>
      </c>
      <c r="M2" s="225" t="s">
        <v>430</v>
      </c>
      <c r="N2" s="44" t="s">
        <v>197</v>
      </c>
    </row>
    <row r="3" spans="1:14" ht="60" customHeight="1" x14ac:dyDescent="0.15">
      <c r="A3" s="68" t="s">
        <v>195</v>
      </c>
      <c r="B3" s="69">
        <f>floors!$C$2</f>
        <v>47015</v>
      </c>
      <c r="C3" s="70" t="str">
        <f ca="1">VLOOKUP($B3,OFFSET([2]quests!$A$1,0,0,COUNTA([2]quests!$A:$A),MATCH(C$1,[2]quests!$1:$1,0)-MATCH($B$1,[2]quests!$1:$1,0)+1),MATCH(C$1,[2]quests!$1:$1,0)-MATCH($B$1,[2]quests!$1:$1,0)+1,FALSE)</f>
        <v>後光射す白無垢装束</v>
      </c>
      <c r="D3" s="70" t="str">
        <f ca="1">VLOOKUP($B3,OFFSET([2]quests!$A$1,0,0,COUNTA([2]quests!$A:$A),MATCH(D$1,[2]quests!$1:$1,0)-MATCH($B$1,[2]quests!$1:$1,0)+1),MATCH(D$1,[2]quests!$1:$1,0)-MATCH($B$1,[2]quests!$1:$1,0)+1,FALSE)</f>
        <v>季節イベント</v>
      </c>
      <c r="E3" s="71">
        <v>1</v>
      </c>
      <c r="F3" s="70" t="str">
        <f ca="1">VLOOKUP($B3&amp;"_"&amp;$E3,OFFSET([2]stages!$A$1,0,0,COUNTA([2]stages!$A:$A),MATCH(F$1,[2]stages!$2:$2,0)-MATCH("temp_stage",[2]stages!$2:$2,0)+1),MATCH(F$1,[2]stages!$2:$2,0)-MATCH("temp_stage",[2]stages!$2:$2,0)+1,FALSE)</f>
        <v>【上級】後光射す白無垢装束</v>
      </c>
      <c r="G3" s="70" t="str">
        <f ca="1">VLOOKUP($B3&amp;"_"&amp;$E3,OFFSET([2]stages!$A$1,0,0,COUNTA([2]stages!$A:$A),MATCH(G$1,[2]stages!$2:$2,0)-MATCH("temp_stage",[2]stages!$2:$2,0)+1),MATCH(G$1,[2]stages!$2:$2,0)-MATCH("temp_stage",[2]stages!$2:$2,0)+1,FALSE)</f>
        <v>季節イベント</v>
      </c>
      <c r="H3" s="72">
        <v>2</v>
      </c>
      <c r="I3" s="77">
        <f t="shared" ref="I3:I31" si="0">ROW()-1</f>
        <v>2</v>
      </c>
      <c r="J3" s="73" t="str">
        <f t="shared" ref="J3:J31" si="1">B3&amp;TEXT(I3,"00")</f>
        <v>4701502</v>
      </c>
      <c r="K3" s="71" t="s">
        <v>196</v>
      </c>
      <c r="L3" s="74" t="s">
        <v>252</v>
      </c>
      <c r="M3" s="225" t="s">
        <v>474</v>
      </c>
      <c r="N3" s="44" t="s">
        <v>197</v>
      </c>
    </row>
    <row r="4" spans="1:14" ht="60" customHeight="1" x14ac:dyDescent="0.15">
      <c r="A4" s="68" t="s">
        <v>195</v>
      </c>
      <c r="B4" s="69">
        <f>floors!$C$2</f>
        <v>47015</v>
      </c>
      <c r="C4" s="70" t="str">
        <f ca="1">VLOOKUP($B4,OFFSET([2]quests!$A$1,0,0,COUNTA([2]quests!$A:$A),MATCH(C$1,[2]quests!$1:$1,0)-MATCH($B$1,[2]quests!$1:$1,0)+1),MATCH(C$1,[2]quests!$1:$1,0)-MATCH($B$1,[2]quests!$1:$1,0)+1,FALSE)</f>
        <v>後光射す白無垢装束</v>
      </c>
      <c r="D4" s="70" t="str">
        <f ca="1">VLOOKUP($B4,OFFSET([2]quests!$A$1,0,0,COUNTA([2]quests!$A:$A),MATCH(D$1,[2]quests!$1:$1,0)-MATCH($B$1,[2]quests!$1:$1,0)+1),MATCH(D$1,[2]quests!$1:$1,0)-MATCH($B$1,[2]quests!$1:$1,0)+1,FALSE)</f>
        <v>季節イベント</v>
      </c>
      <c r="E4" s="71">
        <v>1</v>
      </c>
      <c r="F4" s="70" t="str">
        <f ca="1">VLOOKUP($B4&amp;"_"&amp;$E4,OFFSET([2]stages!$A$1,0,0,COUNTA([2]stages!$A:$A),MATCH(F$1,[2]stages!$2:$2,0)-MATCH("temp_stage",[2]stages!$2:$2,0)+1),MATCH(F$1,[2]stages!$2:$2,0)-MATCH("temp_stage",[2]stages!$2:$2,0)+1,FALSE)</f>
        <v>【上級】後光射す白無垢装束</v>
      </c>
      <c r="G4" s="70" t="str">
        <f ca="1">VLOOKUP($B4&amp;"_"&amp;$E4,OFFSET([2]stages!$A$1,0,0,COUNTA([2]stages!$A:$A),MATCH(G$1,[2]stages!$2:$2,0)-MATCH("temp_stage",[2]stages!$2:$2,0)+1),MATCH(G$1,[2]stages!$2:$2,0)-MATCH("temp_stage",[2]stages!$2:$2,0)+1,FALSE)</f>
        <v>季節イベント</v>
      </c>
      <c r="H4" s="72">
        <v>2</v>
      </c>
      <c r="I4" s="77">
        <f t="shared" si="0"/>
        <v>3</v>
      </c>
      <c r="J4" s="73" t="str">
        <f t="shared" si="1"/>
        <v>4701503</v>
      </c>
      <c r="K4" s="71" t="s">
        <v>196</v>
      </c>
      <c r="L4" s="74" t="s">
        <v>252</v>
      </c>
      <c r="M4" s="225" t="s">
        <v>460</v>
      </c>
      <c r="N4" s="44" t="s">
        <v>197</v>
      </c>
    </row>
    <row r="5" spans="1:14" ht="60" customHeight="1" x14ac:dyDescent="0.15">
      <c r="A5" s="68" t="s">
        <v>195</v>
      </c>
      <c r="B5" s="69">
        <f>floors!$C$2</f>
        <v>47015</v>
      </c>
      <c r="C5" s="70" t="str">
        <f ca="1">VLOOKUP($B5,OFFSET([2]quests!$A$1,0,0,COUNTA([2]quests!$A:$A),MATCH(C$1,[2]quests!$1:$1,0)-MATCH($B$1,[2]quests!$1:$1,0)+1),MATCH(C$1,[2]quests!$1:$1,0)-MATCH($B$1,[2]quests!$1:$1,0)+1,FALSE)</f>
        <v>後光射す白無垢装束</v>
      </c>
      <c r="D5" s="70" t="str">
        <f ca="1">VLOOKUP($B5,OFFSET([2]quests!$A$1,0,0,COUNTA([2]quests!$A:$A),MATCH(D$1,[2]quests!$1:$1,0)-MATCH($B$1,[2]quests!$1:$1,0)+1),MATCH(D$1,[2]quests!$1:$1,0)-MATCH($B$1,[2]quests!$1:$1,0)+1,FALSE)</f>
        <v>季節イベント</v>
      </c>
      <c r="E5" s="71">
        <v>1</v>
      </c>
      <c r="F5" s="70" t="str">
        <f ca="1">VLOOKUP($B5&amp;"_"&amp;$E5,OFFSET([2]stages!$A$1,0,0,COUNTA([2]stages!$A:$A),MATCH(F$1,[2]stages!$2:$2,0)-MATCH("temp_stage",[2]stages!$2:$2,0)+1),MATCH(F$1,[2]stages!$2:$2,0)-MATCH("temp_stage",[2]stages!$2:$2,0)+1,FALSE)</f>
        <v>【上級】後光射す白無垢装束</v>
      </c>
      <c r="G5" s="70" t="str">
        <f ca="1">VLOOKUP($B5&amp;"_"&amp;$E5,OFFSET([2]stages!$A$1,0,0,COUNTA([2]stages!$A:$A),MATCH(G$1,[2]stages!$2:$2,0)-MATCH("temp_stage",[2]stages!$2:$2,0)+1),MATCH(G$1,[2]stages!$2:$2,0)-MATCH("temp_stage",[2]stages!$2:$2,0)+1,FALSE)</f>
        <v>季節イベント</v>
      </c>
      <c r="H5" s="72">
        <v>3</v>
      </c>
      <c r="I5" s="77">
        <f t="shared" si="0"/>
        <v>4</v>
      </c>
      <c r="J5" s="73" t="str">
        <f t="shared" si="1"/>
        <v>4701504</v>
      </c>
      <c r="K5" s="71" t="s">
        <v>196</v>
      </c>
      <c r="L5" s="74" t="s">
        <v>252</v>
      </c>
      <c r="M5" s="225" t="s">
        <v>340</v>
      </c>
      <c r="N5" s="44" t="s">
        <v>197</v>
      </c>
    </row>
    <row r="6" spans="1:14" ht="81" customHeight="1" x14ac:dyDescent="0.15">
      <c r="A6" s="68" t="s">
        <v>195</v>
      </c>
      <c r="B6" s="69">
        <f>floors!$C$2</f>
        <v>47015</v>
      </c>
      <c r="C6" s="70" t="str">
        <f ca="1">VLOOKUP($B6,OFFSET([2]quests!$A$1,0,0,COUNTA([2]quests!$A:$A),MATCH(C$1,[2]quests!$1:$1,0)-MATCH($B$1,[2]quests!$1:$1,0)+1),MATCH(C$1,[2]quests!$1:$1,0)-MATCH($B$1,[2]quests!$1:$1,0)+1,FALSE)</f>
        <v>後光射す白無垢装束</v>
      </c>
      <c r="D6" s="70" t="str">
        <f ca="1">VLOOKUP($B6,OFFSET([2]quests!$A$1,0,0,COUNTA([2]quests!$A:$A),MATCH(D$1,[2]quests!$1:$1,0)-MATCH($B$1,[2]quests!$1:$1,0)+1),MATCH(D$1,[2]quests!$1:$1,0)-MATCH($B$1,[2]quests!$1:$1,0)+1,FALSE)</f>
        <v>季節イベント</v>
      </c>
      <c r="E6" s="71">
        <v>1</v>
      </c>
      <c r="F6" s="70" t="str">
        <f ca="1">VLOOKUP($B6&amp;"_"&amp;$E6,OFFSET([2]stages!$A$1,0,0,COUNTA([2]stages!$A:$A),MATCH(F$1,[2]stages!$2:$2,0)-MATCH("temp_stage",[2]stages!$2:$2,0)+1),MATCH(F$1,[2]stages!$2:$2,0)-MATCH("temp_stage",[2]stages!$2:$2,0)+1,FALSE)</f>
        <v>【上級】後光射す白無垢装束</v>
      </c>
      <c r="G6" s="70" t="str">
        <f ca="1">VLOOKUP($B6&amp;"_"&amp;$E6,OFFSET([2]stages!$A$1,0,0,COUNTA([2]stages!$A:$A),MATCH(G$1,[2]stages!$2:$2,0)-MATCH("temp_stage",[2]stages!$2:$2,0)+1),MATCH(G$1,[2]stages!$2:$2,0)-MATCH("temp_stage",[2]stages!$2:$2,0)+1,FALSE)</f>
        <v>季節イベント</v>
      </c>
      <c r="H6" s="72">
        <v>3</v>
      </c>
      <c r="I6" s="77">
        <f t="shared" si="0"/>
        <v>5</v>
      </c>
      <c r="J6" s="73" t="str">
        <f t="shared" si="1"/>
        <v>4701505</v>
      </c>
      <c r="K6" s="71" t="s">
        <v>196</v>
      </c>
      <c r="L6" s="74" t="s">
        <v>252</v>
      </c>
      <c r="M6" s="225" t="s">
        <v>341</v>
      </c>
      <c r="N6" s="44" t="s">
        <v>197</v>
      </c>
    </row>
    <row r="7" spans="1:14" ht="60" customHeight="1" x14ac:dyDescent="0.15">
      <c r="A7" s="68" t="s">
        <v>195</v>
      </c>
      <c r="B7" s="69">
        <f>floors!$C$2</f>
        <v>47015</v>
      </c>
      <c r="C7" s="70" t="str">
        <f ca="1">VLOOKUP($B7,OFFSET([2]quests!$A$1,0,0,COUNTA([2]quests!$A:$A),MATCH(C$1,[2]quests!$1:$1,0)-MATCH($B$1,[2]quests!$1:$1,0)+1),MATCH(C$1,[2]quests!$1:$1,0)-MATCH($B$1,[2]quests!$1:$1,0)+1,FALSE)</f>
        <v>後光射す白無垢装束</v>
      </c>
      <c r="D7" s="70" t="str">
        <f ca="1">VLOOKUP($B7,OFFSET([2]quests!$A$1,0,0,COUNTA([2]quests!$A:$A),MATCH(D$1,[2]quests!$1:$1,0)-MATCH($B$1,[2]quests!$1:$1,0)+1),MATCH(D$1,[2]quests!$1:$1,0)-MATCH($B$1,[2]quests!$1:$1,0)+1,FALSE)</f>
        <v>季節イベント</v>
      </c>
      <c r="E7" s="71">
        <v>1</v>
      </c>
      <c r="F7" s="70" t="str">
        <f ca="1">VLOOKUP($B7&amp;"_"&amp;$E7,OFFSET([2]stages!$A$1,0,0,COUNTA([2]stages!$A:$A),MATCH(F$1,[2]stages!$2:$2,0)-MATCH("temp_stage",[2]stages!$2:$2,0)+1),MATCH(F$1,[2]stages!$2:$2,0)-MATCH("temp_stage",[2]stages!$2:$2,0)+1,FALSE)</f>
        <v>【上級】後光射す白無垢装束</v>
      </c>
      <c r="G7" s="70" t="str">
        <f ca="1">VLOOKUP($B7&amp;"_"&amp;$E7,OFFSET([2]stages!$A$1,0,0,COUNTA([2]stages!$A:$A),MATCH(G$1,[2]stages!$2:$2,0)-MATCH("temp_stage",[2]stages!$2:$2,0)+1),MATCH(G$1,[2]stages!$2:$2,0)-MATCH("temp_stage",[2]stages!$2:$2,0)+1,FALSE)</f>
        <v>季節イベント</v>
      </c>
      <c r="H7" s="72">
        <v>3</v>
      </c>
      <c r="I7" s="77">
        <f t="shared" si="0"/>
        <v>6</v>
      </c>
      <c r="J7" s="73" t="str">
        <f t="shared" si="1"/>
        <v>4701506</v>
      </c>
      <c r="K7" s="71" t="s">
        <v>196</v>
      </c>
      <c r="L7" s="74" t="s">
        <v>252</v>
      </c>
      <c r="M7" s="225" t="s">
        <v>342</v>
      </c>
      <c r="N7" s="44" t="s">
        <v>197</v>
      </c>
    </row>
    <row r="8" spans="1:14" ht="60" customHeight="1" x14ac:dyDescent="0.15">
      <c r="A8" s="68" t="s">
        <v>198</v>
      </c>
      <c r="B8" s="69">
        <f>floors!$C$2</f>
        <v>47015</v>
      </c>
      <c r="C8" s="70" t="str">
        <f ca="1">VLOOKUP($B8,OFFSET([2]quests!$A$1,0,0,COUNTA([2]quests!$A:$A),MATCH(C$1,[2]quests!$1:$1,0)-MATCH($B$1,[2]quests!$1:$1,0)+1),MATCH(C$1,[2]quests!$1:$1,0)-MATCH($B$1,[2]quests!$1:$1,0)+1,FALSE)</f>
        <v>後光射す白無垢装束</v>
      </c>
      <c r="D8" s="70" t="str">
        <f ca="1">VLOOKUP($B8,OFFSET([2]quests!$A$1,0,0,COUNTA([2]quests!$A:$A),MATCH(D$1,[2]quests!$1:$1,0)-MATCH($B$1,[2]quests!$1:$1,0)+1),MATCH(D$1,[2]quests!$1:$1,0)-MATCH($B$1,[2]quests!$1:$1,0)+1,FALSE)</f>
        <v>季節イベント</v>
      </c>
      <c r="E8" s="71">
        <v>1</v>
      </c>
      <c r="F8" s="70" t="str">
        <f ca="1">VLOOKUP($B8&amp;"_"&amp;$E8,OFFSET([2]stages!$A$1,0,0,COUNTA([2]stages!$A:$A),MATCH(F$1,[2]stages!$2:$2,0)-MATCH("temp_stage",[2]stages!$2:$2,0)+1),MATCH(F$1,[2]stages!$2:$2,0)-MATCH("temp_stage",[2]stages!$2:$2,0)+1,FALSE)</f>
        <v>【上級】後光射す白無垢装束</v>
      </c>
      <c r="G8" s="70" t="str">
        <f ca="1">VLOOKUP($B8&amp;"_"&amp;$E8,OFFSET([2]stages!$A$1,0,0,COUNTA([2]stages!$A:$A),MATCH(G$1,[2]stages!$2:$2,0)-MATCH("temp_stage",[2]stages!$2:$2,0)+1),MATCH(G$1,[2]stages!$2:$2,0)-MATCH("temp_stage",[2]stages!$2:$2,0)+1,FALSE)</f>
        <v>季節イベント</v>
      </c>
      <c r="H8" s="72">
        <v>0</v>
      </c>
      <c r="I8" s="77">
        <f t="shared" si="0"/>
        <v>7</v>
      </c>
      <c r="J8" s="73" t="str">
        <f t="shared" si="1"/>
        <v>4701507</v>
      </c>
      <c r="K8" s="71" t="s">
        <v>196</v>
      </c>
      <c r="L8" s="74" t="s">
        <v>338</v>
      </c>
      <c r="M8" s="225" t="s">
        <v>339</v>
      </c>
      <c r="N8" s="44" t="s">
        <v>197</v>
      </c>
    </row>
    <row r="9" spans="1:14" ht="60" customHeight="1" x14ac:dyDescent="0.15">
      <c r="A9" s="68" t="s">
        <v>198</v>
      </c>
      <c r="B9" s="69">
        <f>floors!$C$2</f>
        <v>47015</v>
      </c>
      <c r="C9" s="70" t="str">
        <f ca="1">VLOOKUP($B9,OFFSET([2]quests!$A$1,0,0,COUNTA([2]quests!$A:$A),MATCH(C$1,[2]quests!$1:$1,0)-MATCH($B$1,[2]quests!$1:$1,0)+1),MATCH(C$1,[2]quests!$1:$1,0)-MATCH($B$1,[2]quests!$1:$1,0)+1,FALSE)</f>
        <v>後光射す白無垢装束</v>
      </c>
      <c r="D9" s="70" t="str">
        <f ca="1">VLOOKUP($B9,OFFSET([2]quests!$A$1,0,0,COUNTA([2]quests!$A:$A),MATCH(D$1,[2]quests!$1:$1,0)-MATCH($B$1,[2]quests!$1:$1,0)+1),MATCH(D$1,[2]quests!$1:$1,0)-MATCH($B$1,[2]quests!$1:$1,0)+1,FALSE)</f>
        <v>季節イベント</v>
      </c>
      <c r="E9" s="71">
        <v>1</v>
      </c>
      <c r="F9" s="70" t="str">
        <f ca="1">VLOOKUP($B9&amp;"_"&amp;$E9,OFFSET([2]stages!$A$1,0,0,COUNTA([2]stages!$A:$A),MATCH(F$1,[2]stages!$2:$2,0)-MATCH("temp_stage",[2]stages!$2:$2,0)+1),MATCH(F$1,[2]stages!$2:$2,0)-MATCH("temp_stage",[2]stages!$2:$2,0)+1,FALSE)</f>
        <v>【上級】後光射す白無垢装束</v>
      </c>
      <c r="G9" s="70" t="str">
        <f ca="1">VLOOKUP($B9&amp;"_"&amp;$E9,OFFSET([2]stages!$A$1,0,0,COUNTA([2]stages!$A:$A),MATCH(G$1,[2]stages!$2:$2,0)-MATCH("temp_stage",[2]stages!$2:$2,0)+1),MATCH(G$1,[2]stages!$2:$2,0)-MATCH("temp_stage",[2]stages!$2:$2,0)+1,FALSE)</f>
        <v>季節イベント</v>
      </c>
      <c r="H9" s="72">
        <v>0</v>
      </c>
      <c r="I9" s="77">
        <f t="shared" si="0"/>
        <v>8</v>
      </c>
      <c r="J9" s="73" t="str">
        <f t="shared" si="1"/>
        <v>4701508</v>
      </c>
      <c r="K9" s="71" t="s">
        <v>196</v>
      </c>
      <c r="L9" s="74" t="s">
        <v>343</v>
      </c>
      <c r="M9" s="225" t="s">
        <v>348</v>
      </c>
      <c r="N9" s="44" t="s">
        <v>197</v>
      </c>
    </row>
    <row r="10" spans="1:14" ht="60" customHeight="1" x14ac:dyDescent="0.15">
      <c r="A10" s="68" t="s">
        <v>198</v>
      </c>
      <c r="B10" s="69">
        <f>floors!$C$2</f>
        <v>47015</v>
      </c>
      <c r="C10" s="70" t="str">
        <f ca="1">VLOOKUP($B10,OFFSET([2]quests!$A$1,0,0,COUNTA([2]quests!$A:$A),MATCH(C$1,[2]quests!$1:$1,0)-MATCH($B$1,[2]quests!$1:$1,0)+1),MATCH(C$1,[2]quests!$1:$1,0)-MATCH($B$1,[2]quests!$1:$1,0)+1,FALSE)</f>
        <v>後光射す白無垢装束</v>
      </c>
      <c r="D10" s="70" t="str">
        <f ca="1">VLOOKUP($B10,OFFSET([2]quests!$A$1,0,0,COUNTA([2]quests!$A:$A),MATCH(D$1,[2]quests!$1:$1,0)-MATCH($B$1,[2]quests!$1:$1,0)+1),MATCH(D$1,[2]quests!$1:$1,0)-MATCH($B$1,[2]quests!$1:$1,0)+1,FALSE)</f>
        <v>季節イベント</v>
      </c>
      <c r="E10" s="71">
        <v>1</v>
      </c>
      <c r="F10" s="70" t="str">
        <f ca="1">VLOOKUP($B10&amp;"_"&amp;$E10,OFFSET([2]stages!$A$1,0,0,COUNTA([2]stages!$A:$A),MATCH(F$1,[2]stages!$2:$2,0)-MATCH("temp_stage",[2]stages!$2:$2,0)+1),MATCH(F$1,[2]stages!$2:$2,0)-MATCH("temp_stage",[2]stages!$2:$2,0)+1,FALSE)</f>
        <v>【上級】後光射す白無垢装束</v>
      </c>
      <c r="G10" s="70" t="str">
        <f ca="1">VLOOKUP($B10&amp;"_"&amp;$E10,OFFSET([2]stages!$A$1,0,0,COUNTA([2]stages!$A:$A),MATCH(G$1,[2]stages!$2:$2,0)-MATCH("temp_stage",[2]stages!$2:$2,0)+1),MATCH(G$1,[2]stages!$2:$2,0)-MATCH("temp_stage",[2]stages!$2:$2,0)+1,FALSE)</f>
        <v>季節イベント</v>
      </c>
      <c r="H10" s="72">
        <v>0</v>
      </c>
      <c r="I10" s="77">
        <f t="shared" si="0"/>
        <v>9</v>
      </c>
      <c r="J10" s="73" t="str">
        <f t="shared" si="1"/>
        <v>4701509</v>
      </c>
      <c r="K10" s="71" t="s">
        <v>196</v>
      </c>
      <c r="L10" s="74" t="s">
        <v>355</v>
      </c>
      <c r="M10" s="225" t="s">
        <v>367</v>
      </c>
      <c r="N10" s="44" t="s">
        <v>197</v>
      </c>
    </row>
    <row r="11" spans="1:14" ht="81" customHeight="1" x14ac:dyDescent="0.15">
      <c r="A11" s="68" t="s">
        <v>198</v>
      </c>
      <c r="B11" s="69">
        <f>floors!$C$2</f>
        <v>47015</v>
      </c>
      <c r="C11" s="70" t="str">
        <f ca="1">VLOOKUP($B11,OFFSET([2]quests!$A$1,0,0,COUNTA([2]quests!$A:$A),MATCH(C$1,[2]quests!$1:$1,0)-MATCH($B$1,[2]quests!$1:$1,0)+1),MATCH(C$1,[2]quests!$1:$1,0)-MATCH($B$1,[2]quests!$1:$1,0)+1,FALSE)</f>
        <v>後光射す白無垢装束</v>
      </c>
      <c r="D11" s="70" t="str">
        <f ca="1">VLOOKUP($B11,OFFSET([2]quests!$A$1,0,0,COUNTA([2]quests!$A:$A),MATCH(D$1,[2]quests!$1:$1,0)-MATCH($B$1,[2]quests!$1:$1,0)+1),MATCH(D$1,[2]quests!$1:$1,0)-MATCH($B$1,[2]quests!$1:$1,0)+1,FALSE)</f>
        <v>季節イベント</v>
      </c>
      <c r="E11" s="71">
        <v>1</v>
      </c>
      <c r="F11" s="70" t="str">
        <f ca="1">VLOOKUP($B11&amp;"_"&amp;$E11,OFFSET([2]stages!$A$1,0,0,COUNTA([2]stages!$A:$A),MATCH(F$1,[2]stages!$2:$2,0)-MATCH("temp_stage",[2]stages!$2:$2,0)+1),MATCH(F$1,[2]stages!$2:$2,0)-MATCH("temp_stage",[2]stages!$2:$2,0)+1,FALSE)</f>
        <v>【上級】後光射す白無垢装束</v>
      </c>
      <c r="G11" s="70" t="str">
        <f ca="1">VLOOKUP($B11&amp;"_"&amp;$E11,OFFSET([2]stages!$A$1,0,0,COUNTA([2]stages!$A:$A),MATCH(G$1,[2]stages!$2:$2,0)-MATCH("temp_stage",[2]stages!$2:$2,0)+1),MATCH(G$1,[2]stages!$2:$2,0)-MATCH("temp_stage",[2]stages!$2:$2,0)+1,FALSE)</f>
        <v>季節イベント</v>
      </c>
      <c r="H11" s="72">
        <v>0</v>
      </c>
      <c r="I11" s="77">
        <f t="shared" si="0"/>
        <v>10</v>
      </c>
      <c r="J11" s="73" t="str">
        <f t="shared" ref="J11" si="2">B11&amp;TEXT(I11,"00")</f>
        <v>4701510</v>
      </c>
      <c r="K11" s="71" t="s">
        <v>127</v>
      </c>
      <c r="L11" s="74" t="s">
        <v>362</v>
      </c>
      <c r="M11" s="225" t="s">
        <v>356</v>
      </c>
      <c r="N11" s="44" t="s">
        <v>197</v>
      </c>
    </row>
    <row r="12" spans="1:14" ht="74" customHeight="1" x14ac:dyDescent="0.15">
      <c r="A12" s="68" t="s">
        <v>195</v>
      </c>
      <c r="B12" s="69">
        <f>floors!$C$2</f>
        <v>47015</v>
      </c>
      <c r="C12" s="70" t="str">
        <f ca="1">VLOOKUP($B12,OFFSET([2]quests!$A$1,0,0,COUNTA([2]quests!$A:$A),MATCH(C$1,[2]quests!$1:$1,0)-MATCH($B$1,[2]quests!$1:$1,0)+1),MATCH(C$1,[2]quests!$1:$1,0)-MATCH($B$1,[2]quests!$1:$1,0)+1,FALSE)</f>
        <v>後光射す白無垢装束</v>
      </c>
      <c r="D12" s="70" t="str">
        <f ca="1">VLOOKUP($B12,OFFSET([2]quests!$A$1,0,0,COUNTA([2]quests!$A:$A),MATCH(D$1,[2]quests!$1:$1,0)-MATCH($B$1,[2]quests!$1:$1,0)+1),MATCH(D$1,[2]quests!$1:$1,0)-MATCH($B$1,[2]quests!$1:$1,0)+1,FALSE)</f>
        <v>季節イベント</v>
      </c>
      <c r="E12" s="71">
        <v>2</v>
      </c>
      <c r="F12" s="70" t="str">
        <f ca="1">VLOOKUP($B12&amp;"_"&amp;$E12,OFFSET([2]stages!$A$1,0,0,COUNTA([2]stages!$A:$A),MATCH(F$1,[2]stages!$2:$2,0)-MATCH("temp_stage",[2]stages!$2:$2,0)+1),MATCH(F$1,[2]stages!$2:$2,0)-MATCH("temp_stage",[2]stages!$2:$2,0)+1,FALSE)</f>
        <v>【超級】後光射す白無垢装束</v>
      </c>
      <c r="G12" s="70" t="str">
        <f ca="1">VLOOKUP($B12&amp;"_"&amp;$E12,OFFSET([2]stages!$A$1,0,0,COUNTA([2]stages!$A:$A),MATCH(G$1,[2]stages!$2:$2,0)-MATCH("temp_stage",[2]stages!$2:$2,0)+1),MATCH(G$1,[2]stages!$2:$2,0)-MATCH("temp_stage",[2]stages!$2:$2,0)+1,FALSE)</f>
        <v>季節イベント</v>
      </c>
      <c r="H12" s="72">
        <v>1</v>
      </c>
      <c r="I12" s="77">
        <f t="shared" si="0"/>
        <v>11</v>
      </c>
      <c r="J12" s="73" t="str">
        <f t="shared" si="1"/>
        <v>4701511</v>
      </c>
      <c r="K12" s="71" t="s">
        <v>196</v>
      </c>
      <c r="L12" s="74" t="s">
        <v>252</v>
      </c>
      <c r="M12" s="225" t="s">
        <v>430</v>
      </c>
      <c r="N12" s="44" t="s">
        <v>197</v>
      </c>
    </row>
    <row r="13" spans="1:14" ht="60" customHeight="1" x14ac:dyDescent="0.15">
      <c r="A13" s="68" t="s">
        <v>195</v>
      </c>
      <c r="B13" s="69">
        <f>floors!$C$2</f>
        <v>47015</v>
      </c>
      <c r="C13" s="70" t="str">
        <f ca="1">VLOOKUP($B13,OFFSET([2]quests!$A$1,0,0,COUNTA([2]quests!$A:$A),MATCH(C$1,[2]quests!$1:$1,0)-MATCH($B$1,[2]quests!$1:$1,0)+1),MATCH(C$1,[2]quests!$1:$1,0)-MATCH($B$1,[2]quests!$1:$1,0)+1,FALSE)</f>
        <v>後光射す白無垢装束</v>
      </c>
      <c r="D13" s="70" t="str">
        <f ca="1">VLOOKUP($B13,OFFSET([2]quests!$A$1,0,0,COUNTA([2]quests!$A:$A),MATCH(D$1,[2]quests!$1:$1,0)-MATCH($B$1,[2]quests!$1:$1,0)+1),MATCH(D$1,[2]quests!$1:$1,0)-MATCH($B$1,[2]quests!$1:$1,0)+1,FALSE)</f>
        <v>季節イベント</v>
      </c>
      <c r="E13" s="71">
        <v>2</v>
      </c>
      <c r="F13" s="70" t="str">
        <f ca="1">VLOOKUP($B13&amp;"_"&amp;$E13,OFFSET([2]stages!$A$1,0,0,COUNTA([2]stages!$A:$A),MATCH(F$1,[2]stages!$2:$2,0)-MATCH("temp_stage",[2]stages!$2:$2,0)+1),MATCH(F$1,[2]stages!$2:$2,0)-MATCH("temp_stage",[2]stages!$2:$2,0)+1,FALSE)</f>
        <v>【超級】後光射す白無垢装束</v>
      </c>
      <c r="G13" s="70" t="str">
        <f ca="1">VLOOKUP($B13&amp;"_"&amp;$E13,OFFSET([2]stages!$A$1,0,0,COUNTA([2]stages!$A:$A),MATCH(G$1,[2]stages!$2:$2,0)-MATCH("temp_stage",[2]stages!$2:$2,0)+1),MATCH(G$1,[2]stages!$2:$2,0)-MATCH("temp_stage",[2]stages!$2:$2,0)+1,FALSE)</f>
        <v>季節イベント</v>
      </c>
      <c r="H13" s="72">
        <v>2</v>
      </c>
      <c r="I13" s="77">
        <f t="shared" si="0"/>
        <v>12</v>
      </c>
      <c r="J13" s="73" t="str">
        <f t="shared" si="1"/>
        <v>4701512</v>
      </c>
      <c r="K13" s="71" t="s">
        <v>196</v>
      </c>
      <c r="L13" s="74" t="s">
        <v>252</v>
      </c>
      <c r="M13" s="225" t="s">
        <v>474</v>
      </c>
      <c r="N13" s="44" t="s">
        <v>197</v>
      </c>
    </row>
    <row r="14" spans="1:14" ht="60" customHeight="1" x14ac:dyDescent="0.15">
      <c r="A14" s="68" t="s">
        <v>195</v>
      </c>
      <c r="B14" s="69">
        <f>floors!$C$2</f>
        <v>47015</v>
      </c>
      <c r="C14" s="70" t="str">
        <f ca="1">VLOOKUP($B14,OFFSET([2]quests!$A$1,0,0,COUNTA([2]quests!$A:$A),MATCH(C$1,[2]quests!$1:$1,0)-MATCH($B$1,[2]quests!$1:$1,0)+1),MATCH(C$1,[2]quests!$1:$1,0)-MATCH($B$1,[2]quests!$1:$1,0)+1,FALSE)</f>
        <v>後光射す白無垢装束</v>
      </c>
      <c r="D14" s="70" t="str">
        <f ca="1">VLOOKUP($B14,OFFSET([2]quests!$A$1,0,0,COUNTA([2]quests!$A:$A),MATCH(D$1,[2]quests!$1:$1,0)-MATCH($B$1,[2]quests!$1:$1,0)+1),MATCH(D$1,[2]quests!$1:$1,0)-MATCH($B$1,[2]quests!$1:$1,0)+1,FALSE)</f>
        <v>季節イベント</v>
      </c>
      <c r="E14" s="71">
        <v>2</v>
      </c>
      <c r="F14" s="70" t="str">
        <f ca="1">VLOOKUP($B14&amp;"_"&amp;$E14,OFFSET([2]stages!$A$1,0,0,COUNTA([2]stages!$A:$A),MATCH(F$1,[2]stages!$2:$2,0)-MATCH("temp_stage",[2]stages!$2:$2,0)+1),MATCH(F$1,[2]stages!$2:$2,0)-MATCH("temp_stage",[2]stages!$2:$2,0)+1,FALSE)</f>
        <v>【超級】後光射す白無垢装束</v>
      </c>
      <c r="G14" s="70" t="str">
        <f ca="1">VLOOKUP($B14&amp;"_"&amp;$E14,OFFSET([2]stages!$A$1,0,0,COUNTA([2]stages!$A:$A),MATCH(G$1,[2]stages!$2:$2,0)-MATCH("temp_stage",[2]stages!$2:$2,0)+1),MATCH(G$1,[2]stages!$2:$2,0)-MATCH("temp_stage",[2]stages!$2:$2,0)+1,FALSE)</f>
        <v>季節イベント</v>
      </c>
      <c r="H14" s="72">
        <v>2</v>
      </c>
      <c r="I14" s="77">
        <f t="shared" si="0"/>
        <v>13</v>
      </c>
      <c r="J14" s="73" t="str">
        <f t="shared" si="1"/>
        <v>4701513</v>
      </c>
      <c r="K14" s="71" t="s">
        <v>196</v>
      </c>
      <c r="L14" s="74" t="s">
        <v>252</v>
      </c>
      <c r="M14" s="225" t="s">
        <v>460</v>
      </c>
      <c r="N14" s="44" t="s">
        <v>197</v>
      </c>
    </row>
    <row r="15" spans="1:14" ht="60" customHeight="1" x14ac:dyDescent="0.15">
      <c r="A15" s="68" t="s">
        <v>195</v>
      </c>
      <c r="B15" s="69">
        <f>floors!$C$2</f>
        <v>47015</v>
      </c>
      <c r="C15" s="70" t="str">
        <f ca="1">VLOOKUP($B15,OFFSET([2]quests!$A$1,0,0,COUNTA([2]quests!$A:$A),MATCH(C$1,[2]quests!$1:$1,0)-MATCH($B$1,[2]quests!$1:$1,0)+1),MATCH(C$1,[2]quests!$1:$1,0)-MATCH($B$1,[2]quests!$1:$1,0)+1,FALSE)</f>
        <v>後光射す白無垢装束</v>
      </c>
      <c r="D15" s="70" t="str">
        <f ca="1">VLOOKUP($B15,OFFSET([2]quests!$A$1,0,0,COUNTA([2]quests!$A:$A),MATCH(D$1,[2]quests!$1:$1,0)-MATCH($B$1,[2]quests!$1:$1,0)+1),MATCH(D$1,[2]quests!$1:$1,0)-MATCH($B$1,[2]quests!$1:$1,0)+1,FALSE)</f>
        <v>季節イベント</v>
      </c>
      <c r="E15" s="71">
        <v>2</v>
      </c>
      <c r="F15" s="70" t="str">
        <f ca="1">VLOOKUP($B15&amp;"_"&amp;$E15,OFFSET([2]stages!$A$1,0,0,COUNTA([2]stages!$A:$A),MATCH(F$1,[2]stages!$2:$2,0)-MATCH("temp_stage",[2]stages!$2:$2,0)+1),MATCH(F$1,[2]stages!$2:$2,0)-MATCH("temp_stage",[2]stages!$2:$2,0)+1,FALSE)</f>
        <v>【超級】後光射す白無垢装束</v>
      </c>
      <c r="G15" s="70" t="str">
        <f ca="1">VLOOKUP($B15&amp;"_"&amp;$E15,OFFSET([2]stages!$A$1,0,0,COUNTA([2]stages!$A:$A),MATCH(G$1,[2]stages!$2:$2,0)-MATCH("temp_stage",[2]stages!$2:$2,0)+1),MATCH(G$1,[2]stages!$2:$2,0)-MATCH("temp_stage",[2]stages!$2:$2,0)+1,FALSE)</f>
        <v>季節イベント</v>
      </c>
      <c r="H15" s="72">
        <v>3</v>
      </c>
      <c r="I15" s="77">
        <f t="shared" si="0"/>
        <v>14</v>
      </c>
      <c r="J15" s="73" t="str">
        <f t="shared" si="1"/>
        <v>4701514</v>
      </c>
      <c r="K15" s="71" t="s">
        <v>196</v>
      </c>
      <c r="L15" s="74" t="s">
        <v>252</v>
      </c>
      <c r="M15" s="225" t="s">
        <v>340</v>
      </c>
      <c r="N15" s="44" t="s">
        <v>197</v>
      </c>
    </row>
    <row r="16" spans="1:14" ht="60" customHeight="1" x14ac:dyDescent="0.15">
      <c r="A16" s="68" t="s">
        <v>195</v>
      </c>
      <c r="B16" s="69">
        <f>floors!$C$2</f>
        <v>47015</v>
      </c>
      <c r="C16" s="70" t="str">
        <f ca="1">VLOOKUP($B16,OFFSET([2]quests!$A$1,0,0,COUNTA([2]quests!$A:$A),MATCH(C$1,[2]quests!$1:$1,0)-MATCH($B$1,[2]quests!$1:$1,0)+1),MATCH(C$1,[2]quests!$1:$1,0)-MATCH($B$1,[2]quests!$1:$1,0)+1,FALSE)</f>
        <v>後光射す白無垢装束</v>
      </c>
      <c r="D16" s="70" t="str">
        <f ca="1">VLOOKUP($B16,OFFSET([2]quests!$A$1,0,0,COUNTA([2]quests!$A:$A),MATCH(D$1,[2]quests!$1:$1,0)-MATCH($B$1,[2]quests!$1:$1,0)+1),MATCH(D$1,[2]quests!$1:$1,0)-MATCH($B$1,[2]quests!$1:$1,0)+1,FALSE)</f>
        <v>季節イベント</v>
      </c>
      <c r="E16" s="71">
        <v>2</v>
      </c>
      <c r="F16" s="70" t="str">
        <f ca="1">VLOOKUP($B16&amp;"_"&amp;$E16,OFFSET([2]stages!$A$1,0,0,COUNTA([2]stages!$A:$A),MATCH(F$1,[2]stages!$2:$2,0)-MATCH("temp_stage",[2]stages!$2:$2,0)+1),MATCH(F$1,[2]stages!$2:$2,0)-MATCH("temp_stage",[2]stages!$2:$2,0)+1,FALSE)</f>
        <v>【超級】後光射す白無垢装束</v>
      </c>
      <c r="G16" s="70" t="str">
        <f ca="1">VLOOKUP($B16&amp;"_"&amp;$E16,OFFSET([2]stages!$A$1,0,0,COUNTA([2]stages!$A:$A),MATCH(G$1,[2]stages!$2:$2,0)-MATCH("temp_stage",[2]stages!$2:$2,0)+1),MATCH(G$1,[2]stages!$2:$2,0)-MATCH("temp_stage",[2]stages!$2:$2,0)+1,FALSE)</f>
        <v>季節イベント</v>
      </c>
      <c r="H16" s="72">
        <v>3</v>
      </c>
      <c r="I16" s="77">
        <f t="shared" si="0"/>
        <v>15</v>
      </c>
      <c r="J16" s="73" t="str">
        <f t="shared" si="1"/>
        <v>4701515</v>
      </c>
      <c r="K16" s="71" t="s">
        <v>196</v>
      </c>
      <c r="L16" s="74" t="s">
        <v>252</v>
      </c>
      <c r="M16" s="225" t="s">
        <v>341</v>
      </c>
      <c r="N16" s="44" t="s">
        <v>197</v>
      </c>
    </row>
    <row r="17" spans="1:14" ht="60" customHeight="1" x14ac:dyDescent="0.15">
      <c r="A17" s="68" t="s">
        <v>195</v>
      </c>
      <c r="B17" s="69">
        <f>floors!$C$2</f>
        <v>47015</v>
      </c>
      <c r="C17" s="70" t="str">
        <f ca="1">VLOOKUP($B17,OFFSET([2]quests!$A$1,0,0,COUNTA([2]quests!$A:$A),MATCH(C$1,[2]quests!$1:$1,0)-MATCH($B$1,[2]quests!$1:$1,0)+1),MATCH(C$1,[2]quests!$1:$1,0)-MATCH($B$1,[2]quests!$1:$1,0)+1,FALSE)</f>
        <v>後光射す白無垢装束</v>
      </c>
      <c r="D17" s="70" t="str">
        <f ca="1">VLOOKUP($B17,OFFSET([2]quests!$A$1,0,0,COUNTA([2]quests!$A:$A),MATCH(D$1,[2]quests!$1:$1,0)-MATCH($B$1,[2]quests!$1:$1,0)+1),MATCH(D$1,[2]quests!$1:$1,0)-MATCH($B$1,[2]quests!$1:$1,0)+1,FALSE)</f>
        <v>季節イベント</v>
      </c>
      <c r="E17" s="71">
        <v>2</v>
      </c>
      <c r="F17" s="70" t="str">
        <f ca="1">VLOOKUP($B17&amp;"_"&amp;$E17,OFFSET([2]stages!$A$1,0,0,COUNTA([2]stages!$A:$A),MATCH(F$1,[2]stages!$2:$2,0)-MATCH("temp_stage",[2]stages!$2:$2,0)+1),MATCH(F$1,[2]stages!$2:$2,0)-MATCH("temp_stage",[2]stages!$2:$2,0)+1,FALSE)</f>
        <v>【超級】後光射す白無垢装束</v>
      </c>
      <c r="G17" s="70" t="str">
        <f ca="1">VLOOKUP($B17&amp;"_"&amp;$E17,OFFSET([2]stages!$A$1,0,0,COUNTA([2]stages!$A:$A),MATCH(G$1,[2]stages!$2:$2,0)-MATCH("temp_stage",[2]stages!$2:$2,0)+1),MATCH(G$1,[2]stages!$2:$2,0)-MATCH("temp_stage",[2]stages!$2:$2,0)+1,FALSE)</f>
        <v>季節イベント</v>
      </c>
      <c r="H17" s="72">
        <v>3</v>
      </c>
      <c r="I17" s="77">
        <f t="shared" si="0"/>
        <v>16</v>
      </c>
      <c r="J17" s="73" t="str">
        <f t="shared" si="1"/>
        <v>4701516</v>
      </c>
      <c r="K17" s="71" t="s">
        <v>196</v>
      </c>
      <c r="L17" s="74" t="s">
        <v>252</v>
      </c>
      <c r="M17" s="225" t="s">
        <v>342</v>
      </c>
      <c r="N17" s="44" t="s">
        <v>197</v>
      </c>
    </row>
    <row r="18" spans="1:14" ht="60" customHeight="1" x14ac:dyDescent="0.15">
      <c r="A18" s="68" t="s">
        <v>198</v>
      </c>
      <c r="B18" s="69">
        <f>floors!$C$2</f>
        <v>47015</v>
      </c>
      <c r="C18" s="70" t="str">
        <f ca="1">VLOOKUP($B18,OFFSET([2]quests!$A$1,0,0,COUNTA([2]quests!$A:$A),MATCH(C$1,[2]quests!$1:$1,0)-MATCH($B$1,[2]quests!$1:$1,0)+1),MATCH(C$1,[2]quests!$1:$1,0)-MATCH($B$1,[2]quests!$1:$1,0)+1,FALSE)</f>
        <v>後光射す白無垢装束</v>
      </c>
      <c r="D18" s="70" t="str">
        <f ca="1">VLOOKUP($B18,OFFSET([2]quests!$A$1,0,0,COUNTA([2]quests!$A:$A),MATCH(D$1,[2]quests!$1:$1,0)-MATCH($B$1,[2]quests!$1:$1,0)+1),MATCH(D$1,[2]quests!$1:$1,0)-MATCH($B$1,[2]quests!$1:$1,0)+1,FALSE)</f>
        <v>季節イベント</v>
      </c>
      <c r="E18" s="71">
        <v>2</v>
      </c>
      <c r="F18" s="70" t="str">
        <f ca="1">VLOOKUP($B18&amp;"_"&amp;$E18,OFFSET([2]stages!$A$1,0,0,COUNTA([2]stages!$A:$A),MATCH(F$1,[2]stages!$2:$2,0)-MATCH("temp_stage",[2]stages!$2:$2,0)+1),MATCH(F$1,[2]stages!$2:$2,0)-MATCH("temp_stage",[2]stages!$2:$2,0)+1,FALSE)</f>
        <v>【超級】後光射す白無垢装束</v>
      </c>
      <c r="G18" s="70" t="str">
        <f ca="1">VLOOKUP($B18&amp;"_"&amp;$E18,OFFSET([2]stages!$A$1,0,0,COUNTA([2]stages!$A:$A),MATCH(G$1,[2]stages!$2:$2,0)-MATCH("temp_stage",[2]stages!$2:$2,0)+1),MATCH(G$1,[2]stages!$2:$2,0)-MATCH("temp_stage",[2]stages!$2:$2,0)+1,FALSE)</f>
        <v>季節イベント</v>
      </c>
      <c r="H18" s="72">
        <v>0</v>
      </c>
      <c r="I18" s="77">
        <f t="shared" si="0"/>
        <v>17</v>
      </c>
      <c r="J18" s="73" t="str">
        <f t="shared" si="1"/>
        <v>4701517</v>
      </c>
      <c r="K18" s="71" t="s">
        <v>196</v>
      </c>
      <c r="L18" s="74" t="s">
        <v>338</v>
      </c>
      <c r="M18" s="225" t="s">
        <v>339</v>
      </c>
      <c r="N18" s="44" t="s">
        <v>197</v>
      </c>
    </row>
    <row r="19" spans="1:14" ht="60" customHeight="1" x14ac:dyDescent="0.15">
      <c r="A19" s="68" t="s">
        <v>198</v>
      </c>
      <c r="B19" s="69">
        <f>floors!$C$2</f>
        <v>47015</v>
      </c>
      <c r="C19" s="70" t="str">
        <f ca="1">VLOOKUP($B19,OFFSET([2]quests!$A$1,0,0,COUNTA([2]quests!$A:$A),MATCH(C$1,[2]quests!$1:$1,0)-MATCH($B$1,[2]quests!$1:$1,0)+1),MATCH(C$1,[2]quests!$1:$1,0)-MATCH($B$1,[2]quests!$1:$1,0)+1,FALSE)</f>
        <v>後光射す白無垢装束</v>
      </c>
      <c r="D19" s="70" t="str">
        <f ca="1">VLOOKUP($B19,OFFSET([2]quests!$A$1,0,0,COUNTA([2]quests!$A:$A),MATCH(D$1,[2]quests!$1:$1,0)-MATCH($B$1,[2]quests!$1:$1,0)+1),MATCH(D$1,[2]quests!$1:$1,0)-MATCH($B$1,[2]quests!$1:$1,0)+1,FALSE)</f>
        <v>季節イベント</v>
      </c>
      <c r="E19" s="71">
        <v>2</v>
      </c>
      <c r="F19" s="70" t="str">
        <f ca="1">VLOOKUP($B19&amp;"_"&amp;$E19,OFFSET([2]stages!$A$1,0,0,COUNTA([2]stages!$A:$A),MATCH(F$1,[2]stages!$2:$2,0)-MATCH("temp_stage",[2]stages!$2:$2,0)+1),MATCH(F$1,[2]stages!$2:$2,0)-MATCH("temp_stage",[2]stages!$2:$2,0)+1,FALSE)</f>
        <v>【超級】後光射す白無垢装束</v>
      </c>
      <c r="G19" s="70" t="str">
        <f ca="1">VLOOKUP($B19&amp;"_"&amp;$E19,OFFSET([2]stages!$A$1,0,0,COUNTA([2]stages!$A:$A),MATCH(G$1,[2]stages!$2:$2,0)-MATCH("temp_stage",[2]stages!$2:$2,0)+1),MATCH(G$1,[2]stages!$2:$2,0)-MATCH("temp_stage",[2]stages!$2:$2,0)+1,FALSE)</f>
        <v>季節イベント</v>
      </c>
      <c r="H19" s="72">
        <v>0</v>
      </c>
      <c r="I19" s="77">
        <f t="shared" si="0"/>
        <v>18</v>
      </c>
      <c r="J19" s="73" t="str">
        <f t="shared" si="1"/>
        <v>4701518</v>
      </c>
      <c r="K19" s="71" t="s">
        <v>196</v>
      </c>
      <c r="L19" s="74" t="s">
        <v>343</v>
      </c>
      <c r="M19" s="225" t="s">
        <v>348</v>
      </c>
      <c r="N19" s="44" t="s">
        <v>197</v>
      </c>
    </row>
    <row r="20" spans="1:14" ht="60" customHeight="1" x14ac:dyDescent="0.15">
      <c r="A20" s="68" t="s">
        <v>198</v>
      </c>
      <c r="B20" s="69">
        <f>floors!$C$2</f>
        <v>47015</v>
      </c>
      <c r="C20" s="70" t="str">
        <f ca="1">VLOOKUP($B20,OFFSET([2]quests!$A$1,0,0,COUNTA([2]quests!$A:$A),MATCH(C$1,[2]quests!$1:$1,0)-MATCH($B$1,[2]quests!$1:$1,0)+1),MATCH(C$1,[2]quests!$1:$1,0)-MATCH($B$1,[2]quests!$1:$1,0)+1,FALSE)</f>
        <v>後光射す白無垢装束</v>
      </c>
      <c r="D20" s="70" t="str">
        <f ca="1">VLOOKUP($B20,OFFSET([2]quests!$A$1,0,0,COUNTA([2]quests!$A:$A),MATCH(D$1,[2]quests!$1:$1,0)-MATCH($B$1,[2]quests!$1:$1,0)+1),MATCH(D$1,[2]quests!$1:$1,0)-MATCH($B$1,[2]quests!$1:$1,0)+1,FALSE)</f>
        <v>季節イベント</v>
      </c>
      <c r="E20" s="71">
        <v>2</v>
      </c>
      <c r="F20" s="70" t="str">
        <f ca="1">VLOOKUP($B20&amp;"_"&amp;$E20,OFFSET([2]stages!$A$1,0,0,COUNTA([2]stages!$A:$A),MATCH(F$1,[2]stages!$2:$2,0)-MATCH("temp_stage",[2]stages!$2:$2,0)+1),MATCH(F$1,[2]stages!$2:$2,0)-MATCH("temp_stage",[2]stages!$2:$2,0)+1,FALSE)</f>
        <v>【超級】後光射す白無垢装束</v>
      </c>
      <c r="G20" s="70" t="str">
        <f ca="1">VLOOKUP($B20&amp;"_"&amp;$E20,OFFSET([2]stages!$A$1,0,0,COUNTA([2]stages!$A:$A),MATCH(G$1,[2]stages!$2:$2,0)-MATCH("temp_stage",[2]stages!$2:$2,0)+1),MATCH(G$1,[2]stages!$2:$2,0)-MATCH("temp_stage",[2]stages!$2:$2,0)+1,FALSE)</f>
        <v>季節イベント</v>
      </c>
      <c r="H20" s="72">
        <v>0</v>
      </c>
      <c r="I20" s="77">
        <f t="shared" si="0"/>
        <v>19</v>
      </c>
      <c r="J20" s="73" t="str">
        <f t="shared" si="1"/>
        <v>4701519</v>
      </c>
      <c r="K20" s="71" t="s">
        <v>196</v>
      </c>
      <c r="L20" s="74" t="s">
        <v>355</v>
      </c>
      <c r="M20" s="225" t="s">
        <v>454</v>
      </c>
      <c r="N20" s="44" t="s">
        <v>197</v>
      </c>
    </row>
    <row r="21" spans="1:14" ht="77" customHeight="1" x14ac:dyDescent="0.15">
      <c r="A21" s="68" t="s">
        <v>198</v>
      </c>
      <c r="B21" s="69">
        <f>floors!$C$2</f>
        <v>47015</v>
      </c>
      <c r="C21" s="70" t="str">
        <f ca="1">VLOOKUP($B21,OFFSET([2]quests!$A$1,0,0,COUNTA([2]quests!$A:$A),MATCH(C$1,[2]quests!$1:$1,0)-MATCH($B$1,[2]quests!$1:$1,0)+1),MATCH(C$1,[2]quests!$1:$1,0)-MATCH($B$1,[2]quests!$1:$1,0)+1,FALSE)</f>
        <v>後光射す白無垢装束</v>
      </c>
      <c r="D21" s="70" t="str">
        <f ca="1">VLOOKUP($B21,OFFSET([2]quests!$A$1,0,0,COUNTA([2]quests!$A:$A),MATCH(D$1,[2]quests!$1:$1,0)-MATCH($B$1,[2]quests!$1:$1,0)+1),MATCH(D$1,[2]quests!$1:$1,0)-MATCH($B$1,[2]quests!$1:$1,0)+1,FALSE)</f>
        <v>季節イベント</v>
      </c>
      <c r="E21" s="71">
        <v>2</v>
      </c>
      <c r="F21" s="70" t="str">
        <f ca="1">VLOOKUP($B21&amp;"_"&amp;$E21,OFFSET([2]stages!$A$1,0,0,COUNTA([2]stages!$A:$A),MATCH(F$1,[2]stages!$2:$2,0)-MATCH("temp_stage",[2]stages!$2:$2,0)+1),MATCH(F$1,[2]stages!$2:$2,0)-MATCH("temp_stage",[2]stages!$2:$2,0)+1,FALSE)</f>
        <v>【超級】後光射す白無垢装束</v>
      </c>
      <c r="G21" s="70" t="str">
        <f ca="1">VLOOKUP($B21&amp;"_"&amp;$E21,OFFSET([2]stages!$A$1,0,0,COUNTA([2]stages!$A:$A),MATCH(G$1,[2]stages!$2:$2,0)-MATCH("temp_stage",[2]stages!$2:$2,0)+1),MATCH(G$1,[2]stages!$2:$2,0)-MATCH("temp_stage",[2]stages!$2:$2,0)+1,FALSE)</f>
        <v>季節イベント</v>
      </c>
      <c r="H21" s="72">
        <v>0</v>
      </c>
      <c r="I21" s="77">
        <f t="shared" si="0"/>
        <v>20</v>
      </c>
      <c r="J21" s="73" t="str">
        <f t="shared" si="1"/>
        <v>4701520</v>
      </c>
      <c r="K21" s="71" t="s">
        <v>196</v>
      </c>
      <c r="L21" s="74" t="s">
        <v>362</v>
      </c>
      <c r="M21" s="225" t="s">
        <v>356</v>
      </c>
      <c r="N21" s="44" t="s">
        <v>197</v>
      </c>
    </row>
    <row r="22" spans="1:14" ht="72" customHeight="1" x14ac:dyDescent="0.15">
      <c r="A22" s="68" t="s">
        <v>195</v>
      </c>
      <c r="B22" s="69">
        <f>floors!$C$2</f>
        <v>47015</v>
      </c>
      <c r="C22" s="70" t="str">
        <f ca="1">VLOOKUP($B22,OFFSET([2]quests!$A$1,0,0,COUNTA([2]quests!$A:$A),MATCH(C$1,[2]quests!$1:$1,0)-MATCH($B$1,[2]quests!$1:$1,0)+1),MATCH(C$1,[2]quests!$1:$1,0)-MATCH($B$1,[2]quests!$1:$1,0)+1,FALSE)</f>
        <v>後光射す白無垢装束</v>
      </c>
      <c r="D22" s="70" t="str">
        <f ca="1">VLOOKUP($B22,OFFSET([2]quests!$A$1,0,0,COUNTA([2]quests!$A:$A),MATCH(D$1,[2]quests!$1:$1,0)-MATCH($B$1,[2]quests!$1:$1,0)+1),MATCH(D$1,[2]quests!$1:$1,0)-MATCH($B$1,[2]quests!$1:$1,0)+1,FALSE)</f>
        <v>季節イベント</v>
      </c>
      <c r="E22" s="71">
        <v>3</v>
      </c>
      <c r="F22" s="70" t="str">
        <f ca="1">VLOOKUP($B22&amp;"_"&amp;$E22,OFFSET([2]stages!$A$1,0,0,COUNTA([2]stages!$A:$A),MATCH(F$1,[2]stages!$2:$2,0)-MATCH("temp_stage",[2]stages!$2:$2,0)+1),MATCH(F$1,[2]stages!$2:$2,0)-MATCH("temp_stage",[2]stages!$2:$2,0)+1,FALSE)</f>
        <v>【ｳｨｻﾞ】後光射す白無垢装束</v>
      </c>
      <c r="G22" s="70" t="str">
        <f ca="1">VLOOKUP($B22&amp;"_"&amp;$E22,OFFSET([2]stages!$A$1,0,0,COUNTA([2]stages!$A:$A),MATCH(G$1,[2]stages!$2:$2,0)-MATCH("temp_stage",[2]stages!$2:$2,0)+1),MATCH(G$1,[2]stages!$2:$2,0)-MATCH("temp_stage",[2]stages!$2:$2,0)+1,FALSE)</f>
        <v>季節イベント</v>
      </c>
      <c r="H22" s="72">
        <v>1</v>
      </c>
      <c r="I22" s="77">
        <f t="shared" si="0"/>
        <v>21</v>
      </c>
      <c r="J22" s="73" t="str">
        <f t="shared" si="1"/>
        <v>4701521</v>
      </c>
      <c r="K22" s="71" t="s">
        <v>196</v>
      </c>
      <c r="L22" s="74" t="s">
        <v>252</v>
      </c>
      <c r="M22" s="225" t="s">
        <v>430</v>
      </c>
      <c r="N22" s="44" t="s">
        <v>197</v>
      </c>
    </row>
    <row r="23" spans="1:14" ht="60" customHeight="1" x14ac:dyDescent="0.15">
      <c r="A23" s="68" t="s">
        <v>195</v>
      </c>
      <c r="B23" s="69">
        <f>floors!$C$2</f>
        <v>47015</v>
      </c>
      <c r="C23" s="70" t="str">
        <f ca="1">VLOOKUP($B23,OFFSET([2]quests!$A$1,0,0,COUNTA([2]quests!$A:$A),MATCH(C$1,[2]quests!$1:$1,0)-MATCH($B$1,[2]quests!$1:$1,0)+1),MATCH(C$1,[2]quests!$1:$1,0)-MATCH($B$1,[2]quests!$1:$1,0)+1,FALSE)</f>
        <v>後光射す白無垢装束</v>
      </c>
      <c r="D23" s="70" t="str">
        <f ca="1">VLOOKUP($B23,OFFSET([2]quests!$A$1,0,0,COUNTA([2]quests!$A:$A),MATCH(D$1,[2]quests!$1:$1,0)-MATCH($B$1,[2]quests!$1:$1,0)+1),MATCH(D$1,[2]quests!$1:$1,0)-MATCH($B$1,[2]quests!$1:$1,0)+1,FALSE)</f>
        <v>季節イベント</v>
      </c>
      <c r="E23" s="71">
        <v>3</v>
      </c>
      <c r="F23" s="70" t="str">
        <f ca="1">VLOOKUP($B23&amp;"_"&amp;$E23,OFFSET([2]stages!$A$1,0,0,COUNTA([2]stages!$A:$A),MATCH(F$1,[2]stages!$2:$2,0)-MATCH("temp_stage",[2]stages!$2:$2,0)+1),MATCH(F$1,[2]stages!$2:$2,0)-MATCH("temp_stage",[2]stages!$2:$2,0)+1,FALSE)</f>
        <v>【ｳｨｻﾞ】後光射す白無垢装束</v>
      </c>
      <c r="G23" s="70" t="str">
        <f ca="1">VLOOKUP($B23&amp;"_"&amp;$E23,OFFSET([2]stages!$A$1,0,0,COUNTA([2]stages!$A:$A),MATCH(G$1,[2]stages!$2:$2,0)-MATCH("temp_stage",[2]stages!$2:$2,0)+1),MATCH(G$1,[2]stages!$2:$2,0)-MATCH("temp_stage",[2]stages!$2:$2,0)+1,FALSE)</f>
        <v>季節イベント</v>
      </c>
      <c r="H23" s="72">
        <v>2</v>
      </c>
      <c r="I23" s="77">
        <f t="shared" si="0"/>
        <v>22</v>
      </c>
      <c r="J23" s="73" t="str">
        <f t="shared" si="1"/>
        <v>4701522</v>
      </c>
      <c r="K23" s="71" t="s">
        <v>196</v>
      </c>
      <c r="L23" s="74" t="s">
        <v>252</v>
      </c>
      <c r="M23" s="225" t="s">
        <v>474</v>
      </c>
      <c r="N23" s="44" t="s">
        <v>197</v>
      </c>
    </row>
    <row r="24" spans="1:14" ht="60" customHeight="1" x14ac:dyDescent="0.15">
      <c r="A24" s="68" t="s">
        <v>195</v>
      </c>
      <c r="B24" s="69">
        <f>floors!$C$2</f>
        <v>47015</v>
      </c>
      <c r="C24" s="70" t="str">
        <f ca="1">VLOOKUP($B24,OFFSET([2]quests!$A$1,0,0,COUNTA([2]quests!$A:$A),MATCH(C$1,[2]quests!$1:$1,0)-MATCH($B$1,[2]quests!$1:$1,0)+1),MATCH(C$1,[2]quests!$1:$1,0)-MATCH($B$1,[2]quests!$1:$1,0)+1,FALSE)</f>
        <v>後光射す白無垢装束</v>
      </c>
      <c r="D24" s="70" t="str">
        <f ca="1">VLOOKUP($B24,OFFSET([2]quests!$A$1,0,0,COUNTA([2]quests!$A:$A),MATCH(D$1,[2]quests!$1:$1,0)-MATCH($B$1,[2]quests!$1:$1,0)+1),MATCH(D$1,[2]quests!$1:$1,0)-MATCH($B$1,[2]quests!$1:$1,0)+1,FALSE)</f>
        <v>季節イベント</v>
      </c>
      <c r="E24" s="71">
        <v>3</v>
      </c>
      <c r="F24" s="70" t="str">
        <f ca="1">VLOOKUP($B24&amp;"_"&amp;$E24,OFFSET([2]stages!$A$1,0,0,COUNTA([2]stages!$A:$A),MATCH(F$1,[2]stages!$2:$2,0)-MATCH("temp_stage",[2]stages!$2:$2,0)+1),MATCH(F$1,[2]stages!$2:$2,0)-MATCH("temp_stage",[2]stages!$2:$2,0)+1,FALSE)</f>
        <v>【ｳｨｻﾞ】後光射す白無垢装束</v>
      </c>
      <c r="G24" s="70" t="str">
        <f ca="1">VLOOKUP($B24&amp;"_"&amp;$E24,OFFSET([2]stages!$A$1,0,0,COUNTA([2]stages!$A:$A),MATCH(G$1,[2]stages!$2:$2,0)-MATCH("temp_stage",[2]stages!$2:$2,0)+1),MATCH(G$1,[2]stages!$2:$2,0)-MATCH("temp_stage",[2]stages!$2:$2,0)+1,FALSE)</f>
        <v>季節イベント</v>
      </c>
      <c r="H24" s="72">
        <v>2</v>
      </c>
      <c r="I24" s="77">
        <f t="shared" si="0"/>
        <v>23</v>
      </c>
      <c r="J24" s="73" t="str">
        <f t="shared" si="1"/>
        <v>4701523</v>
      </c>
      <c r="K24" s="71" t="s">
        <v>196</v>
      </c>
      <c r="L24" s="74" t="s">
        <v>252</v>
      </c>
      <c r="M24" s="225" t="s">
        <v>459</v>
      </c>
      <c r="N24" s="44" t="s">
        <v>197</v>
      </c>
    </row>
    <row r="25" spans="1:14" ht="60" customHeight="1" x14ac:dyDescent="0.15">
      <c r="A25" s="68" t="s">
        <v>195</v>
      </c>
      <c r="B25" s="69">
        <f>floors!$C$2</f>
        <v>47015</v>
      </c>
      <c r="C25" s="70" t="str">
        <f ca="1">VLOOKUP($B25,OFFSET([2]quests!$A$1,0,0,COUNTA([2]quests!$A:$A),MATCH(C$1,[2]quests!$1:$1,0)-MATCH($B$1,[2]quests!$1:$1,0)+1),MATCH(C$1,[2]quests!$1:$1,0)-MATCH($B$1,[2]quests!$1:$1,0)+1,FALSE)</f>
        <v>後光射す白無垢装束</v>
      </c>
      <c r="D25" s="70" t="str">
        <f ca="1">VLOOKUP($B25,OFFSET([2]quests!$A$1,0,0,COUNTA([2]quests!$A:$A),MATCH(D$1,[2]quests!$1:$1,0)-MATCH($B$1,[2]quests!$1:$1,0)+1),MATCH(D$1,[2]quests!$1:$1,0)-MATCH($B$1,[2]quests!$1:$1,0)+1,FALSE)</f>
        <v>季節イベント</v>
      </c>
      <c r="E25" s="71">
        <v>3</v>
      </c>
      <c r="F25" s="70" t="str">
        <f ca="1">VLOOKUP($B25&amp;"_"&amp;$E25,OFFSET([2]stages!$A$1,0,0,COUNTA([2]stages!$A:$A),MATCH(F$1,[2]stages!$2:$2,0)-MATCH("temp_stage",[2]stages!$2:$2,0)+1),MATCH(F$1,[2]stages!$2:$2,0)-MATCH("temp_stage",[2]stages!$2:$2,0)+1,FALSE)</f>
        <v>【ｳｨｻﾞ】後光射す白無垢装束</v>
      </c>
      <c r="G25" s="70" t="str">
        <f ca="1">VLOOKUP($B25&amp;"_"&amp;$E25,OFFSET([2]stages!$A$1,0,0,COUNTA([2]stages!$A:$A),MATCH(G$1,[2]stages!$2:$2,0)-MATCH("temp_stage",[2]stages!$2:$2,0)+1),MATCH(G$1,[2]stages!$2:$2,0)-MATCH("temp_stage",[2]stages!$2:$2,0)+1,FALSE)</f>
        <v>季節イベント</v>
      </c>
      <c r="H25" s="72">
        <v>3</v>
      </c>
      <c r="I25" s="77">
        <f t="shared" si="0"/>
        <v>24</v>
      </c>
      <c r="J25" s="73" t="str">
        <f t="shared" si="1"/>
        <v>4701524</v>
      </c>
      <c r="K25" s="71" t="s">
        <v>196</v>
      </c>
      <c r="L25" s="74" t="s">
        <v>252</v>
      </c>
      <c r="M25" s="225" t="s">
        <v>340</v>
      </c>
      <c r="N25" s="44" t="s">
        <v>197</v>
      </c>
    </row>
    <row r="26" spans="1:14" ht="60" customHeight="1" x14ac:dyDescent="0.15">
      <c r="A26" s="68" t="s">
        <v>195</v>
      </c>
      <c r="B26" s="69">
        <f>floors!$C$2</f>
        <v>47015</v>
      </c>
      <c r="C26" s="70" t="str">
        <f ca="1">VLOOKUP($B26,OFFSET([2]quests!$A$1,0,0,COUNTA([2]quests!$A:$A),MATCH(C$1,[2]quests!$1:$1,0)-MATCH($B$1,[2]quests!$1:$1,0)+1),MATCH(C$1,[2]quests!$1:$1,0)-MATCH($B$1,[2]quests!$1:$1,0)+1,FALSE)</f>
        <v>後光射す白無垢装束</v>
      </c>
      <c r="D26" s="70" t="str">
        <f ca="1">VLOOKUP($B26,OFFSET([2]quests!$A$1,0,0,COUNTA([2]quests!$A:$A),MATCH(D$1,[2]quests!$1:$1,0)-MATCH($B$1,[2]quests!$1:$1,0)+1),MATCH(D$1,[2]quests!$1:$1,0)-MATCH($B$1,[2]quests!$1:$1,0)+1,FALSE)</f>
        <v>季節イベント</v>
      </c>
      <c r="E26" s="71">
        <v>3</v>
      </c>
      <c r="F26" s="70" t="str">
        <f ca="1">VLOOKUP($B26&amp;"_"&amp;$E26,OFFSET([2]stages!$A$1,0,0,COUNTA([2]stages!$A:$A),MATCH(F$1,[2]stages!$2:$2,0)-MATCH("temp_stage",[2]stages!$2:$2,0)+1),MATCH(F$1,[2]stages!$2:$2,0)-MATCH("temp_stage",[2]stages!$2:$2,0)+1,FALSE)</f>
        <v>【ｳｨｻﾞ】後光射す白無垢装束</v>
      </c>
      <c r="G26" s="70" t="str">
        <f ca="1">VLOOKUP($B26&amp;"_"&amp;$E26,OFFSET([2]stages!$A$1,0,0,COUNTA([2]stages!$A:$A),MATCH(G$1,[2]stages!$2:$2,0)-MATCH("temp_stage",[2]stages!$2:$2,0)+1),MATCH(G$1,[2]stages!$2:$2,0)-MATCH("temp_stage",[2]stages!$2:$2,0)+1,FALSE)</f>
        <v>季節イベント</v>
      </c>
      <c r="H26" s="72">
        <v>3</v>
      </c>
      <c r="I26" s="77">
        <f t="shared" si="0"/>
        <v>25</v>
      </c>
      <c r="J26" s="73" t="str">
        <f t="shared" si="1"/>
        <v>4701525</v>
      </c>
      <c r="K26" s="71" t="s">
        <v>196</v>
      </c>
      <c r="L26" s="74" t="s">
        <v>252</v>
      </c>
      <c r="M26" s="225" t="s">
        <v>341</v>
      </c>
      <c r="N26" s="44" t="s">
        <v>197</v>
      </c>
    </row>
    <row r="27" spans="1:14" ht="60" customHeight="1" x14ac:dyDescent="0.15">
      <c r="A27" s="68" t="s">
        <v>195</v>
      </c>
      <c r="B27" s="69">
        <f>floors!$C$2</f>
        <v>47015</v>
      </c>
      <c r="C27" s="70" t="str">
        <f ca="1">VLOOKUP($B27,OFFSET([2]quests!$A$1,0,0,COUNTA([2]quests!$A:$A),MATCH(C$1,[2]quests!$1:$1,0)-MATCH($B$1,[2]quests!$1:$1,0)+1),MATCH(C$1,[2]quests!$1:$1,0)-MATCH($B$1,[2]quests!$1:$1,0)+1,FALSE)</f>
        <v>後光射す白無垢装束</v>
      </c>
      <c r="D27" s="70" t="str">
        <f ca="1">VLOOKUP($B27,OFFSET([2]quests!$A$1,0,0,COUNTA([2]quests!$A:$A),MATCH(D$1,[2]quests!$1:$1,0)-MATCH($B$1,[2]quests!$1:$1,0)+1),MATCH(D$1,[2]quests!$1:$1,0)-MATCH($B$1,[2]quests!$1:$1,0)+1,FALSE)</f>
        <v>季節イベント</v>
      </c>
      <c r="E27" s="71">
        <v>3</v>
      </c>
      <c r="F27" s="70" t="str">
        <f ca="1">VLOOKUP($B27&amp;"_"&amp;$E27,OFFSET([2]stages!$A$1,0,0,COUNTA([2]stages!$A:$A),MATCH(F$1,[2]stages!$2:$2,0)-MATCH("temp_stage",[2]stages!$2:$2,0)+1),MATCH(F$1,[2]stages!$2:$2,0)-MATCH("temp_stage",[2]stages!$2:$2,0)+1,FALSE)</f>
        <v>【ｳｨｻﾞ】後光射す白無垢装束</v>
      </c>
      <c r="G27" s="70" t="str">
        <f ca="1">VLOOKUP($B27&amp;"_"&amp;$E27,OFFSET([2]stages!$A$1,0,0,COUNTA([2]stages!$A:$A),MATCH(G$1,[2]stages!$2:$2,0)-MATCH("temp_stage",[2]stages!$2:$2,0)+1),MATCH(G$1,[2]stages!$2:$2,0)-MATCH("temp_stage",[2]stages!$2:$2,0)+1,FALSE)</f>
        <v>季節イベント</v>
      </c>
      <c r="H27" s="72">
        <v>3</v>
      </c>
      <c r="I27" s="77">
        <f t="shared" si="0"/>
        <v>26</v>
      </c>
      <c r="J27" s="73" t="str">
        <f t="shared" si="1"/>
        <v>4701526</v>
      </c>
      <c r="K27" s="71" t="s">
        <v>196</v>
      </c>
      <c r="L27" s="74" t="s">
        <v>252</v>
      </c>
      <c r="M27" s="225" t="s">
        <v>342</v>
      </c>
      <c r="N27" s="44" t="s">
        <v>197</v>
      </c>
    </row>
    <row r="28" spans="1:14" ht="60" customHeight="1" x14ac:dyDescent="0.15">
      <c r="A28" s="68" t="s">
        <v>198</v>
      </c>
      <c r="B28" s="69">
        <f>floors!$C$2</f>
        <v>47015</v>
      </c>
      <c r="C28" s="70" t="str">
        <f ca="1">VLOOKUP($B28,OFFSET([2]quests!$A$1,0,0,COUNTA([2]quests!$A:$A),MATCH(C$1,[2]quests!$1:$1,0)-MATCH($B$1,[2]quests!$1:$1,0)+1),MATCH(C$1,[2]quests!$1:$1,0)-MATCH($B$1,[2]quests!$1:$1,0)+1,FALSE)</f>
        <v>後光射す白無垢装束</v>
      </c>
      <c r="D28" s="70" t="str">
        <f ca="1">VLOOKUP($B28,OFFSET([2]quests!$A$1,0,0,COUNTA([2]quests!$A:$A),MATCH(D$1,[2]quests!$1:$1,0)-MATCH($B$1,[2]quests!$1:$1,0)+1),MATCH(D$1,[2]quests!$1:$1,0)-MATCH($B$1,[2]quests!$1:$1,0)+1,FALSE)</f>
        <v>季節イベント</v>
      </c>
      <c r="E28" s="71">
        <v>3</v>
      </c>
      <c r="F28" s="70" t="str">
        <f ca="1">VLOOKUP($B28&amp;"_"&amp;$E28,OFFSET([2]stages!$A$1,0,0,COUNTA([2]stages!$A:$A),MATCH(F$1,[2]stages!$2:$2,0)-MATCH("temp_stage",[2]stages!$2:$2,0)+1),MATCH(F$1,[2]stages!$2:$2,0)-MATCH("temp_stage",[2]stages!$2:$2,0)+1,FALSE)</f>
        <v>【ｳｨｻﾞ】後光射す白無垢装束</v>
      </c>
      <c r="G28" s="70" t="str">
        <f ca="1">VLOOKUP($B28&amp;"_"&amp;$E28,OFFSET([2]stages!$A$1,0,0,COUNTA([2]stages!$A:$A),MATCH(G$1,[2]stages!$2:$2,0)-MATCH("temp_stage",[2]stages!$2:$2,0)+1),MATCH(G$1,[2]stages!$2:$2,0)-MATCH("temp_stage",[2]stages!$2:$2,0)+1,FALSE)</f>
        <v>季節イベント</v>
      </c>
      <c r="H28" s="72">
        <v>0</v>
      </c>
      <c r="I28" s="77">
        <f t="shared" si="0"/>
        <v>27</v>
      </c>
      <c r="J28" s="73" t="str">
        <f t="shared" si="1"/>
        <v>4701527</v>
      </c>
      <c r="K28" s="71" t="s">
        <v>196</v>
      </c>
      <c r="L28" s="74" t="s">
        <v>338</v>
      </c>
      <c r="M28" s="225" t="s">
        <v>339</v>
      </c>
      <c r="N28" s="44" t="s">
        <v>197</v>
      </c>
    </row>
    <row r="29" spans="1:14" ht="60" customHeight="1" x14ac:dyDescent="0.15">
      <c r="A29" s="68" t="s">
        <v>198</v>
      </c>
      <c r="B29" s="69">
        <f>floors!$C$2</f>
        <v>47015</v>
      </c>
      <c r="C29" s="70" t="str">
        <f ca="1">VLOOKUP($B29,OFFSET([2]quests!$A$1,0,0,COUNTA([2]quests!$A:$A),MATCH(C$1,[2]quests!$1:$1,0)-MATCH($B$1,[2]quests!$1:$1,0)+1),MATCH(C$1,[2]quests!$1:$1,0)-MATCH($B$1,[2]quests!$1:$1,0)+1,FALSE)</f>
        <v>後光射す白無垢装束</v>
      </c>
      <c r="D29" s="70" t="str">
        <f ca="1">VLOOKUP($B29,OFFSET([2]quests!$A$1,0,0,COUNTA([2]quests!$A:$A),MATCH(D$1,[2]quests!$1:$1,0)-MATCH($B$1,[2]quests!$1:$1,0)+1),MATCH(D$1,[2]quests!$1:$1,0)-MATCH($B$1,[2]quests!$1:$1,0)+1,FALSE)</f>
        <v>季節イベント</v>
      </c>
      <c r="E29" s="71">
        <v>3</v>
      </c>
      <c r="F29" s="70" t="str">
        <f ca="1">VLOOKUP($B29&amp;"_"&amp;$E29,OFFSET([2]stages!$A$1,0,0,COUNTA([2]stages!$A:$A),MATCH(F$1,[2]stages!$2:$2,0)-MATCH("temp_stage",[2]stages!$2:$2,0)+1),MATCH(F$1,[2]stages!$2:$2,0)-MATCH("temp_stage",[2]stages!$2:$2,0)+1,FALSE)</f>
        <v>【ｳｨｻﾞ】後光射す白無垢装束</v>
      </c>
      <c r="G29" s="70" t="str">
        <f ca="1">VLOOKUP($B29&amp;"_"&amp;$E29,OFFSET([2]stages!$A$1,0,0,COUNTA([2]stages!$A:$A),MATCH(G$1,[2]stages!$2:$2,0)-MATCH("temp_stage",[2]stages!$2:$2,0)+1),MATCH(G$1,[2]stages!$2:$2,0)-MATCH("temp_stage",[2]stages!$2:$2,0)+1,FALSE)</f>
        <v>季節イベント</v>
      </c>
      <c r="H29" s="72">
        <v>0</v>
      </c>
      <c r="I29" s="77">
        <f t="shared" si="0"/>
        <v>28</v>
      </c>
      <c r="J29" s="73" t="str">
        <f t="shared" si="1"/>
        <v>4701528</v>
      </c>
      <c r="K29" s="71" t="s">
        <v>196</v>
      </c>
      <c r="L29" s="74" t="s">
        <v>343</v>
      </c>
      <c r="M29" s="225" t="s">
        <v>348</v>
      </c>
      <c r="N29" s="44" t="s">
        <v>197</v>
      </c>
    </row>
    <row r="30" spans="1:14" ht="60" customHeight="1" x14ac:dyDescent="0.15">
      <c r="A30" s="68" t="s">
        <v>198</v>
      </c>
      <c r="B30" s="69">
        <f>floors!$C$2</f>
        <v>47015</v>
      </c>
      <c r="C30" s="70" t="str">
        <f ca="1">VLOOKUP($B30,OFFSET([2]quests!$A$1,0,0,COUNTA([2]quests!$A:$A),MATCH(C$1,[2]quests!$1:$1,0)-MATCH($B$1,[2]quests!$1:$1,0)+1),MATCH(C$1,[2]quests!$1:$1,0)-MATCH($B$1,[2]quests!$1:$1,0)+1,FALSE)</f>
        <v>後光射す白無垢装束</v>
      </c>
      <c r="D30" s="70" t="str">
        <f ca="1">VLOOKUP($B30,OFFSET([2]quests!$A$1,0,0,COUNTA([2]quests!$A:$A),MATCH(D$1,[2]quests!$1:$1,0)-MATCH($B$1,[2]quests!$1:$1,0)+1),MATCH(D$1,[2]quests!$1:$1,0)-MATCH($B$1,[2]quests!$1:$1,0)+1,FALSE)</f>
        <v>季節イベント</v>
      </c>
      <c r="E30" s="71">
        <v>3</v>
      </c>
      <c r="F30" s="70" t="str">
        <f ca="1">VLOOKUP($B30&amp;"_"&amp;$E30,OFFSET([2]stages!$A$1,0,0,COUNTA([2]stages!$A:$A),MATCH(F$1,[2]stages!$2:$2,0)-MATCH("temp_stage",[2]stages!$2:$2,0)+1),MATCH(F$1,[2]stages!$2:$2,0)-MATCH("temp_stage",[2]stages!$2:$2,0)+1,FALSE)</f>
        <v>【ｳｨｻﾞ】後光射す白無垢装束</v>
      </c>
      <c r="G30" s="70" t="str">
        <f ca="1">VLOOKUP($B30&amp;"_"&amp;$E30,OFFSET([2]stages!$A$1,0,0,COUNTA([2]stages!$A:$A),MATCH(G$1,[2]stages!$2:$2,0)-MATCH("temp_stage",[2]stages!$2:$2,0)+1),MATCH(G$1,[2]stages!$2:$2,0)-MATCH("temp_stage",[2]stages!$2:$2,0)+1,FALSE)</f>
        <v>季節イベント</v>
      </c>
      <c r="H30" s="72">
        <v>0</v>
      </c>
      <c r="I30" s="77">
        <f t="shared" si="0"/>
        <v>29</v>
      </c>
      <c r="J30" s="73" t="str">
        <f t="shared" si="1"/>
        <v>4701529</v>
      </c>
      <c r="K30" s="71" t="s">
        <v>196</v>
      </c>
      <c r="L30" s="74" t="s">
        <v>355</v>
      </c>
      <c r="M30" s="225" t="s">
        <v>454</v>
      </c>
      <c r="N30" s="44" t="s">
        <v>197</v>
      </c>
    </row>
    <row r="31" spans="1:14" ht="75" customHeight="1" x14ac:dyDescent="0.15">
      <c r="A31" s="68" t="s">
        <v>198</v>
      </c>
      <c r="B31" s="69">
        <f>floors!$C$2</f>
        <v>47015</v>
      </c>
      <c r="C31" s="70" t="str">
        <f ca="1">VLOOKUP($B31,OFFSET([2]quests!$A$1,0,0,COUNTA([2]quests!$A:$A),MATCH(C$1,[2]quests!$1:$1,0)-MATCH($B$1,[2]quests!$1:$1,0)+1),MATCH(C$1,[2]quests!$1:$1,0)-MATCH($B$1,[2]quests!$1:$1,0)+1,FALSE)</f>
        <v>後光射す白無垢装束</v>
      </c>
      <c r="D31" s="70" t="str">
        <f ca="1">VLOOKUP($B31,OFFSET([2]quests!$A$1,0,0,COUNTA([2]quests!$A:$A),MATCH(D$1,[2]quests!$1:$1,0)-MATCH($B$1,[2]quests!$1:$1,0)+1),MATCH(D$1,[2]quests!$1:$1,0)-MATCH($B$1,[2]quests!$1:$1,0)+1,FALSE)</f>
        <v>季節イベント</v>
      </c>
      <c r="E31" s="71">
        <v>3</v>
      </c>
      <c r="F31" s="70" t="str">
        <f ca="1">VLOOKUP($B31&amp;"_"&amp;$E31,OFFSET([2]stages!$A$1,0,0,COUNTA([2]stages!$A:$A),MATCH(F$1,[2]stages!$2:$2,0)-MATCH("temp_stage",[2]stages!$2:$2,0)+1),MATCH(F$1,[2]stages!$2:$2,0)-MATCH("temp_stage",[2]stages!$2:$2,0)+1,FALSE)</f>
        <v>【ｳｨｻﾞ】後光射す白無垢装束</v>
      </c>
      <c r="G31" s="70" t="str">
        <f ca="1">VLOOKUP($B31&amp;"_"&amp;$E31,OFFSET([2]stages!$A$1,0,0,COUNTA([2]stages!$A:$A),MATCH(G$1,[2]stages!$2:$2,0)-MATCH("temp_stage",[2]stages!$2:$2,0)+1),MATCH(G$1,[2]stages!$2:$2,0)-MATCH("temp_stage",[2]stages!$2:$2,0)+1,FALSE)</f>
        <v>季節イベント</v>
      </c>
      <c r="H31" s="72">
        <v>0</v>
      </c>
      <c r="I31" s="77">
        <f t="shared" si="0"/>
        <v>30</v>
      </c>
      <c r="J31" s="73" t="str">
        <f t="shared" si="1"/>
        <v>4701530</v>
      </c>
      <c r="K31" s="71" t="s">
        <v>196</v>
      </c>
      <c r="L31" s="74" t="s">
        <v>362</v>
      </c>
      <c r="M31" s="225" t="s">
        <v>356</v>
      </c>
      <c r="N31" s="227" t="s">
        <v>197</v>
      </c>
    </row>
    <row r="32" spans="1:14" ht="60" customHeight="1" x14ac:dyDescent="0.15">
      <c r="M32" s="226"/>
    </row>
  </sheetData>
  <phoneticPr fontId="5"/>
  <dataValidations count="1">
    <dataValidation type="list" allowBlank="1" showInputMessage="1" showErrorMessage="1" sqref="A2:A31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5"/>
  <sheetViews>
    <sheetView showGridLines="0" workbookViewId="0">
      <pane ySplit="1" topLeftCell="A2" activePane="bottomLeft" state="frozen"/>
      <selection pane="bottomLeft" activeCell="M10" sqref="M10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 collapsed="1"/>
    <col min="3" max="3" width="17" hidden="1" customWidth="1" outlineLevel="1"/>
    <col min="4" max="4" width="18.83203125" hidden="1" customWidth="1" outlineLevel="1"/>
    <col min="5" max="5" width="6.83203125" bestFit="1" customWidth="1" collapsed="1"/>
    <col min="6" max="6" width="22.5" hidden="1" customWidth="1" outlineLevel="1"/>
    <col min="7" max="7" width="22" hidden="1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 collapsed="1"/>
    <col min="14" max="14" width="12" hidden="1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81" t="s">
        <v>210</v>
      </c>
      <c r="B1" s="82" t="s">
        <v>211</v>
      </c>
      <c r="C1" s="64" t="s">
        <v>212</v>
      </c>
      <c r="D1" s="64" t="s">
        <v>33</v>
      </c>
      <c r="E1" s="82" t="s">
        <v>213</v>
      </c>
      <c r="F1" s="64" t="s">
        <v>214</v>
      </c>
      <c r="G1" s="64" t="s">
        <v>33</v>
      </c>
      <c r="H1" s="82" t="s">
        <v>215</v>
      </c>
      <c r="I1" s="82" t="s">
        <v>216</v>
      </c>
      <c r="J1" s="82" t="s">
        <v>217</v>
      </c>
      <c r="K1" s="60" t="s">
        <v>218</v>
      </c>
      <c r="L1" s="60" t="s">
        <v>219</v>
      </c>
      <c r="M1" s="60" t="s">
        <v>156</v>
      </c>
      <c r="N1" s="64" t="s">
        <v>16</v>
      </c>
      <c r="O1" s="60" t="s">
        <v>220</v>
      </c>
      <c r="P1" s="60" t="s">
        <v>56</v>
      </c>
      <c r="Q1" s="60" t="s">
        <v>221</v>
      </c>
      <c r="R1" s="60" t="s">
        <v>38</v>
      </c>
      <c r="S1" s="60" t="s">
        <v>40</v>
      </c>
      <c r="T1" s="60" t="s">
        <v>42</v>
      </c>
      <c r="U1" s="60" t="s">
        <v>44</v>
      </c>
      <c r="V1" s="60" t="s">
        <v>46</v>
      </c>
      <c r="W1" s="60" t="s">
        <v>222</v>
      </c>
      <c r="X1" s="60" t="s">
        <v>223</v>
      </c>
    </row>
    <row r="2" spans="1:24" x14ac:dyDescent="0.15">
      <c r="A2" s="83" t="str">
        <f>B2&amp;"_"&amp;E2&amp;"_"&amp;H2&amp;"_"&amp;I2&amp;"_"&amp;J2</f>
        <v>47015_3_everyone_full_member_1</v>
      </c>
      <c r="B2" s="69">
        <v>47015</v>
      </c>
      <c r="C2" s="70" t="str">
        <f ca="1">VLOOKUP($B2,OFFSET([2]quests!$A$1,0,0,COUNTA([2]quests!$A:$A),MATCH(C$1,[2]quests!$1:$1,0)-MATCH($B$1,[2]quests!$1:$1,0)+1),MATCH(C$1,[2]quests!$1:$1,0)-MATCH($B$1,[2]quests!$1:$1,0)+1,FALSE)</f>
        <v>後光射す白無垢装束</v>
      </c>
      <c r="D2" s="70" t="str">
        <f ca="1">VLOOKUP($B2,OFFSET([2]quests!$A$1,0,0,COUNTA([2]quests!$A:$A),MATCH(D$1,[2]quests!$1:$1,0)-MATCH($B$1,[2]quests!$1:$1,0)+1),MATCH(D$1,[2]quests!$1:$1,0)-MATCH($B$1,[2]quests!$1:$1,0)+1,FALSE)</f>
        <v>季節イベント</v>
      </c>
      <c r="E2" s="71">
        <v>3</v>
      </c>
      <c r="F2" s="70" t="str">
        <f ca="1">VLOOKUP($B2&amp;"_"&amp;$E2,OFFSET([2]stages!$A$1,0,0,COUNTA([2]stages!$A:$A),MATCH(F$1,[2]stages!$2:$2,0)-MATCH("temp_stage",[2]stages!$2:$2,0)+1),MATCH(F$1,[2]stages!$2:$2,0)-MATCH("temp_stage",[2]stages!$2:$2,0)+1,FALSE)</f>
        <v>【ｳｨｻﾞ】後光射す白無垢装束</v>
      </c>
      <c r="G2" s="70" t="str">
        <f ca="1">VLOOKUP($B2&amp;"_"&amp;$E2,OFFSET([2]stages!$A$1,0,0,COUNTA([2]stages!$A:$A),MATCH(G$1,[2]stages!$2:$2,0)-MATCH("temp_stage",[2]stages!$2:$2,0)+1),MATCH(G$1,[2]stages!$2:$2,0)-MATCH("temp_stage",[2]stages!$2:$2,0)+1,FALSE)</f>
        <v>季節イベント</v>
      </c>
      <c r="H2" s="72" t="s">
        <v>224</v>
      </c>
      <c r="I2" s="71" t="s">
        <v>363</v>
      </c>
      <c r="J2" s="71">
        <v>1</v>
      </c>
      <c r="K2" s="71">
        <v>1000</v>
      </c>
      <c r="L2" s="71" t="s">
        <v>225</v>
      </c>
      <c r="M2" s="71">
        <v>1699</v>
      </c>
      <c r="N2" s="84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崇高祝言 アマテラス</v>
      </c>
      <c r="O2" s="71">
        <v>1</v>
      </c>
      <c r="P2" s="71">
        <v>1</v>
      </c>
      <c r="Q2" s="71">
        <v>1</v>
      </c>
      <c r="R2" s="71">
        <v>0</v>
      </c>
      <c r="S2" s="71">
        <v>0</v>
      </c>
      <c r="T2" s="71">
        <v>0</v>
      </c>
      <c r="U2" s="71">
        <v>0</v>
      </c>
      <c r="V2" s="71">
        <v>1</v>
      </c>
      <c r="W2" s="85" t="s">
        <v>226</v>
      </c>
      <c r="X2" s="86" t="s">
        <v>227</v>
      </c>
    </row>
    <row r="3" spans="1:24" x14ac:dyDescent="0.15">
      <c r="A3" s="83" t="str">
        <f>B3&amp;"_"&amp;E3&amp;"_"&amp;H3&amp;"_"&amp;I3&amp;"_"&amp;J3</f>
        <v>47015_3_everyone_no_continue_1</v>
      </c>
      <c r="B3" s="69">
        <v>47015</v>
      </c>
      <c r="C3" s="70" t="str">
        <f ca="1">VLOOKUP($B3,OFFSET([2]quests!$A$1,0,0,COUNTA([2]quests!$A:$A),MATCH(C$1,[2]quests!$1:$1,0)-MATCH($B$1,[2]quests!$1:$1,0)+1),MATCH(C$1,[2]quests!$1:$1,0)-MATCH($B$1,[2]quests!$1:$1,0)+1,FALSE)</f>
        <v>後光射す白無垢装束</v>
      </c>
      <c r="D3" s="70" t="str">
        <f ca="1">VLOOKUP($B3,OFFSET([2]quests!$A$1,0,0,COUNTA([2]quests!$A:$A),MATCH(D$1,[2]quests!$1:$1,0)-MATCH($B$1,[2]quests!$1:$1,0)+1),MATCH(D$1,[2]quests!$1:$1,0)-MATCH($B$1,[2]quests!$1:$1,0)+1,FALSE)</f>
        <v>季節イベント</v>
      </c>
      <c r="E3" s="71">
        <v>3</v>
      </c>
      <c r="F3" s="70" t="str">
        <f ca="1">VLOOKUP($B3&amp;"_"&amp;$E3,OFFSET([2]stages!$A$1,0,0,COUNTA([2]stages!$A:$A),MATCH(F$1,[2]stages!$2:$2,0)-MATCH("temp_stage",[2]stages!$2:$2,0)+1),MATCH(F$1,[2]stages!$2:$2,0)-MATCH("temp_stage",[2]stages!$2:$2,0)+1,FALSE)</f>
        <v>【ｳｨｻﾞ】後光射す白無垢装束</v>
      </c>
      <c r="G3" s="70" t="str">
        <f ca="1">VLOOKUP($B3&amp;"_"&amp;$E3,OFFSET([2]stages!$A$1,0,0,COUNTA([2]stages!$A:$A),MATCH(G$1,[2]stages!$2:$2,0)-MATCH("temp_stage",[2]stages!$2:$2,0)+1),MATCH(G$1,[2]stages!$2:$2,0)-MATCH("temp_stage",[2]stages!$2:$2,0)+1,FALSE)</f>
        <v>季節イベント</v>
      </c>
      <c r="H3" s="72" t="s">
        <v>224</v>
      </c>
      <c r="I3" s="71" t="s">
        <v>228</v>
      </c>
      <c r="J3" s="71">
        <v>1</v>
      </c>
      <c r="K3" s="71">
        <v>1000</v>
      </c>
      <c r="L3" s="71" t="s">
        <v>225</v>
      </c>
      <c r="M3" s="71">
        <v>1699</v>
      </c>
      <c r="N3" s="84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崇高祝言 アマテラス</v>
      </c>
      <c r="O3" s="71">
        <v>1</v>
      </c>
      <c r="P3" s="71">
        <v>1</v>
      </c>
      <c r="Q3" s="71">
        <v>1</v>
      </c>
      <c r="R3" s="71">
        <v>0</v>
      </c>
      <c r="S3" s="71">
        <v>0</v>
      </c>
      <c r="T3" s="71">
        <v>0</v>
      </c>
      <c r="U3" s="71">
        <v>0</v>
      </c>
      <c r="V3" s="71">
        <v>1</v>
      </c>
      <c r="W3" s="85" t="s">
        <v>226</v>
      </c>
      <c r="X3" s="86" t="s">
        <v>227</v>
      </c>
    </row>
    <row r="4" spans="1:24" x14ac:dyDescent="0.15">
      <c r="A4" s="83" t="str">
        <f>B4&amp;"_"&amp;E4&amp;"_"&amp;H4&amp;"_"&amp;I4&amp;"_"&amp;J4</f>
        <v>47015_2_everyone_full_member_1</v>
      </c>
      <c r="B4" s="69">
        <v>47015</v>
      </c>
      <c r="C4" s="70" t="str">
        <f ca="1">VLOOKUP($B4,OFFSET([2]quests!$A$1,0,0,COUNTA([2]quests!$A:$A),MATCH(C$1,[2]quests!$1:$1,0)-MATCH($B$1,[2]quests!$1:$1,0)+1),MATCH(C$1,[2]quests!$1:$1,0)-MATCH($B$1,[2]quests!$1:$1,0)+1,FALSE)</f>
        <v>後光射す白無垢装束</v>
      </c>
      <c r="D4" s="70" t="str">
        <f ca="1">VLOOKUP($B4,OFFSET([2]quests!$A$1,0,0,COUNTA([2]quests!$A:$A),MATCH(D$1,[2]quests!$1:$1,0)-MATCH($B$1,[2]quests!$1:$1,0)+1),MATCH(D$1,[2]quests!$1:$1,0)-MATCH($B$1,[2]quests!$1:$1,0)+1,FALSE)</f>
        <v>季節イベント</v>
      </c>
      <c r="E4" s="71">
        <v>2</v>
      </c>
      <c r="F4" s="70" t="str">
        <f ca="1">VLOOKUP($B4&amp;"_"&amp;$E4,OFFSET([2]stages!$A$1,0,0,COUNTA([2]stages!$A:$A),MATCH(F$1,[2]stages!$2:$2,0)-MATCH("temp_stage",[2]stages!$2:$2,0)+1),MATCH(F$1,[2]stages!$2:$2,0)-MATCH("temp_stage",[2]stages!$2:$2,0)+1,FALSE)</f>
        <v>【超級】後光射す白無垢装束</v>
      </c>
      <c r="G4" s="70" t="str">
        <f ca="1">VLOOKUP($B4&amp;"_"&amp;$E4,OFFSET([2]stages!$A$1,0,0,COUNTA([2]stages!$A:$A),MATCH(G$1,[2]stages!$2:$2,0)-MATCH("temp_stage",[2]stages!$2:$2,0)+1),MATCH(G$1,[2]stages!$2:$2,0)-MATCH("temp_stage",[2]stages!$2:$2,0)+1,FALSE)</f>
        <v>季節イベント</v>
      </c>
      <c r="H4" s="72" t="s">
        <v>224</v>
      </c>
      <c r="I4" s="71" t="s">
        <v>363</v>
      </c>
      <c r="J4" s="71">
        <v>1</v>
      </c>
      <c r="K4" s="71">
        <v>1000</v>
      </c>
      <c r="L4" s="71" t="s">
        <v>225</v>
      </c>
      <c r="M4" s="71">
        <v>1699</v>
      </c>
      <c r="N4" s="84" t="str">
        <f ca="1">IF(L4="unit",VLOOKUP($M4,OFFSET([4]characters!$A$1,0,0,COUNTA([4]characters!$A:$A),MATCH(N$1,[4]characters!$1:$1,0)-MATCH("character_id",[4]characters!$1:$1,0)+1),MATCH(N$1,[4]characters!$1:$1,0)-MATCH("character_id",[4]characters!$1:$1,0)+1,FALSE),"")</f>
        <v>崇高祝言 アマテラス</v>
      </c>
      <c r="O4" s="71">
        <v>1</v>
      </c>
      <c r="P4" s="71">
        <v>1</v>
      </c>
      <c r="Q4" s="71">
        <v>1</v>
      </c>
      <c r="R4" s="71">
        <v>0</v>
      </c>
      <c r="S4" s="71">
        <v>0</v>
      </c>
      <c r="T4" s="71">
        <v>0</v>
      </c>
      <c r="U4" s="71">
        <v>0</v>
      </c>
      <c r="V4" s="71">
        <v>1</v>
      </c>
      <c r="W4" s="85" t="s">
        <v>226</v>
      </c>
      <c r="X4" s="86" t="s">
        <v>227</v>
      </c>
    </row>
    <row r="5" spans="1:24" x14ac:dyDescent="0.15">
      <c r="A5" s="83" t="str">
        <f>B5&amp;"_"&amp;E5&amp;"_"&amp;H5&amp;"_"&amp;I5&amp;"_"&amp;J5</f>
        <v>47015_1_everyone_full_member_1</v>
      </c>
      <c r="B5" s="69">
        <v>47015</v>
      </c>
      <c r="C5" s="70" t="str">
        <f ca="1">VLOOKUP($B5,OFFSET([2]quests!$A$1,0,0,COUNTA([2]quests!$A:$A),MATCH(C$1,[2]quests!$1:$1,0)-MATCH($B$1,[2]quests!$1:$1,0)+1),MATCH(C$1,[2]quests!$1:$1,0)-MATCH($B$1,[2]quests!$1:$1,0)+1,FALSE)</f>
        <v>後光射す白無垢装束</v>
      </c>
      <c r="D5" s="70" t="str">
        <f ca="1">VLOOKUP($B5,OFFSET([2]quests!$A$1,0,0,COUNTA([2]quests!$A:$A),MATCH(D$1,[2]quests!$1:$1,0)-MATCH($B$1,[2]quests!$1:$1,0)+1),MATCH(D$1,[2]quests!$1:$1,0)-MATCH($B$1,[2]quests!$1:$1,0)+1,FALSE)</f>
        <v>季節イベント</v>
      </c>
      <c r="E5" s="71">
        <v>1</v>
      </c>
      <c r="F5" s="70" t="str">
        <f ca="1">VLOOKUP($B5&amp;"_"&amp;$E5,OFFSET([2]stages!$A$1,0,0,COUNTA([2]stages!$A:$A),MATCH(F$1,[2]stages!$2:$2,0)-MATCH("temp_stage",[2]stages!$2:$2,0)+1),MATCH(F$1,[2]stages!$2:$2,0)-MATCH("temp_stage",[2]stages!$2:$2,0)+1,FALSE)</f>
        <v>【上級】後光射す白無垢装束</v>
      </c>
      <c r="G5" s="70" t="str">
        <f ca="1">VLOOKUP($B5&amp;"_"&amp;$E5,OFFSET([2]stages!$A$1,0,0,COUNTA([2]stages!$A:$A),MATCH(G$1,[2]stages!$2:$2,0)-MATCH("temp_stage",[2]stages!$2:$2,0)+1),MATCH(G$1,[2]stages!$2:$2,0)-MATCH("temp_stage",[2]stages!$2:$2,0)+1,FALSE)</f>
        <v>季節イベント</v>
      </c>
      <c r="H5" s="72" t="s">
        <v>224</v>
      </c>
      <c r="I5" s="71" t="s">
        <v>363</v>
      </c>
      <c r="J5" s="71">
        <v>1</v>
      </c>
      <c r="K5" s="71">
        <v>1000</v>
      </c>
      <c r="L5" s="71" t="s">
        <v>225</v>
      </c>
      <c r="M5" s="71">
        <v>1699</v>
      </c>
      <c r="N5" s="84" t="str">
        <f ca="1">IF(L5="unit",VLOOKUP($M5,OFFSET([4]characters!$A$1,0,0,COUNTA([4]characters!$A:$A),MATCH(N$1,[4]characters!$1:$1,0)-MATCH("character_id",[4]characters!$1:$1,0)+1),MATCH(N$1,[4]characters!$1:$1,0)-MATCH("character_id",[4]characters!$1:$1,0)+1,FALSE),"")</f>
        <v>崇高祝言 アマテラス</v>
      </c>
      <c r="O5" s="71">
        <v>1</v>
      </c>
      <c r="P5" s="71">
        <v>1</v>
      </c>
      <c r="Q5" s="71">
        <v>1</v>
      </c>
      <c r="R5" s="71">
        <v>0</v>
      </c>
      <c r="S5" s="71">
        <v>0</v>
      </c>
      <c r="T5" s="71">
        <v>0</v>
      </c>
      <c r="U5" s="71">
        <v>0</v>
      </c>
      <c r="V5" s="71">
        <v>1</v>
      </c>
      <c r="W5" s="85" t="s">
        <v>226</v>
      </c>
      <c r="X5" s="86" t="s">
        <v>227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2017-06-09T08:29:44Z</dcterms:modified>
</cp:coreProperties>
</file>