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442101" sheetId="106" r:id="rId4"/>
    <sheet name="tables_442101" sheetId="82" r:id="rId5"/>
    <sheet name="input_442103" sheetId="147" r:id="rId6"/>
    <sheet name="tables_442103" sheetId="148" r:id="rId7"/>
    <sheet name="tables_settle_442103" sheetId="157" r:id="rId8"/>
    <sheet name="input_442104" sheetId="149" r:id="rId9"/>
    <sheet name="tables_442104" sheetId="150" r:id="rId10"/>
    <sheet name="input_442105" sheetId="158" r:id="rId11"/>
    <sheet name="tables_442105" sheetId="159" r:id="rId12"/>
    <sheet name="input_442100" sheetId="153" r:id="rId13"/>
    <sheet name="tables_442100" sheetId="154" r:id="rId14"/>
    <sheet name="gacha_bonus_tables" sheetId="98" r:id="rId15"/>
    <sheet name="R6追加前" sheetId="111" r:id="rId16"/>
    <sheet name="R6開放" sheetId="112" r:id="rId17"/>
  </sheets>
  <externalReferences>
    <externalReference r:id="rId18"/>
  </externalReferences>
  <definedNames>
    <definedName name="_xlnm._FilterDatabase" localSheetId="14" hidden="1">gacha_bonus_tables!$A$1:$F$1</definedName>
    <definedName name="_xlnm._FilterDatabase" localSheetId="13" hidden="1">tables_442100!$A$1:$V$300</definedName>
    <definedName name="_xlnm._FilterDatabase" localSheetId="4" hidden="1">tables_442101!$A$1:$V$1</definedName>
    <definedName name="_xlnm._FilterDatabase" localSheetId="6" hidden="1">tables_442103!$A$1:$V$300</definedName>
    <definedName name="_xlnm._FilterDatabase" localSheetId="9" hidden="1">tables_442104!$A$1:$V$294</definedName>
    <definedName name="_xlnm._FilterDatabase" localSheetId="11" hidden="1">tables_442105!$A$1:$V$300</definedName>
    <definedName name="_xlnm._FilterDatabase" localSheetId="7" hidden="1">tables_settle_442103!$A$1:$V$33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39" i="157" l="1"/>
  <c r="J40" i="157"/>
  <c r="J38" i="157"/>
  <c r="J37" i="157"/>
  <c r="I35" i="157"/>
  <c r="D35" i="157"/>
  <c r="J35" i="157"/>
  <c r="E35" i="157"/>
  <c r="F35" i="157"/>
  <c r="K35" i="157"/>
  <c r="G35" i="157"/>
  <c r="C35" i="157"/>
  <c r="H35" i="157"/>
  <c r="L35" i="157"/>
  <c r="M35" i="157"/>
  <c r="N35" i="157"/>
  <c r="P35" i="157"/>
  <c r="I36" i="157"/>
  <c r="D36" i="157"/>
  <c r="J36" i="157"/>
  <c r="E36" i="157"/>
  <c r="F36" i="157"/>
  <c r="K36" i="157"/>
  <c r="G36" i="157"/>
  <c r="C36" i="157"/>
  <c r="H36" i="157"/>
  <c r="L36" i="157"/>
  <c r="M36" i="157"/>
  <c r="N36" i="157"/>
  <c r="P36" i="157"/>
  <c r="A2" i="153"/>
  <c r="I2" i="154"/>
  <c r="J2" i="154"/>
  <c r="D2" i="154"/>
  <c r="E2" i="154"/>
  <c r="K2" i="154"/>
  <c r="G2" i="154"/>
  <c r="C2" i="154"/>
  <c r="I3" i="154"/>
  <c r="J3" i="154"/>
  <c r="D3" i="154"/>
  <c r="E3" i="154"/>
  <c r="K3" i="154"/>
  <c r="G3" i="154"/>
  <c r="C3" i="154"/>
  <c r="I4" i="154"/>
  <c r="J4" i="154"/>
  <c r="D4" i="154"/>
  <c r="E4" i="154"/>
  <c r="K4" i="154"/>
  <c r="G4" i="154"/>
  <c r="C4" i="154"/>
  <c r="I5" i="154"/>
  <c r="J5" i="154"/>
  <c r="D5" i="154"/>
  <c r="E5" i="154"/>
  <c r="K5" i="154"/>
  <c r="G5" i="154"/>
  <c r="C5" i="154"/>
  <c r="I6" i="154"/>
  <c r="J6" i="154"/>
  <c r="D6" i="154"/>
  <c r="E6" i="154"/>
  <c r="K6" i="154"/>
  <c r="G6" i="154"/>
  <c r="C6" i="154"/>
  <c r="I7" i="154"/>
  <c r="J7" i="154"/>
  <c r="D7" i="154"/>
  <c r="E7" i="154"/>
  <c r="K7" i="154"/>
  <c r="G7" i="154"/>
  <c r="C7" i="154"/>
  <c r="I8" i="154"/>
  <c r="J8" i="154"/>
  <c r="D8" i="154"/>
  <c r="E8" i="154"/>
  <c r="K8" i="154"/>
  <c r="G8" i="154"/>
  <c r="C8" i="154"/>
  <c r="I9" i="154"/>
  <c r="J9" i="154"/>
  <c r="D9" i="154"/>
  <c r="E9" i="154"/>
  <c r="K9" i="154"/>
  <c r="G9" i="154"/>
  <c r="C9" i="154"/>
  <c r="I10" i="154"/>
  <c r="J10" i="154"/>
  <c r="D10" i="154"/>
  <c r="E10" i="154"/>
  <c r="K10" i="154"/>
  <c r="G10" i="154"/>
  <c r="C10" i="154"/>
  <c r="I11" i="154"/>
  <c r="J11" i="154"/>
  <c r="D11" i="154"/>
  <c r="E11" i="154"/>
  <c r="K11" i="154"/>
  <c r="G11" i="154"/>
  <c r="C11" i="154"/>
  <c r="I12" i="154"/>
  <c r="J12" i="154"/>
  <c r="D12" i="154"/>
  <c r="E12" i="154"/>
  <c r="K12" i="154"/>
  <c r="G12" i="154"/>
  <c r="C12" i="154"/>
  <c r="I13" i="154"/>
  <c r="J13" i="154"/>
  <c r="D13" i="154"/>
  <c r="E13" i="154"/>
  <c r="K13" i="154"/>
  <c r="G13" i="154"/>
  <c r="C13" i="154"/>
  <c r="I14" i="154"/>
  <c r="J14" i="154"/>
  <c r="D14" i="154"/>
  <c r="E14" i="154"/>
  <c r="K14" i="154"/>
  <c r="G14" i="154"/>
  <c r="C14" i="154"/>
  <c r="I15" i="154"/>
  <c r="J15" i="154"/>
  <c r="D15" i="154"/>
  <c r="E15" i="154"/>
  <c r="K15" i="154"/>
  <c r="G15" i="154"/>
  <c r="C15" i="154"/>
  <c r="I16" i="154"/>
  <c r="J16" i="154"/>
  <c r="D16" i="154"/>
  <c r="E16" i="154"/>
  <c r="K16" i="154"/>
  <c r="G16" i="154"/>
  <c r="C16" i="154"/>
  <c r="I17" i="154"/>
  <c r="J17" i="154"/>
  <c r="D17" i="154"/>
  <c r="E17" i="154"/>
  <c r="K17" i="154"/>
  <c r="G17" i="154"/>
  <c r="C17" i="154"/>
  <c r="I18" i="154"/>
  <c r="J18" i="154"/>
  <c r="D18" i="154"/>
  <c r="E18" i="154"/>
  <c r="K18" i="154"/>
  <c r="G18" i="154"/>
  <c r="C18" i="154"/>
  <c r="I19" i="154"/>
  <c r="J19" i="154"/>
  <c r="D19" i="154"/>
  <c r="E19" i="154"/>
  <c r="K19" i="154"/>
  <c r="G19" i="154"/>
  <c r="C19" i="154"/>
  <c r="I20" i="154"/>
  <c r="J20" i="154"/>
  <c r="D20" i="154"/>
  <c r="E20" i="154"/>
  <c r="K20" i="154"/>
  <c r="G20" i="154"/>
  <c r="C20" i="154"/>
  <c r="I21" i="154"/>
  <c r="J21" i="154"/>
  <c r="D21" i="154"/>
  <c r="E21" i="154"/>
  <c r="K21" i="154"/>
  <c r="G21" i="154"/>
  <c r="C21" i="154"/>
  <c r="I22" i="154"/>
  <c r="J22" i="154"/>
  <c r="D22" i="154"/>
  <c r="E22" i="154"/>
  <c r="K22" i="154"/>
  <c r="G22" i="154"/>
  <c r="C22" i="154"/>
  <c r="I23" i="154"/>
  <c r="J23" i="154"/>
  <c r="D23" i="154"/>
  <c r="E23" i="154"/>
  <c r="K23" i="154"/>
  <c r="G23" i="154"/>
  <c r="C23" i="154"/>
  <c r="I24" i="154"/>
  <c r="J24" i="154"/>
  <c r="D24" i="154"/>
  <c r="E24" i="154"/>
  <c r="K24" i="154"/>
  <c r="G24" i="154"/>
  <c r="C24" i="154"/>
  <c r="I25" i="154"/>
  <c r="J25" i="154"/>
  <c r="D25" i="154"/>
  <c r="E25" i="154"/>
  <c r="K25" i="154"/>
  <c r="G25" i="154"/>
  <c r="C25" i="154"/>
  <c r="I26" i="154"/>
  <c r="J26" i="154"/>
  <c r="D26" i="154"/>
  <c r="E26" i="154"/>
  <c r="K26" i="154"/>
  <c r="G26" i="154"/>
  <c r="C26" i="154"/>
  <c r="I27" i="154"/>
  <c r="J27" i="154"/>
  <c r="D27" i="154"/>
  <c r="E27" i="154"/>
  <c r="K27" i="154"/>
  <c r="G27" i="154"/>
  <c r="C27" i="154"/>
  <c r="I28" i="154"/>
  <c r="J28" i="154"/>
  <c r="D28" i="154"/>
  <c r="E28" i="154"/>
  <c r="K28" i="154"/>
  <c r="G28" i="154"/>
  <c r="C28" i="154"/>
  <c r="I29" i="154"/>
  <c r="J29" i="154"/>
  <c r="D29" i="154"/>
  <c r="E29" i="154"/>
  <c r="K29" i="154"/>
  <c r="G29" i="154"/>
  <c r="C29" i="154"/>
  <c r="I30" i="154"/>
  <c r="J30" i="154"/>
  <c r="D30" i="154"/>
  <c r="E30" i="154"/>
  <c r="K30" i="154"/>
  <c r="G30" i="154"/>
  <c r="C30" i="154"/>
  <c r="I31" i="154"/>
  <c r="J31" i="154"/>
  <c r="D31" i="154"/>
  <c r="E31" i="154"/>
  <c r="K31" i="154"/>
  <c r="G31" i="154"/>
  <c r="C31" i="154"/>
  <c r="I32" i="154"/>
  <c r="J32" i="154"/>
  <c r="D32" i="154"/>
  <c r="E32" i="154"/>
  <c r="K32" i="154"/>
  <c r="G32" i="154"/>
  <c r="C32" i="154"/>
  <c r="I33" i="154"/>
  <c r="J33" i="154"/>
  <c r="D33" i="154"/>
  <c r="E33" i="154"/>
  <c r="K33" i="154"/>
  <c r="G33" i="154"/>
  <c r="C33" i="154"/>
  <c r="I34" i="154"/>
  <c r="J34" i="154"/>
  <c r="D34" i="154"/>
  <c r="E34" i="154"/>
  <c r="K34" i="154"/>
  <c r="G34" i="154"/>
  <c r="C34" i="154"/>
  <c r="I35" i="154"/>
  <c r="J35" i="154"/>
  <c r="D35" i="154"/>
  <c r="E35" i="154"/>
  <c r="K35" i="154"/>
  <c r="G35" i="154"/>
  <c r="C35" i="154"/>
  <c r="I36" i="154"/>
  <c r="J36" i="154"/>
  <c r="D36" i="154"/>
  <c r="E36" i="154"/>
  <c r="K36" i="154"/>
  <c r="G36" i="154"/>
  <c r="C36" i="154"/>
  <c r="I37" i="154"/>
  <c r="J37" i="154"/>
  <c r="D37" i="154"/>
  <c r="E37" i="154"/>
  <c r="K37" i="154"/>
  <c r="G37" i="154"/>
  <c r="C37" i="154"/>
  <c r="I38" i="154"/>
  <c r="J38" i="154"/>
  <c r="D38" i="154"/>
  <c r="E38" i="154"/>
  <c r="K38" i="154"/>
  <c r="G38" i="154"/>
  <c r="C38" i="154"/>
  <c r="I39" i="154"/>
  <c r="J39" i="154"/>
  <c r="D39" i="154"/>
  <c r="E39" i="154"/>
  <c r="K39" i="154"/>
  <c r="G39" i="154"/>
  <c r="C39" i="154"/>
  <c r="I40" i="154"/>
  <c r="J40" i="154"/>
  <c r="D40" i="154"/>
  <c r="E40" i="154"/>
  <c r="K40" i="154"/>
  <c r="G40" i="154"/>
  <c r="C40" i="154"/>
  <c r="I41" i="154"/>
  <c r="J41" i="154"/>
  <c r="D41" i="154"/>
  <c r="E41" i="154"/>
  <c r="K41" i="154"/>
  <c r="G41" i="154"/>
  <c r="C41" i="154"/>
  <c r="I42" i="154"/>
  <c r="D42" i="154"/>
  <c r="J42" i="154"/>
  <c r="E42" i="154"/>
  <c r="K42" i="154"/>
  <c r="G42" i="154"/>
  <c r="C42" i="154"/>
  <c r="I43" i="154"/>
  <c r="D43" i="154"/>
  <c r="J43" i="154"/>
  <c r="E43" i="154"/>
  <c r="K43" i="154"/>
  <c r="G43" i="154"/>
  <c r="C43" i="154"/>
  <c r="I44" i="154"/>
  <c r="D44" i="154"/>
  <c r="J44" i="154"/>
  <c r="E44" i="154"/>
  <c r="K44" i="154"/>
  <c r="G44" i="154"/>
  <c r="C44" i="154"/>
  <c r="I45" i="154"/>
  <c r="D45" i="154"/>
  <c r="J45" i="154"/>
  <c r="E45" i="154"/>
  <c r="K45" i="154"/>
  <c r="G45" i="154"/>
  <c r="C45" i="154"/>
  <c r="I46" i="154"/>
  <c r="D46" i="154"/>
  <c r="J46" i="154"/>
  <c r="E46" i="154"/>
  <c r="K46" i="154"/>
  <c r="G46" i="154"/>
  <c r="C46" i="154"/>
  <c r="I47" i="154"/>
  <c r="D47" i="154"/>
  <c r="J47" i="154"/>
  <c r="E47" i="154"/>
  <c r="K47" i="154"/>
  <c r="G47" i="154"/>
  <c r="C47" i="154"/>
  <c r="I48" i="154"/>
  <c r="D48" i="154"/>
  <c r="J48" i="154"/>
  <c r="E48" i="154"/>
  <c r="K48" i="154"/>
  <c r="G48" i="154"/>
  <c r="C48" i="154"/>
  <c r="I49" i="154"/>
  <c r="D49" i="154"/>
  <c r="J49" i="154"/>
  <c r="E49" i="154"/>
  <c r="K49" i="154"/>
  <c r="G49" i="154"/>
  <c r="C49" i="154"/>
  <c r="I50" i="154"/>
  <c r="D50" i="154"/>
  <c r="J50" i="154"/>
  <c r="E50" i="154"/>
  <c r="K50" i="154"/>
  <c r="G50" i="154"/>
  <c r="C50" i="154"/>
  <c r="I51" i="154"/>
  <c r="D51" i="154"/>
  <c r="J51" i="154"/>
  <c r="E51" i="154"/>
  <c r="K51" i="154"/>
  <c r="G51" i="154"/>
  <c r="C51" i="154"/>
  <c r="I52" i="154"/>
  <c r="D52" i="154"/>
  <c r="J52" i="154"/>
  <c r="E52" i="154"/>
  <c r="K52" i="154"/>
  <c r="G52" i="154"/>
  <c r="C52" i="154"/>
  <c r="I53" i="154"/>
  <c r="D53" i="154"/>
  <c r="J53" i="154"/>
  <c r="E53" i="154"/>
  <c r="K53" i="154"/>
  <c r="G53" i="154"/>
  <c r="C53" i="154"/>
  <c r="I54" i="154"/>
  <c r="D54" i="154"/>
  <c r="J54" i="154"/>
  <c r="E54" i="154"/>
  <c r="K54" i="154"/>
  <c r="G54" i="154"/>
  <c r="C54" i="154"/>
  <c r="I55" i="154"/>
  <c r="D55" i="154"/>
  <c r="J55" i="154"/>
  <c r="E55" i="154"/>
  <c r="K55" i="154"/>
  <c r="G55" i="154"/>
  <c r="C55" i="154"/>
  <c r="I56" i="154"/>
  <c r="D56" i="154"/>
  <c r="J56" i="154"/>
  <c r="E56" i="154"/>
  <c r="K56" i="154"/>
  <c r="G56" i="154"/>
  <c r="C56" i="154"/>
  <c r="I57" i="154"/>
  <c r="D57" i="154"/>
  <c r="J57" i="154"/>
  <c r="E57" i="154"/>
  <c r="K57" i="154"/>
  <c r="G57" i="154"/>
  <c r="C57" i="154"/>
  <c r="I58" i="154"/>
  <c r="D58" i="154"/>
  <c r="J58" i="154"/>
  <c r="E58" i="154"/>
  <c r="K58" i="154"/>
  <c r="G58" i="154"/>
  <c r="C58" i="154"/>
  <c r="I59" i="154"/>
  <c r="D59" i="154"/>
  <c r="J59" i="154"/>
  <c r="E59" i="154"/>
  <c r="K59" i="154"/>
  <c r="G59" i="154"/>
  <c r="C59" i="154"/>
  <c r="I60" i="154"/>
  <c r="D60" i="154"/>
  <c r="J60" i="154"/>
  <c r="E60" i="154"/>
  <c r="K60" i="154"/>
  <c r="G60" i="154"/>
  <c r="C60" i="154"/>
  <c r="I61" i="154"/>
  <c r="D61" i="154"/>
  <c r="J61" i="154"/>
  <c r="E61" i="154"/>
  <c r="K61" i="154"/>
  <c r="G61" i="154"/>
  <c r="C61" i="154"/>
  <c r="I62" i="154"/>
  <c r="D62" i="154"/>
  <c r="J62" i="154"/>
  <c r="E62" i="154"/>
  <c r="K62" i="154"/>
  <c r="G62" i="154"/>
  <c r="C62" i="154"/>
  <c r="I63" i="154"/>
  <c r="D63" i="154"/>
  <c r="J63" i="154"/>
  <c r="E63" i="154"/>
  <c r="K63" i="154"/>
  <c r="G63" i="154"/>
  <c r="C63" i="154"/>
  <c r="I64" i="154"/>
  <c r="D64" i="154"/>
  <c r="J64" i="154"/>
  <c r="E64" i="154"/>
  <c r="K64" i="154"/>
  <c r="G64" i="154"/>
  <c r="C64" i="154"/>
  <c r="I65" i="154"/>
  <c r="D65" i="154"/>
  <c r="J65" i="154"/>
  <c r="E65" i="154"/>
  <c r="K65" i="154"/>
  <c r="G65" i="154"/>
  <c r="C65" i="154"/>
  <c r="I66" i="154"/>
  <c r="D66" i="154"/>
  <c r="J66" i="154"/>
  <c r="E66" i="154"/>
  <c r="K66" i="154"/>
  <c r="G66" i="154"/>
  <c r="C66" i="154"/>
  <c r="I67" i="154"/>
  <c r="D67" i="154"/>
  <c r="J67" i="154"/>
  <c r="E67" i="154"/>
  <c r="K67" i="154"/>
  <c r="G67" i="154"/>
  <c r="C67" i="154"/>
  <c r="I68" i="154"/>
  <c r="D68" i="154"/>
  <c r="J68" i="154"/>
  <c r="E68" i="154"/>
  <c r="K68" i="154"/>
  <c r="G68" i="154"/>
  <c r="C68" i="154"/>
  <c r="I69" i="154"/>
  <c r="D69" i="154"/>
  <c r="J69" i="154"/>
  <c r="E69" i="154"/>
  <c r="K69" i="154"/>
  <c r="G69" i="154"/>
  <c r="C69" i="154"/>
  <c r="I70" i="154"/>
  <c r="D70" i="154"/>
  <c r="J70" i="154"/>
  <c r="E70" i="154"/>
  <c r="K70" i="154"/>
  <c r="G70" i="154"/>
  <c r="C70" i="154"/>
  <c r="I71" i="154"/>
  <c r="D71" i="154"/>
  <c r="J71" i="154"/>
  <c r="E71" i="154"/>
  <c r="K71" i="154"/>
  <c r="G71" i="154"/>
  <c r="C71" i="154"/>
  <c r="I72" i="154"/>
  <c r="D72" i="154"/>
  <c r="J72" i="154"/>
  <c r="E72" i="154"/>
  <c r="K72" i="154"/>
  <c r="G72" i="154"/>
  <c r="C72" i="154"/>
  <c r="I73" i="154"/>
  <c r="D73" i="154"/>
  <c r="J73" i="154"/>
  <c r="E73" i="154"/>
  <c r="K73" i="154"/>
  <c r="G73" i="154"/>
  <c r="C73" i="154"/>
  <c r="I74" i="154"/>
  <c r="D74" i="154"/>
  <c r="J74" i="154"/>
  <c r="E74" i="154"/>
  <c r="K74" i="154"/>
  <c r="G74" i="154"/>
  <c r="C74" i="154"/>
  <c r="I75" i="154"/>
  <c r="D75" i="154"/>
  <c r="J75" i="154"/>
  <c r="E75" i="154"/>
  <c r="K75" i="154"/>
  <c r="G75" i="154"/>
  <c r="C75" i="154"/>
  <c r="I76" i="154"/>
  <c r="D76" i="154"/>
  <c r="J76" i="154"/>
  <c r="E76" i="154"/>
  <c r="K76" i="154"/>
  <c r="G76" i="154"/>
  <c r="C76" i="154"/>
  <c r="I77" i="154"/>
  <c r="D77" i="154"/>
  <c r="J77" i="154"/>
  <c r="E77" i="154"/>
  <c r="K77" i="154"/>
  <c r="G77" i="154"/>
  <c r="C77" i="154"/>
  <c r="I78" i="154"/>
  <c r="D78" i="154"/>
  <c r="J78" i="154"/>
  <c r="E78" i="154"/>
  <c r="K78" i="154"/>
  <c r="G78" i="154"/>
  <c r="C78" i="154"/>
  <c r="I79" i="154"/>
  <c r="D79" i="154"/>
  <c r="J79" i="154"/>
  <c r="E79" i="154"/>
  <c r="K79" i="154"/>
  <c r="G79" i="154"/>
  <c r="C79" i="154"/>
  <c r="I80" i="154"/>
  <c r="D80" i="154"/>
  <c r="J80" i="154"/>
  <c r="E80" i="154"/>
  <c r="K80" i="154"/>
  <c r="G80" i="154"/>
  <c r="C80" i="154"/>
  <c r="I81" i="154"/>
  <c r="D81" i="154"/>
  <c r="J81" i="154"/>
  <c r="E81" i="154"/>
  <c r="K81" i="154"/>
  <c r="G81" i="154"/>
  <c r="C81" i="154"/>
  <c r="I82" i="154"/>
  <c r="D82" i="154"/>
  <c r="J82" i="154"/>
  <c r="E82" i="154"/>
  <c r="K82" i="154"/>
  <c r="G82" i="154"/>
  <c r="C82" i="154"/>
  <c r="I83" i="154"/>
  <c r="D83" i="154"/>
  <c r="J83" i="154"/>
  <c r="E83" i="154"/>
  <c r="K83" i="154"/>
  <c r="G83" i="154"/>
  <c r="C83" i="154"/>
  <c r="I84" i="154"/>
  <c r="D84" i="154"/>
  <c r="J84" i="154"/>
  <c r="E84" i="154"/>
  <c r="K84" i="154"/>
  <c r="G84" i="154"/>
  <c r="C84" i="154"/>
  <c r="I85" i="154"/>
  <c r="D85" i="154"/>
  <c r="J85" i="154"/>
  <c r="E85" i="154"/>
  <c r="K85" i="154"/>
  <c r="G85" i="154"/>
  <c r="C85" i="154"/>
  <c r="I86" i="154"/>
  <c r="D86" i="154"/>
  <c r="J86" i="154"/>
  <c r="E86" i="154"/>
  <c r="K86" i="154"/>
  <c r="G86" i="154"/>
  <c r="C86" i="154"/>
  <c r="I87" i="154"/>
  <c r="D87" i="154"/>
  <c r="J87" i="154"/>
  <c r="E87" i="154"/>
  <c r="K87" i="154"/>
  <c r="G87" i="154"/>
  <c r="C87" i="154"/>
  <c r="I88" i="154"/>
  <c r="D88" i="154"/>
  <c r="J88" i="154"/>
  <c r="E88" i="154"/>
  <c r="K88" i="154"/>
  <c r="G88" i="154"/>
  <c r="C88" i="154"/>
  <c r="I89" i="154"/>
  <c r="D89" i="154"/>
  <c r="J89" i="154"/>
  <c r="E89" i="154"/>
  <c r="K89" i="154"/>
  <c r="G89" i="154"/>
  <c r="C89" i="154"/>
  <c r="I90" i="154"/>
  <c r="D90" i="154"/>
  <c r="J90" i="154"/>
  <c r="E90" i="154"/>
  <c r="K90" i="154"/>
  <c r="G90" i="154"/>
  <c r="C90" i="154"/>
  <c r="I91" i="154"/>
  <c r="D91" i="154"/>
  <c r="J91" i="154"/>
  <c r="E91" i="154"/>
  <c r="K91" i="154"/>
  <c r="G91" i="154"/>
  <c r="C91" i="154"/>
  <c r="I92" i="154"/>
  <c r="D92" i="154"/>
  <c r="J92" i="154"/>
  <c r="E92" i="154"/>
  <c r="K92" i="154"/>
  <c r="G92" i="154"/>
  <c r="C92" i="154"/>
  <c r="I93" i="154"/>
  <c r="D93" i="154"/>
  <c r="J93" i="154"/>
  <c r="E93" i="154"/>
  <c r="K93" i="154"/>
  <c r="G93" i="154"/>
  <c r="C93" i="154"/>
  <c r="I94" i="154"/>
  <c r="D94" i="154"/>
  <c r="J94" i="154"/>
  <c r="E94" i="154"/>
  <c r="K94" i="154"/>
  <c r="G94" i="154"/>
  <c r="C94" i="154"/>
  <c r="I95" i="154"/>
  <c r="D95" i="154"/>
  <c r="J95" i="154"/>
  <c r="E95" i="154"/>
  <c r="K95" i="154"/>
  <c r="G95" i="154"/>
  <c r="C95" i="154"/>
  <c r="I96" i="154"/>
  <c r="D96" i="154"/>
  <c r="J96" i="154"/>
  <c r="E96" i="154"/>
  <c r="K96" i="154"/>
  <c r="G96" i="154"/>
  <c r="C96" i="154"/>
  <c r="I97" i="154"/>
  <c r="D97" i="154"/>
  <c r="J97" i="154"/>
  <c r="E97" i="154"/>
  <c r="K97" i="154"/>
  <c r="G97" i="154"/>
  <c r="C97" i="154"/>
  <c r="I98" i="154"/>
  <c r="D98" i="154"/>
  <c r="J98" i="154"/>
  <c r="E98" i="154"/>
  <c r="K98" i="154"/>
  <c r="G98" i="154"/>
  <c r="C98" i="154"/>
  <c r="I99" i="154"/>
  <c r="D99" i="154"/>
  <c r="J99" i="154"/>
  <c r="E99" i="154"/>
  <c r="K99" i="154"/>
  <c r="G99" i="154"/>
  <c r="C99" i="154"/>
  <c r="I100" i="154"/>
  <c r="D100" i="154"/>
  <c r="J100" i="154"/>
  <c r="E100" i="154"/>
  <c r="K100" i="154"/>
  <c r="G100" i="154"/>
  <c r="C100" i="154"/>
  <c r="I101" i="154"/>
  <c r="D101" i="154"/>
  <c r="J101" i="154"/>
  <c r="E101" i="154"/>
  <c r="K101" i="154"/>
  <c r="G101" i="154"/>
  <c r="C101" i="154"/>
  <c r="I102" i="154"/>
  <c r="D102" i="154"/>
  <c r="J102" i="154"/>
  <c r="E102" i="154"/>
  <c r="K102" i="154"/>
  <c r="G102" i="154"/>
  <c r="C102" i="154"/>
  <c r="I103" i="154"/>
  <c r="D103" i="154"/>
  <c r="J103" i="154"/>
  <c r="E103" i="154"/>
  <c r="K103" i="154"/>
  <c r="G103" i="154"/>
  <c r="C103" i="154"/>
  <c r="I104" i="154"/>
  <c r="D104" i="154"/>
  <c r="J104" i="154"/>
  <c r="E104" i="154"/>
  <c r="K104" i="154"/>
  <c r="G104" i="154"/>
  <c r="C104" i="154"/>
  <c r="I105" i="154"/>
  <c r="D105" i="154"/>
  <c r="J105" i="154"/>
  <c r="E105" i="154"/>
  <c r="K105" i="154"/>
  <c r="G105" i="154"/>
  <c r="C105" i="154"/>
  <c r="I106" i="154"/>
  <c r="D106" i="154"/>
  <c r="J106" i="154"/>
  <c r="E106" i="154"/>
  <c r="K106" i="154"/>
  <c r="G106" i="154"/>
  <c r="C106" i="154"/>
  <c r="I107" i="154"/>
  <c r="D107" i="154"/>
  <c r="J107" i="154"/>
  <c r="E107" i="154"/>
  <c r="K107" i="154"/>
  <c r="G107" i="154"/>
  <c r="C107" i="154"/>
  <c r="I108" i="154"/>
  <c r="D108" i="154"/>
  <c r="J108" i="154"/>
  <c r="E108" i="154"/>
  <c r="K108" i="154"/>
  <c r="G108" i="154"/>
  <c r="C108" i="154"/>
  <c r="I109" i="154"/>
  <c r="D109" i="154"/>
  <c r="J109" i="154"/>
  <c r="E109" i="154"/>
  <c r="K109" i="154"/>
  <c r="G109" i="154"/>
  <c r="C109" i="154"/>
  <c r="I110" i="154"/>
  <c r="D110" i="154"/>
  <c r="J110" i="154"/>
  <c r="E110" i="154"/>
  <c r="K110" i="154"/>
  <c r="G110" i="154"/>
  <c r="C110" i="154"/>
  <c r="I111" i="154"/>
  <c r="D111" i="154"/>
  <c r="J111" i="154"/>
  <c r="E111" i="154"/>
  <c r="K111" i="154"/>
  <c r="G111" i="154"/>
  <c r="C111" i="154"/>
  <c r="I112" i="154"/>
  <c r="D112" i="154"/>
  <c r="J112" i="154"/>
  <c r="E112" i="154"/>
  <c r="K112" i="154"/>
  <c r="G112" i="154"/>
  <c r="C112" i="154"/>
  <c r="I113" i="154"/>
  <c r="D113" i="154"/>
  <c r="J113" i="154"/>
  <c r="E113" i="154"/>
  <c r="K113" i="154"/>
  <c r="G113" i="154"/>
  <c r="C113" i="154"/>
  <c r="I114" i="154"/>
  <c r="D114" i="154"/>
  <c r="J114" i="154"/>
  <c r="E114" i="154"/>
  <c r="K114" i="154"/>
  <c r="G114" i="154"/>
  <c r="C114" i="154"/>
  <c r="I115" i="154"/>
  <c r="D115" i="154"/>
  <c r="J115" i="154"/>
  <c r="E115" i="154"/>
  <c r="K115" i="154"/>
  <c r="G115" i="154"/>
  <c r="C115" i="154"/>
  <c r="I116" i="154"/>
  <c r="D116" i="154"/>
  <c r="J116" i="154"/>
  <c r="E116" i="154"/>
  <c r="K116" i="154"/>
  <c r="G116" i="154"/>
  <c r="C116" i="154"/>
  <c r="I117" i="154"/>
  <c r="D117" i="154"/>
  <c r="J117" i="154"/>
  <c r="E117" i="154"/>
  <c r="K117" i="154"/>
  <c r="G117" i="154"/>
  <c r="C117" i="154"/>
  <c r="I118" i="154"/>
  <c r="D118" i="154"/>
  <c r="J118" i="154"/>
  <c r="E118" i="154"/>
  <c r="K118" i="154"/>
  <c r="G118" i="154"/>
  <c r="C118" i="154"/>
  <c r="I119" i="154"/>
  <c r="D119" i="154"/>
  <c r="J119" i="154"/>
  <c r="E119" i="154"/>
  <c r="K119" i="154"/>
  <c r="G119" i="154"/>
  <c r="C119" i="154"/>
  <c r="I120" i="154"/>
  <c r="D120" i="154"/>
  <c r="J120" i="154"/>
  <c r="E120" i="154"/>
  <c r="K120" i="154"/>
  <c r="G120" i="154"/>
  <c r="C120" i="154"/>
  <c r="I121" i="154"/>
  <c r="D121" i="154"/>
  <c r="J121" i="154"/>
  <c r="E121" i="154"/>
  <c r="K121" i="154"/>
  <c r="G121" i="154"/>
  <c r="C121" i="154"/>
  <c r="I122" i="154"/>
  <c r="D122" i="154"/>
  <c r="J122" i="154"/>
  <c r="E122" i="154"/>
  <c r="K122" i="154"/>
  <c r="G122" i="154"/>
  <c r="C122" i="154"/>
  <c r="I123" i="154"/>
  <c r="D123" i="154"/>
  <c r="J123" i="154"/>
  <c r="E123" i="154"/>
  <c r="K123" i="154"/>
  <c r="G123" i="154"/>
  <c r="C123" i="154"/>
  <c r="I124" i="154"/>
  <c r="D124" i="154"/>
  <c r="J124" i="154"/>
  <c r="E124" i="154"/>
  <c r="K124" i="154"/>
  <c r="G124" i="154"/>
  <c r="C124" i="154"/>
  <c r="I125" i="154"/>
  <c r="D125" i="154"/>
  <c r="J125" i="154"/>
  <c r="E125" i="154"/>
  <c r="K125" i="154"/>
  <c r="G125" i="154"/>
  <c r="C125" i="154"/>
  <c r="I126" i="154"/>
  <c r="D126" i="154"/>
  <c r="J126" i="154"/>
  <c r="E126" i="154"/>
  <c r="K126" i="154"/>
  <c r="G126" i="154"/>
  <c r="C126" i="154"/>
  <c r="I127" i="154"/>
  <c r="D127" i="154"/>
  <c r="J127" i="154"/>
  <c r="E127" i="154"/>
  <c r="K127" i="154"/>
  <c r="G127" i="154"/>
  <c r="C127" i="154"/>
  <c r="I128" i="154"/>
  <c r="D128" i="154"/>
  <c r="J128" i="154"/>
  <c r="E128" i="154"/>
  <c r="K128" i="154"/>
  <c r="G128" i="154"/>
  <c r="C128" i="154"/>
  <c r="I129" i="154"/>
  <c r="D129" i="154"/>
  <c r="J129" i="154"/>
  <c r="E129" i="154"/>
  <c r="K129" i="154"/>
  <c r="G129" i="154"/>
  <c r="C129" i="154"/>
  <c r="I130" i="154"/>
  <c r="D130" i="154"/>
  <c r="J130" i="154"/>
  <c r="E130" i="154"/>
  <c r="K130" i="154"/>
  <c r="G130" i="154"/>
  <c r="C130" i="154"/>
  <c r="I131" i="154"/>
  <c r="D131" i="154"/>
  <c r="J131" i="154"/>
  <c r="E131" i="154"/>
  <c r="K131" i="154"/>
  <c r="G131" i="154"/>
  <c r="C131" i="154"/>
  <c r="I132" i="154"/>
  <c r="D132" i="154"/>
  <c r="J132" i="154"/>
  <c r="E132" i="154"/>
  <c r="K132" i="154"/>
  <c r="G132" i="154"/>
  <c r="C132" i="154"/>
  <c r="I133" i="154"/>
  <c r="D133" i="154"/>
  <c r="J133" i="154"/>
  <c r="E133" i="154"/>
  <c r="K133" i="154"/>
  <c r="G133" i="154"/>
  <c r="C133" i="154"/>
  <c r="I134" i="154"/>
  <c r="D134" i="154"/>
  <c r="J134" i="154"/>
  <c r="E134" i="154"/>
  <c r="K134" i="154"/>
  <c r="G134" i="154"/>
  <c r="C134" i="154"/>
  <c r="I135" i="154"/>
  <c r="D135" i="154"/>
  <c r="J135" i="154"/>
  <c r="E135" i="154"/>
  <c r="K135" i="154"/>
  <c r="G135" i="154"/>
  <c r="C135" i="154"/>
  <c r="I136" i="154"/>
  <c r="D136" i="154"/>
  <c r="J136" i="154"/>
  <c r="E136" i="154"/>
  <c r="K136" i="154"/>
  <c r="G136" i="154"/>
  <c r="C136" i="154"/>
  <c r="I137" i="154"/>
  <c r="D137" i="154"/>
  <c r="J137" i="154"/>
  <c r="E137" i="154"/>
  <c r="K137" i="154"/>
  <c r="G137" i="154"/>
  <c r="C137" i="154"/>
  <c r="I138" i="154"/>
  <c r="D138" i="154"/>
  <c r="J138" i="154"/>
  <c r="E138" i="154"/>
  <c r="K138" i="154"/>
  <c r="G138" i="154"/>
  <c r="C138" i="154"/>
  <c r="I139" i="154"/>
  <c r="D139" i="154"/>
  <c r="J139" i="154"/>
  <c r="E139" i="154"/>
  <c r="K139" i="154"/>
  <c r="G139" i="154"/>
  <c r="C139" i="154"/>
  <c r="I140" i="154"/>
  <c r="D140" i="154"/>
  <c r="J140" i="154"/>
  <c r="E140" i="154"/>
  <c r="K140" i="154"/>
  <c r="G140" i="154"/>
  <c r="C140" i="154"/>
  <c r="I141" i="154"/>
  <c r="D141" i="154"/>
  <c r="J141" i="154"/>
  <c r="E141" i="154"/>
  <c r="K141" i="154"/>
  <c r="G141" i="154"/>
  <c r="C141" i="154"/>
  <c r="I142" i="154"/>
  <c r="D142" i="154"/>
  <c r="J142" i="154"/>
  <c r="E142" i="154"/>
  <c r="K142" i="154"/>
  <c r="G142" i="154"/>
  <c r="C142" i="154"/>
  <c r="I143" i="154"/>
  <c r="D143" i="154"/>
  <c r="J143" i="154"/>
  <c r="E143" i="154"/>
  <c r="K143" i="154"/>
  <c r="G143" i="154"/>
  <c r="C143" i="154"/>
  <c r="I144" i="154"/>
  <c r="D144" i="154"/>
  <c r="J144" i="154"/>
  <c r="E144" i="154"/>
  <c r="K144" i="154"/>
  <c r="G144" i="154"/>
  <c r="C144" i="154"/>
  <c r="I145" i="154"/>
  <c r="D145" i="154"/>
  <c r="J145" i="154"/>
  <c r="E145" i="154"/>
  <c r="K145" i="154"/>
  <c r="G145" i="154"/>
  <c r="C145" i="154"/>
  <c r="I146" i="154"/>
  <c r="D146" i="154"/>
  <c r="J146" i="154"/>
  <c r="E146" i="154"/>
  <c r="K146" i="154"/>
  <c r="G146" i="154"/>
  <c r="C146" i="154"/>
  <c r="I147" i="154"/>
  <c r="D147" i="154"/>
  <c r="J147" i="154"/>
  <c r="E147" i="154"/>
  <c r="K147" i="154"/>
  <c r="G147" i="154"/>
  <c r="C147" i="154"/>
  <c r="I148" i="154"/>
  <c r="D148" i="154"/>
  <c r="J148" i="154"/>
  <c r="E148" i="154"/>
  <c r="K148" i="154"/>
  <c r="G148" i="154"/>
  <c r="C148" i="154"/>
  <c r="I149" i="154"/>
  <c r="D149" i="154"/>
  <c r="J149" i="154"/>
  <c r="E149" i="154"/>
  <c r="K149" i="154"/>
  <c r="G149" i="154"/>
  <c r="C149" i="154"/>
  <c r="I150" i="154"/>
  <c r="D150" i="154"/>
  <c r="J150" i="154"/>
  <c r="E150" i="154"/>
  <c r="K150" i="154"/>
  <c r="G150" i="154"/>
  <c r="C150" i="154"/>
  <c r="I151" i="154"/>
  <c r="D151" i="154"/>
  <c r="J151" i="154"/>
  <c r="E151" i="154"/>
  <c r="K151" i="154"/>
  <c r="G151" i="154"/>
  <c r="C151" i="154"/>
  <c r="I152" i="154"/>
  <c r="D152" i="154"/>
  <c r="J152" i="154"/>
  <c r="E152" i="154"/>
  <c r="K152" i="154"/>
  <c r="G152" i="154"/>
  <c r="C152" i="154"/>
  <c r="I153" i="154"/>
  <c r="D153" i="154"/>
  <c r="J153" i="154"/>
  <c r="E153" i="154"/>
  <c r="K153" i="154"/>
  <c r="G153" i="154"/>
  <c r="C153" i="154"/>
  <c r="I154" i="154"/>
  <c r="D154" i="154"/>
  <c r="J154" i="154"/>
  <c r="E154" i="154"/>
  <c r="K154" i="154"/>
  <c r="G154" i="154"/>
  <c r="C154" i="154"/>
  <c r="I155" i="154"/>
  <c r="D155" i="154"/>
  <c r="J155" i="154"/>
  <c r="E155" i="154"/>
  <c r="K155" i="154"/>
  <c r="G155" i="154"/>
  <c r="C155" i="154"/>
  <c r="I156" i="154"/>
  <c r="D156" i="154"/>
  <c r="J156" i="154"/>
  <c r="E156" i="154"/>
  <c r="K156" i="154"/>
  <c r="G156" i="154"/>
  <c r="C156" i="154"/>
  <c r="I157" i="154"/>
  <c r="D157" i="154"/>
  <c r="J157" i="154"/>
  <c r="E157" i="154"/>
  <c r="K157" i="154"/>
  <c r="G157" i="154"/>
  <c r="C157" i="154"/>
  <c r="I158" i="154"/>
  <c r="D158" i="154"/>
  <c r="J158" i="154"/>
  <c r="E158" i="154"/>
  <c r="K158" i="154"/>
  <c r="G158" i="154"/>
  <c r="C158" i="154"/>
  <c r="I159" i="154"/>
  <c r="D159" i="154"/>
  <c r="J159" i="154"/>
  <c r="E159" i="154"/>
  <c r="K159" i="154"/>
  <c r="G159" i="154"/>
  <c r="C159" i="154"/>
  <c r="I160" i="154"/>
  <c r="D160" i="154"/>
  <c r="J160" i="154"/>
  <c r="E160" i="154"/>
  <c r="K160" i="154"/>
  <c r="G160" i="154"/>
  <c r="C160" i="154"/>
  <c r="I161" i="154"/>
  <c r="D161" i="154"/>
  <c r="J161" i="154"/>
  <c r="E161" i="154"/>
  <c r="K161" i="154"/>
  <c r="G161" i="154"/>
  <c r="C161" i="154"/>
  <c r="I162" i="154"/>
  <c r="D162" i="154"/>
  <c r="J162" i="154"/>
  <c r="E162" i="154"/>
  <c r="K162" i="154"/>
  <c r="G162" i="154"/>
  <c r="C162" i="154"/>
  <c r="I163" i="154"/>
  <c r="D163" i="154"/>
  <c r="J163" i="154"/>
  <c r="E163" i="154"/>
  <c r="K163" i="154"/>
  <c r="G163" i="154"/>
  <c r="C163" i="154"/>
  <c r="I164" i="154"/>
  <c r="D164" i="154"/>
  <c r="J164" i="154"/>
  <c r="E164" i="154"/>
  <c r="K164" i="154"/>
  <c r="G164" i="154"/>
  <c r="C164" i="154"/>
  <c r="I165" i="154"/>
  <c r="D165" i="154"/>
  <c r="J165" i="154"/>
  <c r="E165" i="154"/>
  <c r="K165" i="154"/>
  <c r="G165" i="154"/>
  <c r="C165" i="154"/>
  <c r="I166" i="154"/>
  <c r="D166" i="154"/>
  <c r="J166" i="154"/>
  <c r="E166" i="154"/>
  <c r="K166" i="154"/>
  <c r="G166" i="154"/>
  <c r="C166" i="154"/>
  <c r="I167" i="154"/>
  <c r="D167" i="154"/>
  <c r="J167" i="154"/>
  <c r="E167" i="154"/>
  <c r="K167" i="154"/>
  <c r="G167" i="154"/>
  <c r="C167" i="154"/>
  <c r="I168" i="154"/>
  <c r="D168" i="154"/>
  <c r="J168" i="154"/>
  <c r="E168" i="154"/>
  <c r="K168" i="154"/>
  <c r="G168" i="154"/>
  <c r="C168" i="154"/>
  <c r="I169" i="154"/>
  <c r="D169" i="154"/>
  <c r="J169" i="154"/>
  <c r="E169" i="154"/>
  <c r="K169" i="154"/>
  <c r="G169" i="154"/>
  <c r="C169" i="154"/>
  <c r="I170" i="154"/>
  <c r="D170" i="154"/>
  <c r="J170" i="154"/>
  <c r="E170" i="154"/>
  <c r="K170" i="154"/>
  <c r="G170" i="154"/>
  <c r="C170" i="154"/>
  <c r="I171" i="154"/>
  <c r="D171" i="154"/>
  <c r="J171" i="154"/>
  <c r="E171" i="154"/>
  <c r="K171" i="154"/>
  <c r="G171" i="154"/>
  <c r="C171" i="154"/>
  <c r="I172" i="154"/>
  <c r="D172" i="154"/>
  <c r="J172" i="154"/>
  <c r="E172" i="154"/>
  <c r="K172" i="154"/>
  <c r="G172" i="154"/>
  <c r="C172" i="154"/>
  <c r="I173" i="154"/>
  <c r="D173" i="154"/>
  <c r="J173" i="154"/>
  <c r="E173" i="154"/>
  <c r="K173" i="154"/>
  <c r="G173" i="154"/>
  <c r="C173" i="154"/>
  <c r="I174" i="154"/>
  <c r="D174" i="154"/>
  <c r="J174" i="154"/>
  <c r="E174" i="154"/>
  <c r="K174" i="154"/>
  <c r="G174" i="154"/>
  <c r="C174" i="154"/>
  <c r="I175" i="154"/>
  <c r="D175" i="154"/>
  <c r="J175" i="154"/>
  <c r="E175" i="154"/>
  <c r="K175" i="154"/>
  <c r="G175" i="154"/>
  <c r="C175" i="154"/>
  <c r="I176" i="154"/>
  <c r="D176" i="154"/>
  <c r="J176" i="154"/>
  <c r="E176" i="154"/>
  <c r="K176" i="154"/>
  <c r="G176" i="154"/>
  <c r="C176" i="154"/>
  <c r="I177" i="154"/>
  <c r="D177" i="154"/>
  <c r="J177" i="154"/>
  <c r="E177" i="154"/>
  <c r="K177" i="154"/>
  <c r="G177" i="154"/>
  <c r="C177" i="154"/>
  <c r="I178" i="154"/>
  <c r="D178" i="154"/>
  <c r="J178" i="154"/>
  <c r="E178" i="154"/>
  <c r="K178" i="154"/>
  <c r="G178" i="154"/>
  <c r="C178" i="154"/>
  <c r="I179" i="154"/>
  <c r="D179" i="154"/>
  <c r="J179" i="154"/>
  <c r="E179" i="154"/>
  <c r="K179" i="154"/>
  <c r="G179" i="154"/>
  <c r="C179" i="154"/>
  <c r="I180" i="154"/>
  <c r="D180" i="154"/>
  <c r="J180" i="154"/>
  <c r="E180" i="154"/>
  <c r="K180" i="154"/>
  <c r="G180" i="154"/>
  <c r="C180" i="154"/>
  <c r="I181" i="154"/>
  <c r="D181" i="154"/>
  <c r="J181" i="154"/>
  <c r="E181" i="154"/>
  <c r="K181" i="154"/>
  <c r="G181" i="154"/>
  <c r="C181" i="154"/>
  <c r="I182" i="154"/>
  <c r="D182" i="154"/>
  <c r="J182" i="154"/>
  <c r="E182" i="154"/>
  <c r="K182" i="154"/>
  <c r="G182" i="154"/>
  <c r="C182" i="154"/>
  <c r="I183" i="154"/>
  <c r="D183" i="154"/>
  <c r="J183" i="154"/>
  <c r="E183" i="154"/>
  <c r="K183" i="154"/>
  <c r="G183" i="154"/>
  <c r="C183" i="154"/>
  <c r="I184" i="154"/>
  <c r="D184" i="154"/>
  <c r="J184" i="154"/>
  <c r="E184" i="154"/>
  <c r="K184" i="154"/>
  <c r="G184" i="154"/>
  <c r="C184" i="154"/>
  <c r="I185" i="154"/>
  <c r="D185" i="154"/>
  <c r="J185" i="154"/>
  <c r="E185" i="154"/>
  <c r="K185" i="154"/>
  <c r="G185" i="154"/>
  <c r="C185" i="154"/>
  <c r="I186" i="154"/>
  <c r="D186" i="154"/>
  <c r="J186" i="154"/>
  <c r="E186" i="154"/>
  <c r="K186" i="154"/>
  <c r="G186" i="154"/>
  <c r="C186" i="154"/>
  <c r="I187" i="154"/>
  <c r="D187" i="154"/>
  <c r="J187" i="154"/>
  <c r="E187" i="154"/>
  <c r="K187" i="154"/>
  <c r="G187" i="154"/>
  <c r="C187" i="154"/>
  <c r="I188" i="154"/>
  <c r="D188" i="154"/>
  <c r="J188" i="154"/>
  <c r="E188" i="154"/>
  <c r="K188" i="154"/>
  <c r="G188" i="154"/>
  <c r="C188" i="154"/>
  <c r="I189" i="154"/>
  <c r="D189" i="154"/>
  <c r="J189" i="154"/>
  <c r="E189" i="154"/>
  <c r="K189" i="154"/>
  <c r="G189" i="154"/>
  <c r="C189" i="154"/>
  <c r="I190" i="154"/>
  <c r="D190" i="154"/>
  <c r="J190" i="154"/>
  <c r="E190" i="154"/>
  <c r="K190" i="154"/>
  <c r="G190" i="154"/>
  <c r="C190" i="154"/>
  <c r="I191" i="154"/>
  <c r="D191" i="154"/>
  <c r="J191" i="154"/>
  <c r="E191" i="154"/>
  <c r="K191" i="154"/>
  <c r="G191" i="154"/>
  <c r="C191" i="154"/>
  <c r="I192" i="154"/>
  <c r="D192" i="154"/>
  <c r="J192" i="154"/>
  <c r="E192" i="154"/>
  <c r="K192" i="154"/>
  <c r="G192" i="154"/>
  <c r="C192" i="154"/>
  <c r="I193" i="154"/>
  <c r="D193" i="154"/>
  <c r="J193" i="154"/>
  <c r="E193" i="154"/>
  <c r="K193" i="154"/>
  <c r="G193" i="154"/>
  <c r="C193" i="154"/>
  <c r="I194" i="154"/>
  <c r="D194" i="154"/>
  <c r="J194" i="154"/>
  <c r="E194" i="154"/>
  <c r="K194" i="154"/>
  <c r="G194" i="154"/>
  <c r="C194" i="154"/>
  <c r="I195" i="154"/>
  <c r="D195" i="154"/>
  <c r="J195" i="154"/>
  <c r="E195" i="154"/>
  <c r="K195" i="154"/>
  <c r="G195" i="154"/>
  <c r="C195" i="154"/>
  <c r="I196" i="154"/>
  <c r="D196" i="154"/>
  <c r="J196" i="154"/>
  <c r="E196" i="154"/>
  <c r="K196" i="154"/>
  <c r="G196" i="154"/>
  <c r="C196" i="154"/>
  <c r="I197" i="154"/>
  <c r="D197" i="154"/>
  <c r="J197" i="154"/>
  <c r="E197" i="154"/>
  <c r="K197" i="154"/>
  <c r="G197" i="154"/>
  <c r="C197" i="154"/>
  <c r="I198" i="154"/>
  <c r="D198" i="154"/>
  <c r="J198" i="154"/>
  <c r="E198" i="154"/>
  <c r="K198" i="154"/>
  <c r="G198" i="154"/>
  <c r="C198" i="154"/>
  <c r="I199" i="154"/>
  <c r="D199" i="154"/>
  <c r="J199" i="154"/>
  <c r="E199" i="154"/>
  <c r="K199" i="154"/>
  <c r="G199" i="154"/>
  <c r="C199" i="154"/>
  <c r="I200" i="154"/>
  <c r="D200" i="154"/>
  <c r="J200" i="154"/>
  <c r="E200" i="154"/>
  <c r="K200" i="154"/>
  <c r="G200" i="154"/>
  <c r="C200" i="154"/>
  <c r="I201" i="154"/>
  <c r="D201" i="154"/>
  <c r="J201" i="154"/>
  <c r="E201" i="154"/>
  <c r="K201" i="154"/>
  <c r="G201" i="154"/>
  <c r="C201" i="154"/>
  <c r="I202" i="154"/>
  <c r="D202" i="154"/>
  <c r="J202" i="154"/>
  <c r="E202" i="154"/>
  <c r="K202" i="154"/>
  <c r="G202" i="154"/>
  <c r="C202" i="154"/>
  <c r="I203" i="154"/>
  <c r="D203" i="154"/>
  <c r="J203" i="154"/>
  <c r="E203" i="154"/>
  <c r="K203" i="154"/>
  <c r="G203" i="154"/>
  <c r="C203" i="154"/>
  <c r="I204" i="154"/>
  <c r="D204" i="154"/>
  <c r="J204" i="154"/>
  <c r="E204" i="154"/>
  <c r="K204" i="154"/>
  <c r="G204" i="154"/>
  <c r="C204" i="154"/>
  <c r="I205" i="154"/>
  <c r="D205" i="154"/>
  <c r="J205" i="154"/>
  <c r="E205" i="154"/>
  <c r="K205" i="154"/>
  <c r="G205" i="154"/>
  <c r="C205" i="154"/>
  <c r="I206" i="154"/>
  <c r="D206" i="154"/>
  <c r="J206" i="154"/>
  <c r="E206" i="154"/>
  <c r="K206" i="154"/>
  <c r="G206" i="154"/>
  <c r="C206" i="154"/>
  <c r="I207" i="154"/>
  <c r="D207" i="154"/>
  <c r="J207" i="154"/>
  <c r="E207" i="154"/>
  <c r="K207" i="154"/>
  <c r="G207" i="154"/>
  <c r="C207" i="154"/>
  <c r="I208" i="154"/>
  <c r="D208" i="154"/>
  <c r="J208" i="154"/>
  <c r="E208" i="154"/>
  <c r="K208" i="154"/>
  <c r="G208" i="154"/>
  <c r="C208" i="154"/>
  <c r="I209" i="154"/>
  <c r="D209" i="154"/>
  <c r="J209" i="154"/>
  <c r="E209" i="154"/>
  <c r="K209" i="154"/>
  <c r="G209" i="154"/>
  <c r="C209" i="154"/>
  <c r="I210" i="154"/>
  <c r="D210" i="154"/>
  <c r="J210" i="154"/>
  <c r="E210" i="154"/>
  <c r="K210" i="154"/>
  <c r="G210" i="154"/>
  <c r="C210" i="154"/>
  <c r="I211" i="154"/>
  <c r="D211" i="154"/>
  <c r="J211" i="154"/>
  <c r="E211" i="154"/>
  <c r="K211" i="154"/>
  <c r="G211" i="154"/>
  <c r="C211" i="154"/>
  <c r="I212" i="154"/>
  <c r="D212" i="154"/>
  <c r="J212" i="154"/>
  <c r="E212" i="154"/>
  <c r="K212" i="154"/>
  <c r="G212" i="154"/>
  <c r="C212" i="154"/>
  <c r="I213" i="154"/>
  <c r="D213" i="154"/>
  <c r="J213" i="154"/>
  <c r="E213" i="154"/>
  <c r="K213" i="154"/>
  <c r="G213" i="154"/>
  <c r="C213" i="154"/>
  <c r="I214" i="154"/>
  <c r="D214" i="154"/>
  <c r="J214" i="154"/>
  <c r="E214" i="154"/>
  <c r="K214" i="154"/>
  <c r="G214" i="154"/>
  <c r="C214" i="154"/>
  <c r="I215" i="154"/>
  <c r="J215" i="154"/>
  <c r="D215" i="154"/>
  <c r="E215" i="154"/>
  <c r="K215" i="154"/>
  <c r="G215" i="154"/>
  <c r="C215" i="154"/>
  <c r="I216" i="154"/>
  <c r="J216" i="154"/>
  <c r="D216" i="154"/>
  <c r="E216" i="154"/>
  <c r="K216" i="154"/>
  <c r="G216" i="154"/>
  <c r="C216" i="154"/>
  <c r="I217" i="154"/>
  <c r="J217" i="154"/>
  <c r="D217" i="154"/>
  <c r="E217" i="154"/>
  <c r="K217" i="154"/>
  <c r="G217" i="154"/>
  <c r="C217" i="154"/>
  <c r="I218" i="154"/>
  <c r="J218" i="154"/>
  <c r="D218" i="154"/>
  <c r="E218" i="154"/>
  <c r="K218" i="154"/>
  <c r="G218" i="154"/>
  <c r="C218" i="154"/>
  <c r="I219" i="154"/>
  <c r="J219" i="154"/>
  <c r="D219" i="154"/>
  <c r="E219" i="154"/>
  <c r="K219" i="154"/>
  <c r="G219" i="154"/>
  <c r="C219" i="154"/>
  <c r="I220" i="154"/>
  <c r="J220" i="154"/>
  <c r="D220" i="154"/>
  <c r="E220" i="154"/>
  <c r="K220" i="154"/>
  <c r="G220" i="154"/>
  <c r="C220" i="154"/>
  <c r="I221" i="154"/>
  <c r="D221" i="154"/>
  <c r="J221" i="154"/>
  <c r="E221" i="154"/>
  <c r="K221" i="154"/>
  <c r="G221" i="154"/>
  <c r="C221" i="154"/>
  <c r="I222" i="154"/>
  <c r="D222" i="154"/>
  <c r="J222" i="154"/>
  <c r="E222" i="154"/>
  <c r="K222" i="154"/>
  <c r="G222" i="154"/>
  <c r="C222" i="154"/>
  <c r="I223" i="154"/>
  <c r="D223" i="154"/>
  <c r="J223" i="154"/>
  <c r="E223" i="154"/>
  <c r="K223" i="154"/>
  <c r="G223" i="154"/>
  <c r="C223" i="154"/>
  <c r="I224" i="154"/>
  <c r="D224" i="154"/>
  <c r="J224" i="154"/>
  <c r="E224" i="154"/>
  <c r="K224" i="154"/>
  <c r="G224" i="154"/>
  <c r="C224" i="154"/>
  <c r="I225" i="154"/>
  <c r="D225" i="154"/>
  <c r="J225" i="154"/>
  <c r="E225" i="154"/>
  <c r="K225" i="154"/>
  <c r="G225" i="154"/>
  <c r="C225" i="154"/>
  <c r="I226" i="154"/>
  <c r="D226" i="154"/>
  <c r="J226" i="154"/>
  <c r="E226" i="154"/>
  <c r="K226" i="154"/>
  <c r="G226" i="154"/>
  <c r="C226" i="154"/>
  <c r="I227" i="154"/>
  <c r="D227" i="154"/>
  <c r="J227" i="154"/>
  <c r="E227" i="154"/>
  <c r="K227" i="154"/>
  <c r="G227" i="154"/>
  <c r="C227" i="154"/>
  <c r="I228" i="154"/>
  <c r="D228" i="154"/>
  <c r="J228" i="154"/>
  <c r="E228" i="154"/>
  <c r="K228" i="154"/>
  <c r="G228" i="154"/>
  <c r="C228" i="154"/>
  <c r="I229" i="154"/>
  <c r="D229" i="154"/>
  <c r="J229" i="154"/>
  <c r="E229" i="154"/>
  <c r="K229" i="154"/>
  <c r="G229" i="154"/>
  <c r="C229" i="154"/>
  <c r="I230" i="154"/>
  <c r="D230" i="154"/>
  <c r="J230" i="154"/>
  <c r="E230" i="154"/>
  <c r="K230" i="154"/>
  <c r="G230" i="154"/>
  <c r="C230" i="154"/>
  <c r="I231" i="154"/>
  <c r="D231" i="154"/>
  <c r="J231" i="154"/>
  <c r="E231" i="154"/>
  <c r="K231" i="154"/>
  <c r="G231" i="154"/>
  <c r="C231" i="154"/>
  <c r="I232" i="154"/>
  <c r="D232" i="154"/>
  <c r="J232" i="154"/>
  <c r="E232" i="154"/>
  <c r="K232" i="154"/>
  <c r="G232" i="154"/>
  <c r="C232" i="154"/>
  <c r="I233" i="154"/>
  <c r="D233" i="154"/>
  <c r="J233" i="154"/>
  <c r="E233" i="154"/>
  <c r="K233" i="154"/>
  <c r="G233" i="154"/>
  <c r="C233" i="154"/>
  <c r="I234" i="154"/>
  <c r="D234" i="154"/>
  <c r="J234" i="154"/>
  <c r="E234" i="154"/>
  <c r="K234" i="154"/>
  <c r="G234" i="154"/>
  <c r="C234" i="154"/>
  <c r="I235" i="154"/>
  <c r="D235" i="154"/>
  <c r="J235" i="154"/>
  <c r="E235" i="154"/>
  <c r="K235" i="154"/>
  <c r="G235" i="154"/>
  <c r="C235" i="154"/>
  <c r="I236" i="154"/>
  <c r="D236" i="154"/>
  <c r="J236" i="154"/>
  <c r="E236" i="154"/>
  <c r="K236" i="154"/>
  <c r="G236" i="154"/>
  <c r="C236" i="154"/>
  <c r="I237" i="154"/>
  <c r="D237" i="154"/>
  <c r="J237" i="154"/>
  <c r="E237" i="154"/>
  <c r="K237" i="154"/>
  <c r="G237" i="154"/>
  <c r="C237" i="154"/>
  <c r="I238" i="154"/>
  <c r="D238" i="154"/>
  <c r="J238" i="154"/>
  <c r="E238" i="154"/>
  <c r="K238" i="154"/>
  <c r="G238" i="154"/>
  <c r="C238" i="154"/>
  <c r="I239" i="154"/>
  <c r="D239" i="154"/>
  <c r="J239" i="154"/>
  <c r="E239" i="154"/>
  <c r="K239" i="154"/>
  <c r="G239" i="154"/>
  <c r="C239" i="154"/>
  <c r="I240" i="154"/>
  <c r="D240" i="154"/>
  <c r="J240" i="154"/>
  <c r="E240" i="154"/>
  <c r="K240" i="154"/>
  <c r="G240" i="154"/>
  <c r="C240" i="154"/>
  <c r="I241" i="154"/>
  <c r="D241" i="154"/>
  <c r="J241" i="154"/>
  <c r="E241" i="154"/>
  <c r="K241" i="154"/>
  <c r="G241" i="154"/>
  <c r="C241" i="154"/>
  <c r="I242" i="154"/>
  <c r="D242" i="154"/>
  <c r="J242" i="154"/>
  <c r="E242" i="154"/>
  <c r="K242" i="154"/>
  <c r="G242" i="154"/>
  <c r="C242" i="154"/>
  <c r="I243" i="154"/>
  <c r="D243" i="154"/>
  <c r="J243" i="154"/>
  <c r="E243" i="154"/>
  <c r="K243" i="154"/>
  <c r="G243" i="154"/>
  <c r="C243" i="154"/>
  <c r="I244" i="154"/>
  <c r="D244" i="154"/>
  <c r="J244" i="154"/>
  <c r="E244" i="154"/>
  <c r="K244" i="154"/>
  <c r="G244" i="154"/>
  <c r="C244" i="154"/>
  <c r="I245" i="154"/>
  <c r="D245" i="154"/>
  <c r="J245" i="154"/>
  <c r="E245" i="154"/>
  <c r="K245" i="154"/>
  <c r="G245" i="154"/>
  <c r="C245" i="154"/>
  <c r="I246" i="154"/>
  <c r="D246" i="154"/>
  <c r="J246" i="154"/>
  <c r="E246" i="154"/>
  <c r="K246" i="154"/>
  <c r="G246" i="154"/>
  <c r="C246" i="154"/>
  <c r="I247" i="154"/>
  <c r="D247" i="154"/>
  <c r="J247" i="154"/>
  <c r="E247" i="154"/>
  <c r="K247" i="154"/>
  <c r="G247" i="154"/>
  <c r="C247" i="154"/>
  <c r="I248" i="154"/>
  <c r="D248" i="154"/>
  <c r="J248" i="154"/>
  <c r="E248" i="154"/>
  <c r="K248" i="154"/>
  <c r="G248" i="154"/>
  <c r="C248" i="154"/>
  <c r="I249" i="154"/>
  <c r="D249" i="154"/>
  <c r="J249" i="154"/>
  <c r="E249" i="154"/>
  <c r="K249" i="154"/>
  <c r="G249" i="154"/>
  <c r="C249" i="154"/>
  <c r="I250" i="154"/>
  <c r="D250" i="154"/>
  <c r="J250" i="154"/>
  <c r="E250" i="154"/>
  <c r="K250" i="154"/>
  <c r="G250" i="154"/>
  <c r="C250" i="154"/>
  <c r="I251" i="154"/>
  <c r="D251" i="154"/>
  <c r="J251" i="154"/>
  <c r="E251" i="154"/>
  <c r="K251" i="154"/>
  <c r="G251" i="154"/>
  <c r="C251" i="154"/>
  <c r="I252" i="154"/>
  <c r="D252" i="154"/>
  <c r="J252" i="154"/>
  <c r="E252" i="154"/>
  <c r="K252" i="154"/>
  <c r="G252" i="154"/>
  <c r="C252" i="154"/>
  <c r="I253" i="154"/>
  <c r="D253" i="154"/>
  <c r="J253" i="154"/>
  <c r="E253" i="154"/>
  <c r="K253" i="154"/>
  <c r="G253" i="154"/>
  <c r="C253" i="154"/>
  <c r="I254" i="154"/>
  <c r="D254" i="154"/>
  <c r="J254" i="154"/>
  <c r="E254" i="154"/>
  <c r="K254" i="154"/>
  <c r="G254" i="154"/>
  <c r="C254" i="154"/>
  <c r="I255" i="154"/>
  <c r="D255" i="154"/>
  <c r="J255" i="154"/>
  <c r="E255" i="154"/>
  <c r="K255" i="154"/>
  <c r="G255" i="154"/>
  <c r="C255" i="154"/>
  <c r="I256" i="154"/>
  <c r="D256" i="154"/>
  <c r="J256" i="154"/>
  <c r="E256" i="154"/>
  <c r="K256" i="154"/>
  <c r="G256" i="154"/>
  <c r="C256" i="154"/>
  <c r="I257" i="154"/>
  <c r="D257" i="154"/>
  <c r="J257" i="154"/>
  <c r="E257" i="154"/>
  <c r="K257" i="154"/>
  <c r="G257" i="154"/>
  <c r="C257" i="154"/>
  <c r="I258" i="154"/>
  <c r="D258" i="154"/>
  <c r="J258" i="154"/>
  <c r="E258" i="154"/>
  <c r="K258" i="154"/>
  <c r="G258" i="154"/>
  <c r="C258" i="154"/>
  <c r="I259" i="154"/>
  <c r="D259" i="154"/>
  <c r="J259" i="154"/>
  <c r="E259" i="154"/>
  <c r="K259" i="154"/>
  <c r="G259" i="154"/>
  <c r="C259" i="154"/>
  <c r="I260" i="154"/>
  <c r="D260" i="154"/>
  <c r="J260" i="154"/>
  <c r="E260" i="154"/>
  <c r="K260" i="154"/>
  <c r="G260" i="154"/>
  <c r="C260" i="154"/>
  <c r="I261" i="154"/>
  <c r="D261" i="154"/>
  <c r="J261" i="154"/>
  <c r="E261" i="154"/>
  <c r="K261" i="154"/>
  <c r="G261" i="154"/>
  <c r="C261" i="154"/>
  <c r="I262" i="154"/>
  <c r="D262" i="154"/>
  <c r="J262" i="154"/>
  <c r="E262" i="154"/>
  <c r="K262" i="154"/>
  <c r="G262" i="154"/>
  <c r="C262" i="154"/>
  <c r="I263" i="154"/>
  <c r="D263" i="154"/>
  <c r="J263" i="154"/>
  <c r="E263" i="154"/>
  <c r="K263" i="154"/>
  <c r="G263" i="154"/>
  <c r="C263" i="154"/>
  <c r="I264" i="154"/>
  <c r="D264" i="154"/>
  <c r="J264" i="154"/>
  <c r="E264" i="154"/>
  <c r="K264" i="154"/>
  <c r="G264" i="154"/>
  <c r="C264" i="154"/>
  <c r="I265" i="154"/>
  <c r="D265" i="154"/>
  <c r="J265" i="154"/>
  <c r="E265" i="154"/>
  <c r="K265" i="154"/>
  <c r="G265" i="154"/>
  <c r="C265" i="154"/>
  <c r="I266" i="154"/>
  <c r="D266" i="154"/>
  <c r="J266" i="154"/>
  <c r="E266" i="154"/>
  <c r="K266" i="154"/>
  <c r="G266" i="154"/>
  <c r="C266" i="154"/>
  <c r="I267" i="154"/>
  <c r="D267" i="154"/>
  <c r="J267" i="154"/>
  <c r="E267" i="154"/>
  <c r="K267" i="154"/>
  <c r="G267" i="154"/>
  <c r="C267" i="154"/>
  <c r="I268" i="154"/>
  <c r="D268" i="154"/>
  <c r="J268" i="154"/>
  <c r="E268" i="154"/>
  <c r="K268" i="154"/>
  <c r="G268" i="154"/>
  <c r="C268" i="154"/>
  <c r="I269" i="154"/>
  <c r="D269" i="154"/>
  <c r="J269" i="154"/>
  <c r="E269" i="154"/>
  <c r="K269" i="154"/>
  <c r="G269" i="154"/>
  <c r="C269" i="154"/>
  <c r="I270" i="154"/>
  <c r="D270" i="154"/>
  <c r="J270" i="154"/>
  <c r="E270" i="154"/>
  <c r="K270" i="154"/>
  <c r="G270" i="154"/>
  <c r="C270" i="154"/>
  <c r="I271" i="154"/>
  <c r="D271" i="154"/>
  <c r="J271" i="154"/>
  <c r="E271" i="154"/>
  <c r="K271" i="154"/>
  <c r="G271" i="154"/>
  <c r="C271" i="154"/>
  <c r="I272" i="154"/>
  <c r="D272" i="154"/>
  <c r="J272" i="154"/>
  <c r="E272" i="154"/>
  <c r="K272" i="154"/>
  <c r="G272" i="154"/>
  <c r="C272" i="154"/>
  <c r="I273" i="154"/>
  <c r="D273" i="154"/>
  <c r="J273" i="154"/>
  <c r="E273" i="154"/>
  <c r="K273" i="154"/>
  <c r="G273" i="154"/>
  <c r="C273" i="154"/>
  <c r="I274" i="154"/>
  <c r="D274" i="154"/>
  <c r="J274" i="154"/>
  <c r="E274" i="154"/>
  <c r="K274" i="154"/>
  <c r="G274" i="154"/>
  <c r="C274" i="154"/>
  <c r="I275" i="154"/>
  <c r="D275" i="154"/>
  <c r="J275" i="154"/>
  <c r="E275" i="154"/>
  <c r="K275" i="154"/>
  <c r="G275" i="154"/>
  <c r="C275" i="154"/>
  <c r="I276" i="154"/>
  <c r="D276" i="154"/>
  <c r="J276" i="154"/>
  <c r="E276" i="154"/>
  <c r="K276" i="154"/>
  <c r="G276" i="154"/>
  <c r="C276" i="154"/>
  <c r="I277" i="154"/>
  <c r="D277" i="154"/>
  <c r="J277" i="154"/>
  <c r="E277" i="154"/>
  <c r="K277" i="154"/>
  <c r="G277" i="154"/>
  <c r="C277" i="154"/>
  <c r="I278" i="154"/>
  <c r="D278" i="154"/>
  <c r="J278" i="154"/>
  <c r="E278" i="154"/>
  <c r="K278" i="154"/>
  <c r="G278" i="154"/>
  <c r="C278" i="154"/>
  <c r="I279" i="154"/>
  <c r="D279" i="154"/>
  <c r="J279" i="154"/>
  <c r="E279" i="154"/>
  <c r="K279" i="154"/>
  <c r="G279" i="154"/>
  <c r="C279" i="154"/>
  <c r="I280" i="154"/>
  <c r="D280" i="154"/>
  <c r="J280" i="154"/>
  <c r="E280" i="154"/>
  <c r="K280" i="154"/>
  <c r="G280" i="154"/>
  <c r="C280" i="154"/>
  <c r="I281" i="154"/>
  <c r="D281" i="154"/>
  <c r="J281" i="154"/>
  <c r="E281" i="154"/>
  <c r="K281" i="154"/>
  <c r="G281" i="154"/>
  <c r="C281" i="154"/>
  <c r="I282" i="154"/>
  <c r="D282" i="154"/>
  <c r="J282" i="154"/>
  <c r="E282" i="154"/>
  <c r="K282" i="154"/>
  <c r="G282" i="154"/>
  <c r="C282" i="154"/>
  <c r="I283" i="154"/>
  <c r="D283" i="154"/>
  <c r="J283" i="154"/>
  <c r="E283" i="154"/>
  <c r="K283" i="154"/>
  <c r="G283" i="154"/>
  <c r="C283" i="154"/>
  <c r="I284" i="154"/>
  <c r="D284" i="154"/>
  <c r="J284" i="154"/>
  <c r="E284" i="154"/>
  <c r="K284" i="154"/>
  <c r="G284" i="154"/>
  <c r="C284" i="154"/>
  <c r="I285" i="154"/>
  <c r="D285" i="154"/>
  <c r="J285" i="154"/>
  <c r="E285" i="154"/>
  <c r="K285" i="154"/>
  <c r="G285" i="154"/>
  <c r="C285" i="154"/>
  <c r="I286" i="154"/>
  <c r="D286" i="154"/>
  <c r="J286" i="154"/>
  <c r="E286" i="154"/>
  <c r="K286" i="154"/>
  <c r="G286" i="154"/>
  <c r="C286" i="154"/>
  <c r="I287" i="154"/>
  <c r="D287" i="154"/>
  <c r="J287" i="154"/>
  <c r="E287" i="154"/>
  <c r="K287" i="154"/>
  <c r="G287" i="154"/>
  <c r="C287" i="154"/>
  <c r="I288" i="154"/>
  <c r="D288" i="154"/>
  <c r="J288" i="154"/>
  <c r="E288" i="154"/>
  <c r="K288" i="154"/>
  <c r="G288" i="154"/>
  <c r="C288" i="154"/>
  <c r="I289" i="154"/>
  <c r="D289" i="154"/>
  <c r="J289" i="154"/>
  <c r="E289" i="154"/>
  <c r="K289" i="154"/>
  <c r="G289" i="154"/>
  <c r="C289" i="154"/>
  <c r="I290" i="154"/>
  <c r="D290" i="154"/>
  <c r="J290" i="154"/>
  <c r="E290" i="154"/>
  <c r="K290" i="154"/>
  <c r="G290" i="154"/>
  <c r="C290" i="154"/>
  <c r="I291" i="154"/>
  <c r="D291" i="154"/>
  <c r="J291" i="154"/>
  <c r="E291" i="154"/>
  <c r="K291" i="154"/>
  <c r="G291" i="154"/>
  <c r="C291" i="154"/>
  <c r="I292" i="154"/>
  <c r="D292" i="154"/>
  <c r="J292" i="154"/>
  <c r="E292" i="154"/>
  <c r="K292" i="154"/>
  <c r="G292" i="154"/>
  <c r="C292" i="154"/>
  <c r="I293" i="154"/>
  <c r="D293" i="154"/>
  <c r="J293" i="154"/>
  <c r="E293" i="154"/>
  <c r="K293" i="154"/>
  <c r="G293" i="154"/>
  <c r="C293" i="154"/>
  <c r="I294" i="154"/>
  <c r="D294" i="154"/>
  <c r="J294" i="154"/>
  <c r="E294" i="154"/>
  <c r="K294" i="154"/>
  <c r="G294" i="154"/>
  <c r="C294" i="154"/>
  <c r="I295" i="154"/>
  <c r="D295" i="154"/>
  <c r="J295" i="154"/>
  <c r="E295" i="154"/>
  <c r="K295" i="154"/>
  <c r="G295" i="154"/>
  <c r="C295" i="154"/>
  <c r="I296" i="154"/>
  <c r="D296" i="154"/>
  <c r="J296" i="154"/>
  <c r="E296" i="154"/>
  <c r="K296" i="154"/>
  <c r="G296" i="154"/>
  <c r="C296" i="154"/>
  <c r="I297" i="154"/>
  <c r="D297" i="154"/>
  <c r="J297" i="154"/>
  <c r="E297" i="154"/>
  <c r="K297" i="154"/>
  <c r="G297" i="154"/>
  <c r="C297" i="154"/>
  <c r="I298" i="154"/>
  <c r="D298" i="154"/>
  <c r="J298" i="154"/>
  <c r="E298" i="154"/>
  <c r="K298" i="154"/>
  <c r="G298" i="154"/>
  <c r="C298" i="154"/>
  <c r="I299" i="154"/>
  <c r="D299" i="154"/>
  <c r="J299" i="154"/>
  <c r="E299" i="154"/>
  <c r="K299" i="154"/>
  <c r="G299" i="154"/>
  <c r="C299" i="154"/>
  <c r="I300" i="154"/>
  <c r="D300" i="154"/>
  <c r="J300" i="154"/>
  <c r="E300" i="154"/>
  <c r="K300" i="154"/>
  <c r="G300" i="154"/>
  <c r="C300" i="154"/>
  <c r="I301" i="154"/>
  <c r="D301" i="154"/>
  <c r="J301" i="154"/>
  <c r="E301" i="154"/>
  <c r="K301" i="154"/>
  <c r="G301" i="154"/>
  <c r="C301" i="154"/>
  <c r="I302" i="154"/>
  <c r="D302" i="154"/>
  <c r="J302" i="154"/>
  <c r="E302" i="154"/>
  <c r="K302" i="154"/>
  <c r="G302" i="154"/>
  <c r="C302" i="154"/>
  <c r="I303" i="154"/>
  <c r="D303" i="154"/>
  <c r="J303" i="154"/>
  <c r="E303" i="154"/>
  <c r="K303" i="154"/>
  <c r="G303" i="154"/>
  <c r="C303" i="154"/>
  <c r="I304" i="154"/>
  <c r="D304" i="154"/>
  <c r="J304" i="154"/>
  <c r="E304" i="154"/>
  <c r="K304" i="154"/>
  <c r="G304" i="154"/>
  <c r="C304" i="154"/>
  <c r="I305" i="154"/>
  <c r="D305" i="154"/>
  <c r="J305" i="154"/>
  <c r="E305" i="154"/>
  <c r="K305" i="154"/>
  <c r="G305" i="154"/>
  <c r="C305" i="154"/>
  <c r="I306" i="154"/>
  <c r="D306" i="154"/>
  <c r="J306" i="154"/>
  <c r="E306" i="154"/>
  <c r="K306" i="154"/>
  <c r="G306" i="154"/>
  <c r="C306" i="154"/>
  <c r="I307" i="154"/>
  <c r="D307" i="154"/>
  <c r="J307" i="154"/>
  <c r="E307" i="154"/>
  <c r="K307" i="154"/>
  <c r="G307" i="154"/>
  <c r="C307" i="154"/>
  <c r="I308" i="154"/>
  <c r="D308" i="154"/>
  <c r="J308" i="154"/>
  <c r="E308" i="154"/>
  <c r="K308" i="154"/>
  <c r="G308" i="154"/>
  <c r="C308" i="154"/>
  <c r="I309" i="154"/>
  <c r="D309" i="154"/>
  <c r="J309" i="154"/>
  <c r="E309" i="154"/>
  <c r="K309" i="154"/>
  <c r="G309" i="154"/>
  <c r="C309" i="154"/>
  <c r="I310" i="154"/>
  <c r="D310" i="154"/>
  <c r="J310" i="154"/>
  <c r="E310" i="154"/>
  <c r="K310" i="154"/>
  <c r="G310" i="154"/>
  <c r="C310" i="154"/>
  <c r="I311" i="154"/>
  <c r="D311" i="154"/>
  <c r="J311" i="154"/>
  <c r="E311" i="154"/>
  <c r="K311" i="154"/>
  <c r="G311" i="154"/>
  <c r="C311" i="154"/>
  <c r="I312" i="154"/>
  <c r="D312" i="154"/>
  <c r="J312" i="154"/>
  <c r="E312" i="154"/>
  <c r="K312" i="154"/>
  <c r="G312" i="154"/>
  <c r="C312" i="154"/>
  <c r="I313" i="154"/>
  <c r="D313" i="154"/>
  <c r="J313" i="154"/>
  <c r="E313" i="154"/>
  <c r="K313" i="154"/>
  <c r="G313" i="154"/>
  <c r="C313" i="154"/>
  <c r="I314" i="154"/>
  <c r="D314" i="154"/>
  <c r="J314" i="154"/>
  <c r="E314" i="154"/>
  <c r="K314" i="154"/>
  <c r="G314" i="154"/>
  <c r="C314" i="154"/>
  <c r="I315" i="154"/>
  <c r="D315" i="154"/>
  <c r="J315" i="154"/>
  <c r="E315" i="154"/>
  <c r="K315" i="154"/>
  <c r="G315" i="154"/>
  <c r="C315" i="154"/>
  <c r="I316" i="154"/>
  <c r="D316" i="154"/>
  <c r="J316" i="154"/>
  <c r="E316" i="154"/>
  <c r="K316" i="154"/>
  <c r="G316" i="154"/>
  <c r="C316" i="154"/>
  <c r="I317" i="154"/>
  <c r="D317" i="154"/>
  <c r="J317" i="154"/>
  <c r="E317" i="154"/>
  <c r="K317" i="154"/>
  <c r="G317" i="154"/>
  <c r="C317" i="154"/>
  <c r="I318" i="154"/>
  <c r="D318" i="154"/>
  <c r="J318" i="154"/>
  <c r="E318" i="154"/>
  <c r="K318" i="154"/>
  <c r="G318" i="154"/>
  <c r="C318" i="154"/>
  <c r="I319" i="154"/>
  <c r="D319" i="154"/>
  <c r="J319" i="154"/>
  <c r="E319" i="154"/>
  <c r="K319" i="154"/>
  <c r="G319" i="154"/>
  <c r="C319" i="154"/>
  <c r="I320" i="154"/>
  <c r="D320" i="154"/>
  <c r="J320" i="154"/>
  <c r="E320" i="154"/>
  <c r="K320" i="154"/>
  <c r="G320" i="154"/>
  <c r="C320" i="154"/>
  <c r="I321" i="154"/>
  <c r="D321" i="154"/>
  <c r="J321" i="154"/>
  <c r="E321" i="154"/>
  <c r="K321" i="154"/>
  <c r="G321" i="154"/>
  <c r="C321" i="154"/>
  <c r="I322" i="154"/>
  <c r="D322" i="154"/>
  <c r="J322" i="154"/>
  <c r="E322" i="154"/>
  <c r="K322" i="154"/>
  <c r="G322" i="154"/>
  <c r="C322" i="154"/>
  <c r="I323" i="154"/>
  <c r="D323" i="154"/>
  <c r="J323" i="154"/>
  <c r="E323" i="154"/>
  <c r="K323" i="154"/>
  <c r="G323" i="154"/>
  <c r="C323" i="154"/>
  <c r="I324" i="154"/>
  <c r="D324" i="154"/>
  <c r="J324" i="154"/>
  <c r="E324" i="154"/>
  <c r="K324" i="154"/>
  <c r="G324" i="154"/>
  <c r="C324" i="154"/>
  <c r="I325" i="154"/>
  <c r="D325" i="154"/>
  <c r="J325" i="154"/>
  <c r="E325" i="154"/>
  <c r="K325" i="154"/>
  <c r="G325" i="154"/>
  <c r="C325" i="154"/>
  <c r="I326" i="154"/>
  <c r="D326" i="154"/>
  <c r="J326" i="154"/>
  <c r="E326" i="154"/>
  <c r="K326" i="154"/>
  <c r="G326" i="154"/>
  <c r="C326" i="154"/>
  <c r="I327" i="154"/>
  <c r="D327" i="154"/>
  <c r="J327" i="154"/>
  <c r="E327" i="154"/>
  <c r="K327" i="154"/>
  <c r="G327" i="154"/>
  <c r="C327" i="154"/>
  <c r="I328" i="154"/>
  <c r="D328" i="154"/>
  <c r="J328" i="154"/>
  <c r="E328" i="154"/>
  <c r="K328" i="154"/>
  <c r="G328" i="154"/>
  <c r="C328" i="154"/>
  <c r="I329" i="154"/>
  <c r="D329" i="154"/>
  <c r="J329" i="154"/>
  <c r="E329" i="154"/>
  <c r="K329" i="154"/>
  <c r="G329" i="154"/>
  <c r="C329" i="154"/>
  <c r="I330" i="154"/>
  <c r="D330" i="154"/>
  <c r="J330" i="154"/>
  <c r="E330" i="154"/>
  <c r="K330" i="154"/>
  <c r="G330" i="154"/>
  <c r="C330" i="154"/>
  <c r="I331" i="154"/>
  <c r="D331" i="154"/>
  <c r="J331" i="154"/>
  <c r="E331" i="154"/>
  <c r="K331" i="154"/>
  <c r="G331" i="154"/>
  <c r="C331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7" i="153"/>
  <c r="B27" i="153"/>
  <c r="F7" i="153"/>
  <c r="A51" i="153"/>
  <c r="G27" i="153"/>
  <c r="H27" i="153"/>
  <c r="O138" i="154"/>
  <c r="E7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F8" i="153"/>
  <c r="E8" i="153"/>
  <c r="E34" i="153"/>
  <c r="B34" i="153"/>
  <c r="E39" i="153"/>
  <c r="B39" i="153"/>
  <c r="B32" i="153"/>
  <c r="G32" i="153"/>
  <c r="E32" i="153"/>
  <c r="H32" i="153"/>
  <c r="O6" i="154"/>
  <c r="E33" i="153"/>
  <c r="B33" i="153"/>
  <c r="G33" i="153"/>
  <c r="H33" i="153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G39" i="153"/>
  <c r="H39" i="153"/>
  <c r="O48" i="154"/>
  <c r="E40" i="153"/>
  <c r="B40" i="153"/>
  <c r="G40" i="153"/>
  <c r="H40" i="153"/>
  <c r="O49" i="154"/>
  <c r="E41" i="153"/>
  <c r="B41" i="153"/>
  <c r="G41" i="153"/>
  <c r="H41" i="153"/>
  <c r="O50" i="154"/>
  <c r="G19" i="153"/>
  <c r="H19" i="153"/>
  <c r="O51" i="154"/>
  <c r="E20" i="153"/>
  <c r="B20" i="153"/>
  <c r="G20" i="153"/>
  <c r="H20" i="153"/>
  <c r="O52" i="154"/>
  <c r="E21" i="153"/>
  <c r="B21" i="153"/>
  <c r="G21" i="153"/>
  <c r="H21" i="153"/>
  <c r="O53" i="154"/>
  <c r="O54" i="154"/>
  <c r="O55" i="154"/>
  <c r="O56" i="154"/>
  <c r="O57" i="154"/>
  <c r="O58" i="154"/>
  <c r="O59" i="154"/>
  <c r="G34" i="153"/>
  <c r="H34" i="153"/>
  <c r="O60" i="154"/>
  <c r="E35" i="153"/>
  <c r="B35" i="153"/>
  <c r="G35" i="153"/>
  <c r="H35" i="153"/>
  <c r="O61" i="154"/>
  <c r="E36" i="153"/>
  <c r="B36" i="153"/>
  <c r="G36" i="153"/>
  <c r="H36" i="153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8" i="153"/>
  <c r="B28" i="153"/>
  <c r="G28" i="153"/>
  <c r="H28" i="153"/>
  <c r="O139" i="154"/>
  <c r="O140" i="154"/>
  <c r="O141" i="154"/>
  <c r="F6" i="153"/>
  <c r="E6" i="153"/>
  <c r="E42" i="153"/>
  <c r="B42" i="153"/>
  <c r="G42" i="153"/>
  <c r="H42" i="153"/>
  <c r="O142" i="154"/>
  <c r="E43" i="153"/>
  <c r="B43" i="153"/>
  <c r="G43" i="153"/>
  <c r="H43" i="153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E23" i="153"/>
  <c r="B23" i="153"/>
  <c r="G23" i="153"/>
  <c r="H23" i="153"/>
  <c r="O215" i="154"/>
  <c r="O216" i="154"/>
  <c r="E38" i="153"/>
  <c r="B38" i="153"/>
  <c r="G38" i="153"/>
  <c r="H38" i="153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E44" i="153"/>
  <c r="B44" i="153"/>
  <c r="G44" i="153"/>
  <c r="H44" i="153"/>
  <c r="O266" i="154"/>
  <c r="E29" i="153"/>
  <c r="B29" i="153"/>
  <c r="G29" i="153"/>
  <c r="H29" i="153"/>
  <c r="O267" i="154"/>
  <c r="O268" i="154"/>
  <c r="O269" i="154"/>
  <c r="E37" i="153"/>
  <c r="B37" i="153"/>
  <c r="G37" i="153"/>
  <c r="H37" i="153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G46" i="153"/>
  <c r="E46" i="153"/>
  <c r="H46" i="153"/>
  <c r="O331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F63" i="153"/>
  <c r="F64" i="153"/>
  <c r="G63" i="153"/>
  <c r="E49" i="153"/>
  <c r="F49" i="153"/>
  <c r="H57" i="153"/>
  <c r="H50" i="153"/>
  <c r="F57" i="153"/>
  <c r="G57" i="153"/>
  <c r="G49" i="153"/>
  <c r="C49" i="153"/>
  <c r="B46" i="153"/>
  <c r="I2" i="159"/>
  <c r="J2" i="159"/>
  <c r="D2" i="159"/>
  <c r="E2" i="159"/>
  <c r="K2" i="159"/>
  <c r="G2" i="159"/>
  <c r="C2" i="159"/>
  <c r="I3" i="159"/>
  <c r="J3" i="159"/>
  <c r="D3" i="159"/>
  <c r="E3" i="159"/>
  <c r="K3" i="159"/>
  <c r="G3" i="159"/>
  <c r="C3" i="159"/>
  <c r="I4" i="159"/>
  <c r="J4" i="159"/>
  <c r="D4" i="159"/>
  <c r="E4" i="159"/>
  <c r="K4" i="159"/>
  <c r="G4" i="159"/>
  <c r="C4" i="159"/>
  <c r="I5" i="159"/>
  <c r="J5" i="159"/>
  <c r="D5" i="159"/>
  <c r="E5" i="159"/>
  <c r="K5" i="159"/>
  <c r="G5" i="159"/>
  <c r="C5" i="159"/>
  <c r="I6" i="159"/>
  <c r="J6" i="159"/>
  <c r="D6" i="159"/>
  <c r="E6" i="159"/>
  <c r="K6" i="159"/>
  <c r="G6" i="159"/>
  <c r="C6" i="159"/>
  <c r="I7" i="159"/>
  <c r="J7" i="159"/>
  <c r="D7" i="159"/>
  <c r="E7" i="159"/>
  <c r="K7" i="159"/>
  <c r="G7" i="159"/>
  <c r="C7" i="159"/>
  <c r="I8" i="159"/>
  <c r="J8" i="159"/>
  <c r="D8" i="159"/>
  <c r="E8" i="159"/>
  <c r="K8" i="159"/>
  <c r="G8" i="159"/>
  <c r="C8" i="159"/>
  <c r="I9" i="159"/>
  <c r="J9" i="159"/>
  <c r="D9" i="159"/>
  <c r="E9" i="159"/>
  <c r="K9" i="159"/>
  <c r="G9" i="159"/>
  <c r="C9" i="159"/>
  <c r="I10" i="159"/>
  <c r="J10" i="159"/>
  <c r="D10" i="159"/>
  <c r="E10" i="159"/>
  <c r="K10" i="159"/>
  <c r="G10" i="159"/>
  <c r="C10" i="159"/>
  <c r="I11" i="159"/>
  <c r="J11" i="159"/>
  <c r="D11" i="159"/>
  <c r="E11" i="159"/>
  <c r="K11" i="159"/>
  <c r="G11" i="159"/>
  <c r="C11" i="159"/>
  <c r="I12" i="159"/>
  <c r="J12" i="159"/>
  <c r="D12" i="159"/>
  <c r="E12" i="159"/>
  <c r="K12" i="159"/>
  <c r="G12" i="159"/>
  <c r="C12" i="159"/>
  <c r="I13" i="159"/>
  <c r="J13" i="159"/>
  <c r="D13" i="159"/>
  <c r="E13" i="159"/>
  <c r="K13" i="159"/>
  <c r="G13" i="159"/>
  <c r="C13" i="159"/>
  <c r="I14" i="159"/>
  <c r="J14" i="159"/>
  <c r="D14" i="159"/>
  <c r="E14" i="159"/>
  <c r="K14" i="159"/>
  <c r="G14" i="159"/>
  <c r="C14" i="159"/>
  <c r="I15" i="159"/>
  <c r="J15" i="159"/>
  <c r="D15" i="159"/>
  <c r="E15" i="159"/>
  <c r="K15" i="159"/>
  <c r="G15" i="159"/>
  <c r="C15" i="159"/>
  <c r="I16" i="159"/>
  <c r="J16" i="159"/>
  <c r="D16" i="159"/>
  <c r="E16" i="159"/>
  <c r="K16" i="159"/>
  <c r="G16" i="159"/>
  <c r="C16" i="159"/>
  <c r="I17" i="159"/>
  <c r="J17" i="159"/>
  <c r="D17" i="159"/>
  <c r="E17" i="159"/>
  <c r="K17" i="159"/>
  <c r="G17" i="159"/>
  <c r="C17" i="159"/>
  <c r="I18" i="159"/>
  <c r="J18" i="159"/>
  <c r="D18" i="159"/>
  <c r="E18" i="159"/>
  <c r="K18" i="159"/>
  <c r="G18" i="159"/>
  <c r="C18" i="159"/>
  <c r="I19" i="159"/>
  <c r="J19" i="159"/>
  <c r="D19" i="159"/>
  <c r="E19" i="159"/>
  <c r="K19" i="159"/>
  <c r="G19" i="159"/>
  <c r="C19" i="159"/>
  <c r="I20" i="159"/>
  <c r="J20" i="159"/>
  <c r="D20" i="159"/>
  <c r="E20" i="159"/>
  <c r="K20" i="159"/>
  <c r="G20" i="159"/>
  <c r="C20" i="159"/>
  <c r="I21" i="159"/>
  <c r="J21" i="159"/>
  <c r="D21" i="159"/>
  <c r="E21" i="159"/>
  <c r="K21" i="159"/>
  <c r="G21" i="159"/>
  <c r="C21" i="159"/>
  <c r="I22" i="159"/>
  <c r="J22" i="159"/>
  <c r="D22" i="159"/>
  <c r="E22" i="159"/>
  <c r="K22" i="159"/>
  <c r="G22" i="159"/>
  <c r="C22" i="159"/>
  <c r="I23" i="159"/>
  <c r="J23" i="159"/>
  <c r="D23" i="159"/>
  <c r="E23" i="159"/>
  <c r="K23" i="159"/>
  <c r="G23" i="159"/>
  <c r="C23" i="159"/>
  <c r="I24" i="159"/>
  <c r="J24" i="159"/>
  <c r="D24" i="159"/>
  <c r="E24" i="159"/>
  <c r="K24" i="159"/>
  <c r="G24" i="159"/>
  <c r="C24" i="159"/>
  <c r="I25" i="159"/>
  <c r="J25" i="159"/>
  <c r="D25" i="159"/>
  <c r="E25" i="159"/>
  <c r="K25" i="159"/>
  <c r="G25" i="159"/>
  <c r="C25" i="159"/>
  <c r="I26" i="159"/>
  <c r="J26" i="159"/>
  <c r="D26" i="159"/>
  <c r="E26" i="159"/>
  <c r="K26" i="159"/>
  <c r="G26" i="159"/>
  <c r="C26" i="159"/>
  <c r="I27" i="159"/>
  <c r="J27" i="159"/>
  <c r="D27" i="159"/>
  <c r="E27" i="159"/>
  <c r="K27" i="159"/>
  <c r="G27" i="159"/>
  <c r="C27" i="159"/>
  <c r="I28" i="159"/>
  <c r="J28" i="159"/>
  <c r="D28" i="159"/>
  <c r="E28" i="159"/>
  <c r="K28" i="159"/>
  <c r="G28" i="159"/>
  <c r="C28" i="159"/>
  <c r="I29" i="159"/>
  <c r="J29" i="159"/>
  <c r="D29" i="159"/>
  <c r="E29" i="159"/>
  <c r="K29" i="159"/>
  <c r="G29" i="159"/>
  <c r="C29" i="159"/>
  <c r="I30" i="159"/>
  <c r="J30" i="159"/>
  <c r="D30" i="159"/>
  <c r="E30" i="159"/>
  <c r="K30" i="159"/>
  <c r="G30" i="159"/>
  <c r="C30" i="159"/>
  <c r="I31" i="159"/>
  <c r="J31" i="159"/>
  <c r="D31" i="159"/>
  <c r="E31" i="159"/>
  <c r="K31" i="159"/>
  <c r="G31" i="159"/>
  <c r="C31" i="159"/>
  <c r="I32" i="159"/>
  <c r="J32" i="159"/>
  <c r="D32" i="159"/>
  <c r="E32" i="159"/>
  <c r="K32" i="159"/>
  <c r="G32" i="159"/>
  <c r="C32" i="159"/>
  <c r="I33" i="159"/>
  <c r="J33" i="159"/>
  <c r="D33" i="159"/>
  <c r="E33" i="159"/>
  <c r="K33" i="159"/>
  <c r="G33" i="159"/>
  <c r="C33" i="159"/>
  <c r="I34" i="159"/>
  <c r="J34" i="159"/>
  <c r="D34" i="159"/>
  <c r="E34" i="159"/>
  <c r="K34" i="159"/>
  <c r="G34" i="159"/>
  <c r="C34" i="159"/>
  <c r="I35" i="159"/>
  <c r="J35" i="159"/>
  <c r="D35" i="159"/>
  <c r="E35" i="159"/>
  <c r="K35" i="159"/>
  <c r="G35" i="159"/>
  <c r="C35" i="159"/>
  <c r="I36" i="159"/>
  <c r="J36" i="159"/>
  <c r="D36" i="159"/>
  <c r="E36" i="159"/>
  <c r="K36" i="159"/>
  <c r="G36" i="159"/>
  <c r="C36" i="159"/>
  <c r="I37" i="159"/>
  <c r="J37" i="159"/>
  <c r="D37" i="159"/>
  <c r="E37" i="159"/>
  <c r="K37" i="159"/>
  <c r="G37" i="159"/>
  <c r="C37" i="159"/>
  <c r="I38" i="159"/>
  <c r="J38" i="159"/>
  <c r="D38" i="159"/>
  <c r="E38" i="159"/>
  <c r="K38" i="159"/>
  <c r="G38" i="159"/>
  <c r="C38" i="159"/>
  <c r="I39" i="159"/>
  <c r="J39" i="159"/>
  <c r="D39" i="159"/>
  <c r="E39" i="159"/>
  <c r="K39" i="159"/>
  <c r="G39" i="159"/>
  <c r="C39" i="159"/>
  <c r="I40" i="159"/>
  <c r="J40" i="159"/>
  <c r="D40" i="159"/>
  <c r="E40" i="159"/>
  <c r="K40" i="159"/>
  <c r="G40" i="159"/>
  <c r="C40" i="159"/>
  <c r="I41" i="159"/>
  <c r="J41" i="159"/>
  <c r="D41" i="159"/>
  <c r="E41" i="159"/>
  <c r="K41" i="159"/>
  <c r="G41" i="159"/>
  <c r="C41" i="159"/>
  <c r="I42" i="159"/>
  <c r="D42" i="159"/>
  <c r="J42" i="159"/>
  <c r="E42" i="159"/>
  <c r="K42" i="159"/>
  <c r="G42" i="159"/>
  <c r="C42" i="159"/>
  <c r="I43" i="159"/>
  <c r="D43" i="159"/>
  <c r="J43" i="159"/>
  <c r="E43" i="159"/>
  <c r="K43" i="159"/>
  <c r="G43" i="159"/>
  <c r="C43" i="159"/>
  <c r="I44" i="159"/>
  <c r="D44" i="159"/>
  <c r="J44" i="159"/>
  <c r="E44" i="159"/>
  <c r="K44" i="159"/>
  <c r="G44" i="159"/>
  <c r="C44" i="159"/>
  <c r="I45" i="159"/>
  <c r="D45" i="159"/>
  <c r="J45" i="159"/>
  <c r="E45" i="159"/>
  <c r="K45" i="159"/>
  <c r="G45" i="159"/>
  <c r="C45" i="159"/>
  <c r="I46" i="159"/>
  <c r="D46" i="159"/>
  <c r="J46" i="159"/>
  <c r="E46" i="159"/>
  <c r="K46" i="159"/>
  <c r="G46" i="159"/>
  <c r="C46" i="159"/>
  <c r="I47" i="159"/>
  <c r="D47" i="159"/>
  <c r="J47" i="159"/>
  <c r="E47" i="159"/>
  <c r="K47" i="159"/>
  <c r="G47" i="159"/>
  <c r="C47" i="159"/>
  <c r="I48" i="159"/>
  <c r="D48" i="159"/>
  <c r="J48" i="159"/>
  <c r="E48" i="159"/>
  <c r="K48" i="159"/>
  <c r="G48" i="159"/>
  <c r="C48" i="159"/>
  <c r="I49" i="159"/>
  <c r="D49" i="159"/>
  <c r="J49" i="159"/>
  <c r="E49" i="159"/>
  <c r="K49" i="159"/>
  <c r="G49" i="159"/>
  <c r="C49" i="159"/>
  <c r="I50" i="159"/>
  <c r="D50" i="159"/>
  <c r="J50" i="159"/>
  <c r="E50" i="159"/>
  <c r="K50" i="159"/>
  <c r="G50" i="159"/>
  <c r="C50" i="159"/>
  <c r="I51" i="159"/>
  <c r="D51" i="159"/>
  <c r="J51" i="159"/>
  <c r="E51" i="159"/>
  <c r="K51" i="159"/>
  <c r="G51" i="159"/>
  <c r="C51" i="159"/>
  <c r="I52" i="159"/>
  <c r="D52" i="159"/>
  <c r="J52" i="159"/>
  <c r="E52" i="159"/>
  <c r="K52" i="159"/>
  <c r="G52" i="159"/>
  <c r="C52" i="159"/>
  <c r="I53" i="159"/>
  <c r="D53" i="159"/>
  <c r="J53" i="159"/>
  <c r="E53" i="159"/>
  <c r="K53" i="159"/>
  <c r="G53" i="159"/>
  <c r="C53" i="159"/>
  <c r="I54" i="159"/>
  <c r="D54" i="159"/>
  <c r="J54" i="159"/>
  <c r="E54" i="159"/>
  <c r="K54" i="159"/>
  <c r="G54" i="159"/>
  <c r="C54" i="159"/>
  <c r="I55" i="159"/>
  <c r="D55" i="159"/>
  <c r="J55" i="159"/>
  <c r="E55" i="159"/>
  <c r="K55" i="159"/>
  <c r="G55" i="159"/>
  <c r="C55" i="159"/>
  <c r="I56" i="159"/>
  <c r="D56" i="159"/>
  <c r="J56" i="159"/>
  <c r="E56" i="159"/>
  <c r="K56" i="159"/>
  <c r="G56" i="159"/>
  <c r="C56" i="159"/>
  <c r="I57" i="159"/>
  <c r="D57" i="159"/>
  <c r="J57" i="159"/>
  <c r="E57" i="159"/>
  <c r="K57" i="159"/>
  <c r="G57" i="159"/>
  <c r="C57" i="159"/>
  <c r="I58" i="159"/>
  <c r="D58" i="159"/>
  <c r="J58" i="159"/>
  <c r="E58" i="159"/>
  <c r="K58" i="159"/>
  <c r="G58" i="159"/>
  <c r="C58" i="159"/>
  <c r="I59" i="159"/>
  <c r="D59" i="159"/>
  <c r="J59" i="159"/>
  <c r="E59" i="159"/>
  <c r="K59" i="159"/>
  <c r="G59" i="159"/>
  <c r="C59" i="159"/>
  <c r="I60" i="159"/>
  <c r="D60" i="159"/>
  <c r="J60" i="159"/>
  <c r="E60" i="159"/>
  <c r="K60" i="159"/>
  <c r="G60" i="159"/>
  <c r="C60" i="159"/>
  <c r="I61" i="159"/>
  <c r="D61" i="159"/>
  <c r="J61" i="159"/>
  <c r="E61" i="159"/>
  <c r="K61" i="159"/>
  <c r="G61" i="159"/>
  <c r="C61" i="159"/>
  <c r="I62" i="159"/>
  <c r="D62" i="159"/>
  <c r="J62" i="159"/>
  <c r="E62" i="159"/>
  <c r="K62" i="159"/>
  <c r="G62" i="159"/>
  <c r="C62" i="159"/>
  <c r="I63" i="159"/>
  <c r="D63" i="159"/>
  <c r="J63" i="159"/>
  <c r="E63" i="159"/>
  <c r="K63" i="159"/>
  <c r="G63" i="159"/>
  <c r="C63" i="159"/>
  <c r="I64" i="159"/>
  <c r="D64" i="159"/>
  <c r="J64" i="159"/>
  <c r="E64" i="159"/>
  <c r="K64" i="159"/>
  <c r="G64" i="159"/>
  <c r="C64" i="159"/>
  <c r="I65" i="159"/>
  <c r="D65" i="159"/>
  <c r="J65" i="159"/>
  <c r="E65" i="159"/>
  <c r="K65" i="159"/>
  <c r="G65" i="159"/>
  <c r="C65" i="159"/>
  <c r="I66" i="159"/>
  <c r="D66" i="159"/>
  <c r="J66" i="159"/>
  <c r="E66" i="159"/>
  <c r="K66" i="159"/>
  <c r="G66" i="159"/>
  <c r="C66" i="159"/>
  <c r="I67" i="159"/>
  <c r="D67" i="159"/>
  <c r="J67" i="159"/>
  <c r="E67" i="159"/>
  <c r="K67" i="159"/>
  <c r="G67" i="159"/>
  <c r="C67" i="159"/>
  <c r="I68" i="159"/>
  <c r="D68" i="159"/>
  <c r="J68" i="159"/>
  <c r="E68" i="159"/>
  <c r="K68" i="159"/>
  <c r="G68" i="159"/>
  <c r="C68" i="159"/>
  <c r="I69" i="159"/>
  <c r="D69" i="159"/>
  <c r="J69" i="159"/>
  <c r="E69" i="159"/>
  <c r="K69" i="159"/>
  <c r="G69" i="159"/>
  <c r="C69" i="159"/>
  <c r="I70" i="159"/>
  <c r="D70" i="159"/>
  <c r="J70" i="159"/>
  <c r="E70" i="159"/>
  <c r="K70" i="159"/>
  <c r="G70" i="159"/>
  <c r="C70" i="159"/>
  <c r="I71" i="159"/>
  <c r="D71" i="159"/>
  <c r="J71" i="159"/>
  <c r="E71" i="159"/>
  <c r="K71" i="159"/>
  <c r="G71" i="159"/>
  <c r="C71" i="159"/>
  <c r="I72" i="159"/>
  <c r="D72" i="159"/>
  <c r="J72" i="159"/>
  <c r="E72" i="159"/>
  <c r="K72" i="159"/>
  <c r="G72" i="159"/>
  <c r="C72" i="159"/>
  <c r="I73" i="159"/>
  <c r="D73" i="159"/>
  <c r="J73" i="159"/>
  <c r="E73" i="159"/>
  <c r="K73" i="159"/>
  <c r="G73" i="159"/>
  <c r="C73" i="159"/>
  <c r="I74" i="159"/>
  <c r="D74" i="159"/>
  <c r="J74" i="159"/>
  <c r="E74" i="159"/>
  <c r="K74" i="159"/>
  <c r="G74" i="159"/>
  <c r="C74" i="159"/>
  <c r="I75" i="159"/>
  <c r="D75" i="159"/>
  <c r="J75" i="159"/>
  <c r="E75" i="159"/>
  <c r="K75" i="159"/>
  <c r="G75" i="159"/>
  <c r="C75" i="159"/>
  <c r="I76" i="159"/>
  <c r="D76" i="159"/>
  <c r="J76" i="159"/>
  <c r="E76" i="159"/>
  <c r="K76" i="159"/>
  <c r="G76" i="159"/>
  <c r="C76" i="159"/>
  <c r="I77" i="159"/>
  <c r="D77" i="159"/>
  <c r="J77" i="159"/>
  <c r="E77" i="159"/>
  <c r="K77" i="159"/>
  <c r="G77" i="159"/>
  <c r="C77" i="159"/>
  <c r="I78" i="159"/>
  <c r="D78" i="159"/>
  <c r="J78" i="159"/>
  <c r="E78" i="159"/>
  <c r="K78" i="159"/>
  <c r="G78" i="159"/>
  <c r="C78" i="159"/>
  <c r="I79" i="159"/>
  <c r="D79" i="159"/>
  <c r="J79" i="159"/>
  <c r="E79" i="159"/>
  <c r="K79" i="159"/>
  <c r="G79" i="159"/>
  <c r="C79" i="159"/>
  <c r="I80" i="159"/>
  <c r="D80" i="159"/>
  <c r="J80" i="159"/>
  <c r="E80" i="159"/>
  <c r="K80" i="159"/>
  <c r="G80" i="159"/>
  <c r="C80" i="159"/>
  <c r="I81" i="159"/>
  <c r="D81" i="159"/>
  <c r="J81" i="159"/>
  <c r="E81" i="159"/>
  <c r="K81" i="159"/>
  <c r="G81" i="159"/>
  <c r="C81" i="159"/>
  <c r="I82" i="159"/>
  <c r="D82" i="159"/>
  <c r="J82" i="159"/>
  <c r="E82" i="159"/>
  <c r="K82" i="159"/>
  <c r="G82" i="159"/>
  <c r="C82" i="159"/>
  <c r="I83" i="159"/>
  <c r="D83" i="159"/>
  <c r="J83" i="159"/>
  <c r="E83" i="159"/>
  <c r="K83" i="159"/>
  <c r="G83" i="159"/>
  <c r="C83" i="159"/>
  <c r="I84" i="159"/>
  <c r="D84" i="159"/>
  <c r="J84" i="159"/>
  <c r="E84" i="159"/>
  <c r="K84" i="159"/>
  <c r="G84" i="159"/>
  <c r="C84" i="159"/>
  <c r="I85" i="159"/>
  <c r="D85" i="159"/>
  <c r="J85" i="159"/>
  <c r="E85" i="159"/>
  <c r="K85" i="159"/>
  <c r="G85" i="159"/>
  <c r="C85" i="159"/>
  <c r="I86" i="159"/>
  <c r="D86" i="159"/>
  <c r="J86" i="159"/>
  <c r="E86" i="159"/>
  <c r="K86" i="159"/>
  <c r="G86" i="159"/>
  <c r="C86" i="159"/>
  <c r="I87" i="159"/>
  <c r="D87" i="159"/>
  <c r="J87" i="159"/>
  <c r="E87" i="159"/>
  <c r="K87" i="159"/>
  <c r="G87" i="159"/>
  <c r="C87" i="159"/>
  <c r="I88" i="159"/>
  <c r="D88" i="159"/>
  <c r="J88" i="159"/>
  <c r="E88" i="159"/>
  <c r="K88" i="159"/>
  <c r="G88" i="159"/>
  <c r="C88" i="159"/>
  <c r="I89" i="159"/>
  <c r="D89" i="159"/>
  <c r="J89" i="159"/>
  <c r="E89" i="159"/>
  <c r="K89" i="159"/>
  <c r="G89" i="159"/>
  <c r="C89" i="159"/>
  <c r="I90" i="159"/>
  <c r="D90" i="159"/>
  <c r="J90" i="159"/>
  <c r="E90" i="159"/>
  <c r="K90" i="159"/>
  <c r="G90" i="159"/>
  <c r="C90" i="159"/>
  <c r="I91" i="159"/>
  <c r="D91" i="159"/>
  <c r="J91" i="159"/>
  <c r="E91" i="159"/>
  <c r="K91" i="159"/>
  <c r="G91" i="159"/>
  <c r="C91" i="159"/>
  <c r="I92" i="159"/>
  <c r="D92" i="159"/>
  <c r="J92" i="159"/>
  <c r="E92" i="159"/>
  <c r="K92" i="159"/>
  <c r="G92" i="159"/>
  <c r="C92" i="159"/>
  <c r="I93" i="159"/>
  <c r="D93" i="159"/>
  <c r="J93" i="159"/>
  <c r="E93" i="159"/>
  <c r="K93" i="159"/>
  <c r="G93" i="159"/>
  <c r="C93" i="159"/>
  <c r="I94" i="159"/>
  <c r="D94" i="159"/>
  <c r="J94" i="159"/>
  <c r="E94" i="159"/>
  <c r="K94" i="159"/>
  <c r="G94" i="159"/>
  <c r="C94" i="159"/>
  <c r="I95" i="159"/>
  <c r="D95" i="159"/>
  <c r="J95" i="159"/>
  <c r="E95" i="159"/>
  <c r="K95" i="159"/>
  <c r="G95" i="159"/>
  <c r="C95" i="159"/>
  <c r="I96" i="159"/>
  <c r="D96" i="159"/>
  <c r="J96" i="159"/>
  <c r="E96" i="159"/>
  <c r="K96" i="159"/>
  <c r="G96" i="159"/>
  <c r="C96" i="159"/>
  <c r="I97" i="159"/>
  <c r="D97" i="159"/>
  <c r="J97" i="159"/>
  <c r="E97" i="159"/>
  <c r="K97" i="159"/>
  <c r="G97" i="159"/>
  <c r="C97" i="159"/>
  <c r="I98" i="159"/>
  <c r="D98" i="159"/>
  <c r="J98" i="159"/>
  <c r="E98" i="159"/>
  <c r="K98" i="159"/>
  <c r="G98" i="159"/>
  <c r="C98" i="159"/>
  <c r="I99" i="159"/>
  <c r="D99" i="159"/>
  <c r="J99" i="159"/>
  <c r="E99" i="159"/>
  <c r="K99" i="159"/>
  <c r="G99" i="159"/>
  <c r="C99" i="159"/>
  <c r="I100" i="159"/>
  <c r="D100" i="159"/>
  <c r="J100" i="159"/>
  <c r="E100" i="159"/>
  <c r="K100" i="159"/>
  <c r="G100" i="159"/>
  <c r="C100" i="159"/>
  <c r="I101" i="159"/>
  <c r="D101" i="159"/>
  <c r="J101" i="159"/>
  <c r="E101" i="159"/>
  <c r="K101" i="159"/>
  <c r="G101" i="159"/>
  <c r="C101" i="159"/>
  <c r="I102" i="159"/>
  <c r="D102" i="159"/>
  <c r="J102" i="159"/>
  <c r="E102" i="159"/>
  <c r="K102" i="159"/>
  <c r="G102" i="159"/>
  <c r="C102" i="159"/>
  <c r="I103" i="159"/>
  <c r="D103" i="159"/>
  <c r="J103" i="159"/>
  <c r="E103" i="159"/>
  <c r="K103" i="159"/>
  <c r="G103" i="159"/>
  <c r="C103" i="159"/>
  <c r="I104" i="159"/>
  <c r="D104" i="159"/>
  <c r="J104" i="159"/>
  <c r="E104" i="159"/>
  <c r="K104" i="159"/>
  <c r="G104" i="159"/>
  <c r="C104" i="159"/>
  <c r="I105" i="159"/>
  <c r="D105" i="159"/>
  <c r="J105" i="159"/>
  <c r="E105" i="159"/>
  <c r="K105" i="159"/>
  <c r="G105" i="159"/>
  <c r="C105" i="159"/>
  <c r="I106" i="159"/>
  <c r="D106" i="159"/>
  <c r="J106" i="159"/>
  <c r="E106" i="159"/>
  <c r="K106" i="159"/>
  <c r="G106" i="159"/>
  <c r="C106" i="159"/>
  <c r="I107" i="159"/>
  <c r="D107" i="159"/>
  <c r="J107" i="159"/>
  <c r="E107" i="159"/>
  <c r="K107" i="159"/>
  <c r="G107" i="159"/>
  <c r="C107" i="159"/>
  <c r="I108" i="159"/>
  <c r="D108" i="159"/>
  <c r="J108" i="159"/>
  <c r="E108" i="159"/>
  <c r="K108" i="159"/>
  <c r="G108" i="159"/>
  <c r="C108" i="159"/>
  <c r="I109" i="159"/>
  <c r="D109" i="159"/>
  <c r="J109" i="159"/>
  <c r="E109" i="159"/>
  <c r="K109" i="159"/>
  <c r="G109" i="159"/>
  <c r="C109" i="159"/>
  <c r="I110" i="159"/>
  <c r="D110" i="159"/>
  <c r="J110" i="159"/>
  <c r="E110" i="159"/>
  <c r="K110" i="159"/>
  <c r="G110" i="159"/>
  <c r="C110" i="159"/>
  <c r="I111" i="159"/>
  <c r="D111" i="159"/>
  <c r="J111" i="159"/>
  <c r="E111" i="159"/>
  <c r="K111" i="159"/>
  <c r="G111" i="159"/>
  <c r="C111" i="159"/>
  <c r="I112" i="159"/>
  <c r="D112" i="159"/>
  <c r="J112" i="159"/>
  <c r="E112" i="159"/>
  <c r="K112" i="159"/>
  <c r="G112" i="159"/>
  <c r="C112" i="159"/>
  <c r="I113" i="159"/>
  <c r="D113" i="159"/>
  <c r="J113" i="159"/>
  <c r="E113" i="159"/>
  <c r="K113" i="159"/>
  <c r="G113" i="159"/>
  <c r="C113" i="159"/>
  <c r="I114" i="159"/>
  <c r="D114" i="159"/>
  <c r="J114" i="159"/>
  <c r="E114" i="159"/>
  <c r="K114" i="159"/>
  <c r="G114" i="159"/>
  <c r="C114" i="159"/>
  <c r="I115" i="159"/>
  <c r="D115" i="159"/>
  <c r="J115" i="159"/>
  <c r="E115" i="159"/>
  <c r="K115" i="159"/>
  <c r="G115" i="159"/>
  <c r="C115" i="159"/>
  <c r="I116" i="159"/>
  <c r="D116" i="159"/>
  <c r="J116" i="159"/>
  <c r="E116" i="159"/>
  <c r="K116" i="159"/>
  <c r="G116" i="159"/>
  <c r="C116" i="159"/>
  <c r="I117" i="159"/>
  <c r="D117" i="159"/>
  <c r="J117" i="159"/>
  <c r="E117" i="159"/>
  <c r="K117" i="159"/>
  <c r="G117" i="159"/>
  <c r="C117" i="159"/>
  <c r="I118" i="159"/>
  <c r="D118" i="159"/>
  <c r="J118" i="159"/>
  <c r="E118" i="159"/>
  <c r="K118" i="159"/>
  <c r="G118" i="159"/>
  <c r="C118" i="159"/>
  <c r="I119" i="159"/>
  <c r="D119" i="159"/>
  <c r="J119" i="159"/>
  <c r="E119" i="159"/>
  <c r="K119" i="159"/>
  <c r="G119" i="159"/>
  <c r="C119" i="159"/>
  <c r="I120" i="159"/>
  <c r="D120" i="159"/>
  <c r="J120" i="159"/>
  <c r="E120" i="159"/>
  <c r="K120" i="159"/>
  <c r="G120" i="159"/>
  <c r="C120" i="159"/>
  <c r="I121" i="159"/>
  <c r="D121" i="159"/>
  <c r="J121" i="159"/>
  <c r="E121" i="159"/>
  <c r="K121" i="159"/>
  <c r="G121" i="159"/>
  <c r="C121" i="159"/>
  <c r="I122" i="159"/>
  <c r="D122" i="159"/>
  <c r="J122" i="159"/>
  <c r="E122" i="159"/>
  <c r="K122" i="159"/>
  <c r="G122" i="159"/>
  <c r="C122" i="159"/>
  <c r="I123" i="159"/>
  <c r="D123" i="159"/>
  <c r="J123" i="159"/>
  <c r="E123" i="159"/>
  <c r="K123" i="159"/>
  <c r="G123" i="159"/>
  <c r="C123" i="159"/>
  <c r="I124" i="159"/>
  <c r="D124" i="159"/>
  <c r="J124" i="159"/>
  <c r="E124" i="159"/>
  <c r="K124" i="159"/>
  <c r="G124" i="159"/>
  <c r="C124" i="159"/>
  <c r="I125" i="159"/>
  <c r="D125" i="159"/>
  <c r="J125" i="159"/>
  <c r="E125" i="159"/>
  <c r="K125" i="159"/>
  <c r="G125" i="159"/>
  <c r="C125" i="159"/>
  <c r="I126" i="159"/>
  <c r="D126" i="159"/>
  <c r="J126" i="159"/>
  <c r="E126" i="159"/>
  <c r="K126" i="159"/>
  <c r="G126" i="159"/>
  <c r="C126" i="159"/>
  <c r="I127" i="159"/>
  <c r="D127" i="159"/>
  <c r="J127" i="159"/>
  <c r="E127" i="159"/>
  <c r="K127" i="159"/>
  <c r="G127" i="159"/>
  <c r="C127" i="159"/>
  <c r="I128" i="159"/>
  <c r="D128" i="159"/>
  <c r="J128" i="159"/>
  <c r="E128" i="159"/>
  <c r="K128" i="159"/>
  <c r="G128" i="159"/>
  <c r="C128" i="159"/>
  <c r="I129" i="159"/>
  <c r="D129" i="159"/>
  <c r="J129" i="159"/>
  <c r="E129" i="159"/>
  <c r="K129" i="159"/>
  <c r="G129" i="159"/>
  <c r="C129" i="159"/>
  <c r="I130" i="159"/>
  <c r="D130" i="159"/>
  <c r="J130" i="159"/>
  <c r="E130" i="159"/>
  <c r="K130" i="159"/>
  <c r="G130" i="159"/>
  <c r="C130" i="159"/>
  <c r="I131" i="159"/>
  <c r="D131" i="159"/>
  <c r="J131" i="159"/>
  <c r="E131" i="159"/>
  <c r="K131" i="159"/>
  <c r="G131" i="159"/>
  <c r="C131" i="159"/>
  <c r="I132" i="159"/>
  <c r="D132" i="159"/>
  <c r="J132" i="159"/>
  <c r="E132" i="159"/>
  <c r="K132" i="159"/>
  <c r="G132" i="159"/>
  <c r="C132" i="159"/>
  <c r="I133" i="159"/>
  <c r="D133" i="159"/>
  <c r="J133" i="159"/>
  <c r="E133" i="159"/>
  <c r="K133" i="159"/>
  <c r="G133" i="159"/>
  <c r="C133" i="159"/>
  <c r="I134" i="159"/>
  <c r="D134" i="159"/>
  <c r="J134" i="159"/>
  <c r="E134" i="159"/>
  <c r="K134" i="159"/>
  <c r="G134" i="159"/>
  <c r="C134" i="159"/>
  <c r="I135" i="159"/>
  <c r="D135" i="159"/>
  <c r="J135" i="159"/>
  <c r="E135" i="159"/>
  <c r="K135" i="159"/>
  <c r="G135" i="159"/>
  <c r="C135" i="159"/>
  <c r="I136" i="159"/>
  <c r="D136" i="159"/>
  <c r="J136" i="159"/>
  <c r="E136" i="159"/>
  <c r="K136" i="159"/>
  <c r="G136" i="159"/>
  <c r="C136" i="159"/>
  <c r="I137" i="159"/>
  <c r="D137" i="159"/>
  <c r="J137" i="159"/>
  <c r="E137" i="159"/>
  <c r="K137" i="159"/>
  <c r="G137" i="159"/>
  <c r="C137" i="159"/>
  <c r="I138" i="159"/>
  <c r="D138" i="159"/>
  <c r="J138" i="159"/>
  <c r="E138" i="159"/>
  <c r="K138" i="159"/>
  <c r="G138" i="159"/>
  <c r="C138" i="159"/>
  <c r="I139" i="159"/>
  <c r="D139" i="159"/>
  <c r="J139" i="159"/>
  <c r="E139" i="159"/>
  <c r="K139" i="159"/>
  <c r="G139" i="159"/>
  <c r="C139" i="159"/>
  <c r="I140" i="159"/>
  <c r="D140" i="159"/>
  <c r="J140" i="159"/>
  <c r="E140" i="159"/>
  <c r="K140" i="159"/>
  <c r="G140" i="159"/>
  <c r="C140" i="159"/>
  <c r="I141" i="159"/>
  <c r="D141" i="159"/>
  <c r="J141" i="159"/>
  <c r="E141" i="159"/>
  <c r="K141" i="159"/>
  <c r="G141" i="159"/>
  <c r="C141" i="159"/>
  <c r="I142" i="159"/>
  <c r="D142" i="159"/>
  <c r="J142" i="159"/>
  <c r="E142" i="159"/>
  <c r="K142" i="159"/>
  <c r="G142" i="159"/>
  <c r="C142" i="159"/>
  <c r="I143" i="159"/>
  <c r="D143" i="159"/>
  <c r="J143" i="159"/>
  <c r="E143" i="159"/>
  <c r="K143" i="159"/>
  <c r="G143" i="159"/>
  <c r="C143" i="159"/>
  <c r="I144" i="159"/>
  <c r="D144" i="159"/>
  <c r="J144" i="159"/>
  <c r="E144" i="159"/>
  <c r="K144" i="159"/>
  <c r="G144" i="159"/>
  <c r="C144" i="159"/>
  <c r="I145" i="159"/>
  <c r="D145" i="159"/>
  <c r="J145" i="159"/>
  <c r="E145" i="159"/>
  <c r="K145" i="159"/>
  <c r="G145" i="159"/>
  <c r="C145" i="159"/>
  <c r="I146" i="159"/>
  <c r="D146" i="159"/>
  <c r="J146" i="159"/>
  <c r="E146" i="159"/>
  <c r="K146" i="159"/>
  <c r="G146" i="159"/>
  <c r="C146" i="159"/>
  <c r="I147" i="159"/>
  <c r="D147" i="159"/>
  <c r="J147" i="159"/>
  <c r="E147" i="159"/>
  <c r="K147" i="159"/>
  <c r="G147" i="159"/>
  <c r="C147" i="159"/>
  <c r="I148" i="159"/>
  <c r="D148" i="159"/>
  <c r="J148" i="159"/>
  <c r="E148" i="159"/>
  <c r="K148" i="159"/>
  <c r="G148" i="159"/>
  <c r="C148" i="159"/>
  <c r="I149" i="159"/>
  <c r="D149" i="159"/>
  <c r="J149" i="159"/>
  <c r="E149" i="159"/>
  <c r="K149" i="159"/>
  <c r="G149" i="159"/>
  <c r="C149" i="159"/>
  <c r="I150" i="159"/>
  <c r="D150" i="159"/>
  <c r="J150" i="159"/>
  <c r="E150" i="159"/>
  <c r="K150" i="159"/>
  <c r="G150" i="159"/>
  <c r="C150" i="159"/>
  <c r="I151" i="159"/>
  <c r="D151" i="159"/>
  <c r="J151" i="159"/>
  <c r="E151" i="159"/>
  <c r="K151" i="159"/>
  <c r="G151" i="159"/>
  <c r="C151" i="159"/>
  <c r="I152" i="159"/>
  <c r="D152" i="159"/>
  <c r="J152" i="159"/>
  <c r="E152" i="159"/>
  <c r="K152" i="159"/>
  <c r="G152" i="159"/>
  <c r="C152" i="159"/>
  <c r="I153" i="159"/>
  <c r="D153" i="159"/>
  <c r="J153" i="159"/>
  <c r="E153" i="159"/>
  <c r="K153" i="159"/>
  <c r="G153" i="159"/>
  <c r="C153" i="159"/>
  <c r="I154" i="159"/>
  <c r="D154" i="159"/>
  <c r="J154" i="159"/>
  <c r="E154" i="159"/>
  <c r="K154" i="159"/>
  <c r="G154" i="159"/>
  <c r="C154" i="159"/>
  <c r="I155" i="159"/>
  <c r="D155" i="159"/>
  <c r="J155" i="159"/>
  <c r="E155" i="159"/>
  <c r="K155" i="159"/>
  <c r="G155" i="159"/>
  <c r="C155" i="159"/>
  <c r="I156" i="159"/>
  <c r="D156" i="159"/>
  <c r="J156" i="159"/>
  <c r="E156" i="159"/>
  <c r="K156" i="159"/>
  <c r="G156" i="159"/>
  <c r="C156" i="159"/>
  <c r="I157" i="159"/>
  <c r="D157" i="159"/>
  <c r="J157" i="159"/>
  <c r="E157" i="159"/>
  <c r="K157" i="159"/>
  <c r="G157" i="159"/>
  <c r="C157" i="159"/>
  <c r="I158" i="159"/>
  <c r="D158" i="159"/>
  <c r="J158" i="159"/>
  <c r="E158" i="159"/>
  <c r="K158" i="159"/>
  <c r="G158" i="159"/>
  <c r="C158" i="159"/>
  <c r="I159" i="159"/>
  <c r="D159" i="159"/>
  <c r="J159" i="159"/>
  <c r="E159" i="159"/>
  <c r="K159" i="159"/>
  <c r="G159" i="159"/>
  <c r="C159" i="159"/>
  <c r="I160" i="159"/>
  <c r="D160" i="159"/>
  <c r="J160" i="159"/>
  <c r="E160" i="159"/>
  <c r="K160" i="159"/>
  <c r="G160" i="159"/>
  <c r="C160" i="159"/>
  <c r="I161" i="159"/>
  <c r="D161" i="159"/>
  <c r="J161" i="159"/>
  <c r="E161" i="159"/>
  <c r="K161" i="159"/>
  <c r="G161" i="159"/>
  <c r="C161" i="159"/>
  <c r="I162" i="159"/>
  <c r="D162" i="159"/>
  <c r="J162" i="159"/>
  <c r="E162" i="159"/>
  <c r="K162" i="159"/>
  <c r="G162" i="159"/>
  <c r="C162" i="159"/>
  <c r="I163" i="159"/>
  <c r="D163" i="159"/>
  <c r="J163" i="159"/>
  <c r="E163" i="159"/>
  <c r="K163" i="159"/>
  <c r="G163" i="159"/>
  <c r="C163" i="159"/>
  <c r="I164" i="159"/>
  <c r="D164" i="159"/>
  <c r="J164" i="159"/>
  <c r="E164" i="159"/>
  <c r="K164" i="159"/>
  <c r="G164" i="159"/>
  <c r="C164" i="159"/>
  <c r="I165" i="159"/>
  <c r="D165" i="159"/>
  <c r="J165" i="159"/>
  <c r="E165" i="159"/>
  <c r="K165" i="159"/>
  <c r="G165" i="159"/>
  <c r="C165" i="159"/>
  <c r="I166" i="159"/>
  <c r="D166" i="159"/>
  <c r="J166" i="159"/>
  <c r="E166" i="159"/>
  <c r="K166" i="159"/>
  <c r="G166" i="159"/>
  <c r="C166" i="159"/>
  <c r="I167" i="159"/>
  <c r="D167" i="159"/>
  <c r="J167" i="159"/>
  <c r="E167" i="159"/>
  <c r="K167" i="159"/>
  <c r="G167" i="159"/>
  <c r="C167" i="159"/>
  <c r="I168" i="159"/>
  <c r="D168" i="159"/>
  <c r="J168" i="159"/>
  <c r="E168" i="159"/>
  <c r="K168" i="159"/>
  <c r="G168" i="159"/>
  <c r="C168" i="159"/>
  <c r="I169" i="159"/>
  <c r="D169" i="159"/>
  <c r="J169" i="159"/>
  <c r="E169" i="159"/>
  <c r="K169" i="159"/>
  <c r="G169" i="159"/>
  <c r="C169" i="159"/>
  <c r="I170" i="159"/>
  <c r="D170" i="159"/>
  <c r="J170" i="159"/>
  <c r="E170" i="159"/>
  <c r="K170" i="159"/>
  <c r="G170" i="159"/>
  <c r="C170" i="159"/>
  <c r="I171" i="159"/>
  <c r="D171" i="159"/>
  <c r="J171" i="159"/>
  <c r="E171" i="159"/>
  <c r="K171" i="159"/>
  <c r="G171" i="159"/>
  <c r="C171" i="159"/>
  <c r="I172" i="159"/>
  <c r="D172" i="159"/>
  <c r="J172" i="159"/>
  <c r="E172" i="159"/>
  <c r="K172" i="159"/>
  <c r="G172" i="159"/>
  <c r="C172" i="159"/>
  <c r="I173" i="159"/>
  <c r="D173" i="159"/>
  <c r="J173" i="159"/>
  <c r="E173" i="159"/>
  <c r="K173" i="159"/>
  <c r="G173" i="159"/>
  <c r="C173" i="159"/>
  <c r="I174" i="159"/>
  <c r="D174" i="159"/>
  <c r="J174" i="159"/>
  <c r="E174" i="159"/>
  <c r="K174" i="159"/>
  <c r="G174" i="159"/>
  <c r="C174" i="159"/>
  <c r="I175" i="159"/>
  <c r="D175" i="159"/>
  <c r="J175" i="159"/>
  <c r="E175" i="159"/>
  <c r="K175" i="159"/>
  <c r="G175" i="159"/>
  <c r="C175" i="159"/>
  <c r="I176" i="159"/>
  <c r="D176" i="159"/>
  <c r="J176" i="159"/>
  <c r="E176" i="159"/>
  <c r="K176" i="159"/>
  <c r="G176" i="159"/>
  <c r="C176" i="159"/>
  <c r="I177" i="159"/>
  <c r="D177" i="159"/>
  <c r="J177" i="159"/>
  <c r="E177" i="159"/>
  <c r="K177" i="159"/>
  <c r="G177" i="159"/>
  <c r="C177" i="159"/>
  <c r="I178" i="159"/>
  <c r="D178" i="159"/>
  <c r="J178" i="159"/>
  <c r="E178" i="159"/>
  <c r="K178" i="159"/>
  <c r="G178" i="159"/>
  <c r="C178" i="159"/>
  <c r="I179" i="159"/>
  <c r="D179" i="159"/>
  <c r="J179" i="159"/>
  <c r="E179" i="159"/>
  <c r="K179" i="159"/>
  <c r="G179" i="159"/>
  <c r="C179" i="159"/>
  <c r="I180" i="159"/>
  <c r="D180" i="159"/>
  <c r="J180" i="159"/>
  <c r="E180" i="159"/>
  <c r="K180" i="159"/>
  <c r="G180" i="159"/>
  <c r="C180" i="159"/>
  <c r="I181" i="159"/>
  <c r="D181" i="159"/>
  <c r="J181" i="159"/>
  <c r="E181" i="159"/>
  <c r="K181" i="159"/>
  <c r="G181" i="159"/>
  <c r="C181" i="159"/>
  <c r="I182" i="159"/>
  <c r="D182" i="159"/>
  <c r="J182" i="159"/>
  <c r="E182" i="159"/>
  <c r="K182" i="159"/>
  <c r="G182" i="159"/>
  <c r="C182" i="159"/>
  <c r="I183" i="159"/>
  <c r="D183" i="159"/>
  <c r="J183" i="159"/>
  <c r="E183" i="159"/>
  <c r="K183" i="159"/>
  <c r="G183" i="159"/>
  <c r="C183" i="159"/>
  <c r="I184" i="159"/>
  <c r="D184" i="159"/>
  <c r="J184" i="159"/>
  <c r="E184" i="159"/>
  <c r="K184" i="159"/>
  <c r="G184" i="159"/>
  <c r="C184" i="159"/>
  <c r="I185" i="159"/>
  <c r="D185" i="159"/>
  <c r="J185" i="159"/>
  <c r="E185" i="159"/>
  <c r="K185" i="159"/>
  <c r="G185" i="159"/>
  <c r="C185" i="159"/>
  <c r="I186" i="159"/>
  <c r="D186" i="159"/>
  <c r="J186" i="159"/>
  <c r="E186" i="159"/>
  <c r="K186" i="159"/>
  <c r="G186" i="159"/>
  <c r="C186" i="159"/>
  <c r="I187" i="159"/>
  <c r="D187" i="159"/>
  <c r="J187" i="159"/>
  <c r="E187" i="159"/>
  <c r="K187" i="159"/>
  <c r="G187" i="159"/>
  <c r="C187" i="159"/>
  <c r="I188" i="159"/>
  <c r="D188" i="159"/>
  <c r="J188" i="159"/>
  <c r="E188" i="159"/>
  <c r="K188" i="159"/>
  <c r="G188" i="159"/>
  <c r="C188" i="159"/>
  <c r="I189" i="159"/>
  <c r="D189" i="159"/>
  <c r="J189" i="159"/>
  <c r="E189" i="159"/>
  <c r="K189" i="159"/>
  <c r="G189" i="159"/>
  <c r="C189" i="159"/>
  <c r="I190" i="159"/>
  <c r="D190" i="159"/>
  <c r="J190" i="159"/>
  <c r="E190" i="159"/>
  <c r="K190" i="159"/>
  <c r="G190" i="159"/>
  <c r="C190" i="159"/>
  <c r="I191" i="159"/>
  <c r="D191" i="159"/>
  <c r="J191" i="159"/>
  <c r="E191" i="159"/>
  <c r="K191" i="159"/>
  <c r="G191" i="159"/>
  <c r="C191" i="159"/>
  <c r="I192" i="159"/>
  <c r="D192" i="159"/>
  <c r="J192" i="159"/>
  <c r="E192" i="159"/>
  <c r="K192" i="159"/>
  <c r="G192" i="159"/>
  <c r="C192" i="159"/>
  <c r="I193" i="159"/>
  <c r="D193" i="159"/>
  <c r="J193" i="159"/>
  <c r="E193" i="159"/>
  <c r="K193" i="159"/>
  <c r="G193" i="159"/>
  <c r="C193" i="159"/>
  <c r="I194" i="159"/>
  <c r="D194" i="159"/>
  <c r="J194" i="159"/>
  <c r="E194" i="159"/>
  <c r="K194" i="159"/>
  <c r="G194" i="159"/>
  <c r="C194" i="159"/>
  <c r="I195" i="159"/>
  <c r="D195" i="159"/>
  <c r="J195" i="159"/>
  <c r="E195" i="159"/>
  <c r="K195" i="159"/>
  <c r="G195" i="159"/>
  <c r="C195" i="159"/>
  <c r="I196" i="159"/>
  <c r="D196" i="159"/>
  <c r="J196" i="159"/>
  <c r="E196" i="159"/>
  <c r="K196" i="159"/>
  <c r="G196" i="159"/>
  <c r="C196" i="159"/>
  <c r="I197" i="159"/>
  <c r="D197" i="159"/>
  <c r="J197" i="159"/>
  <c r="E197" i="159"/>
  <c r="K197" i="159"/>
  <c r="G197" i="159"/>
  <c r="C197" i="159"/>
  <c r="I198" i="159"/>
  <c r="D198" i="159"/>
  <c r="J198" i="159"/>
  <c r="E198" i="159"/>
  <c r="K198" i="159"/>
  <c r="G198" i="159"/>
  <c r="C198" i="159"/>
  <c r="I199" i="159"/>
  <c r="D199" i="159"/>
  <c r="J199" i="159"/>
  <c r="E199" i="159"/>
  <c r="K199" i="159"/>
  <c r="G199" i="159"/>
  <c r="C199" i="159"/>
  <c r="I200" i="159"/>
  <c r="D200" i="159"/>
  <c r="J200" i="159"/>
  <c r="E200" i="159"/>
  <c r="K200" i="159"/>
  <c r="G200" i="159"/>
  <c r="C200" i="159"/>
  <c r="I201" i="159"/>
  <c r="D201" i="159"/>
  <c r="J201" i="159"/>
  <c r="E201" i="159"/>
  <c r="K201" i="159"/>
  <c r="G201" i="159"/>
  <c r="C201" i="159"/>
  <c r="I202" i="159"/>
  <c r="D202" i="159"/>
  <c r="J202" i="159"/>
  <c r="E202" i="159"/>
  <c r="K202" i="159"/>
  <c r="G202" i="159"/>
  <c r="C202" i="159"/>
  <c r="I203" i="159"/>
  <c r="D203" i="159"/>
  <c r="J203" i="159"/>
  <c r="E203" i="159"/>
  <c r="K203" i="159"/>
  <c r="G203" i="159"/>
  <c r="C203" i="159"/>
  <c r="I204" i="159"/>
  <c r="D204" i="159"/>
  <c r="J204" i="159"/>
  <c r="E204" i="159"/>
  <c r="K204" i="159"/>
  <c r="G204" i="159"/>
  <c r="C204" i="159"/>
  <c r="I205" i="159"/>
  <c r="D205" i="159"/>
  <c r="J205" i="159"/>
  <c r="E205" i="159"/>
  <c r="K205" i="159"/>
  <c r="G205" i="159"/>
  <c r="C205" i="159"/>
  <c r="I206" i="159"/>
  <c r="D206" i="159"/>
  <c r="J206" i="159"/>
  <c r="E206" i="159"/>
  <c r="K206" i="159"/>
  <c r="G206" i="159"/>
  <c r="C206" i="159"/>
  <c r="I207" i="159"/>
  <c r="D207" i="159"/>
  <c r="J207" i="159"/>
  <c r="E207" i="159"/>
  <c r="K207" i="159"/>
  <c r="G207" i="159"/>
  <c r="C207" i="159"/>
  <c r="I208" i="159"/>
  <c r="D208" i="159"/>
  <c r="J208" i="159"/>
  <c r="E208" i="159"/>
  <c r="K208" i="159"/>
  <c r="G208" i="159"/>
  <c r="C208" i="159"/>
  <c r="I209" i="159"/>
  <c r="D209" i="159"/>
  <c r="J209" i="159"/>
  <c r="E209" i="159"/>
  <c r="K209" i="159"/>
  <c r="G209" i="159"/>
  <c r="C209" i="159"/>
  <c r="I210" i="159"/>
  <c r="D210" i="159"/>
  <c r="J210" i="159"/>
  <c r="E210" i="159"/>
  <c r="K210" i="159"/>
  <c r="G210" i="159"/>
  <c r="C210" i="159"/>
  <c r="I211" i="159"/>
  <c r="D211" i="159"/>
  <c r="J211" i="159"/>
  <c r="E211" i="159"/>
  <c r="K211" i="159"/>
  <c r="G211" i="159"/>
  <c r="C211" i="159"/>
  <c r="I212" i="159"/>
  <c r="D212" i="159"/>
  <c r="J212" i="159"/>
  <c r="E212" i="159"/>
  <c r="K212" i="159"/>
  <c r="G212" i="159"/>
  <c r="C212" i="159"/>
  <c r="I213" i="159"/>
  <c r="D213" i="159"/>
  <c r="J213" i="159"/>
  <c r="E213" i="159"/>
  <c r="K213" i="159"/>
  <c r="G213" i="159"/>
  <c r="C213" i="159"/>
  <c r="I214" i="159"/>
  <c r="D214" i="159"/>
  <c r="J214" i="159"/>
  <c r="E214" i="159"/>
  <c r="K214" i="159"/>
  <c r="G214" i="159"/>
  <c r="C214" i="159"/>
  <c r="I215" i="159"/>
  <c r="J215" i="159"/>
  <c r="D215" i="159"/>
  <c r="E215" i="159"/>
  <c r="K215" i="159"/>
  <c r="G215" i="159"/>
  <c r="C215" i="159"/>
  <c r="I216" i="159"/>
  <c r="J216" i="159"/>
  <c r="D216" i="159"/>
  <c r="E216" i="159"/>
  <c r="K216" i="159"/>
  <c r="G216" i="159"/>
  <c r="C216" i="159"/>
  <c r="I217" i="159"/>
  <c r="J217" i="159"/>
  <c r="D217" i="159"/>
  <c r="E217" i="159"/>
  <c r="K217" i="159"/>
  <c r="G217" i="159"/>
  <c r="C217" i="159"/>
  <c r="I218" i="159"/>
  <c r="J218" i="159"/>
  <c r="D218" i="159"/>
  <c r="E218" i="159"/>
  <c r="K218" i="159"/>
  <c r="G218" i="159"/>
  <c r="C218" i="159"/>
  <c r="I219" i="159"/>
  <c r="J219" i="159"/>
  <c r="D219" i="159"/>
  <c r="E219" i="159"/>
  <c r="K219" i="159"/>
  <c r="G219" i="159"/>
  <c r="C219" i="159"/>
  <c r="I220" i="159"/>
  <c r="J220" i="159"/>
  <c r="D220" i="159"/>
  <c r="E220" i="159"/>
  <c r="K220" i="159"/>
  <c r="G220" i="159"/>
  <c r="C220" i="159"/>
  <c r="I221" i="159"/>
  <c r="D221" i="159"/>
  <c r="J221" i="159"/>
  <c r="E221" i="159"/>
  <c r="K221" i="159"/>
  <c r="G221" i="159"/>
  <c r="C221" i="159"/>
  <c r="I222" i="159"/>
  <c r="D222" i="159"/>
  <c r="J222" i="159"/>
  <c r="E222" i="159"/>
  <c r="K222" i="159"/>
  <c r="G222" i="159"/>
  <c r="C222" i="159"/>
  <c r="I223" i="159"/>
  <c r="D223" i="159"/>
  <c r="J223" i="159"/>
  <c r="E223" i="159"/>
  <c r="K223" i="159"/>
  <c r="G223" i="159"/>
  <c r="C223" i="159"/>
  <c r="I224" i="159"/>
  <c r="D224" i="159"/>
  <c r="J224" i="159"/>
  <c r="E224" i="159"/>
  <c r="K224" i="159"/>
  <c r="G224" i="159"/>
  <c r="C224" i="159"/>
  <c r="I225" i="159"/>
  <c r="D225" i="159"/>
  <c r="J225" i="159"/>
  <c r="E225" i="159"/>
  <c r="K225" i="159"/>
  <c r="G225" i="159"/>
  <c r="C225" i="159"/>
  <c r="I226" i="159"/>
  <c r="D226" i="159"/>
  <c r="J226" i="159"/>
  <c r="E226" i="159"/>
  <c r="K226" i="159"/>
  <c r="G226" i="159"/>
  <c r="C226" i="159"/>
  <c r="I227" i="159"/>
  <c r="D227" i="159"/>
  <c r="J227" i="159"/>
  <c r="E227" i="159"/>
  <c r="K227" i="159"/>
  <c r="G227" i="159"/>
  <c r="C227" i="159"/>
  <c r="I228" i="159"/>
  <c r="D228" i="159"/>
  <c r="J228" i="159"/>
  <c r="E228" i="159"/>
  <c r="K228" i="159"/>
  <c r="G228" i="159"/>
  <c r="C228" i="159"/>
  <c r="I229" i="159"/>
  <c r="D229" i="159"/>
  <c r="J229" i="159"/>
  <c r="E229" i="159"/>
  <c r="K229" i="159"/>
  <c r="G229" i="159"/>
  <c r="C229" i="159"/>
  <c r="I230" i="159"/>
  <c r="D230" i="159"/>
  <c r="J230" i="159"/>
  <c r="E230" i="159"/>
  <c r="K230" i="159"/>
  <c r="G230" i="159"/>
  <c r="C230" i="159"/>
  <c r="I231" i="159"/>
  <c r="D231" i="159"/>
  <c r="J231" i="159"/>
  <c r="E231" i="159"/>
  <c r="K231" i="159"/>
  <c r="G231" i="159"/>
  <c r="C231" i="159"/>
  <c r="I232" i="159"/>
  <c r="D232" i="159"/>
  <c r="J232" i="159"/>
  <c r="E232" i="159"/>
  <c r="K232" i="159"/>
  <c r="G232" i="159"/>
  <c r="C232" i="159"/>
  <c r="I233" i="159"/>
  <c r="D233" i="159"/>
  <c r="J233" i="159"/>
  <c r="E233" i="159"/>
  <c r="K233" i="159"/>
  <c r="G233" i="159"/>
  <c r="C233" i="159"/>
  <c r="I234" i="159"/>
  <c r="D234" i="159"/>
  <c r="J234" i="159"/>
  <c r="E234" i="159"/>
  <c r="K234" i="159"/>
  <c r="G234" i="159"/>
  <c r="C234" i="159"/>
  <c r="I235" i="159"/>
  <c r="D235" i="159"/>
  <c r="J235" i="159"/>
  <c r="E235" i="159"/>
  <c r="K235" i="159"/>
  <c r="G235" i="159"/>
  <c r="C235" i="159"/>
  <c r="I236" i="159"/>
  <c r="D236" i="159"/>
  <c r="J236" i="159"/>
  <c r="E236" i="159"/>
  <c r="K236" i="159"/>
  <c r="G236" i="159"/>
  <c r="C236" i="159"/>
  <c r="I237" i="159"/>
  <c r="D237" i="159"/>
  <c r="J237" i="159"/>
  <c r="E237" i="159"/>
  <c r="K237" i="159"/>
  <c r="G237" i="159"/>
  <c r="C237" i="159"/>
  <c r="I238" i="159"/>
  <c r="D238" i="159"/>
  <c r="J238" i="159"/>
  <c r="E238" i="159"/>
  <c r="K238" i="159"/>
  <c r="G238" i="159"/>
  <c r="C238" i="159"/>
  <c r="I239" i="159"/>
  <c r="D239" i="159"/>
  <c r="J239" i="159"/>
  <c r="E239" i="159"/>
  <c r="K239" i="159"/>
  <c r="G239" i="159"/>
  <c r="C239" i="159"/>
  <c r="I240" i="159"/>
  <c r="D240" i="159"/>
  <c r="J240" i="159"/>
  <c r="E240" i="159"/>
  <c r="K240" i="159"/>
  <c r="G240" i="159"/>
  <c r="C240" i="159"/>
  <c r="I241" i="159"/>
  <c r="D241" i="159"/>
  <c r="J241" i="159"/>
  <c r="E241" i="159"/>
  <c r="K241" i="159"/>
  <c r="G241" i="159"/>
  <c r="C241" i="159"/>
  <c r="I242" i="159"/>
  <c r="D242" i="159"/>
  <c r="J242" i="159"/>
  <c r="E242" i="159"/>
  <c r="K242" i="159"/>
  <c r="G242" i="159"/>
  <c r="C242" i="159"/>
  <c r="I243" i="159"/>
  <c r="D243" i="159"/>
  <c r="J243" i="159"/>
  <c r="E243" i="159"/>
  <c r="K243" i="159"/>
  <c r="G243" i="159"/>
  <c r="C243" i="159"/>
  <c r="I244" i="159"/>
  <c r="D244" i="159"/>
  <c r="J244" i="159"/>
  <c r="E244" i="159"/>
  <c r="K244" i="159"/>
  <c r="G244" i="159"/>
  <c r="C244" i="159"/>
  <c r="I245" i="159"/>
  <c r="D245" i="159"/>
  <c r="J245" i="159"/>
  <c r="E245" i="159"/>
  <c r="K245" i="159"/>
  <c r="G245" i="159"/>
  <c r="C245" i="159"/>
  <c r="I246" i="159"/>
  <c r="D246" i="159"/>
  <c r="J246" i="159"/>
  <c r="E246" i="159"/>
  <c r="K246" i="159"/>
  <c r="G246" i="159"/>
  <c r="C246" i="159"/>
  <c r="I247" i="159"/>
  <c r="D247" i="159"/>
  <c r="J247" i="159"/>
  <c r="E247" i="159"/>
  <c r="K247" i="159"/>
  <c r="G247" i="159"/>
  <c r="C247" i="159"/>
  <c r="I248" i="159"/>
  <c r="D248" i="159"/>
  <c r="J248" i="159"/>
  <c r="E248" i="159"/>
  <c r="K248" i="159"/>
  <c r="G248" i="159"/>
  <c r="C248" i="159"/>
  <c r="I249" i="159"/>
  <c r="D249" i="159"/>
  <c r="J249" i="159"/>
  <c r="E249" i="159"/>
  <c r="K249" i="159"/>
  <c r="G249" i="159"/>
  <c r="C249" i="159"/>
  <c r="I250" i="159"/>
  <c r="D250" i="159"/>
  <c r="J250" i="159"/>
  <c r="E250" i="159"/>
  <c r="K250" i="159"/>
  <c r="G250" i="159"/>
  <c r="C250" i="159"/>
  <c r="I251" i="159"/>
  <c r="D251" i="159"/>
  <c r="J251" i="159"/>
  <c r="E251" i="159"/>
  <c r="K251" i="159"/>
  <c r="G251" i="159"/>
  <c r="C251" i="159"/>
  <c r="I252" i="159"/>
  <c r="D252" i="159"/>
  <c r="J252" i="159"/>
  <c r="E252" i="159"/>
  <c r="K252" i="159"/>
  <c r="G252" i="159"/>
  <c r="C252" i="159"/>
  <c r="I253" i="159"/>
  <c r="D253" i="159"/>
  <c r="J253" i="159"/>
  <c r="E253" i="159"/>
  <c r="K253" i="159"/>
  <c r="G253" i="159"/>
  <c r="C253" i="159"/>
  <c r="I254" i="159"/>
  <c r="D254" i="159"/>
  <c r="J254" i="159"/>
  <c r="E254" i="159"/>
  <c r="K254" i="159"/>
  <c r="G254" i="159"/>
  <c r="C254" i="159"/>
  <c r="I255" i="159"/>
  <c r="D255" i="159"/>
  <c r="J255" i="159"/>
  <c r="E255" i="159"/>
  <c r="K255" i="159"/>
  <c r="G255" i="159"/>
  <c r="C255" i="159"/>
  <c r="I256" i="159"/>
  <c r="D256" i="159"/>
  <c r="J256" i="159"/>
  <c r="E256" i="159"/>
  <c r="K256" i="159"/>
  <c r="G256" i="159"/>
  <c r="C256" i="159"/>
  <c r="I257" i="159"/>
  <c r="D257" i="159"/>
  <c r="J257" i="159"/>
  <c r="E257" i="159"/>
  <c r="K257" i="159"/>
  <c r="G257" i="159"/>
  <c r="C257" i="159"/>
  <c r="I258" i="159"/>
  <c r="D258" i="159"/>
  <c r="J258" i="159"/>
  <c r="E258" i="159"/>
  <c r="K258" i="159"/>
  <c r="G258" i="159"/>
  <c r="C258" i="159"/>
  <c r="I259" i="159"/>
  <c r="D259" i="159"/>
  <c r="J259" i="159"/>
  <c r="E259" i="159"/>
  <c r="K259" i="159"/>
  <c r="G259" i="159"/>
  <c r="C259" i="159"/>
  <c r="I260" i="159"/>
  <c r="D260" i="159"/>
  <c r="J260" i="159"/>
  <c r="E260" i="159"/>
  <c r="K260" i="159"/>
  <c r="G260" i="159"/>
  <c r="C260" i="159"/>
  <c r="I261" i="159"/>
  <c r="D261" i="159"/>
  <c r="J261" i="159"/>
  <c r="E261" i="159"/>
  <c r="K261" i="159"/>
  <c r="G261" i="159"/>
  <c r="C261" i="159"/>
  <c r="I262" i="159"/>
  <c r="D262" i="159"/>
  <c r="J262" i="159"/>
  <c r="E262" i="159"/>
  <c r="K262" i="159"/>
  <c r="G262" i="159"/>
  <c r="C262" i="159"/>
  <c r="I263" i="159"/>
  <c r="D263" i="159"/>
  <c r="J263" i="159"/>
  <c r="E263" i="159"/>
  <c r="K263" i="159"/>
  <c r="G263" i="159"/>
  <c r="C263" i="159"/>
  <c r="I264" i="159"/>
  <c r="D264" i="159"/>
  <c r="J264" i="159"/>
  <c r="E264" i="159"/>
  <c r="K264" i="159"/>
  <c r="G264" i="159"/>
  <c r="C264" i="159"/>
  <c r="I265" i="159"/>
  <c r="D265" i="159"/>
  <c r="J265" i="159"/>
  <c r="E265" i="159"/>
  <c r="K265" i="159"/>
  <c r="G265" i="159"/>
  <c r="C265" i="159"/>
  <c r="I266" i="159"/>
  <c r="D266" i="159"/>
  <c r="J266" i="159"/>
  <c r="E266" i="159"/>
  <c r="K266" i="159"/>
  <c r="G266" i="159"/>
  <c r="C266" i="159"/>
  <c r="I267" i="159"/>
  <c r="D267" i="159"/>
  <c r="J267" i="159"/>
  <c r="E267" i="159"/>
  <c r="K267" i="159"/>
  <c r="G267" i="159"/>
  <c r="C267" i="159"/>
  <c r="I268" i="159"/>
  <c r="D268" i="159"/>
  <c r="J268" i="159"/>
  <c r="E268" i="159"/>
  <c r="K268" i="159"/>
  <c r="G268" i="159"/>
  <c r="C268" i="159"/>
  <c r="I269" i="159"/>
  <c r="D269" i="159"/>
  <c r="J269" i="159"/>
  <c r="E269" i="159"/>
  <c r="K269" i="159"/>
  <c r="G269" i="159"/>
  <c r="C269" i="159"/>
  <c r="I270" i="159"/>
  <c r="D270" i="159"/>
  <c r="J270" i="159"/>
  <c r="E270" i="159"/>
  <c r="K270" i="159"/>
  <c r="G270" i="159"/>
  <c r="C270" i="159"/>
  <c r="I271" i="159"/>
  <c r="D271" i="159"/>
  <c r="J271" i="159"/>
  <c r="E271" i="159"/>
  <c r="K271" i="159"/>
  <c r="G271" i="159"/>
  <c r="C271" i="159"/>
  <c r="I272" i="159"/>
  <c r="D272" i="159"/>
  <c r="J272" i="159"/>
  <c r="E272" i="159"/>
  <c r="K272" i="159"/>
  <c r="G272" i="159"/>
  <c r="C272" i="159"/>
  <c r="I273" i="159"/>
  <c r="D273" i="159"/>
  <c r="J273" i="159"/>
  <c r="E273" i="159"/>
  <c r="K273" i="159"/>
  <c r="G273" i="159"/>
  <c r="C273" i="159"/>
  <c r="I274" i="159"/>
  <c r="D274" i="159"/>
  <c r="J274" i="159"/>
  <c r="E274" i="159"/>
  <c r="K274" i="159"/>
  <c r="G274" i="159"/>
  <c r="C274" i="159"/>
  <c r="I275" i="159"/>
  <c r="D275" i="159"/>
  <c r="J275" i="159"/>
  <c r="E275" i="159"/>
  <c r="K275" i="159"/>
  <c r="G275" i="159"/>
  <c r="C275" i="159"/>
  <c r="I276" i="159"/>
  <c r="D276" i="159"/>
  <c r="J276" i="159"/>
  <c r="E276" i="159"/>
  <c r="K276" i="159"/>
  <c r="G276" i="159"/>
  <c r="C276" i="159"/>
  <c r="I277" i="159"/>
  <c r="D277" i="159"/>
  <c r="J277" i="159"/>
  <c r="E277" i="159"/>
  <c r="K277" i="159"/>
  <c r="G277" i="159"/>
  <c r="C277" i="159"/>
  <c r="I278" i="159"/>
  <c r="D278" i="159"/>
  <c r="J278" i="159"/>
  <c r="E278" i="159"/>
  <c r="K278" i="159"/>
  <c r="G278" i="159"/>
  <c r="C278" i="159"/>
  <c r="I279" i="159"/>
  <c r="D279" i="159"/>
  <c r="J279" i="159"/>
  <c r="E279" i="159"/>
  <c r="K279" i="159"/>
  <c r="G279" i="159"/>
  <c r="C279" i="159"/>
  <c r="I280" i="159"/>
  <c r="D280" i="159"/>
  <c r="J280" i="159"/>
  <c r="E280" i="159"/>
  <c r="K280" i="159"/>
  <c r="G280" i="159"/>
  <c r="C280" i="159"/>
  <c r="I281" i="159"/>
  <c r="D281" i="159"/>
  <c r="J281" i="159"/>
  <c r="E281" i="159"/>
  <c r="K281" i="159"/>
  <c r="G281" i="159"/>
  <c r="C281" i="159"/>
  <c r="I282" i="159"/>
  <c r="D282" i="159"/>
  <c r="J282" i="159"/>
  <c r="E282" i="159"/>
  <c r="K282" i="159"/>
  <c r="G282" i="159"/>
  <c r="C282" i="159"/>
  <c r="I283" i="159"/>
  <c r="D283" i="159"/>
  <c r="J283" i="159"/>
  <c r="E283" i="159"/>
  <c r="K283" i="159"/>
  <c r="G283" i="159"/>
  <c r="C283" i="159"/>
  <c r="I284" i="159"/>
  <c r="D284" i="159"/>
  <c r="J284" i="159"/>
  <c r="E284" i="159"/>
  <c r="K284" i="159"/>
  <c r="G284" i="159"/>
  <c r="C284" i="159"/>
  <c r="I285" i="159"/>
  <c r="D285" i="159"/>
  <c r="J285" i="159"/>
  <c r="E285" i="159"/>
  <c r="K285" i="159"/>
  <c r="G285" i="159"/>
  <c r="C285" i="159"/>
  <c r="I286" i="159"/>
  <c r="D286" i="159"/>
  <c r="J286" i="159"/>
  <c r="E286" i="159"/>
  <c r="K286" i="159"/>
  <c r="G286" i="159"/>
  <c r="C286" i="159"/>
  <c r="I287" i="159"/>
  <c r="D287" i="159"/>
  <c r="J287" i="159"/>
  <c r="E287" i="159"/>
  <c r="K287" i="159"/>
  <c r="G287" i="159"/>
  <c r="C287" i="159"/>
  <c r="I288" i="159"/>
  <c r="D288" i="159"/>
  <c r="J288" i="159"/>
  <c r="E288" i="159"/>
  <c r="K288" i="159"/>
  <c r="G288" i="159"/>
  <c r="C288" i="159"/>
  <c r="I289" i="159"/>
  <c r="D289" i="159"/>
  <c r="J289" i="159"/>
  <c r="E289" i="159"/>
  <c r="K289" i="159"/>
  <c r="G289" i="159"/>
  <c r="C289" i="159"/>
  <c r="I290" i="159"/>
  <c r="D290" i="159"/>
  <c r="J290" i="159"/>
  <c r="E290" i="159"/>
  <c r="K290" i="159"/>
  <c r="G290" i="159"/>
  <c r="C290" i="159"/>
  <c r="I291" i="159"/>
  <c r="D291" i="159"/>
  <c r="J291" i="159"/>
  <c r="E291" i="159"/>
  <c r="K291" i="159"/>
  <c r="G291" i="159"/>
  <c r="C291" i="159"/>
  <c r="I292" i="159"/>
  <c r="D292" i="159"/>
  <c r="J292" i="159"/>
  <c r="E292" i="159"/>
  <c r="K292" i="159"/>
  <c r="G292" i="159"/>
  <c r="C292" i="159"/>
  <c r="I293" i="159"/>
  <c r="D293" i="159"/>
  <c r="J293" i="159"/>
  <c r="E293" i="159"/>
  <c r="K293" i="159"/>
  <c r="G293" i="159"/>
  <c r="C293" i="159"/>
  <c r="I294" i="159"/>
  <c r="D294" i="159"/>
  <c r="J294" i="159"/>
  <c r="E294" i="159"/>
  <c r="K294" i="159"/>
  <c r="G294" i="159"/>
  <c r="C294" i="159"/>
  <c r="I295" i="159"/>
  <c r="D295" i="159"/>
  <c r="J295" i="159"/>
  <c r="E295" i="159"/>
  <c r="K295" i="159"/>
  <c r="G295" i="159"/>
  <c r="C295" i="159"/>
  <c r="I296" i="159"/>
  <c r="D296" i="159"/>
  <c r="J296" i="159"/>
  <c r="E296" i="159"/>
  <c r="K296" i="159"/>
  <c r="G296" i="159"/>
  <c r="C296" i="159"/>
  <c r="I297" i="159"/>
  <c r="D297" i="159"/>
  <c r="J297" i="159"/>
  <c r="E297" i="159"/>
  <c r="K297" i="159"/>
  <c r="G297" i="159"/>
  <c r="C297" i="159"/>
  <c r="I298" i="159"/>
  <c r="D298" i="159"/>
  <c r="J298" i="159"/>
  <c r="E298" i="159"/>
  <c r="K298" i="159"/>
  <c r="G298" i="159"/>
  <c r="C298" i="159"/>
  <c r="I299" i="159"/>
  <c r="D299" i="159"/>
  <c r="J299" i="159"/>
  <c r="E299" i="159"/>
  <c r="K299" i="159"/>
  <c r="G299" i="159"/>
  <c r="C299" i="159"/>
  <c r="I300" i="159"/>
  <c r="D300" i="159"/>
  <c r="J300" i="159"/>
  <c r="E300" i="159"/>
  <c r="K300" i="159"/>
  <c r="G300" i="159"/>
  <c r="C300" i="159"/>
  <c r="I301" i="159"/>
  <c r="D301" i="159"/>
  <c r="J301" i="159"/>
  <c r="E301" i="159"/>
  <c r="K301" i="159"/>
  <c r="G301" i="159"/>
  <c r="C301" i="159"/>
  <c r="I302" i="159"/>
  <c r="D302" i="159"/>
  <c r="J302" i="159"/>
  <c r="E302" i="159"/>
  <c r="K302" i="159"/>
  <c r="G302" i="159"/>
  <c r="C302" i="159"/>
  <c r="I303" i="159"/>
  <c r="D303" i="159"/>
  <c r="J303" i="159"/>
  <c r="E303" i="159"/>
  <c r="K303" i="159"/>
  <c r="G303" i="159"/>
  <c r="C303" i="159"/>
  <c r="I304" i="159"/>
  <c r="D304" i="159"/>
  <c r="J304" i="159"/>
  <c r="E304" i="159"/>
  <c r="K304" i="159"/>
  <c r="G304" i="159"/>
  <c r="C304" i="159"/>
  <c r="I305" i="159"/>
  <c r="D305" i="159"/>
  <c r="J305" i="159"/>
  <c r="E305" i="159"/>
  <c r="K305" i="159"/>
  <c r="G305" i="159"/>
  <c r="C305" i="159"/>
  <c r="I306" i="159"/>
  <c r="D306" i="159"/>
  <c r="J306" i="159"/>
  <c r="E306" i="159"/>
  <c r="K306" i="159"/>
  <c r="G306" i="159"/>
  <c r="C306" i="159"/>
  <c r="I307" i="159"/>
  <c r="D307" i="159"/>
  <c r="J307" i="159"/>
  <c r="E307" i="159"/>
  <c r="K307" i="159"/>
  <c r="G307" i="159"/>
  <c r="C307" i="159"/>
  <c r="I308" i="159"/>
  <c r="D308" i="159"/>
  <c r="J308" i="159"/>
  <c r="E308" i="159"/>
  <c r="K308" i="159"/>
  <c r="G308" i="159"/>
  <c r="C308" i="159"/>
  <c r="I309" i="159"/>
  <c r="D309" i="159"/>
  <c r="J309" i="159"/>
  <c r="E309" i="159"/>
  <c r="K309" i="159"/>
  <c r="G309" i="159"/>
  <c r="C309" i="159"/>
  <c r="I310" i="159"/>
  <c r="D310" i="159"/>
  <c r="J310" i="159"/>
  <c r="E310" i="159"/>
  <c r="K310" i="159"/>
  <c r="G310" i="159"/>
  <c r="C310" i="159"/>
  <c r="I311" i="159"/>
  <c r="D311" i="159"/>
  <c r="J311" i="159"/>
  <c r="E311" i="159"/>
  <c r="K311" i="159"/>
  <c r="G311" i="159"/>
  <c r="C311" i="159"/>
  <c r="I312" i="159"/>
  <c r="D312" i="159"/>
  <c r="J312" i="159"/>
  <c r="E312" i="159"/>
  <c r="K312" i="159"/>
  <c r="G312" i="159"/>
  <c r="C312" i="159"/>
  <c r="I313" i="159"/>
  <c r="D313" i="159"/>
  <c r="J313" i="159"/>
  <c r="E313" i="159"/>
  <c r="K313" i="159"/>
  <c r="G313" i="159"/>
  <c r="C313" i="159"/>
  <c r="I314" i="159"/>
  <c r="D314" i="159"/>
  <c r="J314" i="159"/>
  <c r="E314" i="159"/>
  <c r="K314" i="159"/>
  <c r="G314" i="159"/>
  <c r="C314" i="159"/>
  <c r="I315" i="159"/>
  <c r="D315" i="159"/>
  <c r="J315" i="159"/>
  <c r="E315" i="159"/>
  <c r="K315" i="159"/>
  <c r="G315" i="159"/>
  <c r="C315" i="159"/>
  <c r="I316" i="159"/>
  <c r="D316" i="159"/>
  <c r="J316" i="159"/>
  <c r="E316" i="159"/>
  <c r="K316" i="159"/>
  <c r="G316" i="159"/>
  <c r="C316" i="159"/>
  <c r="I317" i="159"/>
  <c r="D317" i="159"/>
  <c r="J317" i="159"/>
  <c r="E317" i="159"/>
  <c r="K317" i="159"/>
  <c r="G317" i="159"/>
  <c r="C317" i="159"/>
  <c r="I318" i="159"/>
  <c r="D318" i="159"/>
  <c r="J318" i="159"/>
  <c r="E318" i="159"/>
  <c r="K318" i="159"/>
  <c r="G318" i="159"/>
  <c r="C318" i="159"/>
  <c r="I319" i="159"/>
  <c r="D319" i="159"/>
  <c r="J319" i="159"/>
  <c r="E319" i="159"/>
  <c r="K319" i="159"/>
  <c r="G319" i="159"/>
  <c r="C319" i="159"/>
  <c r="I320" i="159"/>
  <c r="D320" i="159"/>
  <c r="J320" i="159"/>
  <c r="E320" i="159"/>
  <c r="K320" i="159"/>
  <c r="G320" i="159"/>
  <c r="C320" i="159"/>
  <c r="I321" i="159"/>
  <c r="D321" i="159"/>
  <c r="J321" i="159"/>
  <c r="E321" i="159"/>
  <c r="K321" i="159"/>
  <c r="G321" i="159"/>
  <c r="C321" i="159"/>
  <c r="I322" i="159"/>
  <c r="D322" i="159"/>
  <c r="J322" i="159"/>
  <c r="E322" i="159"/>
  <c r="K322" i="159"/>
  <c r="G322" i="159"/>
  <c r="C322" i="159"/>
  <c r="I323" i="159"/>
  <c r="D323" i="159"/>
  <c r="J323" i="159"/>
  <c r="E323" i="159"/>
  <c r="K323" i="159"/>
  <c r="G323" i="159"/>
  <c r="C323" i="159"/>
  <c r="I324" i="159"/>
  <c r="D324" i="159"/>
  <c r="J324" i="159"/>
  <c r="E324" i="159"/>
  <c r="K324" i="159"/>
  <c r="G324" i="159"/>
  <c r="C324" i="159"/>
  <c r="I325" i="159"/>
  <c r="D325" i="159"/>
  <c r="J325" i="159"/>
  <c r="E325" i="159"/>
  <c r="K325" i="159"/>
  <c r="G325" i="159"/>
  <c r="C325" i="159"/>
  <c r="I326" i="159"/>
  <c r="D326" i="159"/>
  <c r="J326" i="159"/>
  <c r="E326" i="159"/>
  <c r="K326" i="159"/>
  <c r="G326" i="159"/>
  <c r="C326" i="159"/>
  <c r="I327" i="159"/>
  <c r="D327" i="159"/>
  <c r="J327" i="159"/>
  <c r="E327" i="159"/>
  <c r="K327" i="159"/>
  <c r="G327" i="159"/>
  <c r="C327" i="159"/>
  <c r="I328" i="159"/>
  <c r="D328" i="159"/>
  <c r="J328" i="159"/>
  <c r="E328" i="159"/>
  <c r="K328" i="159"/>
  <c r="G328" i="159"/>
  <c r="C328" i="159"/>
  <c r="I329" i="159"/>
  <c r="D329" i="159"/>
  <c r="J329" i="159"/>
  <c r="E329" i="159"/>
  <c r="K329" i="159"/>
  <c r="G329" i="159"/>
  <c r="C329" i="159"/>
  <c r="I330" i="159"/>
  <c r="D330" i="159"/>
  <c r="J330" i="159"/>
  <c r="E330" i="159"/>
  <c r="K330" i="159"/>
  <c r="G330" i="159"/>
  <c r="C330" i="159"/>
  <c r="I331" i="159"/>
  <c r="D331" i="159"/>
  <c r="J331" i="159"/>
  <c r="E331" i="159"/>
  <c r="K331" i="159"/>
  <c r="G331" i="159"/>
  <c r="C331" i="159"/>
  <c r="F6" i="158"/>
  <c r="E6" i="158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42" i="158"/>
  <c r="B42" i="158"/>
  <c r="E44" i="158"/>
  <c r="B44" i="158"/>
  <c r="E23" i="158"/>
  <c r="F7" i="158"/>
  <c r="E7" i="158"/>
  <c r="B23" i="158"/>
  <c r="A2" i="158"/>
  <c r="F5" i="158"/>
  <c r="E5" i="158"/>
  <c r="E27" i="158"/>
  <c r="B27" i="158"/>
  <c r="A51" i="158"/>
  <c r="G27" i="158"/>
  <c r="H27" i="158"/>
  <c r="O138" i="159"/>
  <c r="E19" i="158"/>
  <c r="B19" i="158"/>
  <c r="E24" i="158"/>
  <c r="B24" i="158"/>
  <c r="B17" i="158"/>
  <c r="G17" i="158"/>
  <c r="E17" i="158"/>
  <c r="H17" i="158"/>
  <c r="O2" i="159"/>
  <c r="E18" i="158"/>
  <c r="B18" i="158"/>
  <c r="G18" i="158"/>
  <c r="H18" i="158"/>
  <c r="O3" i="159"/>
  <c r="O4" i="159"/>
  <c r="O5" i="159"/>
  <c r="F8" i="158"/>
  <c r="E8" i="158"/>
  <c r="E34" i="158"/>
  <c r="B34" i="158"/>
  <c r="E39" i="158"/>
  <c r="B39" i="158"/>
  <c r="B32" i="158"/>
  <c r="G32" i="158"/>
  <c r="E32" i="158"/>
  <c r="H32" i="158"/>
  <c r="O6" i="159"/>
  <c r="E33" i="158"/>
  <c r="B33" i="158"/>
  <c r="G33" i="158"/>
  <c r="H33" i="158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G24" i="158"/>
  <c r="H24" i="158"/>
  <c r="O42" i="159"/>
  <c r="E25" i="158"/>
  <c r="B25" i="158"/>
  <c r="G25" i="158"/>
  <c r="H25" i="158"/>
  <c r="O43" i="159"/>
  <c r="E26" i="158"/>
  <c r="B26" i="158"/>
  <c r="G26" i="158"/>
  <c r="H26" i="158"/>
  <c r="O44" i="159"/>
  <c r="O45" i="159"/>
  <c r="O46" i="159"/>
  <c r="O47" i="159"/>
  <c r="G39" i="158"/>
  <c r="H39" i="158"/>
  <c r="O48" i="159"/>
  <c r="E40" i="158"/>
  <c r="B40" i="158"/>
  <c r="G40" i="158"/>
  <c r="H40" i="158"/>
  <c r="O49" i="159"/>
  <c r="E41" i="158"/>
  <c r="B41" i="158"/>
  <c r="G41" i="158"/>
  <c r="H41" i="158"/>
  <c r="O50" i="159"/>
  <c r="G19" i="158"/>
  <c r="H19" i="158"/>
  <c r="O51" i="159"/>
  <c r="E20" i="158"/>
  <c r="B20" i="158"/>
  <c r="G20" i="158"/>
  <c r="H20" i="158"/>
  <c r="O52" i="159"/>
  <c r="E21" i="158"/>
  <c r="B21" i="158"/>
  <c r="G21" i="158"/>
  <c r="H21" i="158"/>
  <c r="O53" i="159"/>
  <c r="O54" i="159"/>
  <c r="O55" i="159"/>
  <c r="O56" i="159"/>
  <c r="O57" i="159"/>
  <c r="O58" i="159"/>
  <c r="O59" i="159"/>
  <c r="G34" i="158"/>
  <c r="H34" i="158"/>
  <c r="O60" i="159"/>
  <c r="E35" i="158"/>
  <c r="B35" i="158"/>
  <c r="G35" i="158"/>
  <c r="H35" i="158"/>
  <c r="O61" i="159"/>
  <c r="E36" i="158"/>
  <c r="B36" i="158"/>
  <c r="G36" i="158"/>
  <c r="H36" i="158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E28" i="158"/>
  <c r="B28" i="158"/>
  <c r="G28" i="158"/>
  <c r="H28" i="158"/>
  <c r="O139" i="159"/>
  <c r="O140" i="159"/>
  <c r="O141" i="159"/>
  <c r="G42" i="158"/>
  <c r="H42" i="158"/>
  <c r="O142" i="159"/>
  <c r="E43" i="158"/>
  <c r="B43" i="158"/>
  <c r="G43" i="158"/>
  <c r="H43" i="158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G23" i="158"/>
  <c r="H23" i="158"/>
  <c r="O215" i="159"/>
  <c r="O216" i="159"/>
  <c r="E38" i="158"/>
  <c r="B38" i="158"/>
  <c r="G38" i="158"/>
  <c r="H38" i="158"/>
  <c r="O217" i="159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O255" i="159"/>
  <c r="O256" i="159"/>
  <c r="O257" i="159"/>
  <c r="O258" i="159"/>
  <c r="O259" i="159"/>
  <c r="O260" i="159"/>
  <c r="O261" i="159"/>
  <c r="E22" i="158"/>
  <c r="B22" i="158"/>
  <c r="G22" i="158"/>
  <c r="H22" i="158"/>
  <c r="O262" i="159"/>
  <c r="O263" i="159"/>
  <c r="O264" i="159"/>
  <c r="O265" i="159"/>
  <c r="G44" i="158"/>
  <c r="H44" i="158"/>
  <c r="O266" i="159"/>
  <c r="E29" i="158"/>
  <c r="B29" i="158"/>
  <c r="G29" i="158"/>
  <c r="H29" i="158"/>
  <c r="O267" i="159"/>
  <c r="O268" i="159"/>
  <c r="O269" i="159"/>
  <c r="E37" i="158"/>
  <c r="B37" i="158"/>
  <c r="G37" i="158"/>
  <c r="H37" i="158"/>
  <c r="O270" i="159"/>
  <c r="O271" i="159"/>
  <c r="O272" i="159"/>
  <c r="O273" i="159"/>
  <c r="O274" i="159"/>
  <c r="O275" i="159"/>
  <c r="O276" i="159"/>
  <c r="O277" i="159"/>
  <c r="O278" i="159"/>
  <c r="O279" i="159"/>
  <c r="O280" i="159"/>
  <c r="O281" i="159"/>
  <c r="O282" i="159"/>
  <c r="O283" i="159"/>
  <c r="O284" i="159"/>
  <c r="O285" i="159"/>
  <c r="O286" i="159"/>
  <c r="O287" i="159"/>
  <c r="O288" i="159"/>
  <c r="O289" i="159"/>
  <c r="O290" i="159"/>
  <c r="O291" i="159"/>
  <c r="O292" i="159"/>
  <c r="O293" i="159"/>
  <c r="O294" i="159"/>
  <c r="O295" i="159"/>
  <c r="O296" i="159"/>
  <c r="O297" i="159"/>
  <c r="O298" i="159"/>
  <c r="O299" i="159"/>
  <c r="O300" i="159"/>
  <c r="O301" i="159"/>
  <c r="O302" i="159"/>
  <c r="O303" i="159"/>
  <c r="O304" i="159"/>
  <c r="O305" i="159"/>
  <c r="O306" i="159"/>
  <c r="O307" i="159"/>
  <c r="O308" i="159"/>
  <c r="O309" i="159"/>
  <c r="O310" i="159"/>
  <c r="O311" i="159"/>
  <c r="O312" i="159"/>
  <c r="O313" i="159"/>
  <c r="O314" i="159"/>
  <c r="O315" i="159"/>
  <c r="O316" i="159"/>
  <c r="O317" i="159"/>
  <c r="O318" i="159"/>
  <c r="O319" i="159"/>
  <c r="O320" i="159"/>
  <c r="O321" i="159"/>
  <c r="O322" i="159"/>
  <c r="O323" i="159"/>
  <c r="O324" i="159"/>
  <c r="O325" i="159"/>
  <c r="O326" i="159"/>
  <c r="O327" i="159"/>
  <c r="O328" i="159"/>
  <c r="O329" i="159"/>
  <c r="O330" i="159"/>
  <c r="G46" i="158"/>
  <c r="E46" i="158"/>
  <c r="H46" i="158"/>
  <c r="O331" i="159"/>
  <c r="P138" i="159"/>
  <c r="P139" i="159"/>
  <c r="P140" i="159"/>
  <c r="P141" i="159"/>
  <c r="P2" i="159"/>
  <c r="P3" i="159"/>
  <c r="P4" i="159"/>
  <c r="P5" i="159"/>
  <c r="P6" i="159"/>
  <c r="P7" i="159"/>
  <c r="P8" i="159"/>
  <c r="P9" i="159"/>
  <c r="P10" i="159"/>
  <c r="P11" i="159"/>
  <c r="P12" i="159"/>
  <c r="P13" i="159"/>
  <c r="P14" i="159"/>
  <c r="P15" i="159"/>
  <c r="P16" i="159"/>
  <c r="P17" i="159"/>
  <c r="P18" i="159"/>
  <c r="P19" i="159"/>
  <c r="P20" i="159"/>
  <c r="P21" i="159"/>
  <c r="P22" i="159"/>
  <c r="P23" i="159"/>
  <c r="P24" i="159"/>
  <c r="P25" i="159"/>
  <c r="P26" i="159"/>
  <c r="P27" i="159"/>
  <c r="P28" i="159"/>
  <c r="P29" i="159"/>
  <c r="P30" i="159"/>
  <c r="P31" i="159"/>
  <c r="P32" i="159"/>
  <c r="P33" i="159"/>
  <c r="P34" i="159"/>
  <c r="P35" i="159"/>
  <c r="P36" i="159"/>
  <c r="P37" i="159"/>
  <c r="P38" i="159"/>
  <c r="P39" i="159"/>
  <c r="P40" i="159"/>
  <c r="P41" i="159"/>
  <c r="P42" i="159"/>
  <c r="P43" i="159"/>
  <c r="P44" i="159"/>
  <c r="P45" i="159"/>
  <c r="P46" i="159"/>
  <c r="P47" i="159"/>
  <c r="P48" i="159"/>
  <c r="P49" i="159"/>
  <c r="P50" i="159"/>
  <c r="P51" i="159"/>
  <c r="P52" i="159"/>
  <c r="P53" i="159"/>
  <c r="P54" i="159"/>
  <c r="P55" i="159"/>
  <c r="P56" i="159"/>
  <c r="P57" i="159"/>
  <c r="P58" i="159"/>
  <c r="P59" i="159"/>
  <c r="P60" i="159"/>
  <c r="P61" i="159"/>
  <c r="P62" i="159"/>
  <c r="P63" i="159"/>
  <c r="P64" i="159"/>
  <c r="P65" i="159"/>
  <c r="P66" i="159"/>
  <c r="P67" i="159"/>
  <c r="P68" i="159"/>
  <c r="P69" i="159"/>
  <c r="P70" i="159"/>
  <c r="P71" i="159"/>
  <c r="P72" i="159"/>
  <c r="P73" i="159"/>
  <c r="P74" i="159"/>
  <c r="P75" i="159"/>
  <c r="P76" i="159"/>
  <c r="P77" i="159"/>
  <c r="P78" i="159"/>
  <c r="P79" i="159"/>
  <c r="P80" i="159"/>
  <c r="P81" i="159"/>
  <c r="P82" i="159"/>
  <c r="P83" i="159"/>
  <c r="P84" i="159"/>
  <c r="P85" i="159"/>
  <c r="P86" i="159"/>
  <c r="P87" i="159"/>
  <c r="P88" i="159"/>
  <c r="P89" i="159"/>
  <c r="P90" i="159"/>
  <c r="P91" i="159"/>
  <c r="P92" i="159"/>
  <c r="P93" i="159"/>
  <c r="P94" i="159"/>
  <c r="P95" i="159"/>
  <c r="P96" i="159"/>
  <c r="P97" i="159"/>
  <c r="P98" i="159"/>
  <c r="P99" i="159"/>
  <c r="P100" i="159"/>
  <c r="P101" i="159"/>
  <c r="P102" i="159"/>
  <c r="P103" i="159"/>
  <c r="P104" i="159"/>
  <c r="P105" i="159"/>
  <c r="P106" i="159"/>
  <c r="P107" i="159"/>
  <c r="P108" i="159"/>
  <c r="P109" i="159"/>
  <c r="P110" i="159"/>
  <c r="P111" i="159"/>
  <c r="P112" i="159"/>
  <c r="P113" i="159"/>
  <c r="P114" i="159"/>
  <c r="P115" i="159"/>
  <c r="P116" i="159"/>
  <c r="P117" i="159"/>
  <c r="P118" i="159"/>
  <c r="P119" i="159"/>
  <c r="P120" i="159"/>
  <c r="P121" i="159"/>
  <c r="P122" i="159"/>
  <c r="P123" i="159"/>
  <c r="P124" i="159"/>
  <c r="P125" i="159"/>
  <c r="P126" i="159"/>
  <c r="P127" i="159"/>
  <c r="P128" i="159"/>
  <c r="P129" i="159"/>
  <c r="P130" i="159"/>
  <c r="P131" i="159"/>
  <c r="P132" i="159"/>
  <c r="P133" i="159"/>
  <c r="P134" i="159"/>
  <c r="P135" i="159"/>
  <c r="P136" i="159"/>
  <c r="P137" i="159"/>
  <c r="P142" i="159"/>
  <c r="P143" i="159"/>
  <c r="P144" i="159"/>
  <c r="P145" i="159"/>
  <c r="P146" i="159"/>
  <c r="P147" i="159"/>
  <c r="P148" i="159"/>
  <c r="P149" i="159"/>
  <c r="P150" i="159"/>
  <c r="P151" i="159"/>
  <c r="P152" i="159"/>
  <c r="P153" i="159"/>
  <c r="P154" i="159"/>
  <c r="P155" i="159"/>
  <c r="P156" i="159"/>
  <c r="P157" i="159"/>
  <c r="P158" i="159"/>
  <c r="P159" i="159"/>
  <c r="P160" i="159"/>
  <c r="P161" i="159"/>
  <c r="P162" i="159"/>
  <c r="P163" i="159"/>
  <c r="P164" i="159"/>
  <c r="P165" i="159"/>
  <c r="P166" i="159"/>
  <c r="P167" i="159"/>
  <c r="P168" i="159"/>
  <c r="P169" i="159"/>
  <c r="P170" i="159"/>
  <c r="P171" i="159"/>
  <c r="P172" i="159"/>
  <c r="P173" i="159"/>
  <c r="P174" i="159"/>
  <c r="P175" i="159"/>
  <c r="P176" i="159"/>
  <c r="P177" i="159"/>
  <c r="P178" i="159"/>
  <c r="P179" i="159"/>
  <c r="P180" i="159"/>
  <c r="P181" i="159"/>
  <c r="P182" i="159"/>
  <c r="P183" i="159"/>
  <c r="P184" i="159"/>
  <c r="P185" i="159"/>
  <c r="P186" i="159"/>
  <c r="P187" i="159"/>
  <c r="P188" i="159"/>
  <c r="P189" i="159"/>
  <c r="P190" i="159"/>
  <c r="P191" i="159"/>
  <c r="P192" i="159"/>
  <c r="P193" i="159"/>
  <c r="P194" i="159"/>
  <c r="P195" i="159"/>
  <c r="P196" i="159"/>
  <c r="P197" i="159"/>
  <c r="P198" i="159"/>
  <c r="P199" i="159"/>
  <c r="P200" i="159"/>
  <c r="P201" i="159"/>
  <c r="P202" i="159"/>
  <c r="P203" i="159"/>
  <c r="P204" i="159"/>
  <c r="P205" i="159"/>
  <c r="P206" i="159"/>
  <c r="P207" i="159"/>
  <c r="P208" i="159"/>
  <c r="P209" i="159"/>
  <c r="P210" i="159"/>
  <c r="P211" i="159"/>
  <c r="P212" i="159"/>
  <c r="P213" i="159"/>
  <c r="P214" i="159"/>
  <c r="P215" i="159"/>
  <c r="P216" i="159"/>
  <c r="P217" i="159"/>
  <c r="P218" i="159"/>
  <c r="P219" i="159"/>
  <c r="P220" i="159"/>
  <c r="P221" i="159"/>
  <c r="P222" i="159"/>
  <c r="P223" i="159"/>
  <c r="P224" i="159"/>
  <c r="P225" i="159"/>
  <c r="P226" i="159"/>
  <c r="P227" i="159"/>
  <c r="P228" i="159"/>
  <c r="P229" i="159"/>
  <c r="P230" i="159"/>
  <c r="P231" i="159"/>
  <c r="P232" i="159"/>
  <c r="P233" i="159"/>
  <c r="P234" i="159"/>
  <c r="P235" i="159"/>
  <c r="P236" i="159"/>
  <c r="P237" i="159"/>
  <c r="P238" i="159"/>
  <c r="P239" i="159"/>
  <c r="P240" i="159"/>
  <c r="P241" i="159"/>
  <c r="P242" i="159"/>
  <c r="P243" i="159"/>
  <c r="P244" i="159"/>
  <c r="P245" i="159"/>
  <c r="P246" i="159"/>
  <c r="P247" i="159"/>
  <c r="P248" i="159"/>
  <c r="P249" i="159"/>
  <c r="P250" i="159"/>
  <c r="P251" i="159"/>
  <c r="P252" i="159"/>
  <c r="P253" i="159"/>
  <c r="P254" i="159"/>
  <c r="P255" i="159"/>
  <c r="P256" i="159"/>
  <c r="P257" i="159"/>
  <c r="P258" i="159"/>
  <c r="P259" i="159"/>
  <c r="P260" i="159"/>
  <c r="P261" i="159"/>
  <c r="P262" i="159"/>
  <c r="P263" i="159"/>
  <c r="P264" i="159"/>
  <c r="P265" i="159"/>
  <c r="P266" i="159"/>
  <c r="P267" i="159"/>
  <c r="P268" i="159"/>
  <c r="P269" i="159"/>
  <c r="P270" i="159"/>
  <c r="P271" i="159"/>
  <c r="P272" i="159"/>
  <c r="P273" i="159"/>
  <c r="P274" i="159"/>
  <c r="P275" i="159"/>
  <c r="P276" i="159"/>
  <c r="P277" i="159"/>
  <c r="P278" i="159"/>
  <c r="P279" i="159"/>
  <c r="P280" i="159"/>
  <c r="P281" i="159"/>
  <c r="P282" i="159"/>
  <c r="P283" i="159"/>
  <c r="P284" i="159"/>
  <c r="P285" i="159"/>
  <c r="P286" i="159"/>
  <c r="P287" i="159"/>
  <c r="P288" i="159"/>
  <c r="P289" i="159"/>
  <c r="P290" i="159"/>
  <c r="P291" i="159"/>
  <c r="P292" i="159"/>
  <c r="P293" i="159"/>
  <c r="P294" i="159"/>
  <c r="P295" i="159"/>
  <c r="P296" i="159"/>
  <c r="P297" i="159"/>
  <c r="P298" i="159"/>
  <c r="P299" i="159"/>
  <c r="P300" i="159"/>
  <c r="P301" i="159"/>
  <c r="P302" i="159"/>
  <c r="P303" i="159"/>
  <c r="P304" i="159"/>
  <c r="P305" i="159"/>
  <c r="P306" i="159"/>
  <c r="P307" i="159"/>
  <c r="P308" i="159"/>
  <c r="P309" i="159"/>
  <c r="P310" i="159"/>
  <c r="P311" i="159"/>
  <c r="P312" i="159"/>
  <c r="P313" i="159"/>
  <c r="P314" i="159"/>
  <c r="P315" i="159"/>
  <c r="P316" i="159"/>
  <c r="P317" i="159"/>
  <c r="P318" i="159"/>
  <c r="P319" i="159"/>
  <c r="P320" i="159"/>
  <c r="P321" i="159"/>
  <c r="P322" i="159"/>
  <c r="P323" i="159"/>
  <c r="P324" i="159"/>
  <c r="P325" i="159"/>
  <c r="P326" i="159"/>
  <c r="P327" i="159"/>
  <c r="P328" i="159"/>
  <c r="P329" i="159"/>
  <c r="P330" i="159"/>
  <c r="P331" i="159"/>
  <c r="F63" i="158"/>
  <c r="F64" i="158"/>
  <c r="G63" i="158"/>
  <c r="E49" i="158"/>
  <c r="F49" i="158"/>
  <c r="H57" i="158"/>
  <c r="H50" i="158"/>
  <c r="F57" i="158"/>
  <c r="G57" i="158"/>
  <c r="G49" i="158"/>
  <c r="C49" i="158"/>
  <c r="B46" i="158"/>
  <c r="I2" i="150"/>
  <c r="J2" i="150"/>
  <c r="D2" i="150"/>
  <c r="E2" i="150"/>
  <c r="K2" i="150"/>
  <c r="G2" i="150"/>
  <c r="C2" i="150"/>
  <c r="I3" i="150"/>
  <c r="J3" i="150"/>
  <c r="D3" i="150"/>
  <c r="E3" i="150"/>
  <c r="K3" i="150"/>
  <c r="G3" i="150"/>
  <c r="C3" i="150"/>
  <c r="I4" i="150"/>
  <c r="J4" i="150"/>
  <c r="D4" i="150"/>
  <c r="E4" i="150"/>
  <c r="K4" i="150"/>
  <c r="G4" i="150"/>
  <c r="C4" i="150"/>
  <c r="I5" i="150"/>
  <c r="J5" i="150"/>
  <c r="D5" i="150"/>
  <c r="E5" i="150"/>
  <c r="K5" i="150"/>
  <c r="G5" i="150"/>
  <c r="C5" i="150"/>
  <c r="I6" i="150"/>
  <c r="J6" i="150"/>
  <c r="D6" i="150"/>
  <c r="E6" i="150"/>
  <c r="K6" i="150"/>
  <c r="G6" i="150"/>
  <c r="C6" i="150"/>
  <c r="I7" i="150"/>
  <c r="J7" i="150"/>
  <c r="D7" i="150"/>
  <c r="E7" i="150"/>
  <c r="K7" i="150"/>
  <c r="G7" i="150"/>
  <c r="C7" i="150"/>
  <c r="I8" i="150"/>
  <c r="J8" i="150"/>
  <c r="D8" i="150"/>
  <c r="E8" i="150"/>
  <c r="K8" i="150"/>
  <c r="G8" i="150"/>
  <c r="C8" i="150"/>
  <c r="I9" i="150"/>
  <c r="J9" i="150"/>
  <c r="D9" i="150"/>
  <c r="E9" i="150"/>
  <c r="K9" i="150"/>
  <c r="G9" i="150"/>
  <c r="C9" i="150"/>
  <c r="I10" i="150"/>
  <c r="J10" i="150"/>
  <c r="D10" i="150"/>
  <c r="E10" i="150"/>
  <c r="K10" i="150"/>
  <c r="G10" i="150"/>
  <c r="C10" i="150"/>
  <c r="I11" i="150"/>
  <c r="J11" i="150"/>
  <c r="D11" i="150"/>
  <c r="E11" i="150"/>
  <c r="K11" i="150"/>
  <c r="G11" i="150"/>
  <c r="C11" i="150"/>
  <c r="I12" i="150"/>
  <c r="J12" i="150"/>
  <c r="D12" i="150"/>
  <c r="E12" i="150"/>
  <c r="K12" i="150"/>
  <c r="G12" i="150"/>
  <c r="C12" i="150"/>
  <c r="I13" i="150"/>
  <c r="J13" i="150"/>
  <c r="D13" i="150"/>
  <c r="E13" i="150"/>
  <c r="K13" i="150"/>
  <c r="G13" i="150"/>
  <c r="C13" i="150"/>
  <c r="I14" i="150"/>
  <c r="J14" i="150"/>
  <c r="D14" i="150"/>
  <c r="E14" i="150"/>
  <c r="K14" i="150"/>
  <c r="G14" i="150"/>
  <c r="C14" i="150"/>
  <c r="I15" i="150"/>
  <c r="J15" i="150"/>
  <c r="D15" i="150"/>
  <c r="E15" i="150"/>
  <c r="K15" i="150"/>
  <c r="G15" i="150"/>
  <c r="C15" i="150"/>
  <c r="I16" i="150"/>
  <c r="J16" i="150"/>
  <c r="D16" i="150"/>
  <c r="E16" i="150"/>
  <c r="K16" i="150"/>
  <c r="G16" i="150"/>
  <c r="C16" i="150"/>
  <c r="I17" i="150"/>
  <c r="J17" i="150"/>
  <c r="D17" i="150"/>
  <c r="E17" i="150"/>
  <c r="K17" i="150"/>
  <c r="G17" i="150"/>
  <c r="C17" i="150"/>
  <c r="I18" i="150"/>
  <c r="J18" i="150"/>
  <c r="D18" i="150"/>
  <c r="E18" i="150"/>
  <c r="K18" i="150"/>
  <c r="G18" i="150"/>
  <c r="C18" i="150"/>
  <c r="I19" i="150"/>
  <c r="J19" i="150"/>
  <c r="D19" i="150"/>
  <c r="E19" i="150"/>
  <c r="K19" i="150"/>
  <c r="G19" i="150"/>
  <c r="C19" i="150"/>
  <c r="I20" i="150"/>
  <c r="J20" i="150"/>
  <c r="D20" i="150"/>
  <c r="E20" i="150"/>
  <c r="K20" i="150"/>
  <c r="G20" i="150"/>
  <c r="C20" i="150"/>
  <c r="I21" i="150"/>
  <c r="J21" i="150"/>
  <c r="D21" i="150"/>
  <c r="E21" i="150"/>
  <c r="K21" i="150"/>
  <c r="G21" i="150"/>
  <c r="C21" i="150"/>
  <c r="I22" i="150"/>
  <c r="J22" i="150"/>
  <c r="D22" i="150"/>
  <c r="E22" i="150"/>
  <c r="K22" i="150"/>
  <c r="G22" i="150"/>
  <c r="C22" i="150"/>
  <c r="I23" i="150"/>
  <c r="J23" i="150"/>
  <c r="D23" i="150"/>
  <c r="E23" i="150"/>
  <c r="K23" i="150"/>
  <c r="G23" i="150"/>
  <c r="C23" i="150"/>
  <c r="I24" i="150"/>
  <c r="J24" i="150"/>
  <c r="D24" i="150"/>
  <c r="E24" i="150"/>
  <c r="K24" i="150"/>
  <c r="G24" i="150"/>
  <c r="C24" i="150"/>
  <c r="I25" i="150"/>
  <c r="J25" i="150"/>
  <c r="D25" i="150"/>
  <c r="E25" i="150"/>
  <c r="K25" i="150"/>
  <c r="G25" i="150"/>
  <c r="C25" i="150"/>
  <c r="I26" i="150"/>
  <c r="J26" i="150"/>
  <c r="D26" i="150"/>
  <c r="E26" i="150"/>
  <c r="K26" i="150"/>
  <c r="G26" i="150"/>
  <c r="C26" i="150"/>
  <c r="I27" i="150"/>
  <c r="J27" i="150"/>
  <c r="D27" i="150"/>
  <c r="E27" i="150"/>
  <c r="K27" i="150"/>
  <c r="G27" i="150"/>
  <c r="C27" i="150"/>
  <c r="I28" i="150"/>
  <c r="J28" i="150"/>
  <c r="D28" i="150"/>
  <c r="E28" i="150"/>
  <c r="K28" i="150"/>
  <c r="G28" i="150"/>
  <c r="C28" i="150"/>
  <c r="I29" i="150"/>
  <c r="J29" i="150"/>
  <c r="D29" i="150"/>
  <c r="E29" i="150"/>
  <c r="K29" i="150"/>
  <c r="G29" i="150"/>
  <c r="C29" i="150"/>
  <c r="I30" i="150"/>
  <c r="J30" i="150"/>
  <c r="D30" i="150"/>
  <c r="E30" i="150"/>
  <c r="K30" i="150"/>
  <c r="G30" i="150"/>
  <c r="C30" i="150"/>
  <c r="I31" i="150"/>
  <c r="J31" i="150"/>
  <c r="D31" i="150"/>
  <c r="E31" i="150"/>
  <c r="K31" i="150"/>
  <c r="G31" i="150"/>
  <c r="C31" i="150"/>
  <c r="I32" i="150"/>
  <c r="J32" i="150"/>
  <c r="D32" i="150"/>
  <c r="E32" i="150"/>
  <c r="K32" i="150"/>
  <c r="G32" i="150"/>
  <c r="C32" i="150"/>
  <c r="I33" i="150"/>
  <c r="J33" i="150"/>
  <c r="D33" i="150"/>
  <c r="E33" i="150"/>
  <c r="K33" i="150"/>
  <c r="G33" i="150"/>
  <c r="C33" i="150"/>
  <c r="I34" i="150"/>
  <c r="J34" i="150"/>
  <c r="D34" i="150"/>
  <c r="E34" i="150"/>
  <c r="K34" i="150"/>
  <c r="G34" i="150"/>
  <c r="C34" i="150"/>
  <c r="I35" i="150"/>
  <c r="J35" i="150"/>
  <c r="D35" i="150"/>
  <c r="E35" i="150"/>
  <c r="K35" i="150"/>
  <c r="G35" i="150"/>
  <c r="C35" i="150"/>
  <c r="I36" i="150"/>
  <c r="J36" i="150"/>
  <c r="D36" i="150"/>
  <c r="E36" i="150"/>
  <c r="K36" i="150"/>
  <c r="G36" i="150"/>
  <c r="C36" i="150"/>
  <c r="I37" i="150"/>
  <c r="J37" i="150"/>
  <c r="D37" i="150"/>
  <c r="E37" i="150"/>
  <c r="K37" i="150"/>
  <c r="G37" i="150"/>
  <c r="C37" i="150"/>
  <c r="I38" i="150"/>
  <c r="J38" i="150"/>
  <c r="D38" i="150"/>
  <c r="E38" i="150"/>
  <c r="K38" i="150"/>
  <c r="G38" i="150"/>
  <c r="C38" i="150"/>
  <c r="I39" i="150"/>
  <c r="J39" i="150"/>
  <c r="D39" i="150"/>
  <c r="E39" i="150"/>
  <c r="K39" i="150"/>
  <c r="G39" i="150"/>
  <c r="C39" i="150"/>
  <c r="I40" i="150"/>
  <c r="J40" i="150"/>
  <c r="D40" i="150"/>
  <c r="E40" i="150"/>
  <c r="K40" i="150"/>
  <c r="G40" i="150"/>
  <c r="C40" i="150"/>
  <c r="I41" i="150"/>
  <c r="J41" i="150"/>
  <c r="D41" i="150"/>
  <c r="E41" i="150"/>
  <c r="K41" i="150"/>
  <c r="G41" i="150"/>
  <c r="C41" i="150"/>
  <c r="I42" i="150"/>
  <c r="D42" i="150"/>
  <c r="J42" i="150"/>
  <c r="E42" i="150"/>
  <c r="K42" i="150"/>
  <c r="G42" i="150"/>
  <c r="C42" i="150"/>
  <c r="I43" i="150"/>
  <c r="D43" i="150"/>
  <c r="J43" i="150"/>
  <c r="E43" i="150"/>
  <c r="K43" i="150"/>
  <c r="G43" i="150"/>
  <c r="C43" i="150"/>
  <c r="I44" i="150"/>
  <c r="D44" i="150"/>
  <c r="J44" i="150"/>
  <c r="E44" i="150"/>
  <c r="K44" i="150"/>
  <c r="G44" i="150"/>
  <c r="C44" i="150"/>
  <c r="I45" i="150"/>
  <c r="D45" i="150"/>
  <c r="J45" i="150"/>
  <c r="E45" i="150"/>
  <c r="K45" i="150"/>
  <c r="G45" i="150"/>
  <c r="C45" i="150"/>
  <c r="I46" i="150"/>
  <c r="D46" i="150"/>
  <c r="J46" i="150"/>
  <c r="E46" i="150"/>
  <c r="K46" i="150"/>
  <c r="G46" i="150"/>
  <c r="C46" i="150"/>
  <c r="I47" i="150"/>
  <c r="D47" i="150"/>
  <c r="J47" i="150"/>
  <c r="E47" i="150"/>
  <c r="K47" i="150"/>
  <c r="G47" i="150"/>
  <c r="C47" i="150"/>
  <c r="I48" i="150"/>
  <c r="D48" i="150"/>
  <c r="J48" i="150"/>
  <c r="E48" i="150"/>
  <c r="K48" i="150"/>
  <c r="G48" i="150"/>
  <c r="C48" i="150"/>
  <c r="I49" i="150"/>
  <c r="D49" i="150"/>
  <c r="J49" i="150"/>
  <c r="E49" i="150"/>
  <c r="K49" i="150"/>
  <c r="G49" i="150"/>
  <c r="C49" i="150"/>
  <c r="I50" i="150"/>
  <c r="D50" i="150"/>
  <c r="J50" i="150"/>
  <c r="E50" i="150"/>
  <c r="K50" i="150"/>
  <c r="G50" i="150"/>
  <c r="C50" i="150"/>
  <c r="I51" i="150"/>
  <c r="D51" i="150"/>
  <c r="J51" i="150"/>
  <c r="E51" i="150"/>
  <c r="K51" i="150"/>
  <c r="G51" i="150"/>
  <c r="C51" i="150"/>
  <c r="I52" i="150"/>
  <c r="D52" i="150"/>
  <c r="J52" i="150"/>
  <c r="E52" i="150"/>
  <c r="K52" i="150"/>
  <c r="G52" i="150"/>
  <c r="C52" i="150"/>
  <c r="I53" i="150"/>
  <c r="D53" i="150"/>
  <c r="J53" i="150"/>
  <c r="E53" i="150"/>
  <c r="K53" i="150"/>
  <c r="G53" i="150"/>
  <c r="C53" i="150"/>
  <c r="I54" i="150"/>
  <c r="D54" i="150"/>
  <c r="J54" i="150"/>
  <c r="E54" i="150"/>
  <c r="K54" i="150"/>
  <c r="G54" i="150"/>
  <c r="C54" i="150"/>
  <c r="I55" i="150"/>
  <c r="D55" i="150"/>
  <c r="J55" i="150"/>
  <c r="E55" i="150"/>
  <c r="K55" i="150"/>
  <c r="G55" i="150"/>
  <c r="C55" i="150"/>
  <c r="I56" i="150"/>
  <c r="D56" i="150"/>
  <c r="J56" i="150"/>
  <c r="E56" i="150"/>
  <c r="K56" i="150"/>
  <c r="G56" i="150"/>
  <c r="C56" i="150"/>
  <c r="I57" i="150"/>
  <c r="D57" i="150"/>
  <c r="J57" i="150"/>
  <c r="E57" i="150"/>
  <c r="K57" i="150"/>
  <c r="G57" i="150"/>
  <c r="C57" i="150"/>
  <c r="I58" i="150"/>
  <c r="D58" i="150"/>
  <c r="J58" i="150"/>
  <c r="E58" i="150"/>
  <c r="K58" i="150"/>
  <c r="G58" i="150"/>
  <c r="C58" i="150"/>
  <c r="I59" i="150"/>
  <c r="D59" i="150"/>
  <c r="J59" i="150"/>
  <c r="E59" i="150"/>
  <c r="K59" i="150"/>
  <c r="G59" i="150"/>
  <c r="C59" i="150"/>
  <c r="I60" i="150"/>
  <c r="D60" i="150"/>
  <c r="J60" i="150"/>
  <c r="E60" i="150"/>
  <c r="K60" i="150"/>
  <c r="G60" i="150"/>
  <c r="C60" i="150"/>
  <c r="I61" i="150"/>
  <c r="D61" i="150"/>
  <c r="J61" i="150"/>
  <c r="E61" i="150"/>
  <c r="K61" i="150"/>
  <c r="G61" i="150"/>
  <c r="C61" i="150"/>
  <c r="I62" i="150"/>
  <c r="D62" i="150"/>
  <c r="J62" i="150"/>
  <c r="E62" i="150"/>
  <c r="K62" i="150"/>
  <c r="G62" i="150"/>
  <c r="C62" i="150"/>
  <c r="I63" i="150"/>
  <c r="D63" i="150"/>
  <c r="J63" i="150"/>
  <c r="E63" i="150"/>
  <c r="K63" i="150"/>
  <c r="G63" i="150"/>
  <c r="C63" i="150"/>
  <c r="I64" i="150"/>
  <c r="D64" i="150"/>
  <c r="J64" i="150"/>
  <c r="E64" i="150"/>
  <c r="K64" i="150"/>
  <c r="G64" i="150"/>
  <c r="C64" i="150"/>
  <c r="I65" i="150"/>
  <c r="D65" i="150"/>
  <c r="J65" i="150"/>
  <c r="E65" i="150"/>
  <c r="K65" i="150"/>
  <c r="G65" i="150"/>
  <c r="C65" i="150"/>
  <c r="I66" i="150"/>
  <c r="D66" i="150"/>
  <c r="J66" i="150"/>
  <c r="E66" i="150"/>
  <c r="K66" i="150"/>
  <c r="G66" i="150"/>
  <c r="C66" i="150"/>
  <c r="I67" i="150"/>
  <c r="D67" i="150"/>
  <c r="J67" i="150"/>
  <c r="E67" i="150"/>
  <c r="K67" i="150"/>
  <c r="G67" i="150"/>
  <c r="C67" i="150"/>
  <c r="I68" i="150"/>
  <c r="D68" i="150"/>
  <c r="J68" i="150"/>
  <c r="E68" i="150"/>
  <c r="K68" i="150"/>
  <c r="G68" i="150"/>
  <c r="C68" i="150"/>
  <c r="I69" i="150"/>
  <c r="D69" i="150"/>
  <c r="J69" i="150"/>
  <c r="E69" i="150"/>
  <c r="K69" i="150"/>
  <c r="G69" i="150"/>
  <c r="C69" i="150"/>
  <c r="I70" i="150"/>
  <c r="D70" i="150"/>
  <c r="J70" i="150"/>
  <c r="E70" i="150"/>
  <c r="K70" i="150"/>
  <c r="G70" i="150"/>
  <c r="C70" i="150"/>
  <c r="I71" i="150"/>
  <c r="D71" i="150"/>
  <c r="J71" i="150"/>
  <c r="E71" i="150"/>
  <c r="K71" i="150"/>
  <c r="G71" i="150"/>
  <c r="C71" i="150"/>
  <c r="I72" i="150"/>
  <c r="D72" i="150"/>
  <c r="J72" i="150"/>
  <c r="E72" i="150"/>
  <c r="K72" i="150"/>
  <c r="G72" i="150"/>
  <c r="C72" i="150"/>
  <c r="I73" i="150"/>
  <c r="D73" i="150"/>
  <c r="J73" i="150"/>
  <c r="E73" i="150"/>
  <c r="K73" i="150"/>
  <c r="G73" i="150"/>
  <c r="C73" i="150"/>
  <c r="I74" i="150"/>
  <c r="D74" i="150"/>
  <c r="J74" i="150"/>
  <c r="E74" i="150"/>
  <c r="K74" i="150"/>
  <c r="G74" i="150"/>
  <c r="C74" i="150"/>
  <c r="I75" i="150"/>
  <c r="D75" i="150"/>
  <c r="J75" i="150"/>
  <c r="E75" i="150"/>
  <c r="K75" i="150"/>
  <c r="G75" i="150"/>
  <c r="C75" i="150"/>
  <c r="I76" i="150"/>
  <c r="D76" i="150"/>
  <c r="J76" i="150"/>
  <c r="E76" i="150"/>
  <c r="K76" i="150"/>
  <c r="G76" i="150"/>
  <c r="C76" i="150"/>
  <c r="I77" i="150"/>
  <c r="D77" i="150"/>
  <c r="J77" i="150"/>
  <c r="E77" i="150"/>
  <c r="K77" i="150"/>
  <c r="G77" i="150"/>
  <c r="C77" i="150"/>
  <c r="I78" i="150"/>
  <c r="D78" i="150"/>
  <c r="J78" i="150"/>
  <c r="E78" i="150"/>
  <c r="K78" i="150"/>
  <c r="G78" i="150"/>
  <c r="C78" i="150"/>
  <c r="I79" i="150"/>
  <c r="D79" i="150"/>
  <c r="J79" i="150"/>
  <c r="E79" i="150"/>
  <c r="K79" i="150"/>
  <c r="G79" i="150"/>
  <c r="C79" i="150"/>
  <c r="I80" i="150"/>
  <c r="D80" i="150"/>
  <c r="J80" i="150"/>
  <c r="E80" i="150"/>
  <c r="K80" i="150"/>
  <c r="G80" i="150"/>
  <c r="C80" i="150"/>
  <c r="I81" i="150"/>
  <c r="D81" i="150"/>
  <c r="J81" i="150"/>
  <c r="E81" i="150"/>
  <c r="K81" i="150"/>
  <c r="G81" i="150"/>
  <c r="C81" i="150"/>
  <c r="I82" i="150"/>
  <c r="D82" i="150"/>
  <c r="J82" i="150"/>
  <c r="E82" i="150"/>
  <c r="K82" i="150"/>
  <c r="G82" i="150"/>
  <c r="C82" i="150"/>
  <c r="I83" i="150"/>
  <c r="D83" i="150"/>
  <c r="J83" i="150"/>
  <c r="E83" i="150"/>
  <c r="K83" i="150"/>
  <c r="G83" i="150"/>
  <c r="C83" i="150"/>
  <c r="I84" i="150"/>
  <c r="D84" i="150"/>
  <c r="J84" i="150"/>
  <c r="E84" i="150"/>
  <c r="K84" i="150"/>
  <c r="G84" i="150"/>
  <c r="C84" i="150"/>
  <c r="I85" i="150"/>
  <c r="D85" i="150"/>
  <c r="J85" i="150"/>
  <c r="E85" i="150"/>
  <c r="K85" i="150"/>
  <c r="G85" i="150"/>
  <c r="C85" i="150"/>
  <c r="I86" i="150"/>
  <c r="D86" i="150"/>
  <c r="J86" i="150"/>
  <c r="E86" i="150"/>
  <c r="K86" i="150"/>
  <c r="G86" i="150"/>
  <c r="C86" i="150"/>
  <c r="I87" i="150"/>
  <c r="D87" i="150"/>
  <c r="J87" i="150"/>
  <c r="E87" i="150"/>
  <c r="K87" i="150"/>
  <c r="G87" i="150"/>
  <c r="C87" i="150"/>
  <c r="I88" i="150"/>
  <c r="D88" i="150"/>
  <c r="J88" i="150"/>
  <c r="E88" i="150"/>
  <c r="K88" i="150"/>
  <c r="G88" i="150"/>
  <c r="C88" i="150"/>
  <c r="I89" i="150"/>
  <c r="D89" i="150"/>
  <c r="J89" i="150"/>
  <c r="E89" i="150"/>
  <c r="K89" i="150"/>
  <c r="G89" i="150"/>
  <c r="C89" i="150"/>
  <c r="I90" i="150"/>
  <c r="D90" i="150"/>
  <c r="J90" i="150"/>
  <c r="E90" i="150"/>
  <c r="K90" i="150"/>
  <c r="G90" i="150"/>
  <c r="C90" i="150"/>
  <c r="I91" i="150"/>
  <c r="D91" i="150"/>
  <c r="J91" i="150"/>
  <c r="E91" i="150"/>
  <c r="K91" i="150"/>
  <c r="G91" i="150"/>
  <c r="C91" i="150"/>
  <c r="I92" i="150"/>
  <c r="D92" i="150"/>
  <c r="J92" i="150"/>
  <c r="E92" i="150"/>
  <c r="K92" i="150"/>
  <c r="G92" i="150"/>
  <c r="C92" i="150"/>
  <c r="I93" i="150"/>
  <c r="D93" i="150"/>
  <c r="J93" i="150"/>
  <c r="E93" i="150"/>
  <c r="K93" i="150"/>
  <c r="G93" i="150"/>
  <c r="C93" i="150"/>
  <c r="I94" i="150"/>
  <c r="D94" i="150"/>
  <c r="J94" i="150"/>
  <c r="E94" i="150"/>
  <c r="K94" i="150"/>
  <c r="G94" i="150"/>
  <c r="C94" i="150"/>
  <c r="I95" i="150"/>
  <c r="D95" i="150"/>
  <c r="J95" i="150"/>
  <c r="E95" i="150"/>
  <c r="K95" i="150"/>
  <c r="G95" i="150"/>
  <c r="C95" i="150"/>
  <c r="I96" i="150"/>
  <c r="D96" i="150"/>
  <c r="J96" i="150"/>
  <c r="E96" i="150"/>
  <c r="K96" i="150"/>
  <c r="G96" i="150"/>
  <c r="C96" i="150"/>
  <c r="I97" i="150"/>
  <c r="D97" i="150"/>
  <c r="J97" i="150"/>
  <c r="E97" i="150"/>
  <c r="K97" i="150"/>
  <c r="G97" i="150"/>
  <c r="C97" i="150"/>
  <c r="I98" i="150"/>
  <c r="D98" i="150"/>
  <c r="J98" i="150"/>
  <c r="E98" i="150"/>
  <c r="K98" i="150"/>
  <c r="G98" i="150"/>
  <c r="C98" i="150"/>
  <c r="I99" i="150"/>
  <c r="D99" i="150"/>
  <c r="J99" i="150"/>
  <c r="E99" i="150"/>
  <c r="K99" i="150"/>
  <c r="G99" i="150"/>
  <c r="C99" i="150"/>
  <c r="I100" i="150"/>
  <c r="D100" i="150"/>
  <c r="J100" i="150"/>
  <c r="E100" i="150"/>
  <c r="K100" i="150"/>
  <c r="G100" i="150"/>
  <c r="C100" i="150"/>
  <c r="I101" i="150"/>
  <c r="D101" i="150"/>
  <c r="J101" i="150"/>
  <c r="E101" i="150"/>
  <c r="K101" i="150"/>
  <c r="G101" i="150"/>
  <c r="C101" i="150"/>
  <c r="I102" i="150"/>
  <c r="D102" i="150"/>
  <c r="J102" i="150"/>
  <c r="E102" i="150"/>
  <c r="K102" i="150"/>
  <c r="G102" i="150"/>
  <c r="C102" i="150"/>
  <c r="I103" i="150"/>
  <c r="D103" i="150"/>
  <c r="J103" i="150"/>
  <c r="E103" i="150"/>
  <c r="K103" i="150"/>
  <c r="G103" i="150"/>
  <c r="C103" i="150"/>
  <c r="I104" i="150"/>
  <c r="D104" i="150"/>
  <c r="J104" i="150"/>
  <c r="E104" i="150"/>
  <c r="K104" i="150"/>
  <c r="G104" i="150"/>
  <c r="C104" i="150"/>
  <c r="I105" i="150"/>
  <c r="D105" i="150"/>
  <c r="J105" i="150"/>
  <c r="E105" i="150"/>
  <c r="K105" i="150"/>
  <c r="G105" i="150"/>
  <c r="C105" i="150"/>
  <c r="I106" i="150"/>
  <c r="D106" i="150"/>
  <c r="J106" i="150"/>
  <c r="E106" i="150"/>
  <c r="K106" i="150"/>
  <c r="G106" i="150"/>
  <c r="C106" i="150"/>
  <c r="I107" i="150"/>
  <c r="D107" i="150"/>
  <c r="J107" i="150"/>
  <c r="E107" i="150"/>
  <c r="K107" i="150"/>
  <c r="G107" i="150"/>
  <c r="C107" i="150"/>
  <c r="I108" i="150"/>
  <c r="D108" i="150"/>
  <c r="J108" i="150"/>
  <c r="E108" i="150"/>
  <c r="K108" i="150"/>
  <c r="G108" i="150"/>
  <c r="C108" i="150"/>
  <c r="I109" i="150"/>
  <c r="D109" i="150"/>
  <c r="J109" i="150"/>
  <c r="E109" i="150"/>
  <c r="K109" i="150"/>
  <c r="G109" i="150"/>
  <c r="C109" i="150"/>
  <c r="I110" i="150"/>
  <c r="D110" i="150"/>
  <c r="J110" i="150"/>
  <c r="E110" i="150"/>
  <c r="K110" i="150"/>
  <c r="G110" i="150"/>
  <c r="C110" i="150"/>
  <c r="I111" i="150"/>
  <c r="D111" i="150"/>
  <c r="J111" i="150"/>
  <c r="E111" i="150"/>
  <c r="K111" i="150"/>
  <c r="G111" i="150"/>
  <c r="C111" i="150"/>
  <c r="I112" i="150"/>
  <c r="D112" i="150"/>
  <c r="J112" i="150"/>
  <c r="E112" i="150"/>
  <c r="K112" i="150"/>
  <c r="G112" i="150"/>
  <c r="C112" i="150"/>
  <c r="I113" i="150"/>
  <c r="D113" i="150"/>
  <c r="J113" i="150"/>
  <c r="E113" i="150"/>
  <c r="K113" i="150"/>
  <c r="G113" i="150"/>
  <c r="C113" i="150"/>
  <c r="I114" i="150"/>
  <c r="D114" i="150"/>
  <c r="J114" i="150"/>
  <c r="E114" i="150"/>
  <c r="K114" i="150"/>
  <c r="G114" i="150"/>
  <c r="C114" i="150"/>
  <c r="I115" i="150"/>
  <c r="D115" i="150"/>
  <c r="J115" i="150"/>
  <c r="E115" i="150"/>
  <c r="K115" i="150"/>
  <c r="G115" i="150"/>
  <c r="C115" i="150"/>
  <c r="I116" i="150"/>
  <c r="D116" i="150"/>
  <c r="J116" i="150"/>
  <c r="E116" i="150"/>
  <c r="K116" i="150"/>
  <c r="G116" i="150"/>
  <c r="C116" i="150"/>
  <c r="I117" i="150"/>
  <c r="D117" i="150"/>
  <c r="J117" i="150"/>
  <c r="E117" i="150"/>
  <c r="K117" i="150"/>
  <c r="G117" i="150"/>
  <c r="C117" i="150"/>
  <c r="I118" i="150"/>
  <c r="D118" i="150"/>
  <c r="J118" i="150"/>
  <c r="E118" i="150"/>
  <c r="K118" i="150"/>
  <c r="G118" i="150"/>
  <c r="C118" i="150"/>
  <c r="I119" i="150"/>
  <c r="D119" i="150"/>
  <c r="J119" i="150"/>
  <c r="E119" i="150"/>
  <c r="K119" i="150"/>
  <c r="G119" i="150"/>
  <c r="C119" i="150"/>
  <c r="I120" i="150"/>
  <c r="D120" i="150"/>
  <c r="J120" i="150"/>
  <c r="E120" i="150"/>
  <c r="K120" i="150"/>
  <c r="G120" i="150"/>
  <c r="C120" i="150"/>
  <c r="I121" i="150"/>
  <c r="D121" i="150"/>
  <c r="J121" i="150"/>
  <c r="E121" i="150"/>
  <c r="K121" i="150"/>
  <c r="G121" i="150"/>
  <c r="C121" i="150"/>
  <c r="I122" i="150"/>
  <c r="D122" i="150"/>
  <c r="J122" i="150"/>
  <c r="E122" i="150"/>
  <c r="K122" i="150"/>
  <c r="G122" i="150"/>
  <c r="C122" i="150"/>
  <c r="I123" i="150"/>
  <c r="D123" i="150"/>
  <c r="J123" i="150"/>
  <c r="E123" i="150"/>
  <c r="K123" i="150"/>
  <c r="G123" i="150"/>
  <c r="C123" i="150"/>
  <c r="I124" i="150"/>
  <c r="D124" i="150"/>
  <c r="J124" i="150"/>
  <c r="E124" i="150"/>
  <c r="K124" i="150"/>
  <c r="G124" i="150"/>
  <c r="C124" i="150"/>
  <c r="I125" i="150"/>
  <c r="D125" i="150"/>
  <c r="J125" i="150"/>
  <c r="E125" i="150"/>
  <c r="K125" i="150"/>
  <c r="G125" i="150"/>
  <c r="C125" i="150"/>
  <c r="I126" i="150"/>
  <c r="D126" i="150"/>
  <c r="J126" i="150"/>
  <c r="E126" i="150"/>
  <c r="K126" i="150"/>
  <c r="G126" i="150"/>
  <c r="C126" i="150"/>
  <c r="I127" i="150"/>
  <c r="D127" i="150"/>
  <c r="J127" i="150"/>
  <c r="E127" i="150"/>
  <c r="K127" i="150"/>
  <c r="G127" i="150"/>
  <c r="C127" i="150"/>
  <c r="I128" i="150"/>
  <c r="D128" i="150"/>
  <c r="J128" i="150"/>
  <c r="E128" i="150"/>
  <c r="K128" i="150"/>
  <c r="G128" i="150"/>
  <c r="C128" i="150"/>
  <c r="I129" i="150"/>
  <c r="D129" i="150"/>
  <c r="J129" i="150"/>
  <c r="E129" i="150"/>
  <c r="K129" i="150"/>
  <c r="G129" i="150"/>
  <c r="C129" i="150"/>
  <c r="I130" i="150"/>
  <c r="D130" i="150"/>
  <c r="J130" i="150"/>
  <c r="E130" i="150"/>
  <c r="K130" i="150"/>
  <c r="G130" i="150"/>
  <c r="C130" i="150"/>
  <c r="I131" i="150"/>
  <c r="D131" i="150"/>
  <c r="J131" i="150"/>
  <c r="E131" i="150"/>
  <c r="K131" i="150"/>
  <c r="G131" i="150"/>
  <c r="C131" i="150"/>
  <c r="I132" i="150"/>
  <c r="D132" i="150"/>
  <c r="J132" i="150"/>
  <c r="E132" i="150"/>
  <c r="K132" i="150"/>
  <c r="G132" i="150"/>
  <c r="C132" i="150"/>
  <c r="I133" i="150"/>
  <c r="D133" i="150"/>
  <c r="J133" i="150"/>
  <c r="E133" i="150"/>
  <c r="K133" i="150"/>
  <c r="G133" i="150"/>
  <c r="C133" i="150"/>
  <c r="I134" i="150"/>
  <c r="D134" i="150"/>
  <c r="J134" i="150"/>
  <c r="E134" i="150"/>
  <c r="K134" i="150"/>
  <c r="G134" i="150"/>
  <c r="C134" i="150"/>
  <c r="I135" i="150"/>
  <c r="D135" i="150"/>
  <c r="J135" i="150"/>
  <c r="E135" i="150"/>
  <c r="K135" i="150"/>
  <c r="G135" i="150"/>
  <c r="C135" i="150"/>
  <c r="I136" i="150"/>
  <c r="D136" i="150"/>
  <c r="J136" i="150"/>
  <c r="E136" i="150"/>
  <c r="K136" i="150"/>
  <c r="G136" i="150"/>
  <c r="C136" i="150"/>
  <c r="I137" i="150"/>
  <c r="D137" i="150"/>
  <c r="J137" i="150"/>
  <c r="E137" i="150"/>
  <c r="K137" i="150"/>
  <c r="G137" i="150"/>
  <c r="C137" i="150"/>
  <c r="I138" i="150"/>
  <c r="D138" i="150"/>
  <c r="J138" i="150"/>
  <c r="E138" i="150"/>
  <c r="K138" i="150"/>
  <c r="G138" i="150"/>
  <c r="C138" i="150"/>
  <c r="I139" i="150"/>
  <c r="D139" i="150"/>
  <c r="J139" i="150"/>
  <c r="E139" i="150"/>
  <c r="K139" i="150"/>
  <c r="G139" i="150"/>
  <c r="C139" i="150"/>
  <c r="I140" i="150"/>
  <c r="D140" i="150"/>
  <c r="J140" i="150"/>
  <c r="E140" i="150"/>
  <c r="K140" i="150"/>
  <c r="G140" i="150"/>
  <c r="C140" i="150"/>
  <c r="I141" i="150"/>
  <c r="D141" i="150"/>
  <c r="J141" i="150"/>
  <c r="E141" i="150"/>
  <c r="K141" i="150"/>
  <c r="G141" i="150"/>
  <c r="C141" i="150"/>
  <c r="I142" i="150"/>
  <c r="D142" i="150"/>
  <c r="J142" i="150"/>
  <c r="E142" i="150"/>
  <c r="K142" i="150"/>
  <c r="G142" i="150"/>
  <c r="C142" i="150"/>
  <c r="I143" i="150"/>
  <c r="D143" i="150"/>
  <c r="J143" i="150"/>
  <c r="E143" i="150"/>
  <c r="K143" i="150"/>
  <c r="G143" i="150"/>
  <c r="C143" i="150"/>
  <c r="I144" i="150"/>
  <c r="D144" i="150"/>
  <c r="J144" i="150"/>
  <c r="E144" i="150"/>
  <c r="K144" i="150"/>
  <c r="G144" i="150"/>
  <c r="C144" i="150"/>
  <c r="I145" i="150"/>
  <c r="D145" i="150"/>
  <c r="J145" i="150"/>
  <c r="E145" i="150"/>
  <c r="K145" i="150"/>
  <c r="G145" i="150"/>
  <c r="C145" i="150"/>
  <c r="I146" i="150"/>
  <c r="D146" i="150"/>
  <c r="J146" i="150"/>
  <c r="E146" i="150"/>
  <c r="K146" i="150"/>
  <c r="G146" i="150"/>
  <c r="C146" i="150"/>
  <c r="I147" i="150"/>
  <c r="D147" i="150"/>
  <c r="J147" i="150"/>
  <c r="E147" i="150"/>
  <c r="K147" i="150"/>
  <c r="G147" i="150"/>
  <c r="C147" i="150"/>
  <c r="I148" i="150"/>
  <c r="D148" i="150"/>
  <c r="J148" i="150"/>
  <c r="E148" i="150"/>
  <c r="K148" i="150"/>
  <c r="G148" i="150"/>
  <c r="C148" i="150"/>
  <c r="I149" i="150"/>
  <c r="D149" i="150"/>
  <c r="J149" i="150"/>
  <c r="E149" i="150"/>
  <c r="K149" i="150"/>
  <c r="G149" i="150"/>
  <c r="C149" i="150"/>
  <c r="I150" i="150"/>
  <c r="D150" i="150"/>
  <c r="J150" i="150"/>
  <c r="E150" i="150"/>
  <c r="K150" i="150"/>
  <c r="G150" i="150"/>
  <c r="C150" i="150"/>
  <c r="I151" i="150"/>
  <c r="D151" i="150"/>
  <c r="J151" i="150"/>
  <c r="E151" i="150"/>
  <c r="K151" i="150"/>
  <c r="G151" i="150"/>
  <c r="C151" i="150"/>
  <c r="I152" i="150"/>
  <c r="D152" i="150"/>
  <c r="J152" i="150"/>
  <c r="E152" i="150"/>
  <c r="K152" i="150"/>
  <c r="G152" i="150"/>
  <c r="C152" i="150"/>
  <c r="I153" i="150"/>
  <c r="D153" i="150"/>
  <c r="J153" i="150"/>
  <c r="E153" i="150"/>
  <c r="K153" i="150"/>
  <c r="G153" i="150"/>
  <c r="C153" i="150"/>
  <c r="I154" i="150"/>
  <c r="D154" i="150"/>
  <c r="J154" i="150"/>
  <c r="E154" i="150"/>
  <c r="K154" i="150"/>
  <c r="G154" i="150"/>
  <c r="C154" i="150"/>
  <c r="I155" i="150"/>
  <c r="D155" i="150"/>
  <c r="J155" i="150"/>
  <c r="E155" i="150"/>
  <c r="K155" i="150"/>
  <c r="G155" i="150"/>
  <c r="C155" i="150"/>
  <c r="I156" i="150"/>
  <c r="D156" i="150"/>
  <c r="J156" i="150"/>
  <c r="E156" i="150"/>
  <c r="K156" i="150"/>
  <c r="G156" i="150"/>
  <c r="C156" i="150"/>
  <c r="I157" i="150"/>
  <c r="D157" i="150"/>
  <c r="J157" i="150"/>
  <c r="E157" i="150"/>
  <c r="K157" i="150"/>
  <c r="G157" i="150"/>
  <c r="C157" i="150"/>
  <c r="I158" i="150"/>
  <c r="D158" i="150"/>
  <c r="J158" i="150"/>
  <c r="E158" i="150"/>
  <c r="K158" i="150"/>
  <c r="G158" i="150"/>
  <c r="C158" i="150"/>
  <c r="I159" i="150"/>
  <c r="D159" i="150"/>
  <c r="J159" i="150"/>
  <c r="E159" i="150"/>
  <c r="K159" i="150"/>
  <c r="G159" i="150"/>
  <c r="C159" i="150"/>
  <c r="I160" i="150"/>
  <c r="D160" i="150"/>
  <c r="J160" i="150"/>
  <c r="E160" i="150"/>
  <c r="K160" i="150"/>
  <c r="G160" i="150"/>
  <c r="C160" i="150"/>
  <c r="I161" i="150"/>
  <c r="D161" i="150"/>
  <c r="J161" i="150"/>
  <c r="E161" i="150"/>
  <c r="K161" i="150"/>
  <c r="G161" i="150"/>
  <c r="C161" i="150"/>
  <c r="I162" i="150"/>
  <c r="D162" i="150"/>
  <c r="J162" i="150"/>
  <c r="E162" i="150"/>
  <c r="K162" i="150"/>
  <c r="G162" i="150"/>
  <c r="C162" i="150"/>
  <c r="I163" i="150"/>
  <c r="D163" i="150"/>
  <c r="J163" i="150"/>
  <c r="E163" i="150"/>
  <c r="K163" i="150"/>
  <c r="G163" i="150"/>
  <c r="C163" i="150"/>
  <c r="I164" i="150"/>
  <c r="D164" i="150"/>
  <c r="J164" i="150"/>
  <c r="E164" i="150"/>
  <c r="K164" i="150"/>
  <c r="G164" i="150"/>
  <c r="C164" i="150"/>
  <c r="I165" i="150"/>
  <c r="D165" i="150"/>
  <c r="J165" i="150"/>
  <c r="E165" i="150"/>
  <c r="K165" i="150"/>
  <c r="G165" i="150"/>
  <c r="C165" i="150"/>
  <c r="I166" i="150"/>
  <c r="D166" i="150"/>
  <c r="J166" i="150"/>
  <c r="E166" i="150"/>
  <c r="K166" i="150"/>
  <c r="G166" i="150"/>
  <c r="C166" i="150"/>
  <c r="I167" i="150"/>
  <c r="D167" i="150"/>
  <c r="J167" i="150"/>
  <c r="E167" i="150"/>
  <c r="K167" i="150"/>
  <c r="G167" i="150"/>
  <c r="C167" i="150"/>
  <c r="I168" i="150"/>
  <c r="D168" i="150"/>
  <c r="J168" i="150"/>
  <c r="E168" i="150"/>
  <c r="K168" i="150"/>
  <c r="G168" i="150"/>
  <c r="C168" i="150"/>
  <c r="I169" i="150"/>
  <c r="D169" i="150"/>
  <c r="J169" i="150"/>
  <c r="E169" i="150"/>
  <c r="K169" i="150"/>
  <c r="G169" i="150"/>
  <c r="C169" i="150"/>
  <c r="I170" i="150"/>
  <c r="D170" i="150"/>
  <c r="J170" i="150"/>
  <c r="E170" i="150"/>
  <c r="K170" i="150"/>
  <c r="G170" i="150"/>
  <c r="C170" i="150"/>
  <c r="I171" i="150"/>
  <c r="D171" i="150"/>
  <c r="J171" i="150"/>
  <c r="E171" i="150"/>
  <c r="K171" i="150"/>
  <c r="G171" i="150"/>
  <c r="C171" i="150"/>
  <c r="I172" i="150"/>
  <c r="D172" i="150"/>
  <c r="J172" i="150"/>
  <c r="E172" i="150"/>
  <c r="K172" i="150"/>
  <c r="G172" i="150"/>
  <c r="C172" i="150"/>
  <c r="I173" i="150"/>
  <c r="D173" i="150"/>
  <c r="J173" i="150"/>
  <c r="E173" i="150"/>
  <c r="K173" i="150"/>
  <c r="G173" i="150"/>
  <c r="C173" i="150"/>
  <c r="I174" i="150"/>
  <c r="D174" i="150"/>
  <c r="J174" i="150"/>
  <c r="E174" i="150"/>
  <c r="K174" i="150"/>
  <c r="G174" i="150"/>
  <c r="C174" i="150"/>
  <c r="I175" i="150"/>
  <c r="D175" i="150"/>
  <c r="J175" i="150"/>
  <c r="E175" i="150"/>
  <c r="K175" i="150"/>
  <c r="G175" i="150"/>
  <c r="C175" i="150"/>
  <c r="I176" i="150"/>
  <c r="D176" i="150"/>
  <c r="J176" i="150"/>
  <c r="E176" i="150"/>
  <c r="K176" i="150"/>
  <c r="G176" i="150"/>
  <c r="C176" i="150"/>
  <c r="I177" i="150"/>
  <c r="D177" i="150"/>
  <c r="J177" i="150"/>
  <c r="E177" i="150"/>
  <c r="K177" i="150"/>
  <c r="G177" i="150"/>
  <c r="C177" i="150"/>
  <c r="I178" i="150"/>
  <c r="D178" i="150"/>
  <c r="J178" i="150"/>
  <c r="E178" i="150"/>
  <c r="K178" i="150"/>
  <c r="G178" i="150"/>
  <c r="C178" i="150"/>
  <c r="I179" i="150"/>
  <c r="D179" i="150"/>
  <c r="J179" i="150"/>
  <c r="E179" i="150"/>
  <c r="K179" i="150"/>
  <c r="G179" i="150"/>
  <c r="C179" i="150"/>
  <c r="I180" i="150"/>
  <c r="D180" i="150"/>
  <c r="J180" i="150"/>
  <c r="E180" i="150"/>
  <c r="K180" i="150"/>
  <c r="G180" i="150"/>
  <c r="C180" i="150"/>
  <c r="I181" i="150"/>
  <c r="D181" i="150"/>
  <c r="J181" i="150"/>
  <c r="E181" i="150"/>
  <c r="K181" i="150"/>
  <c r="G181" i="150"/>
  <c r="C181" i="150"/>
  <c r="I182" i="150"/>
  <c r="D182" i="150"/>
  <c r="J182" i="150"/>
  <c r="E182" i="150"/>
  <c r="K182" i="150"/>
  <c r="G182" i="150"/>
  <c r="C182" i="150"/>
  <c r="I183" i="150"/>
  <c r="D183" i="150"/>
  <c r="J183" i="150"/>
  <c r="E183" i="150"/>
  <c r="K183" i="150"/>
  <c r="G183" i="150"/>
  <c r="C183" i="150"/>
  <c r="I184" i="150"/>
  <c r="D184" i="150"/>
  <c r="J184" i="150"/>
  <c r="E184" i="150"/>
  <c r="K184" i="150"/>
  <c r="G184" i="150"/>
  <c r="C184" i="150"/>
  <c r="I185" i="150"/>
  <c r="D185" i="150"/>
  <c r="J185" i="150"/>
  <c r="E185" i="150"/>
  <c r="K185" i="150"/>
  <c r="G185" i="150"/>
  <c r="C185" i="150"/>
  <c r="I186" i="150"/>
  <c r="D186" i="150"/>
  <c r="J186" i="150"/>
  <c r="E186" i="150"/>
  <c r="K186" i="150"/>
  <c r="G186" i="150"/>
  <c r="C186" i="150"/>
  <c r="I187" i="150"/>
  <c r="D187" i="150"/>
  <c r="J187" i="150"/>
  <c r="E187" i="150"/>
  <c r="K187" i="150"/>
  <c r="G187" i="150"/>
  <c r="C187" i="150"/>
  <c r="I188" i="150"/>
  <c r="D188" i="150"/>
  <c r="J188" i="150"/>
  <c r="E188" i="150"/>
  <c r="K188" i="150"/>
  <c r="G188" i="150"/>
  <c r="C188" i="150"/>
  <c r="I189" i="150"/>
  <c r="D189" i="150"/>
  <c r="J189" i="150"/>
  <c r="E189" i="150"/>
  <c r="K189" i="150"/>
  <c r="G189" i="150"/>
  <c r="C189" i="150"/>
  <c r="I190" i="150"/>
  <c r="D190" i="150"/>
  <c r="J190" i="150"/>
  <c r="E190" i="150"/>
  <c r="K190" i="150"/>
  <c r="G190" i="150"/>
  <c r="C190" i="150"/>
  <c r="I191" i="150"/>
  <c r="D191" i="150"/>
  <c r="J191" i="150"/>
  <c r="E191" i="150"/>
  <c r="K191" i="150"/>
  <c r="G191" i="150"/>
  <c r="C191" i="150"/>
  <c r="I192" i="150"/>
  <c r="D192" i="150"/>
  <c r="J192" i="150"/>
  <c r="E192" i="150"/>
  <c r="K192" i="150"/>
  <c r="G192" i="150"/>
  <c r="C192" i="150"/>
  <c r="I193" i="150"/>
  <c r="D193" i="150"/>
  <c r="J193" i="150"/>
  <c r="E193" i="150"/>
  <c r="K193" i="150"/>
  <c r="G193" i="150"/>
  <c r="C193" i="150"/>
  <c r="I194" i="150"/>
  <c r="D194" i="150"/>
  <c r="J194" i="150"/>
  <c r="E194" i="150"/>
  <c r="K194" i="150"/>
  <c r="G194" i="150"/>
  <c r="C194" i="150"/>
  <c r="I195" i="150"/>
  <c r="D195" i="150"/>
  <c r="J195" i="150"/>
  <c r="E195" i="150"/>
  <c r="K195" i="150"/>
  <c r="G195" i="150"/>
  <c r="C195" i="150"/>
  <c r="I196" i="150"/>
  <c r="D196" i="150"/>
  <c r="J196" i="150"/>
  <c r="E196" i="150"/>
  <c r="K196" i="150"/>
  <c r="G196" i="150"/>
  <c r="C196" i="150"/>
  <c r="I197" i="150"/>
  <c r="D197" i="150"/>
  <c r="J197" i="150"/>
  <c r="E197" i="150"/>
  <c r="K197" i="150"/>
  <c r="G197" i="150"/>
  <c r="C197" i="150"/>
  <c r="I198" i="150"/>
  <c r="D198" i="150"/>
  <c r="J198" i="150"/>
  <c r="E198" i="150"/>
  <c r="K198" i="150"/>
  <c r="G198" i="150"/>
  <c r="C198" i="150"/>
  <c r="I199" i="150"/>
  <c r="D199" i="150"/>
  <c r="J199" i="150"/>
  <c r="E199" i="150"/>
  <c r="K199" i="150"/>
  <c r="G199" i="150"/>
  <c r="C199" i="150"/>
  <c r="I200" i="150"/>
  <c r="D200" i="150"/>
  <c r="J200" i="150"/>
  <c r="E200" i="150"/>
  <c r="K200" i="150"/>
  <c r="G200" i="150"/>
  <c r="C200" i="150"/>
  <c r="I201" i="150"/>
  <c r="D201" i="150"/>
  <c r="J201" i="150"/>
  <c r="E201" i="150"/>
  <c r="K201" i="150"/>
  <c r="G201" i="150"/>
  <c r="C201" i="150"/>
  <c r="I202" i="150"/>
  <c r="D202" i="150"/>
  <c r="J202" i="150"/>
  <c r="E202" i="150"/>
  <c r="K202" i="150"/>
  <c r="G202" i="150"/>
  <c r="C202" i="150"/>
  <c r="I203" i="150"/>
  <c r="D203" i="150"/>
  <c r="J203" i="150"/>
  <c r="E203" i="150"/>
  <c r="K203" i="150"/>
  <c r="G203" i="150"/>
  <c r="C203" i="150"/>
  <c r="I204" i="150"/>
  <c r="D204" i="150"/>
  <c r="J204" i="150"/>
  <c r="E204" i="150"/>
  <c r="K204" i="150"/>
  <c r="G204" i="150"/>
  <c r="C204" i="150"/>
  <c r="I205" i="150"/>
  <c r="D205" i="150"/>
  <c r="J205" i="150"/>
  <c r="E205" i="150"/>
  <c r="K205" i="150"/>
  <c r="G205" i="150"/>
  <c r="C205" i="150"/>
  <c r="I206" i="150"/>
  <c r="D206" i="150"/>
  <c r="J206" i="150"/>
  <c r="E206" i="150"/>
  <c r="K206" i="150"/>
  <c r="G206" i="150"/>
  <c r="C206" i="150"/>
  <c r="I207" i="150"/>
  <c r="D207" i="150"/>
  <c r="J207" i="150"/>
  <c r="E207" i="150"/>
  <c r="K207" i="150"/>
  <c r="G207" i="150"/>
  <c r="C207" i="150"/>
  <c r="I208" i="150"/>
  <c r="D208" i="150"/>
  <c r="J208" i="150"/>
  <c r="E208" i="150"/>
  <c r="K208" i="150"/>
  <c r="G208" i="150"/>
  <c r="C208" i="150"/>
  <c r="I209" i="150"/>
  <c r="D209" i="150"/>
  <c r="J209" i="150"/>
  <c r="E209" i="150"/>
  <c r="K209" i="150"/>
  <c r="G209" i="150"/>
  <c r="C209" i="150"/>
  <c r="I210" i="150"/>
  <c r="D210" i="150"/>
  <c r="J210" i="150"/>
  <c r="E210" i="150"/>
  <c r="K210" i="150"/>
  <c r="G210" i="150"/>
  <c r="C210" i="150"/>
  <c r="I211" i="150"/>
  <c r="D211" i="150"/>
  <c r="J211" i="150"/>
  <c r="E211" i="150"/>
  <c r="K211" i="150"/>
  <c r="G211" i="150"/>
  <c r="C211" i="150"/>
  <c r="I212" i="150"/>
  <c r="D212" i="150"/>
  <c r="J212" i="150"/>
  <c r="E212" i="150"/>
  <c r="K212" i="150"/>
  <c r="G212" i="150"/>
  <c r="C212" i="150"/>
  <c r="I213" i="150"/>
  <c r="D213" i="150"/>
  <c r="J213" i="150"/>
  <c r="E213" i="150"/>
  <c r="K213" i="150"/>
  <c r="G213" i="150"/>
  <c r="C213" i="150"/>
  <c r="I214" i="150"/>
  <c r="D214" i="150"/>
  <c r="J214" i="150"/>
  <c r="E214" i="150"/>
  <c r="K214" i="150"/>
  <c r="G214" i="150"/>
  <c r="C214" i="150"/>
  <c r="I215" i="150"/>
  <c r="J215" i="150"/>
  <c r="D215" i="150"/>
  <c r="E215" i="150"/>
  <c r="K215" i="150"/>
  <c r="G215" i="150"/>
  <c r="C215" i="150"/>
  <c r="I216" i="150"/>
  <c r="J216" i="150"/>
  <c r="D216" i="150"/>
  <c r="E216" i="150"/>
  <c r="K216" i="150"/>
  <c r="G216" i="150"/>
  <c r="C216" i="150"/>
  <c r="I217" i="150"/>
  <c r="J217" i="150"/>
  <c r="D217" i="150"/>
  <c r="E217" i="150"/>
  <c r="K217" i="150"/>
  <c r="G217" i="150"/>
  <c r="C217" i="150"/>
  <c r="I218" i="150"/>
  <c r="J218" i="150"/>
  <c r="D218" i="150"/>
  <c r="E218" i="150"/>
  <c r="K218" i="150"/>
  <c r="G218" i="150"/>
  <c r="C218" i="150"/>
  <c r="I219" i="150"/>
  <c r="J219" i="150"/>
  <c r="D219" i="150"/>
  <c r="E219" i="150"/>
  <c r="K219" i="150"/>
  <c r="G219" i="150"/>
  <c r="C219" i="150"/>
  <c r="I220" i="150"/>
  <c r="J220" i="150"/>
  <c r="D220" i="150"/>
  <c r="E220" i="150"/>
  <c r="K220" i="150"/>
  <c r="G220" i="150"/>
  <c r="C220" i="150"/>
  <c r="I221" i="150"/>
  <c r="D221" i="150"/>
  <c r="J221" i="150"/>
  <c r="E221" i="150"/>
  <c r="K221" i="150"/>
  <c r="G221" i="150"/>
  <c r="C221" i="150"/>
  <c r="I222" i="150"/>
  <c r="D222" i="150"/>
  <c r="J222" i="150"/>
  <c r="E222" i="150"/>
  <c r="K222" i="150"/>
  <c r="G222" i="150"/>
  <c r="C222" i="150"/>
  <c r="I223" i="150"/>
  <c r="D223" i="150"/>
  <c r="J223" i="150"/>
  <c r="E223" i="150"/>
  <c r="K223" i="150"/>
  <c r="G223" i="150"/>
  <c r="C223" i="150"/>
  <c r="I224" i="150"/>
  <c r="D224" i="150"/>
  <c r="J224" i="150"/>
  <c r="E224" i="150"/>
  <c r="K224" i="150"/>
  <c r="G224" i="150"/>
  <c r="C224" i="150"/>
  <c r="I225" i="150"/>
  <c r="D225" i="150"/>
  <c r="J225" i="150"/>
  <c r="E225" i="150"/>
  <c r="K225" i="150"/>
  <c r="G225" i="150"/>
  <c r="C225" i="150"/>
  <c r="I226" i="150"/>
  <c r="D226" i="150"/>
  <c r="J226" i="150"/>
  <c r="E226" i="150"/>
  <c r="K226" i="150"/>
  <c r="G226" i="150"/>
  <c r="C226" i="150"/>
  <c r="I227" i="150"/>
  <c r="D227" i="150"/>
  <c r="J227" i="150"/>
  <c r="E227" i="150"/>
  <c r="K227" i="150"/>
  <c r="G227" i="150"/>
  <c r="C227" i="150"/>
  <c r="I228" i="150"/>
  <c r="D228" i="150"/>
  <c r="J228" i="150"/>
  <c r="E228" i="150"/>
  <c r="K228" i="150"/>
  <c r="G228" i="150"/>
  <c r="C228" i="150"/>
  <c r="I229" i="150"/>
  <c r="D229" i="150"/>
  <c r="J229" i="150"/>
  <c r="E229" i="150"/>
  <c r="K229" i="150"/>
  <c r="G229" i="150"/>
  <c r="C229" i="150"/>
  <c r="I230" i="150"/>
  <c r="D230" i="150"/>
  <c r="J230" i="150"/>
  <c r="E230" i="150"/>
  <c r="K230" i="150"/>
  <c r="G230" i="150"/>
  <c r="C230" i="150"/>
  <c r="I231" i="150"/>
  <c r="D231" i="150"/>
  <c r="J231" i="150"/>
  <c r="E231" i="150"/>
  <c r="K231" i="150"/>
  <c r="G231" i="150"/>
  <c r="C231" i="150"/>
  <c r="I232" i="150"/>
  <c r="D232" i="150"/>
  <c r="J232" i="150"/>
  <c r="E232" i="150"/>
  <c r="K232" i="150"/>
  <c r="G232" i="150"/>
  <c r="C232" i="150"/>
  <c r="I233" i="150"/>
  <c r="D233" i="150"/>
  <c r="J233" i="150"/>
  <c r="E233" i="150"/>
  <c r="K233" i="150"/>
  <c r="G233" i="150"/>
  <c r="C233" i="150"/>
  <c r="I234" i="150"/>
  <c r="D234" i="150"/>
  <c r="J234" i="150"/>
  <c r="E234" i="150"/>
  <c r="K234" i="150"/>
  <c r="G234" i="150"/>
  <c r="C234" i="150"/>
  <c r="I235" i="150"/>
  <c r="D235" i="150"/>
  <c r="J235" i="150"/>
  <c r="E235" i="150"/>
  <c r="K235" i="150"/>
  <c r="G235" i="150"/>
  <c r="C235" i="150"/>
  <c r="I236" i="150"/>
  <c r="D236" i="150"/>
  <c r="J236" i="150"/>
  <c r="E236" i="150"/>
  <c r="K236" i="150"/>
  <c r="G236" i="150"/>
  <c r="C236" i="150"/>
  <c r="I237" i="150"/>
  <c r="D237" i="150"/>
  <c r="J237" i="150"/>
  <c r="E237" i="150"/>
  <c r="K237" i="150"/>
  <c r="G237" i="150"/>
  <c r="C237" i="150"/>
  <c r="I238" i="150"/>
  <c r="D238" i="150"/>
  <c r="J238" i="150"/>
  <c r="E238" i="150"/>
  <c r="K238" i="150"/>
  <c r="G238" i="150"/>
  <c r="C238" i="150"/>
  <c r="I239" i="150"/>
  <c r="D239" i="150"/>
  <c r="J239" i="150"/>
  <c r="E239" i="150"/>
  <c r="K239" i="150"/>
  <c r="G239" i="150"/>
  <c r="C239" i="150"/>
  <c r="I240" i="150"/>
  <c r="D240" i="150"/>
  <c r="J240" i="150"/>
  <c r="E240" i="150"/>
  <c r="K240" i="150"/>
  <c r="G240" i="150"/>
  <c r="C240" i="150"/>
  <c r="I241" i="150"/>
  <c r="D241" i="150"/>
  <c r="J241" i="150"/>
  <c r="E241" i="150"/>
  <c r="K241" i="150"/>
  <c r="G241" i="150"/>
  <c r="C241" i="150"/>
  <c r="I242" i="150"/>
  <c r="D242" i="150"/>
  <c r="J242" i="150"/>
  <c r="E242" i="150"/>
  <c r="K242" i="150"/>
  <c r="G242" i="150"/>
  <c r="C242" i="150"/>
  <c r="I243" i="150"/>
  <c r="D243" i="150"/>
  <c r="J243" i="150"/>
  <c r="E243" i="150"/>
  <c r="K243" i="150"/>
  <c r="G243" i="150"/>
  <c r="C243" i="150"/>
  <c r="I244" i="150"/>
  <c r="D244" i="150"/>
  <c r="J244" i="150"/>
  <c r="E244" i="150"/>
  <c r="K244" i="150"/>
  <c r="G244" i="150"/>
  <c r="C244" i="150"/>
  <c r="I245" i="150"/>
  <c r="D245" i="150"/>
  <c r="J245" i="150"/>
  <c r="E245" i="150"/>
  <c r="K245" i="150"/>
  <c r="G245" i="150"/>
  <c r="C245" i="150"/>
  <c r="I246" i="150"/>
  <c r="D246" i="150"/>
  <c r="J246" i="150"/>
  <c r="E246" i="150"/>
  <c r="K246" i="150"/>
  <c r="G246" i="150"/>
  <c r="C246" i="150"/>
  <c r="I247" i="150"/>
  <c r="D247" i="150"/>
  <c r="J247" i="150"/>
  <c r="E247" i="150"/>
  <c r="K247" i="150"/>
  <c r="G247" i="150"/>
  <c r="C247" i="150"/>
  <c r="I248" i="150"/>
  <c r="D248" i="150"/>
  <c r="J248" i="150"/>
  <c r="E248" i="150"/>
  <c r="K248" i="150"/>
  <c r="G248" i="150"/>
  <c r="C248" i="150"/>
  <c r="I249" i="150"/>
  <c r="D249" i="150"/>
  <c r="J249" i="150"/>
  <c r="E249" i="150"/>
  <c r="K249" i="150"/>
  <c r="G249" i="150"/>
  <c r="C249" i="150"/>
  <c r="I250" i="150"/>
  <c r="D250" i="150"/>
  <c r="J250" i="150"/>
  <c r="E250" i="150"/>
  <c r="K250" i="150"/>
  <c r="G250" i="150"/>
  <c r="C250" i="150"/>
  <c r="I251" i="150"/>
  <c r="D251" i="150"/>
  <c r="J251" i="150"/>
  <c r="E251" i="150"/>
  <c r="K251" i="150"/>
  <c r="G251" i="150"/>
  <c r="C251" i="150"/>
  <c r="I252" i="150"/>
  <c r="D252" i="150"/>
  <c r="J252" i="150"/>
  <c r="E252" i="150"/>
  <c r="K252" i="150"/>
  <c r="G252" i="150"/>
  <c r="C252" i="150"/>
  <c r="I253" i="150"/>
  <c r="D253" i="150"/>
  <c r="J253" i="150"/>
  <c r="E253" i="150"/>
  <c r="K253" i="150"/>
  <c r="G253" i="150"/>
  <c r="C253" i="150"/>
  <c r="I254" i="150"/>
  <c r="D254" i="150"/>
  <c r="J254" i="150"/>
  <c r="E254" i="150"/>
  <c r="K254" i="150"/>
  <c r="G254" i="150"/>
  <c r="C254" i="150"/>
  <c r="I255" i="150"/>
  <c r="D255" i="150"/>
  <c r="J255" i="150"/>
  <c r="E255" i="150"/>
  <c r="K255" i="150"/>
  <c r="G255" i="150"/>
  <c r="C255" i="150"/>
  <c r="I256" i="150"/>
  <c r="D256" i="150"/>
  <c r="J256" i="150"/>
  <c r="E256" i="150"/>
  <c r="K256" i="150"/>
  <c r="G256" i="150"/>
  <c r="C256" i="150"/>
  <c r="I257" i="150"/>
  <c r="D257" i="150"/>
  <c r="J257" i="150"/>
  <c r="E257" i="150"/>
  <c r="K257" i="150"/>
  <c r="G257" i="150"/>
  <c r="C257" i="150"/>
  <c r="I258" i="150"/>
  <c r="D258" i="150"/>
  <c r="J258" i="150"/>
  <c r="E258" i="150"/>
  <c r="K258" i="150"/>
  <c r="G258" i="150"/>
  <c r="C258" i="150"/>
  <c r="I259" i="150"/>
  <c r="D259" i="150"/>
  <c r="J259" i="150"/>
  <c r="E259" i="150"/>
  <c r="K259" i="150"/>
  <c r="G259" i="150"/>
  <c r="C259" i="150"/>
  <c r="I260" i="150"/>
  <c r="D260" i="150"/>
  <c r="J260" i="150"/>
  <c r="E260" i="150"/>
  <c r="K260" i="150"/>
  <c r="G260" i="150"/>
  <c r="C260" i="150"/>
  <c r="I261" i="150"/>
  <c r="D261" i="150"/>
  <c r="J261" i="150"/>
  <c r="E261" i="150"/>
  <c r="K261" i="150"/>
  <c r="G261" i="150"/>
  <c r="C261" i="150"/>
  <c r="I262" i="150"/>
  <c r="D262" i="150"/>
  <c r="J262" i="150"/>
  <c r="E262" i="150"/>
  <c r="K262" i="150"/>
  <c r="G262" i="150"/>
  <c r="C262" i="150"/>
  <c r="I263" i="150"/>
  <c r="D263" i="150"/>
  <c r="J263" i="150"/>
  <c r="E263" i="150"/>
  <c r="K263" i="150"/>
  <c r="G263" i="150"/>
  <c r="C263" i="150"/>
  <c r="I264" i="150"/>
  <c r="D264" i="150"/>
  <c r="J264" i="150"/>
  <c r="E264" i="150"/>
  <c r="K264" i="150"/>
  <c r="G264" i="150"/>
  <c r="C264" i="150"/>
  <c r="I265" i="150"/>
  <c r="D265" i="150"/>
  <c r="J265" i="150"/>
  <c r="E265" i="150"/>
  <c r="K265" i="150"/>
  <c r="G265" i="150"/>
  <c r="C265" i="150"/>
  <c r="I266" i="150"/>
  <c r="D266" i="150"/>
  <c r="J266" i="150"/>
  <c r="E266" i="150"/>
  <c r="K266" i="150"/>
  <c r="G266" i="150"/>
  <c r="C266" i="150"/>
  <c r="I267" i="150"/>
  <c r="D267" i="150"/>
  <c r="J267" i="150"/>
  <c r="E267" i="150"/>
  <c r="K267" i="150"/>
  <c r="G267" i="150"/>
  <c r="C267" i="150"/>
  <c r="I268" i="150"/>
  <c r="D268" i="150"/>
  <c r="J268" i="150"/>
  <c r="E268" i="150"/>
  <c r="K268" i="150"/>
  <c r="G268" i="150"/>
  <c r="C268" i="150"/>
  <c r="I269" i="150"/>
  <c r="D269" i="150"/>
  <c r="J269" i="150"/>
  <c r="E269" i="150"/>
  <c r="K269" i="150"/>
  <c r="G269" i="150"/>
  <c r="C269" i="150"/>
  <c r="I270" i="150"/>
  <c r="D270" i="150"/>
  <c r="J270" i="150"/>
  <c r="E270" i="150"/>
  <c r="K270" i="150"/>
  <c r="G270" i="150"/>
  <c r="C270" i="150"/>
  <c r="I271" i="150"/>
  <c r="D271" i="150"/>
  <c r="J271" i="150"/>
  <c r="E271" i="150"/>
  <c r="K271" i="150"/>
  <c r="G271" i="150"/>
  <c r="C271" i="150"/>
  <c r="I272" i="150"/>
  <c r="D272" i="150"/>
  <c r="J272" i="150"/>
  <c r="E272" i="150"/>
  <c r="K272" i="150"/>
  <c r="G272" i="150"/>
  <c r="C272" i="150"/>
  <c r="I273" i="150"/>
  <c r="D273" i="150"/>
  <c r="J273" i="150"/>
  <c r="E273" i="150"/>
  <c r="K273" i="150"/>
  <c r="G273" i="150"/>
  <c r="C273" i="150"/>
  <c r="I274" i="150"/>
  <c r="D274" i="150"/>
  <c r="J274" i="150"/>
  <c r="E274" i="150"/>
  <c r="K274" i="150"/>
  <c r="G274" i="150"/>
  <c r="C274" i="150"/>
  <c r="I275" i="150"/>
  <c r="D275" i="150"/>
  <c r="J275" i="150"/>
  <c r="E275" i="150"/>
  <c r="K275" i="150"/>
  <c r="G275" i="150"/>
  <c r="C275" i="150"/>
  <c r="I276" i="150"/>
  <c r="D276" i="150"/>
  <c r="J276" i="150"/>
  <c r="E276" i="150"/>
  <c r="K276" i="150"/>
  <c r="G276" i="150"/>
  <c r="C276" i="150"/>
  <c r="I277" i="150"/>
  <c r="D277" i="150"/>
  <c r="J277" i="150"/>
  <c r="E277" i="150"/>
  <c r="K277" i="150"/>
  <c r="G277" i="150"/>
  <c r="C277" i="150"/>
  <c r="I278" i="150"/>
  <c r="D278" i="150"/>
  <c r="J278" i="150"/>
  <c r="E278" i="150"/>
  <c r="K278" i="150"/>
  <c r="G278" i="150"/>
  <c r="C278" i="150"/>
  <c r="I279" i="150"/>
  <c r="D279" i="150"/>
  <c r="J279" i="150"/>
  <c r="E279" i="150"/>
  <c r="K279" i="150"/>
  <c r="G279" i="150"/>
  <c r="C279" i="150"/>
  <c r="I280" i="150"/>
  <c r="D280" i="150"/>
  <c r="J280" i="150"/>
  <c r="E280" i="150"/>
  <c r="K280" i="150"/>
  <c r="G280" i="150"/>
  <c r="C280" i="150"/>
  <c r="I281" i="150"/>
  <c r="D281" i="150"/>
  <c r="J281" i="150"/>
  <c r="E281" i="150"/>
  <c r="K281" i="150"/>
  <c r="G281" i="150"/>
  <c r="C281" i="150"/>
  <c r="I282" i="150"/>
  <c r="D282" i="150"/>
  <c r="J282" i="150"/>
  <c r="E282" i="150"/>
  <c r="K282" i="150"/>
  <c r="G282" i="150"/>
  <c r="C282" i="150"/>
  <c r="I283" i="150"/>
  <c r="D283" i="150"/>
  <c r="J283" i="150"/>
  <c r="E283" i="150"/>
  <c r="K283" i="150"/>
  <c r="G283" i="150"/>
  <c r="C283" i="150"/>
  <c r="I284" i="150"/>
  <c r="D284" i="150"/>
  <c r="J284" i="150"/>
  <c r="E284" i="150"/>
  <c r="K284" i="150"/>
  <c r="G284" i="150"/>
  <c r="C284" i="150"/>
  <c r="I285" i="150"/>
  <c r="D285" i="150"/>
  <c r="J285" i="150"/>
  <c r="E285" i="150"/>
  <c r="K285" i="150"/>
  <c r="G285" i="150"/>
  <c r="C285" i="150"/>
  <c r="I286" i="150"/>
  <c r="D286" i="150"/>
  <c r="J286" i="150"/>
  <c r="E286" i="150"/>
  <c r="K286" i="150"/>
  <c r="G286" i="150"/>
  <c r="C286" i="150"/>
  <c r="I287" i="150"/>
  <c r="D287" i="150"/>
  <c r="J287" i="150"/>
  <c r="E287" i="150"/>
  <c r="K287" i="150"/>
  <c r="G287" i="150"/>
  <c r="C287" i="150"/>
  <c r="I288" i="150"/>
  <c r="D288" i="150"/>
  <c r="J288" i="150"/>
  <c r="E288" i="150"/>
  <c r="K288" i="150"/>
  <c r="G288" i="150"/>
  <c r="C288" i="150"/>
  <c r="I289" i="150"/>
  <c r="D289" i="150"/>
  <c r="J289" i="150"/>
  <c r="E289" i="150"/>
  <c r="K289" i="150"/>
  <c r="G289" i="150"/>
  <c r="C289" i="150"/>
  <c r="I290" i="150"/>
  <c r="D290" i="150"/>
  <c r="J290" i="150"/>
  <c r="E290" i="150"/>
  <c r="K290" i="150"/>
  <c r="G290" i="150"/>
  <c r="C290" i="150"/>
  <c r="I291" i="150"/>
  <c r="D291" i="150"/>
  <c r="J291" i="150"/>
  <c r="E291" i="150"/>
  <c r="K291" i="150"/>
  <c r="G291" i="150"/>
  <c r="C291" i="150"/>
  <c r="I292" i="150"/>
  <c r="D292" i="150"/>
  <c r="J292" i="150"/>
  <c r="E292" i="150"/>
  <c r="K292" i="150"/>
  <c r="G292" i="150"/>
  <c r="C292" i="150"/>
  <c r="I293" i="150"/>
  <c r="D293" i="150"/>
  <c r="J293" i="150"/>
  <c r="E293" i="150"/>
  <c r="K293" i="150"/>
  <c r="G293" i="150"/>
  <c r="C293" i="150"/>
  <c r="I294" i="150"/>
  <c r="D294" i="150"/>
  <c r="J294" i="150"/>
  <c r="E294" i="150"/>
  <c r="K294" i="150"/>
  <c r="G294" i="150"/>
  <c r="C294" i="150"/>
  <c r="I295" i="150"/>
  <c r="D295" i="150"/>
  <c r="J295" i="150"/>
  <c r="E295" i="150"/>
  <c r="K295" i="150"/>
  <c r="G295" i="150"/>
  <c r="C295" i="150"/>
  <c r="I296" i="150"/>
  <c r="D296" i="150"/>
  <c r="J296" i="150"/>
  <c r="E296" i="150"/>
  <c r="K296" i="150"/>
  <c r="G296" i="150"/>
  <c r="C296" i="150"/>
  <c r="I297" i="150"/>
  <c r="D297" i="150"/>
  <c r="J297" i="150"/>
  <c r="E297" i="150"/>
  <c r="K297" i="150"/>
  <c r="G297" i="150"/>
  <c r="C297" i="150"/>
  <c r="I298" i="150"/>
  <c r="D298" i="150"/>
  <c r="J298" i="150"/>
  <c r="E298" i="150"/>
  <c r="K298" i="150"/>
  <c r="G298" i="150"/>
  <c r="C298" i="150"/>
  <c r="I299" i="150"/>
  <c r="D299" i="150"/>
  <c r="J299" i="150"/>
  <c r="E299" i="150"/>
  <c r="K299" i="150"/>
  <c r="G299" i="150"/>
  <c r="C299" i="150"/>
  <c r="I300" i="150"/>
  <c r="D300" i="150"/>
  <c r="J300" i="150"/>
  <c r="E300" i="150"/>
  <c r="K300" i="150"/>
  <c r="G300" i="150"/>
  <c r="C300" i="150"/>
  <c r="I301" i="150"/>
  <c r="D301" i="150"/>
  <c r="J301" i="150"/>
  <c r="E301" i="150"/>
  <c r="K301" i="150"/>
  <c r="G301" i="150"/>
  <c r="C301" i="150"/>
  <c r="I302" i="150"/>
  <c r="D302" i="150"/>
  <c r="J302" i="150"/>
  <c r="E302" i="150"/>
  <c r="K302" i="150"/>
  <c r="G302" i="150"/>
  <c r="C302" i="150"/>
  <c r="I303" i="150"/>
  <c r="D303" i="150"/>
  <c r="J303" i="150"/>
  <c r="E303" i="150"/>
  <c r="K303" i="150"/>
  <c r="G303" i="150"/>
  <c r="C303" i="150"/>
  <c r="I304" i="150"/>
  <c r="D304" i="150"/>
  <c r="J304" i="150"/>
  <c r="E304" i="150"/>
  <c r="K304" i="150"/>
  <c r="G304" i="150"/>
  <c r="C304" i="150"/>
  <c r="I305" i="150"/>
  <c r="D305" i="150"/>
  <c r="J305" i="150"/>
  <c r="E305" i="150"/>
  <c r="K305" i="150"/>
  <c r="G305" i="150"/>
  <c r="C305" i="150"/>
  <c r="I306" i="150"/>
  <c r="D306" i="150"/>
  <c r="J306" i="150"/>
  <c r="E306" i="150"/>
  <c r="K306" i="150"/>
  <c r="G306" i="150"/>
  <c r="C306" i="150"/>
  <c r="I307" i="150"/>
  <c r="D307" i="150"/>
  <c r="J307" i="150"/>
  <c r="E307" i="150"/>
  <c r="K307" i="150"/>
  <c r="G307" i="150"/>
  <c r="C307" i="150"/>
  <c r="I308" i="150"/>
  <c r="D308" i="150"/>
  <c r="J308" i="150"/>
  <c r="E308" i="150"/>
  <c r="K308" i="150"/>
  <c r="G308" i="150"/>
  <c r="C308" i="150"/>
  <c r="I309" i="150"/>
  <c r="D309" i="150"/>
  <c r="J309" i="150"/>
  <c r="E309" i="150"/>
  <c r="K309" i="150"/>
  <c r="G309" i="150"/>
  <c r="C309" i="150"/>
  <c r="I310" i="150"/>
  <c r="D310" i="150"/>
  <c r="J310" i="150"/>
  <c r="E310" i="150"/>
  <c r="K310" i="150"/>
  <c r="G310" i="150"/>
  <c r="C310" i="150"/>
  <c r="I311" i="150"/>
  <c r="D311" i="150"/>
  <c r="J311" i="150"/>
  <c r="E311" i="150"/>
  <c r="K311" i="150"/>
  <c r="G311" i="150"/>
  <c r="C311" i="150"/>
  <c r="I312" i="150"/>
  <c r="D312" i="150"/>
  <c r="J312" i="150"/>
  <c r="E312" i="150"/>
  <c r="K312" i="150"/>
  <c r="G312" i="150"/>
  <c r="C312" i="150"/>
  <c r="I313" i="150"/>
  <c r="D313" i="150"/>
  <c r="J313" i="150"/>
  <c r="E313" i="150"/>
  <c r="K313" i="150"/>
  <c r="G313" i="150"/>
  <c r="C313" i="150"/>
  <c r="I314" i="150"/>
  <c r="D314" i="150"/>
  <c r="J314" i="150"/>
  <c r="E314" i="150"/>
  <c r="K314" i="150"/>
  <c r="G314" i="150"/>
  <c r="C314" i="150"/>
  <c r="I315" i="150"/>
  <c r="D315" i="150"/>
  <c r="J315" i="150"/>
  <c r="E315" i="150"/>
  <c r="K315" i="150"/>
  <c r="G315" i="150"/>
  <c r="C315" i="150"/>
  <c r="I316" i="150"/>
  <c r="D316" i="150"/>
  <c r="J316" i="150"/>
  <c r="E316" i="150"/>
  <c r="K316" i="150"/>
  <c r="G316" i="150"/>
  <c r="C316" i="150"/>
  <c r="I317" i="150"/>
  <c r="D317" i="150"/>
  <c r="J317" i="150"/>
  <c r="E317" i="150"/>
  <c r="K317" i="150"/>
  <c r="G317" i="150"/>
  <c r="C317" i="150"/>
  <c r="I318" i="150"/>
  <c r="D318" i="150"/>
  <c r="J318" i="150"/>
  <c r="E318" i="150"/>
  <c r="K318" i="150"/>
  <c r="G318" i="150"/>
  <c r="C318" i="150"/>
  <c r="I319" i="150"/>
  <c r="D319" i="150"/>
  <c r="J319" i="150"/>
  <c r="E319" i="150"/>
  <c r="K319" i="150"/>
  <c r="G319" i="150"/>
  <c r="C319" i="150"/>
  <c r="I320" i="150"/>
  <c r="D320" i="150"/>
  <c r="J320" i="150"/>
  <c r="E320" i="150"/>
  <c r="K320" i="150"/>
  <c r="G320" i="150"/>
  <c r="C320" i="150"/>
  <c r="I321" i="150"/>
  <c r="D321" i="150"/>
  <c r="J321" i="150"/>
  <c r="E321" i="150"/>
  <c r="K321" i="150"/>
  <c r="G321" i="150"/>
  <c r="C321" i="150"/>
  <c r="I322" i="150"/>
  <c r="D322" i="150"/>
  <c r="J322" i="150"/>
  <c r="E322" i="150"/>
  <c r="K322" i="150"/>
  <c r="G322" i="150"/>
  <c r="C322" i="150"/>
  <c r="I323" i="150"/>
  <c r="D323" i="150"/>
  <c r="J323" i="150"/>
  <c r="E323" i="150"/>
  <c r="K323" i="150"/>
  <c r="G323" i="150"/>
  <c r="C323" i="150"/>
  <c r="I324" i="150"/>
  <c r="D324" i="150"/>
  <c r="J324" i="150"/>
  <c r="E324" i="150"/>
  <c r="K324" i="150"/>
  <c r="G324" i="150"/>
  <c r="C324" i="150"/>
  <c r="I325" i="150"/>
  <c r="D325" i="150"/>
  <c r="J325" i="150"/>
  <c r="E325" i="150"/>
  <c r="K325" i="150"/>
  <c r="G325" i="150"/>
  <c r="C325" i="150"/>
  <c r="I326" i="150"/>
  <c r="D326" i="150"/>
  <c r="J326" i="150"/>
  <c r="E326" i="150"/>
  <c r="K326" i="150"/>
  <c r="G326" i="150"/>
  <c r="C326" i="150"/>
  <c r="I327" i="150"/>
  <c r="D327" i="150"/>
  <c r="J327" i="150"/>
  <c r="E327" i="150"/>
  <c r="K327" i="150"/>
  <c r="G327" i="150"/>
  <c r="C327" i="150"/>
  <c r="I328" i="150"/>
  <c r="D328" i="150"/>
  <c r="J328" i="150"/>
  <c r="E328" i="150"/>
  <c r="K328" i="150"/>
  <c r="G328" i="150"/>
  <c r="C328" i="150"/>
  <c r="I329" i="150"/>
  <c r="D329" i="150"/>
  <c r="J329" i="150"/>
  <c r="E329" i="150"/>
  <c r="K329" i="150"/>
  <c r="G329" i="150"/>
  <c r="C329" i="150"/>
  <c r="I330" i="150"/>
  <c r="D330" i="150"/>
  <c r="J330" i="150"/>
  <c r="E330" i="150"/>
  <c r="K330" i="150"/>
  <c r="G330" i="150"/>
  <c r="C330" i="150"/>
  <c r="I331" i="150"/>
  <c r="D331" i="150"/>
  <c r="J331" i="150"/>
  <c r="E331" i="150"/>
  <c r="K331" i="150"/>
  <c r="G331" i="150"/>
  <c r="C331" i="150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23" i="149"/>
  <c r="F7" i="149"/>
  <c r="E7" i="149"/>
  <c r="B23" i="149"/>
  <c r="E21" i="149"/>
  <c r="B21" i="149"/>
  <c r="E26" i="149"/>
  <c r="B26" i="149"/>
  <c r="F5" i="149"/>
  <c r="E5" i="149"/>
  <c r="E28" i="149"/>
  <c r="B28" i="149"/>
  <c r="E29" i="149"/>
  <c r="B29" i="149"/>
  <c r="F8" i="149"/>
  <c r="E8" i="149"/>
  <c r="E36" i="149"/>
  <c r="B36" i="149"/>
  <c r="E38" i="149"/>
  <c r="B38" i="149"/>
  <c r="E41" i="149"/>
  <c r="B41" i="149"/>
  <c r="F6" i="149"/>
  <c r="E6" i="149"/>
  <c r="E43" i="149"/>
  <c r="B43" i="149"/>
  <c r="E44" i="149"/>
  <c r="B44" i="149"/>
  <c r="H57" i="149"/>
  <c r="H50" i="149"/>
  <c r="A2" i="149"/>
  <c r="E27" i="149"/>
  <c r="B27" i="149"/>
  <c r="A51" i="149"/>
  <c r="G27" i="149"/>
  <c r="H27" i="149"/>
  <c r="O138" i="150"/>
  <c r="E19" i="149"/>
  <c r="B19" i="149"/>
  <c r="E24" i="149"/>
  <c r="B24" i="149"/>
  <c r="B17" i="149"/>
  <c r="G17" i="149"/>
  <c r="E17" i="149"/>
  <c r="H17" i="149"/>
  <c r="O2" i="150"/>
  <c r="E18" i="149"/>
  <c r="B18" i="149"/>
  <c r="G18" i="149"/>
  <c r="H18" i="149"/>
  <c r="O3" i="150"/>
  <c r="O4" i="150"/>
  <c r="O5" i="150"/>
  <c r="E34" i="149"/>
  <c r="B34" i="149"/>
  <c r="E39" i="149"/>
  <c r="B39" i="149"/>
  <c r="B32" i="149"/>
  <c r="G32" i="149"/>
  <c r="E32" i="149"/>
  <c r="H32" i="149"/>
  <c r="O6" i="150"/>
  <c r="E33" i="149"/>
  <c r="B33" i="149"/>
  <c r="G33" i="149"/>
  <c r="H33" i="149"/>
  <c r="O7" i="150"/>
  <c r="O8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24" i="149"/>
  <c r="H24" i="149"/>
  <c r="O42" i="150"/>
  <c r="E25" i="149"/>
  <c r="B25" i="149"/>
  <c r="G25" i="149"/>
  <c r="H25" i="149"/>
  <c r="O43" i="150"/>
  <c r="G26" i="149"/>
  <c r="H26" i="149"/>
  <c r="O44" i="150"/>
  <c r="O45" i="150"/>
  <c r="O46" i="150"/>
  <c r="O47" i="150"/>
  <c r="G39" i="149"/>
  <c r="H39" i="149"/>
  <c r="O48" i="150"/>
  <c r="E40" i="149"/>
  <c r="B40" i="149"/>
  <c r="G40" i="149"/>
  <c r="H40" i="149"/>
  <c r="O49" i="150"/>
  <c r="G41" i="149"/>
  <c r="H41" i="149"/>
  <c r="O50" i="150"/>
  <c r="G19" i="149"/>
  <c r="H19" i="149"/>
  <c r="O51" i="150"/>
  <c r="E20" i="149"/>
  <c r="B20" i="149"/>
  <c r="G20" i="149"/>
  <c r="H20" i="149"/>
  <c r="O52" i="150"/>
  <c r="G21" i="149"/>
  <c r="H21" i="149"/>
  <c r="O53" i="150"/>
  <c r="O54" i="150"/>
  <c r="O55" i="150"/>
  <c r="O56" i="150"/>
  <c r="O57" i="150"/>
  <c r="O58" i="150"/>
  <c r="O59" i="150"/>
  <c r="G34" i="149"/>
  <c r="H34" i="149"/>
  <c r="O60" i="150"/>
  <c r="E35" i="149"/>
  <c r="B35" i="149"/>
  <c r="G35" i="149"/>
  <c r="H35" i="149"/>
  <c r="O61" i="150"/>
  <c r="G36" i="149"/>
  <c r="H36" i="149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G28" i="149"/>
  <c r="H28" i="149"/>
  <c r="O139" i="150"/>
  <c r="O140" i="150"/>
  <c r="O141" i="150"/>
  <c r="E42" i="149"/>
  <c r="B42" i="149"/>
  <c r="G42" i="149"/>
  <c r="H42" i="149"/>
  <c r="O142" i="150"/>
  <c r="G43" i="149"/>
  <c r="H43" i="149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G23" i="149"/>
  <c r="H23" i="149"/>
  <c r="O215" i="150"/>
  <c r="O216" i="150"/>
  <c r="G38" i="149"/>
  <c r="H38" i="149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O256" i="150"/>
  <c r="O257" i="150"/>
  <c r="O258" i="150"/>
  <c r="O259" i="150"/>
  <c r="O260" i="150"/>
  <c r="O261" i="150"/>
  <c r="E22" i="149"/>
  <c r="B22" i="149"/>
  <c r="G22" i="149"/>
  <c r="H22" i="149"/>
  <c r="O262" i="150"/>
  <c r="O263" i="150"/>
  <c r="O264" i="150"/>
  <c r="O265" i="150"/>
  <c r="G44" i="149"/>
  <c r="H44" i="149"/>
  <c r="O266" i="150"/>
  <c r="G29" i="149"/>
  <c r="H29" i="149"/>
  <c r="O267" i="150"/>
  <c r="O268" i="150"/>
  <c r="O269" i="150"/>
  <c r="E37" i="149"/>
  <c r="B37" i="149"/>
  <c r="G37" i="149"/>
  <c r="H37" i="149"/>
  <c r="O270" i="150"/>
  <c r="O271" i="150"/>
  <c r="O272" i="150"/>
  <c r="O273" i="150"/>
  <c r="O274" i="150"/>
  <c r="O275" i="150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O293" i="150"/>
  <c r="O294" i="150"/>
  <c r="O295" i="150"/>
  <c r="O296" i="150"/>
  <c r="O297" i="150"/>
  <c r="O298" i="150"/>
  <c r="O299" i="150"/>
  <c r="O300" i="150"/>
  <c r="O301" i="150"/>
  <c r="O302" i="150"/>
  <c r="O303" i="150"/>
  <c r="O304" i="150"/>
  <c r="O305" i="150"/>
  <c r="O306" i="150"/>
  <c r="O307" i="150"/>
  <c r="O308" i="150"/>
  <c r="O309" i="150"/>
  <c r="O310" i="150"/>
  <c r="O311" i="150"/>
  <c r="O312" i="150"/>
  <c r="O313" i="150"/>
  <c r="O314" i="150"/>
  <c r="O315" i="150"/>
  <c r="O316" i="150"/>
  <c r="O317" i="150"/>
  <c r="O318" i="150"/>
  <c r="O319" i="150"/>
  <c r="O320" i="150"/>
  <c r="O321" i="150"/>
  <c r="O322" i="150"/>
  <c r="O323" i="150"/>
  <c r="O324" i="150"/>
  <c r="O325" i="150"/>
  <c r="O326" i="150"/>
  <c r="O327" i="150"/>
  <c r="O328" i="150"/>
  <c r="O329" i="150"/>
  <c r="O330" i="150"/>
  <c r="G46" i="149"/>
  <c r="E46" i="149"/>
  <c r="H46" i="149"/>
  <c r="O331" i="150"/>
  <c r="P138" i="150"/>
  <c r="P139" i="150"/>
  <c r="P140" i="150"/>
  <c r="P141" i="150"/>
  <c r="P2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P306" i="150"/>
  <c r="P307" i="150"/>
  <c r="P308" i="150"/>
  <c r="P309" i="150"/>
  <c r="P310" i="150"/>
  <c r="P311" i="150"/>
  <c r="P312" i="150"/>
  <c r="P313" i="150"/>
  <c r="P314" i="150"/>
  <c r="P315" i="150"/>
  <c r="P316" i="150"/>
  <c r="P317" i="150"/>
  <c r="P318" i="150"/>
  <c r="P319" i="150"/>
  <c r="P320" i="150"/>
  <c r="P321" i="150"/>
  <c r="P322" i="150"/>
  <c r="P323" i="150"/>
  <c r="P324" i="150"/>
  <c r="P325" i="150"/>
  <c r="P326" i="150"/>
  <c r="P327" i="150"/>
  <c r="P328" i="150"/>
  <c r="P329" i="150"/>
  <c r="P330" i="150"/>
  <c r="P331" i="150"/>
  <c r="F63" i="149"/>
  <c r="F64" i="149"/>
  <c r="G63" i="149"/>
  <c r="E49" i="149"/>
  <c r="F49" i="149"/>
  <c r="F57" i="149"/>
  <c r="G57" i="149"/>
  <c r="G49" i="149"/>
  <c r="C49" i="149"/>
  <c r="B46" i="149"/>
  <c r="A2" i="147"/>
  <c r="I2" i="148"/>
  <c r="J2" i="148"/>
  <c r="D2" i="148"/>
  <c r="E2" i="148"/>
  <c r="K2" i="148"/>
  <c r="G2" i="148"/>
  <c r="C2" i="148"/>
  <c r="I3" i="148"/>
  <c r="J3" i="148"/>
  <c r="D3" i="148"/>
  <c r="E3" i="148"/>
  <c r="K3" i="148"/>
  <c r="G3" i="148"/>
  <c r="C3" i="148"/>
  <c r="I4" i="148"/>
  <c r="J4" i="148"/>
  <c r="D4" i="148"/>
  <c r="E4" i="148"/>
  <c r="K4" i="148"/>
  <c r="G4" i="148"/>
  <c r="C4" i="148"/>
  <c r="I5" i="148"/>
  <c r="J5" i="148"/>
  <c r="D5" i="148"/>
  <c r="E5" i="148"/>
  <c r="K5" i="148"/>
  <c r="G5" i="148"/>
  <c r="C5" i="148"/>
  <c r="I6" i="148"/>
  <c r="J6" i="148"/>
  <c r="D6" i="148"/>
  <c r="E6" i="148"/>
  <c r="K6" i="148"/>
  <c r="G6" i="148"/>
  <c r="C6" i="148"/>
  <c r="I7" i="148"/>
  <c r="J7" i="148"/>
  <c r="D7" i="148"/>
  <c r="E7" i="148"/>
  <c r="K7" i="148"/>
  <c r="G7" i="148"/>
  <c r="C7" i="148"/>
  <c r="I8" i="148"/>
  <c r="J8" i="148"/>
  <c r="D8" i="148"/>
  <c r="E8" i="148"/>
  <c r="K8" i="148"/>
  <c r="G8" i="148"/>
  <c r="C8" i="148"/>
  <c r="I9" i="148"/>
  <c r="J9" i="148"/>
  <c r="D9" i="148"/>
  <c r="E9" i="148"/>
  <c r="K9" i="148"/>
  <c r="G9" i="148"/>
  <c r="C9" i="148"/>
  <c r="I10" i="148"/>
  <c r="J10" i="148"/>
  <c r="D10" i="148"/>
  <c r="E10" i="148"/>
  <c r="K10" i="148"/>
  <c r="G10" i="148"/>
  <c r="C10" i="148"/>
  <c r="I11" i="148"/>
  <c r="J11" i="148"/>
  <c r="D11" i="148"/>
  <c r="E11" i="148"/>
  <c r="K11" i="148"/>
  <c r="G11" i="148"/>
  <c r="C11" i="148"/>
  <c r="I12" i="148"/>
  <c r="J12" i="148"/>
  <c r="D12" i="148"/>
  <c r="E12" i="148"/>
  <c r="K12" i="148"/>
  <c r="G12" i="148"/>
  <c r="C12" i="148"/>
  <c r="I13" i="148"/>
  <c r="J13" i="148"/>
  <c r="D13" i="148"/>
  <c r="E13" i="148"/>
  <c r="K13" i="148"/>
  <c r="G13" i="148"/>
  <c r="C13" i="148"/>
  <c r="I14" i="148"/>
  <c r="J14" i="148"/>
  <c r="D14" i="148"/>
  <c r="E14" i="148"/>
  <c r="K14" i="148"/>
  <c r="G14" i="148"/>
  <c r="C14" i="148"/>
  <c r="I15" i="148"/>
  <c r="J15" i="148"/>
  <c r="D15" i="148"/>
  <c r="E15" i="148"/>
  <c r="K15" i="148"/>
  <c r="G15" i="148"/>
  <c r="C15" i="148"/>
  <c r="I16" i="148"/>
  <c r="J16" i="148"/>
  <c r="D16" i="148"/>
  <c r="E16" i="148"/>
  <c r="K16" i="148"/>
  <c r="G16" i="148"/>
  <c r="C16" i="148"/>
  <c r="I17" i="148"/>
  <c r="J17" i="148"/>
  <c r="D17" i="148"/>
  <c r="E17" i="148"/>
  <c r="K17" i="148"/>
  <c r="G17" i="148"/>
  <c r="C17" i="148"/>
  <c r="I18" i="148"/>
  <c r="J18" i="148"/>
  <c r="D18" i="148"/>
  <c r="E18" i="148"/>
  <c r="K18" i="148"/>
  <c r="G18" i="148"/>
  <c r="C18" i="148"/>
  <c r="I19" i="148"/>
  <c r="J19" i="148"/>
  <c r="D19" i="148"/>
  <c r="E19" i="148"/>
  <c r="K19" i="148"/>
  <c r="G19" i="148"/>
  <c r="C19" i="148"/>
  <c r="I20" i="148"/>
  <c r="J20" i="148"/>
  <c r="D20" i="148"/>
  <c r="E20" i="148"/>
  <c r="K20" i="148"/>
  <c r="G20" i="148"/>
  <c r="C20" i="148"/>
  <c r="I21" i="148"/>
  <c r="J21" i="148"/>
  <c r="D21" i="148"/>
  <c r="E21" i="148"/>
  <c r="K21" i="148"/>
  <c r="G21" i="148"/>
  <c r="C21" i="148"/>
  <c r="I22" i="148"/>
  <c r="J22" i="148"/>
  <c r="D22" i="148"/>
  <c r="E22" i="148"/>
  <c r="K22" i="148"/>
  <c r="G22" i="148"/>
  <c r="C22" i="148"/>
  <c r="I23" i="148"/>
  <c r="J23" i="148"/>
  <c r="D23" i="148"/>
  <c r="E23" i="148"/>
  <c r="K23" i="148"/>
  <c r="G23" i="148"/>
  <c r="C23" i="148"/>
  <c r="I24" i="148"/>
  <c r="J24" i="148"/>
  <c r="D24" i="148"/>
  <c r="E24" i="148"/>
  <c r="K24" i="148"/>
  <c r="G24" i="148"/>
  <c r="C24" i="148"/>
  <c r="I25" i="148"/>
  <c r="J25" i="148"/>
  <c r="D25" i="148"/>
  <c r="E25" i="148"/>
  <c r="K25" i="148"/>
  <c r="G25" i="148"/>
  <c r="C25" i="148"/>
  <c r="I26" i="148"/>
  <c r="J26" i="148"/>
  <c r="D26" i="148"/>
  <c r="E26" i="148"/>
  <c r="K26" i="148"/>
  <c r="G26" i="148"/>
  <c r="C26" i="148"/>
  <c r="I27" i="148"/>
  <c r="J27" i="148"/>
  <c r="D27" i="148"/>
  <c r="E27" i="148"/>
  <c r="K27" i="148"/>
  <c r="G27" i="148"/>
  <c r="C27" i="148"/>
  <c r="I28" i="148"/>
  <c r="J28" i="148"/>
  <c r="D28" i="148"/>
  <c r="E28" i="148"/>
  <c r="K28" i="148"/>
  <c r="G28" i="148"/>
  <c r="C28" i="148"/>
  <c r="I29" i="148"/>
  <c r="J29" i="148"/>
  <c r="D29" i="148"/>
  <c r="E29" i="148"/>
  <c r="K29" i="148"/>
  <c r="G29" i="148"/>
  <c r="C29" i="148"/>
  <c r="I30" i="148"/>
  <c r="J30" i="148"/>
  <c r="D30" i="148"/>
  <c r="E30" i="148"/>
  <c r="K30" i="148"/>
  <c r="G30" i="148"/>
  <c r="C30" i="148"/>
  <c r="I31" i="148"/>
  <c r="J31" i="148"/>
  <c r="D31" i="148"/>
  <c r="E31" i="148"/>
  <c r="K31" i="148"/>
  <c r="G31" i="148"/>
  <c r="C31" i="148"/>
  <c r="I32" i="148"/>
  <c r="J32" i="148"/>
  <c r="D32" i="148"/>
  <c r="E32" i="148"/>
  <c r="K32" i="148"/>
  <c r="G32" i="148"/>
  <c r="C32" i="148"/>
  <c r="I33" i="148"/>
  <c r="J33" i="148"/>
  <c r="D33" i="148"/>
  <c r="E33" i="148"/>
  <c r="K33" i="148"/>
  <c r="G33" i="148"/>
  <c r="C33" i="148"/>
  <c r="I34" i="148"/>
  <c r="J34" i="148"/>
  <c r="D34" i="148"/>
  <c r="E34" i="148"/>
  <c r="K34" i="148"/>
  <c r="G34" i="148"/>
  <c r="C34" i="148"/>
  <c r="I35" i="148"/>
  <c r="J35" i="148"/>
  <c r="D35" i="148"/>
  <c r="E35" i="148"/>
  <c r="K35" i="148"/>
  <c r="G35" i="148"/>
  <c r="C35" i="148"/>
  <c r="I36" i="148"/>
  <c r="J36" i="148"/>
  <c r="D36" i="148"/>
  <c r="E36" i="148"/>
  <c r="K36" i="148"/>
  <c r="G36" i="148"/>
  <c r="C36" i="148"/>
  <c r="I37" i="148"/>
  <c r="J37" i="148"/>
  <c r="D37" i="148"/>
  <c r="E37" i="148"/>
  <c r="K37" i="148"/>
  <c r="G37" i="148"/>
  <c r="C37" i="148"/>
  <c r="I38" i="148"/>
  <c r="J38" i="148"/>
  <c r="D38" i="148"/>
  <c r="E38" i="148"/>
  <c r="K38" i="148"/>
  <c r="G38" i="148"/>
  <c r="C38" i="148"/>
  <c r="I39" i="148"/>
  <c r="J39" i="148"/>
  <c r="D39" i="148"/>
  <c r="E39" i="148"/>
  <c r="K39" i="148"/>
  <c r="G39" i="148"/>
  <c r="C39" i="148"/>
  <c r="I40" i="148"/>
  <c r="J40" i="148"/>
  <c r="D40" i="148"/>
  <c r="E40" i="148"/>
  <c r="K40" i="148"/>
  <c r="G40" i="148"/>
  <c r="C40" i="148"/>
  <c r="I41" i="148"/>
  <c r="J41" i="148"/>
  <c r="D41" i="148"/>
  <c r="E41" i="148"/>
  <c r="K41" i="148"/>
  <c r="G41" i="148"/>
  <c r="C41" i="148"/>
  <c r="I42" i="148"/>
  <c r="D42" i="148"/>
  <c r="J42" i="148"/>
  <c r="E42" i="148"/>
  <c r="K42" i="148"/>
  <c r="G42" i="148"/>
  <c r="C42" i="148"/>
  <c r="I43" i="148"/>
  <c r="D43" i="148"/>
  <c r="J43" i="148"/>
  <c r="E43" i="148"/>
  <c r="K43" i="148"/>
  <c r="G43" i="148"/>
  <c r="C43" i="148"/>
  <c r="I44" i="148"/>
  <c r="D44" i="148"/>
  <c r="J44" i="148"/>
  <c r="E44" i="148"/>
  <c r="K44" i="148"/>
  <c r="G44" i="148"/>
  <c r="C44" i="148"/>
  <c r="I45" i="148"/>
  <c r="D45" i="148"/>
  <c r="J45" i="148"/>
  <c r="E45" i="148"/>
  <c r="K45" i="148"/>
  <c r="G45" i="148"/>
  <c r="C45" i="148"/>
  <c r="I46" i="148"/>
  <c r="D46" i="148"/>
  <c r="J46" i="148"/>
  <c r="E46" i="148"/>
  <c r="K46" i="148"/>
  <c r="G46" i="148"/>
  <c r="C46" i="148"/>
  <c r="I47" i="148"/>
  <c r="D47" i="148"/>
  <c r="J47" i="148"/>
  <c r="E47" i="148"/>
  <c r="K47" i="148"/>
  <c r="G47" i="148"/>
  <c r="C47" i="148"/>
  <c r="I48" i="148"/>
  <c r="D48" i="148"/>
  <c r="J48" i="148"/>
  <c r="E48" i="148"/>
  <c r="K48" i="148"/>
  <c r="G48" i="148"/>
  <c r="C48" i="148"/>
  <c r="I49" i="148"/>
  <c r="D49" i="148"/>
  <c r="J49" i="148"/>
  <c r="E49" i="148"/>
  <c r="K49" i="148"/>
  <c r="G49" i="148"/>
  <c r="C49" i="148"/>
  <c r="I50" i="148"/>
  <c r="D50" i="148"/>
  <c r="J50" i="148"/>
  <c r="E50" i="148"/>
  <c r="K50" i="148"/>
  <c r="G50" i="148"/>
  <c r="C50" i="148"/>
  <c r="I51" i="148"/>
  <c r="D51" i="148"/>
  <c r="J51" i="148"/>
  <c r="E51" i="148"/>
  <c r="K51" i="148"/>
  <c r="G51" i="148"/>
  <c r="C51" i="148"/>
  <c r="I52" i="148"/>
  <c r="D52" i="148"/>
  <c r="J52" i="148"/>
  <c r="E52" i="148"/>
  <c r="K52" i="148"/>
  <c r="G52" i="148"/>
  <c r="C52" i="148"/>
  <c r="I53" i="148"/>
  <c r="D53" i="148"/>
  <c r="J53" i="148"/>
  <c r="E53" i="148"/>
  <c r="K53" i="148"/>
  <c r="G53" i="148"/>
  <c r="C53" i="148"/>
  <c r="I54" i="148"/>
  <c r="D54" i="148"/>
  <c r="J54" i="148"/>
  <c r="E54" i="148"/>
  <c r="K54" i="148"/>
  <c r="G54" i="148"/>
  <c r="C54" i="148"/>
  <c r="I55" i="148"/>
  <c r="D55" i="148"/>
  <c r="J55" i="148"/>
  <c r="E55" i="148"/>
  <c r="K55" i="148"/>
  <c r="G55" i="148"/>
  <c r="C55" i="148"/>
  <c r="I56" i="148"/>
  <c r="D56" i="148"/>
  <c r="J56" i="148"/>
  <c r="E56" i="148"/>
  <c r="K56" i="148"/>
  <c r="G56" i="148"/>
  <c r="C56" i="148"/>
  <c r="I57" i="148"/>
  <c r="D57" i="148"/>
  <c r="J57" i="148"/>
  <c r="E57" i="148"/>
  <c r="K57" i="148"/>
  <c r="G57" i="148"/>
  <c r="C57" i="148"/>
  <c r="I58" i="148"/>
  <c r="D58" i="148"/>
  <c r="J58" i="148"/>
  <c r="E58" i="148"/>
  <c r="K58" i="148"/>
  <c r="G58" i="148"/>
  <c r="C58" i="148"/>
  <c r="I59" i="148"/>
  <c r="D59" i="148"/>
  <c r="J59" i="148"/>
  <c r="E59" i="148"/>
  <c r="K59" i="148"/>
  <c r="G59" i="148"/>
  <c r="C59" i="148"/>
  <c r="I60" i="148"/>
  <c r="D60" i="148"/>
  <c r="J60" i="148"/>
  <c r="E60" i="148"/>
  <c r="K60" i="148"/>
  <c r="G60" i="148"/>
  <c r="C60" i="148"/>
  <c r="I61" i="148"/>
  <c r="D61" i="148"/>
  <c r="J61" i="148"/>
  <c r="E61" i="148"/>
  <c r="K61" i="148"/>
  <c r="G61" i="148"/>
  <c r="C61" i="148"/>
  <c r="I62" i="148"/>
  <c r="D62" i="148"/>
  <c r="J62" i="148"/>
  <c r="E62" i="148"/>
  <c r="K62" i="148"/>
  <c r="G62" i="148"/>
  <c r="C62" i="148"/>
  <c r="I63" i="148"/>
  <c r="D63" i="148"/>
  <c r="J63" i="148"/>
  <c r="E63" i="148"/>
  <c r="K63" i="148"/>
  <c r="G63" i="148"/>
  <c r="C63" i="148"/>
  <c r="I64" i="148"/>
  <c r="D64" i="148"/>
  <c r="J64" i="148"/>
  <c r="E64" i="148"/>
  <c r="K64" i="148"/>
  <c r="G64" i="148"/>
  <c r="C64" i="148"/>
  <c r="I65" i="148"/>
  <c r="D65" i="148"/>
  <c r="J65" i="148"/>
  <c r="E65" i="148"/>
  <c r="K65" i="148"/>
  <c r="G65" i="148"/>
  <c r="C65" i="148"/>
  <c r="I66" i="148"/>
  <c r="D66" i="148"/>
  <c r="J66" i="148"/>
  <c r="E66" i="148"/>
  <c r="K66" i="148"/>
  <c r="G66" i="148"/>
  <c r="C66" i="148"/>
  <c r="I67" i="148"/>
  <c r="D67" i="148"/>
  <c r="J67" i="148"/>
  <c r="E67" i="148"/>
  <c r="K67" i="148"/>
  <c r="G67" i="148"/>
  <c r="C67" i="148"/>
  <c r="I68" i="148"/>
  <c r="D68" i="148"/>
  <c r="J68" i="148"/>
  <c r="E68" i="148"/>
  <c r="K68" i="148"/>
  <c r="G68" i="148"/>
  <c r="C68" i="148"/>
  <c r="I69" i="148"/>
  <c r="D69" i="148"/>
  <c r="J69" i="148"/>
  <c r="E69" i="148"/>
  <c r="K69" i="148"/>
  <c r="G69" i="148"/>
  <c r="C69" i="148"/>
  <c r="I70" i="148"/>
  <c r="D70" i="148"/>
  <c r="J70" i="148"/>
  <c r="E70" i="148"/>
  <c r="K70" i="148"/>
  <c r="G70" i="148"/>
  <c r="C70" i="148"/>
  <c r="I71" i="148"/>
  <c r="D71" i="148"/>
  <c r="J71" i="148"/>
  <c r="E71" i="148"/>
  <c r="K71" i="148"/>
  <c r="G71" i="148"/>
  <c r="C71" i="148"/>
  <c r="I72" i="148"/>
  <c r="D72" i="148"/>
  <c r="J72" i="148"/>
  <c r="E72" i="148"/>
  <c r="K72" i="148"/>
  <c r="G72" i="148"/>
  <c r="C72" i="148"/>
  <c r="I73" i="148"/>
  <c r="D73" i="148"/>
  <c r="J73" i="148"/>
  <c r="E73" i="148"/>
  <c r="K73" i="148"/>
  <c r="G73" i="148"/>
  <c r="C73" i="148"/>
  <c r="I74" i="148"/>
  <c r="D74" i="148"/>
  <c r="J74" i="148"/>
  <c r="E74" i="148"/>
  <c r="K74" i="148"/>
  <c r="G74" i="148"/>
  <c r="C74" i="148"/>
  <c r="I75" i="148"/>
  <c r="D75" i="148"/>
  <c r="J75" i="148"/>
  <c r="E75" i="148"/>
  <c r="K75" i="148"/>
  <c r="G75" i="148"/>
  <c r="C75" i="148"/>
  <c r="I76" i="148"/>
  <c r="D76" i="148"/>
  <c r="J76" i="148"/>
  <c r="E76" i="148"/>
  <c r="K76" i="148"/>
  <c r="G76" i="148"/>
  <c r="C76" i="148"/>
  <c r="I77" i="148"/>
  <c r="D77" i="148"/>
  <c r="J77" i="148"/>
  <c r="E77" i="148"/>
  <c r="K77" i="148"/>
  <c r="G77" i="148"/>
  <c r="C77" i="148"/>
  <c r="I78" i="148"/>
  <c r="D78" i="148"/>
  <c r="J78" i="148"/>
  <c r="E78" i="148"/>
  <c r="K78" i="148"/>
  <c r="G78" i="148"/>
  <c r="C78" i="148"/>
  <c r="I79" i="148"/>
  <c r="D79" i="148"/>
  <c r="J79" i="148"/>
  <c r="E79" i="148"/>
  <c r="K79" i="148"/>
  <c r="G79" i="148"/>
  <c r="C79" i="148"/>
  <c r="I80" i="148"/>
  <c r="D80" i="148"/>
  <c r="J80" i="148"/>
  <c r="E80" i="148"/>
  <c r="K80" i="148"/>
  <c r="G80" i="148"/>
  <c r="C80" i="148"/>
  <c r="I81" i="148"/>
  <c r="D81" i="148"/>
  <c r="J81" i="148"/>
  <c r="E81" i="148"/>
  <c r="K81" i="148"/>
  <c r="G81" i="148"/>
  <c r="C81" i="148"/>
  <c r="I82" i="148"/>
  <c r="D82" i="148"/>
  <c r="J82" i="148"/>
  <c r="E82" i="148"/>
  <c r="K82" i="148"/>
  <c r="G82" i="148"/>
  <c r="C82" i="148"/>
  <c r="I83" i="148"/>
  <c r="D83" i="148"/>
  <c r="J83" i="148"/>
  <c r="E83" i="148"/>
  <c r="K83" i="148"/>
  <c r="G83" i="148"/>
  <c r="C83" i="148"/>
  <c r="I84" i="148"/>
  <c r="D84" i="148"/>
  <c r="J84" i="148"/>
  <c r="E84" i="148"/>
  <c r="K84" i="148"/>
  <c r="G84" i="148"/>
  <c r="C84" i="148"/>
  <c r="I85" i="148"/>
  <c r="D85" i="148"/>
  <c r="J85" i="148"/>
  <c r="E85" i="148"/>
  <c r="K85" i="148"/>
  <c r="G85" i="148"/>
  <c r="C85" i="148"/>
  <c r="I86" i="148"/>
  <c r="D86" i="148"/>
  <c r="J86" i="148"/>
  <c r="E86" i="148"/>
  <c r="K86" i="148"/>
  <c r="G86" i="148"/>
  <c r="C86" i="148"/>
  <c r="I87" i="148"/>
  <c r="D87" i="148"/>
  <c r="J87" i="148"/>
  <c r="E87" i="148"/>
  <c r="K87" i="148"/>
  <c r="G87" i="148"/>
  <c r="C87" i="148"/>
  <c r="I88" i="148"/>
  <c r="D88" i="148"/>
  <c r="J88" i="148"/>
  <c r="E88" i="148"/>
  <c r="K88" i="148"/>
  <c r="G88" i="148"/>
  <c r="C88" i="148"/>
  <c r="I89" i="148"/>
  <c r="D89" i="148"/>
  <c r="J89" i="148"/>
  <c r="E89" i="148"/>
  <c r="K89" i="148"/>
  <c r="G89" i="148"/>
  <c r="C89" i="148"/>
  <c r="I90" i="148"/>
  <c r="D90" i="148"/>
  <c r="J90" i="148"/>
  <c r="E90" i="148"/>
  <c r="K90" i="148"/>
  <c r="G90" i="148"/>
  <c r="C90" i="148"/>
  <c r="I91" i="148"/>
  <c r="D91" i="148"/>
  <c r="J91" i="148"/>
  <c r="E91" i="148"/>
  <c r="K91" i="148"/>
  <c r="G91" i="148"/>
  <c r="C91" i="148"/>
  <c r="I92" i="148"/>
  <c r="D92" i="148"/>
  <c r="J92" i="148"/>
  <c r="E92" i="148"/>
  <c r="K92" i="148"/>
  <c r="G92" i="148"/>
  <c r="C92" i="148"/>
  <c r="I93" i="148"/>
  <c r="D93" i="148"/>
  <c r="J93" i="148"/>
  <c r="E93" i="148"/>
  <c r="K93" i="148"/>
  <c r="G93" i="148"/>
  <c r="C93" i="148"/>
  <c r="I94" i="148"/>
  <c r="D94" i="148"/>
  <c r="J94" i="148"/>
  <c r="E94" i="148"/>
  <c r="K94" i="148"/>
  <c r="G94" i="148"/>
  <c r="C94" i="148"/>
  <c r="I95" i="148"/>
  <c r="D95" i="148"/>
  <c r="J95" i="148"/>
  <c r="E95" i="148"/>
  <c r="K95" i="148"/>
  <c r="G95" i="148"/>
  <c r="C95" i="148"/>
  <c r="I96" i="148"/>
  <c r="D96" i="148"/>
  <c r="J96" i="148"/>
  <c r="E96" i="148"/>
  <c r="K96" i="148"/>
  <c r="G96" i="148"/>
  <c r="C96" i="148"/>
  <c r="I97" i="148"/>
  <c r="D97" i="148"/>
  <c r="J97" i="148"/>
  <c r="E97" i="148"/>
  <c r="K97" i="148"/>
  <c r="G97" i="148"/>
  <c r="C97" i="148"/>
  <c r="I98" i="148"/>
  <c r="D98" i="148"/>
  <c r="J98" i="148"/>
  <c r="E98" i="148"/>
  <c r="K98" i="148"/>
  <c r="G98" i="148"/>
  <c r="C98" i="148"/>
  <c r="I99" i="148"/>
  <c r="D99" i="148"/>
  <c r="J99" i="148"/>
  <c r="E99" i="148"/>
  <c r="K99" i="148"/>
  <c r="G99" i="148"/>
  <c r="C99" i="148"/>
  <c r="I100" i="148"/>
  <c r="D100" i="148"/>
  <c r="J100" i="148"/>
  <c r="E100" i="148"/>
  <c r="K100" i="148"/>
  <c r="G100" i="148"/>
  <c r="C100" i="148"/>
  <c r="I101" i="148"/>
  <c r="D101" i="148"/>
  <c r="J101" i="148"/>
  <c r="E101" i="148"/>
  <c r="K101" i="148"/>
  <c r="G101" i="148"/>
  <c r="C101" i="148"/>
  <c r="I102" i="148"/>
  <c r="D102" i="148"/>
  <c r="J102" i="148"/>
  <c r="E102" i="148"/>
  <c r="K102" i="148"/>
  <c r="G102" i="148"/>
  <c r="C102" i="148"/>
  <c r="I103" i="148"/>
  <c r="D103" i="148"/>
  <c r="J103" i="148"/>
  <c r="E103" i="148"/>
  <c r="K103" i="148"/>
  <c r="G103" i="148"/>
  <c r="C103" i="148"/>
  <c r="I104" i="148"/>
  <c r="D104" i="148"/>
  <c r="J104" i="148"/>
  <c r="E104" i="148"/>
  <c r="K104" i="148"/>
  <c r="G104" i="148"/>
  <c r="C104" i="148"/>
  <c r="I105" i="148"/>
  <c r="D105" i="148"/>
  <c r="J105" i="148"/>
  <c r="E105" i="148"/>
  <c r="K105" i="148"/>
  <c r="G105" i="148"/>
  <c r="C105" i="148"/>
  <c r="I106" i="148"/>
  <c r="D106" i="148"/>
  <c r="J106" i="148"/>
  <c r="E106" i="148"/>
  <c r="K106" i="148"/>
  <c r="G106" i="148"/>
  <c r="C106" i="148"/>
  <c r="I107" i="148"/>
  <c r="D107" i="148"/>
  <c r="J107" i="148"/>
  <c r="E107" i="148"/>
  <c r="K107" i="148"/>
  <c r="G107" i="148"/>
  <c r="C107" i="148"/>
  <c r="I108" i="148"/>
  <c r="D108" i="148"/>
  <c r="J108" i="148"/>
  <c r="E108" i="148"/>
  <c r="K108" i="148"/>
  <c r="G108" i="148"/>
  <c r="C108" i="148"/>
  <c r="I109" i="148"/>
  <c r="D109" i="148"/>
  <c r="J109" i="148"/>
  <c r="E109" i="148"/>
  <c r="K109" i="148"/>
  <c r="G109" i="148"/>
  <c r="C109" i="148"/>
  <c r="I110" i="148"/>
  <c r="D110" i="148"/>
  <c r="J110" i="148"/>
  <c r="E110" i="148"/>
  <c r="K110" i="148"/>
  <c r="G110" i="148"/>
  <c r="C110" i="148"/>
  <c r="I111" i="148"/>
  <c r="D111" i="148"/>
  <c r="J111" i="148"/>
  <c r="E111" i="148"/>
  <c r="K111" i="148"/>
  <c r="G111" i="148"/>
  <c r="C111" i="148"/>
  <c r="I112" i="148"/>
  <c r="D112" i="148"/>
  <c r="J112" i="148"/>
  <c r="E112" i="148"/>
  <c r="K112" i="148"/>
  <c r="G112" i="148"/>
  <c r="C112" i="148"/>
  <c r="I113" i="148"/>
  <c r="D113" i="148"/>
  <c r="J113" i="148"/>
  <c r="E113" i="148"/>
  <c r="K113" i="148"/>
  <c r="G113" i="148"/>
  <c r="C113" i="148"/>
  <c r="I114" i="148"/>
  <c r="D114" i="148"/>
  <c r="J114" i="148"/>
  <c r="E114" i="148"/>
  <c r="K114" i="148"/>
  <c r="G114" i="148"/>
  <c r="C114" i="148"/>
  <c r="I115" i="148"/>
  <c r="D115" i="148"/>
  <c r="J115" i="148"/>
  <c r="E115" i="148"/>
  <c r="K115" i="148"/>
  <c r="G115" i="148"/>
  <c r="C115" i="148"/>
  <c r="I116" i="148"/>
  <c r="D116" i="148"/>
  <c r="J116" i="148"/>
  <c r="E116" i="148"/>
  <c r="K116" i="148"/>
  <c r="G116" i="148"/>
  <c r="C116" i="148"/>
  <c r="I117" i="148"/>
  <c r="D117" i="148"/>
  <c r="J117" i="148"/>
  <c r="E117" i="148"/>
  <c r="K117" i="148"/>
  <c r="G117" i="148"/>
  <c r="C117" i="148"/>
  <c r="I118" i="148"/>
  <c r="D118" i="148"/>
  <c r="J118" i="148"/>
  <c r="E118" i="148"/>
  <c r="K118" i="148"/>
  <c r="G118" i="148"/>
  <c r="C118" i="148"/>
  <c r="I119" i="148"/>
  <c r="D119" i="148"/>
  <c r="J119" i="148"/>
  <c r="E119" i="148"/>
  <c r="K119" i="148"/>
  <c r="G119" i="148"/>
  <c r="C119" i="148"/>
  <c r="I120" i="148"/>
  <c r="D120" i="148"/>
  <c r="J120" i="148"/>
  <c r="E120" i="148"/>
  <c r="K120" i="148"/>
  <c r="G120" i="148"/>
  <c r="C120" i="148"/>
  <c r="I121" i="148"/>
  <c r="D121" i="148"/>
  <c r="J121" i="148"/>
  <c r="E121" i="148"/>
  <c r="K121" i="148"/>
  <c r="G121" i="148"/>
  <c r="C121" i="148"/>
  <c r="I122" i="148"/>
  <c r="D122" i="148"/>
  <c r="J122" i="148"/>
  <c r="E122" i="148"/>
  <c r="K122" i="148"/>
  <c r="G122" i="148"/>
  <c r="C122" i="148"/>
  <c r="I123" i="148"/>
  <c r="D123" i="148"/>
  <c r="J123" i="148"/>
  <c r="E123" i="148"/>
  <c r="K123" i="148"/>
  <c r="G123" i="148"/>
  <c r="C123" i="148"/>
  <c r="I124" i="148"/>
  <c r="D124" i="148"/>
  <c r="J124" i="148"/>
  <c r="E124" i="148"/>
  <c r="K124" i="148"/>
  <c r="G124" i="148"/>
  <c r="C124" i="148"/>
  <c r="I125" i="148"/>
  <c r="D125" i="148"/>
  <c r="J125" i="148"/>
  <c r="E125" i="148"/>
  <c r="K125" i="148"/>
  <c r="G125" i="148"/>
  <c r="C125" i="148"/>
  <c r="I126" i="148"/>
  <c r="D126" i="148"/>
  <c r="J126" i="148"/>
  <c r="E126" i="148"/>
  <c r="K126" i="148"/>
  <c r="G126" i="148"/>
  <c r="C126" i="148"/>
  <c r="I127" i="148"/>
  <c r="D127" i="148"/>
  <c r="J127" i="148"/>
  <c r="E127" i="148"/>
  <c r="K127" i="148"/>
  <c r="G127" i="148"/>
  <c r="C127" i="148"/>
  <c r="I128" i="148"/>
  <c r="D128" i="148"/>
  <c r="J128" i="148"/>
  <c r="E128" i="148"/>
  <c r="K128" i="148"/>
  <c r="G128" i="148"/>
  <c r="C128" i="148"/>
  <c r="I129" i="148"/>
  <c r="D129" i="148"/>
  <c r="J129" i="148"/>
  <c r="E129" i="148"/>
  <c r="K129" i="148"/>
  <c r="G129" i="148"/>
  <c r="C129" i="148"/>
  <c r="I130" i="148"/>
  <c r="D130" i="148"/>
  <c r="J130" i="148"/>
  <c r="E130" i="148"/>
  <c r="K130" i="148"/>
  <c r="G130" i="148"/>
  <c r="C130" i="148"/>
  <c r="I131" i="148"/>
  <c r="D131" i="148"/>
  <c r="J131" i="148"/>
  <c r="E131" i="148"/>
  <c r="K131" i="148"/>
  <c r="G131" i="148"/>
  <c r="C131" i="148"/>
  <c r="I132" i="148"/>
  <c r="D132" i="148"/>
  <c r="J132" i="148"/>
  <c r="E132" i="148"/>
  <c r="K132" i="148"/>
  <c r="G132" i="148"/>
  <c r="C132" i="148"/>
  <c r="I133" i="148"/>
  <c r="D133" i="148"/>
  <c r="J133" i="148"/>
  <c r="E133" i="148"/>
  <c r="K133" i="148"/>
  <c r="G133" i="148"/>
  <c r="C133" i="148"/>
  <c r="I134" i="148"/>
  <c r="D134" i="148"/>
  <c r="J134" i="148"/>
  <c r="E134" i="148"/>
  <c r="K134" i="148"/>
  <c r="G134" i="148"/>
  <c r="C134" i="148"/>
  <c r="I135" i="148"/>
  <c r="D135" i="148"/>
  <c r="J135" i="148"/>
  <c r="E135" i="148"/>
  <c r="K135" i="148"/>
  <c r="G135" i="148"/>
  <c r="C135" i="148"/>
  <c r="I136" i="148"/>
  <c r="D136" i="148"/>
  <c r="J136" i="148"/>
  <c r="E136" i="148"/>
  <c r="K136" i="148"/>
  <c r="G136" i="148"/>
  <c r="C136" i="148"/>
  <c r="I137" i="148"/>
  <c r="D137" i="148"/>
  <c r="J137" i="148"/>
  <c r="E137" i="148"/>
  <c r="K137" i="148"/>
  <c r="G137" i="148"/>
  <c r="C137" i="148"/>
  <c r="I138" i="148"/>
  <c r="D138" i="148"/>
  <c r="J138" i="148"/>
  <c r="E138" i="148"/>
  <c r="K138" i="148"/>
  <c r="G138" i="148"/>
  <c r="C138" i="148"/>
  <c r="I139" i="148"/>
  <c r="D139" i="148"/>
  <c r="J139" i="148"/>
  <c r="E139" i="148"/>
  <c r="K139" i="148"/>
  <c r="G139" i="148"/>
  <c r="C139" i="148"/>
  <c r="I140" i="148"/>
  <c r="D140" i="148"/>
  <c r="J140" i="148"/>
  <c r="E140" i="148"/>
  <c r="K140" i="148"/>
  <c r="G140" i="148"/>
  <c r="C140" i="148"/>
  <c r="I141" i="148"/>
  <c r="D141" i="148"/>
  <c r="J141" i="148"/>
  <c r="E141" i="148"/>
  <c r="K141" i="148"/>
  <c r="G141" i="148"/>
  <c r="C141" i="148"/>
  <c r="I142" i="148"/>
  <c r="D142" i="148"/>
  <c r="J142" i="148"/>
  <c r="E142" i="148"/>
  <c r="K142" i="148"/>
  <c r="G142" i="148"/>
  <c r="C142" i="148"/>
  <c r="I143" i="148"/>
  <c r="D143" i="148"/>
  <c r="J143" i="148"/>
  <c r="E143" i="148"/>
  <c r="K143" i="148"/>
  <c r="G143" i="148"/>
  <c r="C143" i="148"/>
  <c r="I144" i="148"/>
  <c r="D144" i="148"/>
  <c r="J144" i="148"/>
  <c r="E144" i="148"/>
  <c r="K144" i="148"/>
  <c r="G144" i="148"/>
  <c r="C144" i="148"/>
  <c r="I145" i="148"/>
  <c r="D145" i="148"/>
  <c r="J145" i="148"/>
  <c r="E145" i="148"/>
  <c r="K145" i="148"/>
  <c r="G145" i="148"/>
  <c r="C145" i="148"/>
  <c r="I146" i="148"/>
  <c r="D146" i="148"/>
  <c r="J146" i="148"/>
  <c r="E146" i="148"/>
  <c r="K146" i="148"/>
  <c r="G146" i="148"/>
  <c r="C146" i="148"/>
  <c r="I147" i="148"/>
  <c r="D147" i="148"/>
  <c r="J147" i="148"/>
  <c r="E147" i="148"/>
  <c r="K147" i="148"/>
  <c r="G147" i="148"/>
  <c r="C147" i="148"/>
  <c r="I148" i="148"/>
  <c r="D148" i="148"/>
  <c r="J148" i="148"/>
  <c r="E148" i="148"/>
  <c r="K148" i="148"/>
  <c r="G148" i="148"/>
  <c r="C148" i="148"/>
  <c r="I149" i="148"/>
  <c r="D149" i="148"/>
  <c r="J149" i="148"/>
  <c r="E149" i="148"/>
  <c r="K149" i="148"/>
  <c r="G149" i="148"/>
  <c r="C149" i="148"/>
  <c r="I150" i="148"/>
  <c r="D150" i="148"/>
  <c r="J150" i="148"/>
  <c r="E150" i="148"/>
  <c r="K150" i="148"/>
  <c r="G150" i="148"/>
  <c r="C150" i="148"/>
  <c r="I151" i="148"/>
  <c r="D151" i="148"/>
  <c r="J151" i="148"/>
  <c r="E151" i="148"/>
  <c r="K151" i="148"/>
  <c r="G151" i="148"/>
  <c r="C151" i="148"/>
  <c r="I152" i="148"/>
  <c r="D152" i="148"/>
  <c r="J152" i="148"/>
  <c r="E152" i="148"/>
  <c r="K152" i="148"/>
  <c r="G152" i="148"/>
  <c r="C152" i="148"/>
  <c r="I153" i="148"/>
  <c r="D153" i="148"/>
  <c r="J153" i="148"/>
  <c r="E153" i="148"/>
  <c r="K153" i="148"/>
  <c r="G153" i="148"/>
  <c r="C153" i="148"/>
  <c r="I154" i="148"/>
  <c r="D154" i="148"/>
  <c r="J154" i="148"/>
  <c r="E154" i="148"/>
  <c r="K154" i="148"/>
  <c r="G154" i="148"/>
  <c r="C154" i="148"/>
  <c r="I155" i="148"/>
  <c r="D155" i="148"/>
  <c r="J155" i="148"/>
  <c r="E155" i="148"/>
  <c r="K155" i="148"/>
  <c r="G155" i="148"/>
  <c r="C155" i="148"/>
  <c r="I156" i="148"/>
  <c r="D156" i="148"/>
  <c r="J156" i="148"/>
  <c r="E156" i="148"/>
  <c r="K156" i="148"/>
  <c r="G156" i="148"/>
  <c r="C156" i="148"/>
  <c r="I157" i="148"/>
  <c r="D157" i="148"/>
  <c r="J157" i="148"/>
  <c r="E157" i="148"/>
  <c r="K157" i="148"/>
  <c r="G157" i="148"/>
  <c r="C157" i="148"/>
  <c r="I158" i="148"/>
  <c r="D158" i="148"/>
  <c r="J158" i="148"/>
  <c r="E158" i="148"/>
  <c r="K158" i="148"/>
  <c r="G158" i="148"/>
  <c r="C158" i="148"/>
  <c r="I159" i="148"/>
  <c r="D159" i="148"/>
  <c r="J159" i="148"/>
  <c r="E159" i="148"/>
  <c r="K159" i="148"/>
  <c r="G159" i="148"/>
  <c r="C159" i="148"/>
  <c r="I160" i="148"/>
  <c r="D160" i="148"/>
  <c r="J160" i="148"/>
  <c r="E160" i="148"/>
  <c r="K160" i="148"/>
  <c r="G160" i="148"/>
  <c r="C160" i="148"/>
  <c r="I161" i="148"/>
  <c r="D161" i="148"/>
  <c r="J161" i="148"/>
  <c r="E161" i="148"/>
  <c r="K161" i="148"/>
  <c r="G161" i="148"/>
  <c r="C161" i="148"/>
  <c r="I162" i="148"/>
  <c r="D162" i="148"/>
  <c r="J162" i="148"/>
  <c r="E162" i="148"/>
  <c r="K162" i="148"/>
  <c r="G162" i="148"/>
  <c r="C162" i="148"/>
  <c r="I163" i="148"/>
  <c r="D163" i="148"/>
  <c r="J163" i="148"/>
  <c r="E163" i="148"/>
  <c r="K163" i="148"/>
  <c r="G163" i="148"/>
  <c r="C163" i="148"/>
  <c r="I164" i="148"/>
  <c r="D164" i="148"/>
  <c r="J164" i="148"/>
  <c r="E164" i="148"/>
  <c r="K164" i="148"/>
  <c r="G164" i="148"/>
  <c r="C164" i="148"/>
  <c r="I165" i="148"/>
  <c r="D165" i="148"/>
  <c r="J165" i="148"/>
  <c r="E165" i="148"/>
  <c r="K165" i="148"/>
  <c r="G165" i="148"/>
  <c r="C165" i="148"/>
  <c r="I166" i="148"/>
  <c r="D166" i="148"/>
  <c r="J166" i="148"/>
  <c r="E166" i="148"/>
  <c r="K166" i="148"/>
  <c r="G166" i="148"/>
  <c r="C166" i="148"/>
  <c r="I167" i="148"/>
  <c r="D167" i="148"/>
  <c r="J167" i="148"/>
  <c r="E167" i="148"/>
  <c r="K167" i="148"/>
  <c r="G167" i="148"/>
  <c r="C167" i="148"/>
  <c r="I168" i="148"/>
  <c r="D168" i="148"/>
  <c r="J168" i="148"/>
  <c r="E168" i="148"/>
  <c r="K168" i="148"/>
  <c r="G168" i="148"/>
  <c r="C168" i="148"/>
  <c r="I169" i="148"/>
  <c r="D169" i="148"/>
  <c r="J169" i="148"/>
  <c r="E169" i="148"/>
  <c r="K169" i="148"/>
  <c r="G169" i="148"/>
  <c r="C169" i="148"/>
  <c r="I170" i="148"/>
  <c r="D170" i="148"/>
  <c r="J170" i="148"/>
  <c r="E170" i="148"/>
  <c r="K170" i="148"/>
  <c r="G170" i="148"/>
  <c r="C170" i="148"/>
  <c r="I171" i="148"/>
  <c r="D171" i="148"/>
  <c r="J171" i="148"/>
  <c r="E171" i="148"/>
  <c r="K171" i="148"/>
  <c r="G171" i="148"/>
  <c r="C171" i="148"/>
  <c r="I172" i="148"/>
  <c r="D172" i="148"/>
  <c r="J172" i="148"/>
  <c r="E172" i="148"/>
  <c r="K172" i="148"/>
  <c r="G172" i="148"/>
  <c r="C172" i="148"/>
  <c r="I173" i="148"/>
  <c r="D173" i="148"/>
  <c r="J173" i="148"/>
  <c r="E173" i="148"/>
  <c r="K173" i="148"/>
  <c r="G173" i="148"/>
  <c r="C173" i="148"/>
  <c r="I174" i="148"/>
  <c r="D174" i="148"/>
  <c r="J174" i="148"/>
  <c r="E174" i="148"/>
  <c r="K174" i="148"/>
  <c r="G174" i="148"/>
  <c r="C174" i="148"/>
  <c r="I175" i="148"/>
  <c r="D175" i="148"/>
  <c r="J175" i="148"/>
  <c r="E175" i="148"/>
  <c r="K175" i="148"/>
  <c r="G175" i="148"/>
  <c r="C175" i="148"/>
  <c r="I176" i="148"/>
  <c r="D176" i="148"/>
  <c r="J176" i="148"/>
  <c r="E176" i="148"/>
  <c r="K176" i="148"/>
  <c r="G176" i="148"/>
  <c r="C176" i="148"/>
  <c r="I177" i="148"/>
  <c r="D177" i="148"/>
  <c r="J177" i="148"/>
  <c r="E177" i="148"/>
  <c r="K177" i="148"/>
  <c r="G177" i="148"/>
  <c r="C177" i="148"/>
  <c r="I178" i="148"/>
  <c r="D178" i="148"/>
  <c r="J178" i="148"/>
  <c r="E178" i="148"/>
  <c r="K178" i="148"/>
  <c r="G178" i="148"/>
  <c r="C178" i="148"/>
  <c r="I179" i="148"/>
  <c r="D179" i="148"/>
  <c r="J179" i="148"/>
  <c r="E179" i="148"/>
  <c r="K179" i="148"/>
  <c r="G179" i="148"/>
  <c r="C179" i="148"/>
  <c r="I180" i="148"/>
  <c r="D180" i="148"/>
  <c r="J180" i="148"/>
  <c r="E180" i="148"/>
  <c r="K180" i="148"/>
  <c r="G180" i="148"/>
  <c r="C180" i="148"/>
  <c r="I181" i="148"/>
  <c r="D181" i="148"/>
  <c r="J181" i="148"/>
  <c r="E181" i="148"/>
  <c r="K181" i="148"/>
  <c r="G181" i="148"/>
  <c r="C181" i="148"/>
  <c r="I182" i="148"/>
  <c r="D182" i="148"/>
  <c r="J182" i="148"/>
  <c r="E182" i="148"/>
  <c r="K182" i="148"/>
  <c r="G182" i="148"/>
  <c r="C182" i="148"/>
  <c r="I183" i="148"/>
  <c r="D183" i="148"/>
  <c r="J183" i="148"/>
  <c r="E183" i="148"/>
  <c r="K183" i="148"/>
  <c r="G183" i="148"/>
  <c r="C183" i="148"/>
  <c r="I184" i="148"/>
  <c r="D184" i="148"/>
  <c r="J184" i="148"/>
  <c r="E184" i="148"/>
  <c r="K184" i="148"/>
  <c r="G184" i="148"/>
  <c r="C184" i="148"/>
  <c r="I185" i="148"/>
  <c r="D185" i="148"/>
  <c r="J185" i="148"/>
  <c r="E185" i="148"/>
  <c r="K185" i="148"/>
  <c r="G185" i="148"/>
  <c r="C185" i="148"/>
  <c r="I186" i="148"/>
  <c r="D186" i="148"/>
  <c r="J186" i="148"/>
  <c r="E186" i="148"/>
  <c r="K186" i="148"/>
  <c r="G186" i="148"/>
  <c r="C186" i="148"/>
  <c r="I187" i="148"/>
  <c r="D187" i="148"/>
  <c r="J187" i="148"/>
  <c r="E187" i="148"/>
  <c r="K187" i="148"/>
  <c r="G187" i="148"/>
  <c r="C187" i="148"/>
  <c r="I188" i="148"/>
  <c r="D188" i="148"/>
  <c r="J188" i="148"/>
  <c r="E188" i="148"/>
  <c r="K188" i="148"/>
  <c r="G188" i="148"/>
  <c r="C188" i="148"/>
  <c r="I189" i="148"/>
  <c r="D189" i="148"/>
  <c r="J189" i="148"/>
  <c r="E189" i="148"/>
  <c r="K189" i="148"/>
  <c r="G189" i="148"/>
  <c r="C189" i="148"/>
  <c r="I190" i="148"/>
  <c r="D190" i="148"/>
  <c r="J190" i="148"/>
  <c r="E190" i="148"/>
  <c r="K190" i="148"/>
  <c r="G190" i="148"/>
  <c r="C190" i="148"/>
  <c r="I191" i="148"/>
  <c r="D191" i="148"/>
  <c r="J191" i="148"/>
  <c r="E191" i="148"/>
  <c r="K191" i="148"/>
  <c r="G191" i="148"/>
  <c r="C191" i="148"/>
  <c r="I192" i="148"/>
  <c r="D192" i="148"/>
  <c r="J192" i="148"/>
  <c r="E192" i="148"/>
  <c r="K192" i="148"/>
  <c r="G192" i="148"/>
  <c r="C192" i="148"/>
  <c r="I193" i="148"/>
  <c r="D193" i="148"/>
  <c r="J193" i="148"/>
  <c r="E193" i="148"/>
  <c r="K193" i="148"/>
  <c r="G193" i="148"/>
  <c r="C193" i="148"/>
  <c r="I194" i="148"/>
  <c r="D194" i="148"/>
  <c r="J194" i="148"/>
  <c r="E194" i="148"/>
  <c r="K194" i="148"/>
  <c r="G194" i="148"/>
  <c r="C194" i="148"/>
  <c r="I195" i="148"/>
  <c r="D195" i="148"/>
  <c r="J195" i="148"/>
  <c r="E195" i="148"/>
  <c r="K195" i="148"/>
  <c r="G195" i="148"/>
  <c r="C195" i="148"/>
  <c r="I196" i="148"/>
  <c r="D196" i="148"/>
  <c r="J196" i="148"/>
  <c r="E196" i="148"/>
  <c r="K196" i="148"/>
  <c r="G196" i="148"/>
  <c r="C196" i="148"/>
  <c r="I197" i="148"/>
  <c r="D197" i="148"/>
  <c r="J197" i="148"/>
  <c r="E197" i="148"/>
  <c r="K197" i="148"/>
  <c r="G197" i="148"/>
  <c r="C197" i="148"/>
  <c r="I198" i="148"/>
  <c r="D198" i="148"/>
  <c r="J198" i="148"/>
  <c r="E198" i="148"/>
  <c r="K198" i="148"/>
  <c r="G198" i="148"/>
  <c r="C198" i="148"/>
  <c r="I199" i="148"/>
  <c r="D199" i="148"/>
  <c r="J199" i="148"/>
  <c r="E199" i="148"/>
  <c r="K199" i="148"/>
  <c r="G199" i="148"/>
  <c r="C199" i="148"/>
  <c r="I200" i="148"/>
  <c r="D200" i="148"/>
  <c r="J200" i="148"/>
  <c r="E200" i="148"/>
  <c r="K200" i="148"/>
  <c r="G200" i="148"/>
  <c r="C200" i="148"/>
  <c r="I201" i="148"/>
  <c r="D201" i="148"/>
  <c r="J201" i="148"/>
  <c r="E201" i="148"/>
  <c r="K201" i="148"/>
  <c r="G201" i="148"/>
  <c r="C201" i="148"/>
  <c r="I202" i="148"/>
  <c r="D202" i="148"/>
  <c r="J202" i="148"/>
  <c r="E202" i="148"/>
  <c r="K202" i="148"/>
  <c r="G202" i="148"/>
  <c r="C202" i="148"/>
  <c r="I203" i="148"/>
  <c r="D203" i="148"/>
  <c r="J203" i="148"/>
  <c r="E203" i="148"/>
  <c r="K203" i="148"/>
  <c r="G203" i="148"/>
  <c r="C203" i="148"/>
  <c r="I204" i="148"/>
  <c r="D204" i="148"/>
  <c r="J204" i="148"/>
  <c r="E204" i="148"/>
  <c r="K204" i="148"/>
  <c r="G204" i="148"/>
  <c r="C204" i="148"/>
  <c r="I205" i="148"/>
  <c r="D205" i="148"/>
  <c r="J205" i="148"/>
  <c r="E205" i="148"/>
  <c r="K205" i="148"/>
  <c r="G205" i="148"/>
  <c r="C205" i="148"/>
  <c r="I206" i="148"/>
  <c r="D206" i="148"/>
  <c r="J206" i="148"/>
  <c r="E206" i="148"/>
  <c r="K206" i="148"/>
  <c r="G206" i="148"/>
  <c r="C206" i="148"/>
  <c r="I207" i="148"/>
  <c r="D207" i="148"/>
  <c r="J207" i="148"/>
  <c r="E207" i="148"/>
  <c r="K207" i="148"/>
  <c r="G207" i="148"/>
  <c r="C207" i="148"/>
  <c r="I208" i="148"/>
  <c r="D208" i="148"/>
  <c r="J208" i="148"/>
  <c r="E208" i="148"/>
  <c r="K208" i="148"/>
  <c r="G208" i="148"/>
  <c r="C208" i="148"/>
  <c r="I209" i="148"/>
  <c r="D209" i="148"/>
  <c r="J209" i="148"/>
  <c r="E209" i="148"/>
  <c r="K209" i="148"/>
  <c r="G209" i="148"/>
  <c r="C209" i="148"/>
  <c r="I210" i="148"/>
  <c r="D210" i="148"/>
  <c r="J210" i="148"/>
  <c r="E210" i="148"/>
  <c r="K210" i="148"/>
  <c r="G210" i="148"/>
  <c r="C210" i="148"/>
  <c r="I211" i="148"/>
  <c r="D211" i="148"/>
  <c r="J211" i="148"/>
  <c r="E211" i="148"/>
  <c r="K211" i="148"/>
  <c r="G211" i="148"/>
  <c r="C211" i="148"/>
  <c r="I212" i="148"/>
  <c r="D212" i="148"/>
  <c r="J212" i="148"/>
  <c r="E212" i="148"/>
  <c r="K212" i="148"/>
  <c r="G212" i="148"/>
  <c r="C212" i="148"/>
  <c r="I213" i="148"/>
  <c r="D213" i="148"/>
  <c r="J213" i="148"/>
  <c r="E213" i="148"/>
  <c r="K213" i="148"/>
  <c r="G213" i="148"/>
  <c r="C213" i="148"/>
  <c r="I214" i="148"/>
  <c r="D214" i="148"/>
  <c r="J214" i="148"/>
  <c r="E214" i="148"/>
  <c r="K214" i="148"/>
  <c r="G214" i="148"/>
  <c r="C214" i="148"/>
  <c r="I215" i="148"/>
  <c r="J215" i="148"/>
  <c r="D215" i="148"/>
  <c r="E215" i="148"/>
  <c r="K215" i="148"/>
  <c r="G215" i="148"/>
  <c r="C215" i="148"/>
  <c r="I216" i="148"/>
  <c r="J216" i="148"/>
  <c r="D216" i="148"/>
  <c r="E216" i="148"/>
  <c r="K216" i="148"/>
  <c r="G216" i="148"/>
  <c r="C216" i="148"/>
  <c r="I217" i="148"/>
  <c r="J217" i="148"/>
  <c r="D217" i="148"/>
  <c r="E217" i="148"/>
  <c r="K217" i="148"/>
  <c r="G217" i="148"/>
  <c r="C217" i="148"/>
  <c r="I218" i="148"/>
  <c r="J218" i="148"/>
  <c r="D218" i="148"/>
  <c r="E218" i="148"/>
  <c r="K218" i="148"/>
  <c r="G218" i="148"/>
  <c r="C218" i="148"/>
  <c r="I219" i="148"/>
  <c r="J219" i="148"/>
  <c r="D219" i="148"/>
  <c r="E219" i="148"/>
  <c r="K219" i="148"/>
  <c r="G219" i="148"/>
  <c r="C219" i="148"/>
  <c r="I220" i="148"/>
  <c r="J220" i="148"/>
  <c r="D220" i="148"/>
  <c r="E220" i="148"/>
  <c r="K220" i="148"/>
  <c r="G220" i="148"/>
  <c r="C220" i="148"/>
  <c r="I221" i="148"/>
  <c r="D221" i="148"/>
  <c r="J221" i="148"/>
  <c r="E221" i="148"/>
  <c r="K221" i="148"/>
  <c r="G221" i="148"/>
  <c r="C221" i="148"/>
  <c r="I222" i="148"/>
  <c r="D222" i="148"/>
  <c r="J222" i="148"/>
  <c r="E222" i="148"/>
  <c r="K222" i="148"/>
  <c r="G222" i="148"/>
  <c r="C222" i="148"/>
  <c r="I223" i="148"/>
  <c r="D223" i="148"/>
  <c r="J223" i="148"/>
  <c r="E223" i="148"/>
  <c r="K223" i="148"/>
  <c r="G223" i="148"/>
  <c r="C223" i="148"/>
  <c r="I224" i="148"/>
  <c r="D224" i="148"/>
  <c r="J224" i="148"/>
  <c r="E224" i="148"/>
  <c r="K224" i="148"/>
  <c r="G224" i="148"/>
  <c r="C224" i="148"/>
  <c r="I225" i="148"/>
  <c r="D225" i="148"/>
  <c r="J225" i="148"/>
  <c r="E225" i="148"/>
  <c r="K225" i="148"/>
  <c r="G225" i="148"/>
  <c r="C225" i="148"/>
  <c r="I226" i="148"/>
  <c r="D226" i="148"/>
  <c r="J226" i="148"/>
  <c r="E226" i="148"/>
  <c r="K226" i="148"/>
  <c r="G226" i="148"/>
  <c r="C226" i="148"/>
  <c r="I227" i="148"/>
  <c r="D227" i="148"/>
  <c r="J227" i="148"/>
  <c r="E227" i="148"/>
  <c r="K227" i="148"/>
  <c r="G227" i="148"/>
  <c r="C227" i="148"/>
  <c r="I228" i="148"/>
  <c r="D228" i="148"/>
  <c r="J228" i="148"/>
  <c r="E228" i="148"/>
  <c r="K228" i="148"/>
  <c r="G228" i="148"/>
  <c r="C228" i="148"/>
  <c r="I229" i="148"/>
  <c r="D229" i="148"/>
  <c r="J229" i="148"/>
  <c r="E229" i="148"/>
  <c r="K229" i="148"/>
  <c r="G229" i="148"/>
  <c r="C229" i="148"/>
  <c r="I230" i="148"/>
  <c r="D230" i="148"/>
  <c r="J230" i="148"/>
  <c r="E230" i="148"/>
  <c r="K230" i="148"/>
  <c r="G230" i="148"/>
  <c r="C230" i="148"/>
  <c r="I231" i="148"/>
  <c r="D231" i="148"/>
  <c r="J231" i="148"/>
  <c r="E231" i="148"/>
  <c r="K231" i="148"/>
  <c r="G231" i="148"/>
  <c r="C231" i="148"/>
  <c r="I232" i="148"/>
  <c r="D232" i="148"/>
  <c r="J232" i="148"/>
  <c r="E232" i="148"/>
  <c r="K232" i="148"/>
  <c r="G232" i="148"/>
  <c r="C232" i="148"/>
  <c r="I233" i="148"/>
  <c r="D233" i="148"/>
  <c r="J233" i="148"/>
  <c r="E233" i="148"/>
  <c r="K233" i="148"/>
  <c r="G233" i="148"/>
  <c r="C233" i="148"/>
  <c r="I234" i="148"/>
  <c r="D234" i="148"/>
  <c r="J234" i="148"/>
  <c r="E234" i="148"/>
  <c r="K234" i="148"/>
  <c r="G234" i="148"/>
  <c r="C234" i="148"/>
  <c r="I235" i="148"/>
  <c r="D235" i="148"/>
  <c r="J235" i="148"/>
  <c r="E235" i="148"/>
  <c r="K235" i="148"/>
  <c r="G235" i="148"/>
  <c r="C235" i="148"/>
  <c r="I236" i="148"/>
  <c r="D236" i="148"/>
  <c r="J236" i="148"/>
  <c r="E236" i="148"/>
  <c r="K236" i="148"/>
  <c r="G236" i="148"/>
  <c r="C236" i="148"/>
  <c r="I237" i="148"/>
  <c r="D237" i="148"/>
  <c r="J237" i="148"/>
  <c r="E237" i="148"/>
  <c r="K237" i="148"/>
  <c r="G237" i="148"/>
  <c r="C237" i="148"/>
  <c r="I238" i="148"/>
  <c r="D238" i="148"/>
  <c r="J238" i="148"/>
  <c r="E238" i="148"/>
  <c r="K238" i="148"/>
  <c r="G238" i="148"/>
  <c r="C238" i="148"/>
  <c r="I239" i="148"/>
  <c r="D239" i="148"/>
  <c r="J239" i="148"/>
  <c r="E239" i="148"/>
  <c r="K239" i="148"/>
  <c r="G239" i="148"/>
  <c r="C239" i="148"/>
  <c r="I240" i="148"/>
  <c r="D240" i="148"/>
  <c r="J240" i="148"/>
  <c r="E240" i="148"/>
  <c r="K240" i="148"/>
  <c r="G240" i="148"/>
  <c r="C240" i="148"/>
  <c r="I241" i="148"/>
  <c r="D241" i="148"/>
  <c r="J241" i="148"/>
  <c r="E241" i="148"/>
  <c r="K241" i="148"/>
  <c r="G241" i="148"/>
  <c r="C241" i="148"/>
  <c r="I242" i="148"/>
  <c r="D242" i="148"/>
  <c r="J242" i="148"/>
  <c r="E242" i="148"/>
  <c r="K242" i="148"/>
  <c r="G242" i="148"/>
  <c r="C242" i="148"/>
  <c r="I243" i="148"/>
  <c r="D243" i="148"/>
  <c r="J243" i="148"/>
  <c r="E243" i="148"/>
  <c r="K243" i="148"/>
  <c r="G243" i="148"/>
  <c r="C243" i="148"/>
  <c r="I244" i="148"/>
  <c r="D244" i="148"/>
  <c r="J244" i="148"/>
  <c r="E244" i="148"/>
  <c r="K244" i="148"/>
  <c r="G244" i="148"/>
  <c r="C244" i="148"/>
  <c r="I245" i="148"/>
  <c r="D245" i="148"/>
  <c r="J245" i="148"/>
  <c r="E245" i="148"/>
  <c r="K245" i="148"/>
  <c r="G245" i="148"/>
  <c r="C245" i="148"/>
  <c r="I246" i="148"/>
  <c r="D246" i="148"/>
  <c r="J246" i="148"/>
  <c r="E246" i="148"/>
  <c r="K246" i="148"/>
  <c r="G246" i="148"/>
  <c r="C246" i="148"/>
  <c r="I247" i="148"/>
  <c r="D247" i="148"/>
  <c r="J247" i="148"/>
  <c r="E247" i="148"/>
  <c r="K247" i="148"/>
  <c r="G247" i="148"/>
  <c r="C247" i="148"/>
  <c r="I248" i="148"/>
  <c r="D248" i="148"/>
  <c r="J248" i="148"/>
  <c r="E248" i="148"/>
  <c r="K248" i="148"/>
  <c r="G248" i="148"/>
  <c r="C248" i="148"/>
  <c r="I249" i="148"/>
  <c r="D249" i="148"/>
  <c r="J249" i="148"/>
  <c r="E249" i="148"/>
  <c r="K249" i="148"/>
  <c r="G249" i="148"/>
  <c r="C249" i="148"/>
  <c r="I250" i="148"/>
  <c r="D250" i="148"/>
  <c r="J250" i="148"/>
  <c r="E250" i="148"/>
  <c r="K250" i="148"/>
  <c r="G250" i="148"/>
  <c r="C250" i="148"/>
  <c r="I251" i="148"/>
  <c r="D251" i="148"/>
  <c r="J251" i="148"/>
  <c r="E251" i="148"/>
  <c r="K251" i="148"/>
  <c r="G251" i="148"/>
  <c r="C251" i="148"/>
  <c r="I252" i="148"/>
  <c r="D252" i="148"/>
  <c r="J252" i="148"/>
  <c r="E252" i="148"/>
  <c r="K252" i="148"/>
  <c r="G252" i="148"/>
  <c r="C252" i="148"/>
  <c r="I253" i="148"/>
  <c r="D253" i="148"/>
  <c r="J253" i="148"/>
  <c r="E253" i="148"/>
  <c r="K253" i="148"/>
  <c r="G253" i="148"/>
  <c r="C253" i="148"/>
  <c r="I254" i="148"/>
  <c r="D254" i="148"/>
  <c r="J254" i="148"/>
  <c r="E254" i="148"/>
  <c r="K254" i="148"/>
  <c r="G254" i="148"/>
  <c r="C254" i="148"/>
  <c r="I255" i="148"/>
  <c r="D255" i="148"/>
  <c r="J255" i="148"/>
  <c r="E255" i="148"/>
  <c r="K255" i="148"/>
  <c r="G255" i="148"/>
  <c r="C255" i="148"/>
  <c r="I256" i="148"/>
  <c r="D256" i="148"/>
  <c r="J256" i="148"/>
  <c r="E256" i="148"/>
  <c r="K256" i="148"/>
  <c r="G256" i="148"/>
  <c r="C256" i="148"/>
  <c r="I257" i="148"/>
  <c r="D257" i="148"/>
  <c r="J257" i="148"/>
  <c r="E257" i="148"/>
  <c r="K257" i="148"/>
  <c r="G257" i="148"/>
  <c r="C257" i="148"/>
  <c r="I258" i="148"/>
  <c r="D258" i="148"/>
  <c r="J258" i="148"/>
  <c r="E258" i="148"/>
  <c r="K258" i="148"/>
  <c r="G258" i="148"/>
  <c r="C258" i="148"/>
  <c r="I259" i="148"/>
  <c r="D259" i="148"/>
  <c r="J259" i="148"/>
  <c r="E259" i="148"/>
  <c r="K259" i="148"/>
  <c r="G259" i="148"/>
  <c r="C259" i="148"/>
  <c r="I260" i="148"/>
  <c r="D260" i="148"/>
  <c r="J260" i="148"/>
  <c r="E260" i="148"/>
  <c r="K260" i="148"/>
  <c r="G260" i="148"/>
  <c r="C260" i="148"/>
  <c r="I261" i="148"/>
  <c r="D261" i="148"/>
  <c r="J261" i="148"/>
  <c r="E261" i="148"/>
  <c r="K261" i="148"/>
  <c r="G261" i="148"/>
  <c r="C261" i="148"/>
  <c r="I262" i="148"/>
  <c r="D262" i="148"/>
  <c r="J262" i="148"/>
  <c r="E262" i="148"/>
  <c r="K262" i="148"/>
  <c r="G262" i="148"/>
  <c r="C262" i="148"/>
  <c r="I263" i="148"/>
  <c r="D263" i="148"/>
  <c r="J263" i="148"/>
  <c r="E263" i="148"/>
  <c r="K263" i="148"/>
  <c r="G263" i="148"/>
  <c r="C263" i="148"/>
  <c r="I264" i="148"/>
  <c r="D264" i="148"/>
  <c r="J264" i="148"/>
  <c r="E264" i="148"/>
  <c r="K264" i="148"/>
  <c r="G264" i="148"/>
  <c r="C264" i="148"/>
  <c r="I265" i="148"/>
  <c r="D265" i="148"/>
  <c r="J265" i="148"/>
  <c r="E265" i="148"/>
  <c r="K265" i="148"/>
  <c r="G265" i="148"/>
  <c r="C265" i="148"/>
  <c r="I266" i="148"/>
  <c r="D266" i="148"/>
  <c r="J266" i="148"/>
  <c r="E266" i="148"/>
  <c r="K266" i="148"/>
  <c r="G266" i="148"/>
  <c r="C266" i="148"/>
  <c r="I267" i="148"/>
  <c r="D267" i="148"/>
  <c r="J267" i="148"/>
  <c r="E267" i="148"/>
  <c r="K267" i="148"/>
  <c r="G267" i="148"/>
  <c r="C267" i="148"/>
  <c r="I268" i="148"/>
  <c r="D268" i="148"/>
  <c r="J268" i="148"/>
  <c r="E268" i="148"/>
  <c r="K268" i="148"/>
  <c r="G268" i="148"/>
  <c r="C268" i="148"/>
  <c r="I269" i="148"/>
  <c r="D269" i="148"/>
  <c r="J269" i="148"/>
  <c r="E269" i="148"/>
  <c r="K269" i="148"/>
  <c r="G269" i="148"/>
  <c r="C269" i="148"/>
  <c r="I270" i="148"/>
  <c r="D270" i="148"/>
  <c r="J270" i="148"/>
  <c r="E270" i="148"/>
  <c r="K270" i="148"/>
  <c r="G270" i="148"/>
  <c r="C270" i="148"/>
  <c r="I271" i="148"/>
  <c r="D271" i="148"/>
  <c r="J271" i="148"/>
  <c r="E271" i="148"/>
  <c r="K271" i="148"/>
  <c r="G271" i="148"/>
  <c r="C271" i="148"/>
  <c r="I272" i="148"/>
  <c r="D272" i="148"/>
  <c r="J272" i="148"/>
  <c r="E272" i="148"/>
  <c r="K272" i="148"/>
  <c r="G272" i="148"/>
  <c r="C272" i="148"/>
  <c r="I273" i="148"/>
  <c r="D273" i="148"/>
  <c r="J273" i="148"/>
  <c r="E273" i="148"/>
  <c r="K273" i="148"/>
  <c r="G273" i="148"/>
  <c r="C273" i="148"/>
  <c r="I274" i="148"/>
  <c r="D274" i="148"/>
  <c r="J274" i="148"/>
  <c r="E274" i="148"/>
  <c r="K274" i="148"/>
  <c r="G274" i="148"/>
  <c r="C274" i="148"/>
  <c r="I275" i="148"/>
  <c r="D275" i="148"/>
  <c r="J275" i="148"/>
  <c r="E275" i="148"/>
  <c r="K275" i="148"/>
  <c r="G275" i="148"/>
  <c r="C275" i="148"/>
  <c r="I276" i="148"/>
  <c r="D276" i="148"/>
  <c r="J276" i="148"/>
  <c r="E276" i="148"/>
  <c r="K276" i="148"/>
  <c r="G276" i="148"/>
  <c r="C276" i="148"/>
  <c r="I277" i="148"/>
  <c r="D277" i="148"/>
  <c r="J277" i="148"/>
  <c r="E277" i="148"/>
  <c r="K277" i="148"/>
  <c r="G277" i="148"/>
  <c r="C277" i="148"/>
  <c r="I278" i="148"/>
  <c r="D278" i="148"/>
  <c r="J278" i="148"/>
  <c r="E278" i="148"/>
  <c r="K278" i="148"/>
  <c r="G278" i="148"/>
  <c r="C278" i="148"/>
  <c r="I279" i="148"/>
  <c r="D279" i="148"/>
  <c r="J279" i="148"/>
  <c r="E279" i="148"/>
  <c r="K279" i="148"/>
  <c r="G279" i="148"/>
  <c r="C279" i="148"/>
  <c r="I280" i="148"/>
  <c r="D280" i="148"/>
  <c r="J280" i="148"/>
  <c r="E280" i="148"/>
  <c r="K280" i="148"/>
  <c r="G280" i="148"/>
  <c r="C280" i="148"/>
  <c r="I281" i="148"/>
  <c r="D281" i="148"/>
  <c r="J281" i="148"/>
  <c r="E281" i="148"/>
  <c r="K281" i="148"/>
  <c r="G281" i="148"/>
  <c r="C281" i="148"/>
  <c r="I282" i="148"/>
  <c r="D282" i="148"/>
  <c r="J282" i="148"/>
  <c r="E282" i="148"/>
  <c r="K282" i="148"/>
  <c r="G282" i="148"/>
  <c r="C282" i="148"/>
  <c r="I283" i="148"/>
  <c r="D283" i="148"/>
  <c r="J283" i="148"/>
  <c r="E283" i="148"/>
  <c r="K283" i="148"/>
  <c r="G283" i="148"/>
  <c r="C283" i="148"/>
  <c r="I284" i="148"/>
  <c r="D284" i="148"/>
  <c r="J284" i="148"/>
  <c r="E284" i="148"/>
  <c r="K284" i="148"/>
  <c r="G284" i="148"/>
  <c r="C284" i="148"/>
  <c r="I285" i="148"/>
  <c r="D285" i="148"/>
  <c r="J285" i="148"/>
  <c r="E285" i="148"/>
  <c r="K285" i="148"/>
  <c r="G285" i="148"/>
  <c r="C285" i="148"/>
  <c r="I286" i="148"/>
  <c r="D286" i="148"/>
  <c r="J286" i="148"/>
  <c r="E286" i="148"/>
  <c r="K286" i="148"/>
  <c r="G286" i="148"/>
  <c r="C286" i="148"/>
  <c r="I287" i="148"/>
  <c r="D287" i="148"/>
  <c r="J287" i="148"/>
  <c r="E287" i="148"/>
  <c r="K287" i="148"/>
  <c r="G287" i="148"/>
  <c r="C287" i="148"/>
  <c r="I288" i="148"/>
  <c r="D288" i="148"/>
  <c r="J288" i="148"/>
  <c r="E288" i="148"/>
  <c r="K288" i="148"/>
  <c r="G288" i="148"/>
  <c r="C288" i="148"/>
  <c r="I289" i="148"/>
  <c r="D289" i="148"/>
  <c r="J289" i="148"/>
  <c r="E289" i="148"/>
  <c r="K289" i="148"/>
  <c r="G289" i="148"/>
  <c r="C289" i="148"/>
  <c r="I290" i="148"/>
  <c r="D290" i="148"/>
  <c r="J290" i="148"/>
  <c r="E290" i="148"/>
  <c r="K290" i="148"/>
  <c r="G290" i="148"/>
  <c r="C290" i="148"/>
  <c r="I291" i="148"/>
  <c r="D291" i="148"/>
  <c r="J291" i="148"/>
  <c r="E291" i="148"/>
  <c r="K291" i="148"/>
  <c r="G291" i="148"/>
  <c r="C291" i="148"/>
  <c r="I292" i="148"/>
  <c r="D292" i="148"/>
  <c r="J292" i="148"/>
  <c r="E292" i="148"/>
  <c r="K292" i="148"/>
  <c r="G292" i="148"/>
  <c r="C292" i="148"/>
  <c r="I293" i="148"/>
  <c r="D293" i="148"/>
  <c r="J293" i="148"/>
  <c r="E293" i="148"/>
  <c r="K293" i="148"/>
  <c r="G293" i="148"/>
  <c r="C293" i="148"/>
  <c r="I294" i="148"/>
  <c r="D294" i="148"/>
  <c r="J294" i="148"/>
  <c r="E294" i="148"/>
  <c r="K294" i="148"/>
  <c r="G294" i="148"/>
  <c r="C294" i="148"/>
  <c r="I295" i="148"/>
  <c r="D295" i="148"/>
  <c r="J295" i="148"/>
  <c r="E295" i="148"/>
  <c r="K295" i="148"/>
  <c r="G295" i="148"/>
  <c r="C295" i="148"/>
  <c r="I296" i="148"/>
  <c r="D296" i="148"/>
  <c r="J296" i="148"/>
  <c r="E296" i="148"/>
  <c r="K296" i="148"/>
  <c r="G296" i="148"/>
  <c r="C296" i="148"/>
  <c r="I297" i="148"/>
  <c r="D297" i="148"/>
  <c r="J297" i="148"/>
  <c r="E297" i="148"/>
  <c r="K297" i="148"/>
  <c r="G297" i="148"/>
  <c r="C297" i="148"/>
  <c r="I298" i="148"/>
  <c r="D298" i="148"/>
  <c r="J298" i="148"/>
  <c r="E298" i="148"/>
  <c r="K298" i="148"/>
  <c r="G298" i="148"/>
  <c r="C298" i="148"/>
  <c r="I299" i="148"/>
  <c r="D299" i="148"/>
  <c r="J299" i="148"/>
  <c r="E299" i="148"/>
  <c r="K299" i="148"/>
  <c r="G299" i="148"/>
  <c r="C299" i="148"/>
  <c r="I300" i="148"/>
  <c r="D300" i="148"/>
  <c r="J300" i="148"/>
  <c r="E300" i="148"/>
  <c r="K300" i="148"/>
  <c r="G300" i="148"/>
  <c r="C300" i="148"/>
  <c r="I301" i="148"/>
  <c r="D301" i="148"/>
  <c r="J301" i="148"/>
  <c r="E301" i="148"/>
  <c r="K301" i="148"/>
  <c r="G301" i="148"/>
  <c r="C301" i="148"/>
  <c r="I302" i="148"/>
  <c r="D302" i="148"/>
  <c r="J302" i="148"/>
  <c r="E302" i="148"/>
  <c r="K302" i="148"/>
  <c r="G302" i="148"/>
  <c r="C302" i="148"/>
  <c r="I303" i="148"/>
  <c r="D303" i="148"/>
  <c r="J303" i="148"/>
  <c r="E303" i="148"/>
  <c r="K303" i="148"/>
  <c r="G303" i="148"/>
  <c r="C303" i="148"/>
  <c r="I304" i="148"/>
  <c r="D304" i="148"/>
  <c r="J304" i="148"/>
  <c r="E304" i="148"/>
  <c r="K304" i="148"/>
  <c r="G304" i="148"/>
  <c r="C304" i="148"/>
  <c r="I305" i="148"/>
  <c r="D305" i="148"/>
  <c r="J305" i="148"/>
  <c r="E305" i="148"/>
  <c r="K305" i="148"/>
  <c r="G305" i="148"/>
  <c r="C305" i="148"/>
  <c r="I306" i="148"/>
  <c r="D306" i="148"/>
  <c r="J306" i="148"/>
  <c r="E306" i="148"/>
  <c r="K306" i="148"/>
  <c r="G306" i="148"/>
  <c r="C306" i="148"/>
  <c r="I307" i="148"/>
  <c r="D307" i="148"/>
  <c r="J307" i="148"/>
  <c r="E307" i="148"/>
  <c r="K307" i="148"/>
  <c r="G307" i="148"/>
  <c r="C307" i="148"/>
  <c r="I308" i="148"/>
  <c r="D308" i="148"/>
  <c r="J308" i="148"/>
  <c r="E308" i="148"/>
  <c r="K308" i="148"/>
  <c r="G308" i="148"/>
  <c r="C308" i="148"/>
  <c r="I309" i="148"/>
  <c r="D309" i="148"/>
  <c r="J309" i="148"/>
  <c r="E309" i="148"/>
  <c r="K309" i="148"/>
  <c r="G309" i="148"/>
  <c r="C309" i="148"/>
  <c r="I310" i="148"/>
  <c r="D310" i="148"/>
  <c r="J310" i="148"/>
  <c r="E310" i="148"/>
  <c r="K310" i="148"/>
  <c r="G310" i="148"/>
  <c r="C310" i="148"/>
  <c r="I311" i="148"/>
  <c r="D311" i="148"/>
  <c r="J311" i="148"/>
  <c r="E311" i="148"/>
  <c r="K311" i="148"/>
  <c r="G311" i="148"/>
  <c r="C311" i="148"/>
  <c r="I312" i="148"/>
  <c r="D312" i="148"/>
  <c r="J312" i="148"/>
  <c r="E312" i="148"/>
  <c r="K312" i="148"/>
  <c r="G312" i="148"/>
  <c r="C312" i="148"/>
  <c r="I313" i="148"/>
  <c r="D313" i="148"/>
  <c r="J313" i="148"/>
  <c r="E313" i="148"/>
  <c r="K313" i="148"/>
  <c r="G313" i="148"/>
  <c r="C313" i="148"/>
  <c r="I314" i="148"/>
  <c r="D314" i="148"/>
  <c r="J314" i="148"/>
  <c r="E314" i="148"/>
  <c r="K314" i="148"/>
  <c r="G314" i="148"/>
  <c r="C314" i="148"/>
  <c r="I315" i="148"/>
  <c r="D315" i="148"/>
  <c r="J315" i="148"/>
  <c r="E315" i="148"/>
  <c r="K315" i="148"/>
  <c r="G315" i="148"/>
  <c r="C315" i="148"/>
  <c r="I316" i="148"/>
  <c r="D316" i="148"/>
  <c r="J316" i="148"/>
  <c r="E316" i="148"/>
  <c r="K316" i="148"/>
  <c r="G316" i="148"/>
  <c r="C316" i="148"/>
  <c r="I317" i="148"/>
  <c r="D317" i="148"/>
  <c r="J317" i="148"/>
  <c r="E317" i="148"/>
  <c r="K317" i="148"/>
  <c r="G317" i="148"/>
  <c r="C317" i="148"/>
  <c r="I318" i="148"/>
  <c r="D318" i="148"/>
  <c r="J318" i="148"/>
  <c r="E318" i="148"/>
  <c r="K318" i="148"/>
  <c r="G318" i="148"/>
  <c r="C318" i="148"/>
  <c r="I319" i="148"/>
  <c r="D319" i="148"/>
  <c r="J319" i="148"/>
  <c r="E319" i="148"/>
  <c r="K319" i="148"/>
  <c r="G319" i="148"/>
  <c r="C319" i="148"/>
  <c r="I320" i="148"/>
  <c r="D320" i="148"/>
  <c r="J320" i="148"/>
  <c r="E320" i="148"/>
  <c r="K320" i="148"/>
  <c r="G320" i="148"/>
  <c r="C320" i="148"/>
  <c r="I321" i="148"/>
  <c r="D321" i="148"/>
  <c r="J321" i="148"/>
  <c r="E321" i="148"/>
  <c r="K321" i="148"/>
  <c r="G321" i="148"/>
  <c r="C321" i="148"/>
  <c r="I322" i="148"/>
  <c r="D322" i="148"/>
  <c r="J322" i="148"/>
  <c r="E322" i="148"/>
  <c r="K322" i="148"/>
  <c r="G322" i="148"/>
  <c r="C322" i="148"/>
  <c r="I323" i="148"/>
  <c r="D323" i="148"/>
  <c r="J323" i="148"/>
  <c r="E323" i="148"/>
  <c r="K323" i="148"/>
  <c r="G323" i="148"/>
  <c r="C323" i="148"/>
  <c r="I324" i="148"/>
  <c r="D324" i="148"/>
  <c r="J324" i="148"/>
  <c r="E324" i="148"/>
  <c r="K324" i="148"/>
  <c r="G324" i="148"/>
  <c r="C324" i="148"/>
  <c r="I325" i="148"/>
  <c r="D325" i="148"/>
  <c r="J325" i="148"/>
  <c r="E325" i="148"/>
  <c r="K325" i="148"/>
  <c r="G325" i="148"/>
  <c r="C325" i="148"/>
  <c r="I326" i="148"/>
  <c r="D326" i="148"/>
  <c r="J326" i="148"/>
  <c r="E326" i="148"/>
  <c r="K326" i="148"/>
  <c r="G326" i="148"/>
  <c r="C326" i="148"/>
  <c r="I327" i="148"/>
  <c r="D327" i="148"/>
  <c r="J327" i="148"/>
  <c r="E327" i="148"/>
  <c r="K327" i="148"/>
  <c r="G327" i="148"/>
  <c r="C327" i="148"/>
  <c r="I328" i="148"/>
  <c r="D328" i="148"/>
  <c r="J328" i="148"/>
  <c r="E328" i="148"/>
  <c r="K328" i="148"/>
  <c r="G328" i="148"/>
  <c r="C328" i="148"/>
  <c r="I329" i="148"/>
  <c r="D329" i="148"/>
  <c r="J329" i="148"/>
  <c r="E329" i="148"/>
  <c r="K329" i="148"/>
  <c r="G329" i="148"/>
  <c r="C329" i="148"/>
  <c r="I330" i="148"/>
  <c r="D330" i="148"/>
  <c r="J330" i="148"/>
  <c r="E330" i="148"/>
  <c r="K330" i="148"/>
  <c r="G330" i="148"/>
  <c r="C330" i="148"/>
  <c r="I331" i="148"/>
  <c r="D331" i="148"/>
  <c r="J331" i="148"/>
  <c r="E331" i="148"/>
  <c r="K331" i="148"/>
  <c r="G331" i="148"/>
  <c r="C331" i="148"/>
  <c r="F5" i="147"/>
  <c r="E5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27" i="147"/>
  <c r="B27" i="147"/>
  <c r="F7" i="147"/>
  <c r="A51" i="147"/>
  <c r="G27" i="147"/>
  <c r="H27" i="147"/>
  <c r="O138" i="148"/>
  <c r="E7" i="147"/>
  <c r="E19" i="147"/>
  <c r="B19" i="147"/>
  <c r="E24" i="147"/>
  <c r="B24" i="147"/>
  <c r="B17" i="147"/>
  <c r="G17" i="147"/>
  <c r="E17" i="147"/>
  <c r="H17" i="147"/>
  <c r="O2" i="148"/>
  <c r="E18" i="147"/>
  <c r="B18" i="147"/>
  <c r="G18" i="147"/>
  <c r="H18" i="147"/>
  <c r="O3" i="148"/>
  <c r="O4" i="148"/>
  <c r="O5" i="148"/>
  <c r="F8" i="147"/>
  <c r="E8" i="147"/>
  <c r="E34" i="147"/>
  <c r="B34" i="147"/>
  <c r="E39" i="147"/>
  <c r="B39" i="147"/>
  <c r="B32" i="147"/>
  <c r="G32" i="147"/>
  <c r="E32" i="147"/>
  <c r="H32" i="147"/>
  <c r="O6" i="148"/>
  <c r="E33" i="147"/>
  <c r="B33" i="147"/>
  <c r="G33" i="147"/>
  <c r="H33" i="147"/>
  <c r="O7" i="148"/>
  <c r="O8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O42" i="148"/>
  <c r="E25" i="147"/>
  <c r="B25" i="147"/>
  <c r="G25" i="147"/>
  <c r="H25" i="147"/>
  <c r="O43" i="148"/>
  <c r="E26" i="147"/>
  <c r="B26" i="147"/>
  <c r="G26" i="147"/>
  <c r="H26" i="147"/>
  <c r="O44" i="148"/>
  <c r="O45" i="148"/>
  <c r="O46" i="148"/>
  <c r="O47" i="148"/>
  <c r="G39" i="147"/>
  <c r="H39" i="147"/>
  <c r="O48" i="148"/>
  <c r="E40" i="147"/>
  <c r="B40" i="147"/>
  <c r="G40" i="147"/>
  <c r="H40" i="147"/>
  <c r="O49" i="148"/>
  <c r="E41" i="147"/>
  <c r="B41" i="147"/>
  <c r="G41" i="147"/>
  <c r="H41" i="147"/>
  <c r="O50" i="148"/>
  <c r="G19" i="147"/>
  <c r="H19" i="147"/>
  <c r="O51" i="148"/>
  <c r="E20" i="147"/>
  <c r="B20" i="147"/>
  <c r="G20" i="147"/>
  <c r="H20" i="147"/>
  <c r="O52" i="148"/>
  <c r="E21" i="147"/>
  <c r="B21" i="147"/>
  <c r="G21" i="147"/>
  <c r="H21" i="147"/>
  <c r="O53" i="148"/>
  <c r="O54" i="148"/>
  <c r="O55" i="148"/>
  <c r="O56" i="148"/>
  <c r="O57" i="148"/>
  <c r="O58" i="148"/>
  <c r="O59" i="148"/>
  <c r="G34" i="147"/>
  <c r="H34" i="147"/>
  <c r="O60" i="148"/>
  <c r="E35" i="147"/>
  <c r="B35" i="147"/>
  <c r="G35" i="147"/>
  <c r="H35" i="147"/>
  <c r="O61" i="148"/>
  <c r="E36" i="147"/>
  <c r="B36" i="147"/>
  <c r="G36" i="147"/>
  <c r="H36" i="147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E28" i="147"/>
  <c r="B28" i="147"/>
  <c r="G28" i="147"/>
  <c r="H28" i="147"/>
  <c r="O139" i="148"/>
  <c r="O140" i="148"/>
  <c r="O141" i="148"/>
  <c r="F6" i="147"/>
  <c r="E6" i="147"/>
  <c r="E42" i="147"/>
  <c r="B42" i="147"/>
  <c r="G42" i="147"/>
  <c r="H42" i="147"/>
  <c r="O142" i="148"/>
  <c r="E43" i="147"/>
  <c r="B43" i="147"/>
  <c r="G43" i="147"/>
  <c r="H43" i="147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E23" i="147"/>
  <c r="B23" i="147"/>
  <c r="G23" i="147"/>
  <c r="H23" i="147"/>
  <c r="O215" i="148"/>
  <c r="O216" i="148"/>
  <c r="E38" i="147"/>
  <c r="B38" i="147"/>
  <c r="G38" i="147"/>
  <c r="H38" i="147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O256" i="148"/>
  <c r="O257" i="148"/>
  <c r="O258" i="148"/>
  <c r="O259" i="148"/>
  <c r="O260" i="148"/>
  <c r="O261" i="148"/>
  <c r="E22" i="147"/>
  <c r="B22" i="147"/>
  <c r="G22" i="147"/>
  <c r="H22" i="147"/>
  <c r="O262" i="148"/>
  <c r="O263" i="148"/>
  <c r="O264" i="148"/>
  <c r="O265" i="148"/>
  <c r="E44" i="147"/>
  <c r="B44" i="147"/>
  <c r="G44" i="147"/>
  <c r="H44" i="147"/>
  <c r="O266" i="148"/>
  <c r="E29" i="147"/>
  <c r="B29" i="147"/>
  <c r="G29" i="147"/>
  <c r="H29" i="147"/>
  <c r="O267" i="148"/>
  <c r="O268" i="148"/>
  <c r="O269" i="148"/>
  <c r="E37" i="147"/>
  <c r="B37" i="147"/>
  <c r="G37" i="147"/>
  <c r="H37" i="147"/>
  <c r="O270" i="148"/>
  <c r="O271" i="148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O295" i="148"/>
  <c r="O296" i="148"/>
  <c r="O297" i="148"/>
  <c r="O298" i="148"/>
  <c r="O299" i="148"/>
  <c r="O300" i="148"/>
  <c r="O301" i="148"/>
  <c r="O302" i="148"/>
  <c r="O303" i="148"/>
  <c r="O304" i="148"/>
  <c r="O305" i="148"/>
  <c r="O306" i="148"/>
  <c r="O307" i="148"/>
  <c r="O308" i="148"/>
  <c r="O309" i="148"/>
  <c r="O310" i="148"/>
  <c r="O311" i="148"/>
  <c r="O312" i="148"/>
  <c r="O313" i="148"/>
  <c r="O314" i="148"/>
  <c r="O315" i="148"/>
  <c r="O316" i="148"/>
  <c r="O317" i="148"/>
  <c r="O318" i="148"/>
  <c r="O319" i="148"/>
  <c r="O320" i="148"/>
  <c r="O321" i="148"/>
  <c r="O322" i="148"/>
  <c r="O323" i="148"/>
  <c r="O324" i="148"/>
  <c r="O325" i="148"/>
  <c r="O326" i="148"/>
  <c r="O327" i="148"/>
  <c r="O328" i="148"/>
  <c r="O329" i="148"/>
  <c r="O330" i="148"/>
  <c r="G46" i="147"/>
  <c r="E46" i="147"/>
  <c r="H46" i="147"/>
  <c r="O331" i="148"/>
  <c r="P138" i="148"/>
  <c r="P139" i="148"/>
  <c r="P140" i="148"/>
  <c r="P141" i="148"/>
  <c r="P2" i="14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95" i="148"/>
  <c r="P296" i="148"/>
  <c r="P297" i="148"/>
  <c r="P298" i="148"/>
  <c r="P299" i="148"/>
  <c r="P300" i="148"/>
  <c r="P301" i="148"/>
  <c r="P302" i="148"/>
  <c r="P303" i="148"/>
  <c r="P304" i="148"/>
  <c r="P305" i="148"/>
  <c r="P306" i="148"/>
  <c r="P307" i="148"/>
  <c r="P308" i="148"/>
  <c r="P309" i="148"/>
  <c r="P310" i="148"/>
  <c r="P311" i="148"/>
  <c r="P312" i="148"/>
  <c r="P313" i="148"/>
  <c r="P314" i="148"/>
  <c r="P315" i="148"/>
  <c r="P316" i="148"/>
  <c r="P317" i="148"/>
  <c r="P318" i="148"/>
  <c r="P319" i="148"/>
  <c r="P320" i="148"/>
  <c r="P321" i="148"/>
  <c r="P322" i="148"/>
  <c r="P323" i="148"/>
  <c r="P324" i="148"/>
  <c r="P325" i="148"/>
  <c r="P326" i="148"/>
  <c r="P327" i="148"/>
  <c r="P328" i="148"/>
  <c r="P329" i="148"/>
  <c r="P330" i="148"/>
  <c r="P331" i="148"/>
  <c r="F63" i="147"/>
  <c r="F64" i="147"/>
  <c r="G63" i="147"/>
  <c r="E49" i="147"/>
  <c r="F49" i="147"/>
  <c r="F57" i="147"/>
  <c r="G57" i="147"/>
  <c r="G49" i="147"/>
  <c r="C49" i="147"/>
  <c r="B46" i="147"/>
  <c r="I2" i="82"/>
  <c r="J2" i="82"/>
  <c r="D2" i="82"/>
  <c r="E2" i="82"/>
  <c r="K2" i="82"/>
  <c r="G2" i="82"/>
  <c r="C2" i="82"/>
  <c r="I3" i="82"/>
  <c r="J3" i="82"/>
  <c r="D3" i="82"/>
  <c r="E3" i="82"/>
  <c r="K3" i="82"/>
  <c r="G3" i="82"/>
  <c r="C3" i="82"/>
  <c r="I4" i="82"/>
  <c r="J4" i="82"/>
  <c r="D4" i="82"/>
  <c r="E4" i="82"/>
  <c r="K4" i="82"/>
  <c r="G4" i="82"/>
  <c r="C4" i="82"/>
  <c r="I5" i="82"/>
  <c r="J5" i="82"/>
  <c r="D5" i="82"/>
  <c r="E5" i="82"/>
  <c r="K5" i="82"/>
  <c r="G5" i="82"/>
  <c r="C5" i="82"/>
  <c r="I6" i="82"/>
  <c r="J6" i="82"/>
  <c r="D6" i="82"/>
  <c r="E6" i="82"/>
  <c r="K6" i="82"/>
  <c r="G6" i="82"/>
  <c r="C6" i="82"/>
  <c r="I7" i="82"/>
  <c r="J7" i="82"/>
  <c r="D7" i="82"/>
  <c r="E7" i="82"/>
  <c r="K7" i="82"/>
  <c r="G7" i="82"/>
  <c r="C7" i="82"/>
  <c r="I8" i="82"/>
  <c r="J8" i="82"/>
  <c r="D8" i="82"/>
  <c r="E8" i="82"/>
  <c r="K8" i="82"/>
  <c r="G8" i="82"/>
  <c r="C8" i="82"/>
  <c r="I9" i="82"/>
  <c r="J9" i="82"/>
  <c r="D9" i="82"/>
  <c r="E9" i="82"/>
  <c r="K9" i="82"/>
  <c r="G9" i="82"/>
  <c r="C9" i="82"/>
  <c r="I10" i="82"/>
  <c r="J10" i="82"/>
  <c r="D10" i="82"/>
  <c r="E10" i="82"/>
  <c r="K10" i="82"/>
  <c r="G10" i="82"/>
  <c r="C10" i="82"/>
  <c r="I11" i="82"/>
  <c r="J11" i="82"/>
  <c r="D11" i="82"/>
  <c r="E11" i="82"/>
  <c r="K11" i="82"/>
  <c r="G11" i="82"/>
  <c r="C11" i="82"/>
  <c r="I12" i="82"/>
  <c r="J12" i="82"/>
  <c r="D12" i="82"/>
  <c r="E12" i="82"/>
  <c r="K12" i="82"/>
  <c r="G12" i="82"/>
  <c r="C12" i="82"/>
  <c r="I13" i="82"/>
  <c r="J13" i="82"/>
  <c r="D13" i="82"/>
  <c r="E13" i="82"/>
  <c r="K13" i="82"/>
  <c r="G13" i="82"/>
  <c r="C13" i="82"/>
  <c r="I14" i="82"/>
  <c r="J14" i="82"/>
  <c r="D14" i="82"/>
  <c r="E14" i="82"/>
  <c r="K14" i="82"/>
  <c r="G14" i="82"/>
  <c r="C14" i="82"/>
  <c r="I15" i="82"/>
  <c r="J15" i="82"/>
  <c r="D15" i="82"/>
  <c r="E15" i="82"/>
  <c r="K15" i="82"/>
  <c r="G15" i="82"/>
  <c r="C15" i="82"/>
  <c r="I16" i="82"/>
  <c r="J16" i="82"/>
  <c r="D16" i="82"/>
  <c r="E16" i="82"/>
  <c r="K16" i="82"/>
  <c r="G16" i="82"/>
  <c r="C16" i="82"/>
  <c r="I17" i="82"/>
  <c r="J17" i="82"/>
  <c r="D17" i="82"/>
  <c r="E17" i="82"/>
  <c r="K17" i="82"/>
  <c r="G17" i="82"/>
  <c r="C17" i="82"/>
  <c r="I18" i="82"/>
  <c r="J18" i="82"/>
  <c r="D18" i="82"/>
  <c r="E18" i="82"/>
  <c r="K18" i="82"/>
  <c r="G18" i="82"/>
  <c r="C18" i="82"/>
  <c r="I19" i="82"/>
  <c r="J19" i="82"/>
  <c r="D19" i="82"/>
  <c r="E19" i="82"/>
  <c r="K19" i="82"/>
  <c r="G19" i="82"/>
  <c r="C19" i="82"/>
  <c r="I20" i="82"/>
  <c r="J20" i="82"/>
  <c r="D20" i="82"/>
  <c r="E20" i="82"/>
  <c r="K20" i="82"/>
  <c r="G20" i="82"/>
  <c r="C20" i="82"/>
  <c r="I21" i="82"/>
  <c r="J21" i="82"/>
  <c r="D21" i="82"/>
  <c r="E21" i="82"/>
  <c r="K21" i="82"/>
  <c r="G21" i="82"/>
  <c r="C21" i="82"/>
  <c r="I22" i="82"/>
  <c r="J22" i="82"/>
  <c r="D22" i="82"/>
  <c r="E22" i="82"/>
  <c r="K22" i="82"/>
  <c r="G22" i="82"/>
  <c r="C22" i="82"/>
  <c r="I23" i="82"/>
  <c r="J23" i="82"/>
  <c r="D23" i="82"/>
  <c r="E23" i="82"/>
  <c r="K23" i="82"/>
  <c r="G23" i="82"/>
  <c r="C23" i="82"/>
  <c r="I24" i="82"/>
  <c r="J24" i="82"/>
  <c r="D24" i="82"/>
  <c r="E24" i="82"/>
  <c r="K24" i="82"/>
  <c r="G24" i="82"/>
  <c r="C24" i="82"/>
  <c r="I25" i="82"/>
  <c r="J25" i="82"/>
  <c r="D25" i="82"/>
  <c r="E25" i="82"/>
  <c r="K25" i="82"/>
  <c r="G25" i="82"/>
  <c r="C25" i="82"/>
  <c r="I26" i="82"/>
  <c r="J26" i="82"/>
  <c r="D26" i="82"/>
  <c r="E26" i="82"/>
  <c r="K26" i="82"/>
  <c r="G26" i="82"/>
  <c r="C26" i="82"/>
  <c r="I27" i="82"/>
  <c r="J27" i="82"/>
  <c r="D27" i="82"/>
  <c r="E27" i="82"/>
  <c r="K27" i="82"/>
  <c r="G27" i="82"/>
  <c r="C27" i="82"/>
  <c r="I28" i="82"/>
  <c r="J28" i="82"/>
  <c r="D28" i="82"/>
  <c r="E28" i="82"/>
  <c r="K28" i="82"/>
  <c r="G28" i="82"/>
  <c r="C28" i="82"/>
  <c r="I29" i="82"/>
  <c r="J29" i="82"/>
  <c r="D29" i="82"/>
  <c r="E29" i="82"/>
  <c r="K29" i="82"/>
  <c r="G29" i="82"/>
  <c r="C29" i="82"/>
  <c r="I30" i="82"/>
  <c r="J30" i="82"/>
  <c r="D30" i="82"/>
  <c r="E30" i="82"/>
  <c r="K30" i="82"/>
  <c r="G30" i="82"/>
  <c r="C30" i="82"/>
  <c r="I31" i="82"/>
  <c r="J31" i="82"/>
  <c r="D31" i="82"/>
  <c r="E31" i="82"/>
  <c r="K31" i="82"/>
  <c r="G31" i="82"/>
  <c r="C31" i="82"/>
  <c r="I32" i="82"/>
  <c r="J32" i="82"/>
  <c r="D32" i="82"/>
  <c r="E32" i="82"/>
  <c r="K32" i="82"/>
  <c r="G32" i="82"/>
  <c r="C32" i="82"/>
  <c r="I33" i="82"/>
  <c r="J33" i="82"/>
  <c r="D33" i="82"/>
  <c r="E33" i="82"/>
  <c r="K33" i="82"/>
  <c r="G33" i="82"/>
  <c r="C33" i="82"/>
  <c r="I34" i="82"/>
  <c r="J34" i="82"/>
  <c r="D34" i="82"/>
  <c r="E34" i="82"/>
  <c r="K34" i="82"/>
  <c r="G34" i="82"/>
  <c r="C34" i="82"/>
  <c r="I35" i="82"/>
  <c r="J35" i="82"/>
  <c r="D35" i="82"/>
  <c r="E35" i="82"/>
  <c r="K35" i="82"/>
  <c r="G35" i="82"/>
  <c r="C35" i="82"/>
  <c r="I36" i="82"/>
  <c r="J36" i="82"/>
  <c r="D36" i="82"/>
  <c r="E36" i="82"/>
  <c r="K36" i="82"/>
  <c r="G36" i="82"/>
  <c r="C36" i="82"/>
  <c r="I37" i="82"/>
  <c r="J37" i="82"/>
  <c r="D37" i="82"/>
  <c r="E37" i="82"/>
  <c r="K37" i="82"/>
  <c r="G37" i="82"/>
  <c r="C37" i="82"/>
  <c r="I38" i="82"/>
  <c r="J38" i="82"/>
  <c r="D38" i="82"/>
  <c r="E38" i="82"/>
  <c r="K38" i="82"/>
  <c r="G38" i="82"/>
  <c r="C38" i="82"/>
  <c r="I39" i="82"/>
  <c r="J39" i="82"/>
  <c r="D39" i="82"/>
  <c r="E39" i="82"/>
  <c r="K39" i="82"/>
  <c r="G39" i="82"/>
  <c r="C39" i="82"/>
  <c r="I40" i="82"/>
  <c r="J40" i="82"/>
  <c r="D40" i="82"/>
  <c r="E40" i="82"/>
  <c r="K40" i="82"/>
  <c r="G40" i="82"/>
  <c r="C40" i="82"/>
  <c r="I41" i="82"/>
  <c r="J41" i="82"/>
  <c r="D41" i="82"/>
  <c r="E41" i="82"/>
  <c r="K41" i="82"/>
  <c r="G41" i="82"/>
  <c r="C41" i="82"/>
  <c r="I42" i="82"/>
  <c r="D42" i="82"/>
  <c r="J42" i="82"/>
  <c r="E42" i="82"/>
  <c r="K42" i="82"/>
  <c r="G42" i="82"/>
  <c r="C42" i="82"/>
  <c r="I43" i="82"/>
  <c r="D43" i="82"/>
  <c r="J43" i="82"/>
  <c r="E43" i="82"/>
  <c r="K43" i="82"/>
  <c r="G43" i="82"/>
  <c r="C43" i="82"/>
  <c r="I44" i="82"/>
  <c r="D44" i="82"/>
  <c r="J44" i="82"/>
  <c r="E44" i="82"/>
  <c r="K44" i="82"/>
  <c r="G44" i="82"/>
  <c r="C44" i="82"/>
  <c r="I45" i="82"/>
  <c r="D45" i="82"/>
  <c r="J45" i="82"/>
  <c r="E45" i="82"/>
  <c r="K45" i="82"/>
  <c r="G45" i="82"/>
  <c r="C45" i="82"/>
  <c r="I46" i="82"/>
  <c r="D46" i="82"/>
  <c r="J46" i="82"/>
  <c r="E46" i="82"/>
  <c r="K46" i="82"/>
  <c r="G46" i="82"/>
  <c r="C46" i="82"/>
  <c r="I47" i="82"/>
  <c r="D47" i="82"/>
  <c r="J47" i="82"/>
  <c r="E47" i="82"/>
  <c r="K47" i="82"/>
  <c r="G47" i="82"/>
  <c r="C47" i="82"/>
  <c r="I48" i="82"/>
  <c r="D48" i="82"/>
  <c r="J48" i="82"/>
  <c r="E48" i="82"/>
  <c r="K48" i="82"/>
  <c r="G48" i="82"/>
  <c r="C48" i="82"/>
  <c r="I49" i="82"/>
  <c r="D49" i="82"/>
  <c r="J49" i="82"/>
  <c r="E49" i="82"/>
  <c r="K49" i="82"/>
  <c r="G49" i="82"/>
  <c r="C49" i="82"/>
  <c r="I50" i="82"/>
  <c r="D50" i="82"/>
  <c r="J50" i="82"/>
  <c r="E50" i="82"/>
  <c r="K50" i="82"/>
  <c r="G50" i="82"/>
  <c r="C50" i="82"/>
  <c r="I51" i="82"/>
  <c r="D51" i="82"/>
  <c r="J51" i="82"/>
  <c r="E51" i="82"/>
  <c r="K51" i="82"/>
  <c r="G51" i="82"/>
  <c r="C51" i="82"/>
  <c r="I52" i="82"/>
  <c r="D52" i="82"/>
  <c r="J52" i="82"/>
  <c r="E52" i="82"/>
  <c r="K52" i="82"/>
  <c r="G52" i="82"/>
  <c r="C52" i="82"/>
  <c r="I53" i="82"/>
  <c r="D53" i="82"/>
  <c r="J53" i="82"/>
  <c r="E53" i="82"/>
  <c r="K53" i="82"/>
  <c r="G53" i="82"/>
  <c r="C53" i="82"/>
  <c r="I54" i="82"/>
  <c r="D54" i="82"/>
  <c r="J54" i="82"/>
  <c r="E54" i="82"/>
  <c r="K54" i="82"/>
  <c r="G54" i="82"/>
  <c r="C54" i="82"/>
  <c r="I55" i="82"/>
  <c r="D55" i="82"/>
  <c r="J55" i="82"/>
  <c r="E55" i="82"/>
  <c r="K55" i="82"/>
  <c r="G55" i="82"/>
  <c r="C55" i="82"/>
  <c r="I56" i="82"/>
  <c r="D56" i="82"/>
  <c r="J56" i="82"/>
  <c r="E56" i="82"/>
  <c r="K56" i="82"/>
  <c r="G56" i="82"/>
  <c r="C56" i="82"/>
  <c r="I57" i="82"/>
  <c r="D57" i="82"/>
  <c r="J57" i="82"/>
  <c r="E57" i="82"/>
  <c r="K57" i="82"/>
  <c r="G57" i="82"/>
  <c r="C57" i="82"/>
  <c r="I58" i="82"/>
  <c r="D58" i="82"/>
  <c r="J58" i="82"/>
  <c r="E58" i="82"/>
  <c r="K58" i="82"/>
  <c r="G58" i="82"/>
  <c r="C58" i="82"/>
  <c r="I59" i="82"/>
  <c r="D59" i="82"/>
  <c r="J59" i="82"/>
  <c r="E59" i="82"/>
  <c r="K59" i="82"/>
  <c r="G59" i="82"/>
  <c r="C59" i="82"/>
  <c r="I60" i="82"/>
  <c r="D60" i="82"/>
  <c r="J60" i="82"/>
  <c r="E60" i="82"/>
  <c r="K60" i="82"/>
  <c r="G60" i="82"/>
  <c r="C60" i="82"/>
  <c r="I61" i="82"/>
  <c r="D61" i="82"/>
  <c r="J61" i="82"/>
  <c r="E61" i="82"/>
  <c r="K61" i="82"/>
  <c r="G61" i="82"/>
  <c r="C61" i="82"/>
  <c r="I62" i="82"/>
  <c r="D62" i="82"/>
  <c r="J62" i="82"/>
  <c r="E62" i="82"/>
  <c r="K62" i="82"/>
  <c r="G62" i="82"/>
  <c r="C62" i="82"/>
  <c r="I63" i="82"/>
  <c r="D63" i="82"/>
  <c r="J63" i="82"/>
  <c r="E63" i="82"/>
  <c r="K63" i="82"/>
  <c r="G63" i="82"/>
  <c r="C63" i="82"/>
  <c r="I64" i="82"/>
  <c r="D64" i="82"/>
  <c r="J64" i="82"/>
  <c r="E64" i="82"/>
  <c r="K64" i="82"/>
  <c r="G64" i="82"/>
  <c r="C64" i="82"/>
  <c r="I65" i="82"/>
  <c r="D65" i="82"/>
  <c r="J65" i="82"/>
  <c r="E65" i="82"/>
  <c r="K65" i="82"/>
  <c r="G65" i="82"/>
  <c r="C65" i="82"/>
  <c r="I66" i="82"/>
  <c r="D66" i="82"/>
  <c r="J66" i="82"/>
  <c r="E66" i="82"/>
  <c r="K66" i="82"/>
  <c r="G66" i="82"/>
  <c r="C66" i="82"/>
  <c r="I67" i="82"/>
  <c r="D67" i="82"/>
  <c r="J67" i="82"/>
  <c r="E67" i="82"/>
  <c r="K67" i="82"/>
  <c r="G67" i="82"/>
  <c r="C67" i="82"/>
  <c r="I68" i="82"/>
  <c r="D68" i="82"/>
  <c r="J68" i="82"/>
  <c r="E68" i="82"/>
  <c r="K68" i="82"/>
  <c r="G68" i="82"/>
  <c r="C68" i="82"/>
  <c r="I69" i="82"/>
  <c r="D69" i="82"/>
  <c r="J69" i="82"/>
  <c r="E69" i="82"/>
  <c r="K69" i="82"/>
  <c r="G69" i="82"/>
  <c r="C69" i="82"/>
  <c r="I70" i="82"/>
  <c r="D70" i="82"/>
  <c r="J70" i="82"/>
  <c r="E70" i="82"/>
  <c r="K70" i="82"/>
  <c r="G70" i="82"/>
  <c r="C70" i="82"/>
  <c r="I71" i="82"/>
  <c r="D71" i="82"/>
  <c r="J71" i="82"/>
  <c r="E71" i="82"/>
  <c r="K71" i="82"/>
  <c r="G71" i="82"/>
  <c r="C71" i="82"/>
  <c r="I72" i="82"/>
  <c r="D72" i="82"/>
  <c r="J72" i="82"/>
  <c r="E72" i="82"/>
  <c r="K72" i="82"/>
  <c r="G72" i="82"/>
  <c r="C72" i="82"/>
  <c r="I73" i="82"/>
  <c r="D73" i="82"/>
  <c r="J73" i="82"/>
  <c r="E73" i="82"/>
  <c r="K73" i="82"/>
  <c r="G73" i="82"/>
  <c r="C73" i="82"/>
  <c r="I74" i="82"/>
  <c r="D74" i="82"/>
  <c r="J74" i="82"/>
  <c r="E74" i="82"/>
  <c r="K74" i="82"/>
  <c r="G74" i="82"/>
  <c r="C74" i="82"/>
  <c r="I75" i="82"/>
  <c r="D75" i="82"/>
  <c r="J75" i="82"/>
  <c r="E75" i="82"/>
  <c r="K75" i="82"/>
  <c r="G75" i="82"/>
  <c r="C75" i="82"/>
  <c r="I76" i="82"/>
  <c r="D76" i="82"/>
  <c r="J76" i="82"/>
  <c r="E76" i="82"/>
  <c r="K76" i="82"/>
  <c r="G76" i="82"/>
  <c r="C76" i="82"/>
  <c r="I77" i="82"/>
  <c r="D77" i="82"/>
  <c r="J77" i="82"/>
  <c r="E77" i="82"/>
  <c r="K77" i="82"/>
  <c r="G77" i="82"/>
  <c r="C77" i="82"/>
  <c r="I78" i="82"/>
  <c r="D78" i="82"/>
  <c r="J78" i="82"/>
  <c r="E78" i="82"/>
  <c r="K78" i="82"/>
  <c r="G78" i="82"/>
  <c r="C78" i="82"/>
  <c r="I79" i="82"/>
  <c r="D79" i="82"/>
  <c r="J79" i="82"/>
  <c r="E79" i="82"/>
  <c r="K79" i="82"/>
  <c r="G79" i="82"/>
  <c r="C79" i="82"/>
  <c r="I80" i="82"/>
  <c r="D80" i="82"/>
  <c r="J80" i="82"/>
  <c r="E80" i="82"/>
  <c r="K80" i="82"/>
  <c r="G80" i="82"/>
  <c r="C80" i="82"/>
  <c r="I81" i="82"/>
  <c r="D81" i="82"/>
  <c r="J81" i="82"/>
  <c r="E81" i="82"/>
  <c r="K81" i="82"/>
  <c r="G81" i="82"/>
  <c r="C81" i="82"/>
  <c r="I82" i="82"/>
  <c r="D82" i="82"/>
  <c r="J82" i="82"/>
  <c r="E82" i="82"/>
  <c r="K82" i="82"/>
  <c r="G82" i="82"/>
  <c r="C82" i="82"/>
  <c r="I83" i="82"/>
  <c r="D83" i="82"/>
  <c r="J83" i="82"/>
  <c r="E83" i="82"/>
  <c r="K83" i="82"/>
  <c r="G83" i="82"/>
  <c r="C83" i="82"/>
  <c r="I84" i="82"/>
  <c r="D84" i="82"/>
  <c r="J84" i="82"/>
  <c r="E84" i="82"/>
  <c r="K84" i="82"/>
  <c r="G84" i="82"/>
  <c r="C84" i="82"/>
  <c r="I85" i="82"/>
  <c r="D85" i="82"/>
  <c r="J85" i="82"/>
  <c r="E85" i="82"/>
  <c r="K85" i="82"/>
  <c r="G85" i="82"/>
  <c r="C85" i="82"/>
  <c r="I86" i="82"/>
  <c r="D86" i="82"/>
  <c r="J86" i="82"/>
  <c r="E86" i="82"/>
  <c r="K86" i="82"/>
  <c r="G86" i="82"/>
  <c r="C86" i="82"/>
  <c r="I87" i="82"/>
  <c r="D87" i="82"/>
  <c r="J87" i="82"/>
  <c r="E87" i="82"/>
  <c r="K87" i="82"/>
  <c r="G87" i="82"/>
  <c r="C87" i="82"/>
  <c r="I88" i="82"/>
  <c r="D88" i="82"/>
  <c r="J88" i="82"/>
  <c r="E88" i="82"/>
  <c r="K88" i="82"/>
  <c r="G88" i="82"/>
  <c r="C88" i="82"/>
  <c r="I89" i="82"/>
  <c r="D89" i="82"/>
  <c r="J89" i="82"/>
  <c r="E89" i="82"/>
  <c r="K89" i="82"/>
  <c r="G89" i="82"/>
  <c r="C89" i="82"/>
  <c r="I90" i="82"/>
  <c r="D90" i="82"/>
  <c r="J90" i="82"/>
  <c r="E90" i="82"/>
  <c r="K90" i="82"/>
  <c r="G90" i="82"/>
  <c r="C90" i="82"/>
  <c r="I91" i="82"/>
  <c r="D91" i="82"/>
  <c r="J91" i="82"/>
  <c r="E91" i="82"/>
  <c r="K91" i="82"/>
  <c r="G91" i="82"/>
  <c r="C91" i="82"/>
  <c r="I92" i="82"/>
  <c r="D92" i="82"/>
  <c r="J92" i="82"/>
  <c r="E92" i="82"/>
  <c r="K92" i="82"/>
  <c r="G92" i="82"/>
  <c r="C92" i="82"/>
  <c r="I93" i="82"/>
  <c r="D93" i="82"/>
  <c r="J93" i="82"/>
  <c r="E93" i="82"/>
  <c r="K93" i="82"/>
  <c r="G93" i="82"/>
  <c r="C93" i="82"/>
  <c r="I94" i="82"/>
  <c r="D94" i="82"/>
  <c r="J94" i="82"/>
  <c r="E94" i="82"/>
  <c r="K94" i="82"/>
  <c r="G94" i="82"/>
  <c r="C94" i="82"/>
  <c r="I95" i="82"/>
  <c r="D95" i="82"/>
  <c r="J95" i="82"/>
  <c r="E95" i="82"/>
  <c r="K95" i="82"/>
  <c r="G95" i="82"/>
  <c r="C95" i="82"/>
  <c r="I96" i="82"/>
  <c r="D96" i="82"/>
  <c r="J96" i="82"/>
  <c r="E96" i="82"/>
  <c r="K96" i="82"/>
  <c r="G96" i="82"/>
  <c r="C96" i="82"/>
  <c r="I97" i="82"/>
  <c r="D97" i="82"/>
  <c r="J97" i="82"/>
  <c r="E97" i="82"/>
  <c r="K97" i="82"/>
  <c r="G97" i="82"/>
  <c r="C97" i="82"/>
  <c r="I98" i="82"/>
  <c r="D98" i="82"/>
  <c r="J98" i="82"/>
  <c r="E98" i="82"/>
  <c r="K98" i="82"/>
  <c r="G98" i="82"/>
  <c r="C98" i="82"/>
  <c r="I99" i="82"/>
  <c r="D99" i="82"/>
  <c r="J99" i="82"/>
  <c r="E99" i="82"/>
  <c r="K99" i="82"/>
  <c r="G99" i="82"/>
  <c r="C99" i="82"/>
  <c r="I100" i="82"/>
  <c r="D100" i="82"/>
  <c r="J100" i="82"/>
  <c r="E100" i="82"/>
  <c r="K100" i="82"/>
  <c r="G100" i="82"/>
  <c r="C100" i="82"/>
  <c r="I101" i="82"/>
  <c r="D101" i="82"/>
  <c r="J101" i="82"/>
  <c r="E101" i="82"/>
  <c r="K101" i="82"/>
  <c r="G101" i="82"/>
  <c r="C101" i="82"/>
  <c r="I102" i="82"/>
  <c r="D102" i="82"/>
  <c r="J102" i="82"/>
  <c r="E102" i="82"/>
  <c r="K102" i="82"/>
  <c r="G102" i="82"/>
  <c r="C102" i="82"/>
  <c r="I103" i="82"/>
  <c r="D103" i="82"/>
  <c r="J103" i="82"/>
  <c r="E103" i="82"/>
  <c r="K103" i="82"/>
  <c r="G103" i="82"/>
  <c r="C103" i="82"/>
  <c r="I104" i="82"/>
  <c r="D104" i="82"/>
  <c r="J104" i="82"/>
  <c r="E104" i="82"/>
  <c r="K104" i="82"/>
  <c r="G104" i="82"/>
  <c r="C104" i="82"/>
  <c r="I105" i="82"/>
  <c r="D105" i="82"/>
  <c r="J105" i="82"/>
  <c r="E105" i="82"/>
  <c r="K105" i="82"/>
  <c r="G105" i="82"/>
  <c r="C105" i="82"/>
  <c r="I106" i="82"/>
  <c r="D106" i="82"/>
  <c r="J106" i="82"/>
  <c r="E106" i="82"/>
  <c r="K106" i="82"/>
  <c r="G106" i="82"/>
  <c r="C106" i="82"/>
  <c r="I107" i="82"/>
  <c r="D107" i="82"/>
  <c r="J107" i="82"/>
  <c r="E107" i="82"/>
  <c r="K107" i="82"/>
  <c r="G107" i="82"/>
  <c r="C107" i="82"/>
  <c r="I108" i="82"/>
  <c r="D108" i="82"/>
  <c r="J108" i="82"/>
  <c r="E108" i="82"/>
  <c r="K108" i="82"/>
  <c r="G108" i="82"/>
  <c r="C108" i="82"/>
  <c r="I109" i="82"/>
  <c r="D109" i="82"/>
  <c r="J109" i="82"/>
  <c r="E109" i="82"/>
  <c r="K109" i="82"/>
  <c r="G109" i="82"/>
  <c r="C109" i="82"/>
  <c r="I110" i="82"/>
  <c r="D110" i="82"/>
  <c r="J110" i="82"/>
  <c r="E110" i="82"/>
  <c r="K110" i="82"/>
  <c r="G110" i="82"/>
  <c r="C110" i="82"/>
  <c r="I111" i="82"/>
  <c r="D111" i="82"/>
  <c r="J111" i="82"/>
  <c r="E111" i="82"/>
  <c r="K111" i="82"/>
  <c r="G111" i="82"/>
  <c r="C111" i="82"/>
  <c r="I112" i="82"/>
  <c r="D112" i="82"/>
  <c r="J112" i="82"/>
  <c r="E112" i="82"/>
  <c r="K112" i="82"/>
  <c r="G112" i="82"/>
  <c r="C112" i="82"/>
  <c r="I113" i="82"/>
  <c r="D113" i="82"/>
  <c r="J113" i="82"/>
  <c r="E113" i="82"/>
  <c r="K113" i="82"/>
  <c r="G113" i="82"/>
  <c r="C113" i="82"/>
  <c r="I114" i="82"/>
  <c r="D114" i="82"/>
  <c r="J114" i="82"/>
  <c r="E114" i="82"/>
  <c r="K114" i="82"/>
  <c r="G114" i="82"/>
  <c r="C114" i="82"/>
  <c r="I115" i="82"/>
  <c r="D115" i="82"/>
  <c r="J115" i="82"/>
  <c r="E115" i="82"/>
  <c r="K115" i="82"/>
  <c r="G115" i="82"/>
  <c r="C115" i="82"/>
  <c r="I116" i="82"/>
  <c r="D116" i="82"/>
  <c r="J116" i="82"/>
  <c r="E116" i="82"/>
  <c r="K116" i="82"/>
  <c r="G116" i="82"/>
  <c r="C116" i="82"/>
  <c r="I117" i="82"/>
  <c r="D117" i="82"/>
  <c r="J117" i="82"/>
  <c r="E117" i="82"/>
  <c r="K117" i="82"/>
  <c r="G117" i="82"/>
  <c r="C117" i="82"/>
  <c r="I118" i="82"/>
  <c r="D118" i="82"/>
  <c r="J118" i="82"/>
  <c r="E118" i="82"/>
  <c r="K118" i="82"/>
  <c r="G118" i="82"/>
  <c r="C118" i="82"/>
  <c r="I119" i="82"/>
  <c r="D119" i="82"/>
  <c r="J119" i="82"/>
  <c r="E119" i="82"/>
  <c r="K119" i="82"/>
  <c r="G119" i="82"/>
  <c r="C119" i="82"/>
  <c r="I120" i="82"/>
  <c r="D120" i="82"/>
  <c r="J120" i="82"/>
  <c r="E120" i="82"/>
  <c r="K120" i="82"/>
  <c r="G120" i="82"/>
  <c r="C120" i="82"/>
  <c r="I121" i="82"/>
  <c r="D121" i="82"/>
  <c r="J121" i="82"/>
  <c r="E121" i="82"/>
  <c r="K121" i="82"/>
  <c r="G121" i="82"/>
  <c r="C121" i="82"/>
  <c r="I122" i="82"/>
  <c r="D122" i="82"/>
  <c r="J122" i="82"/>
  <c r="E122" i="82"/>
  <c r="K122" i="82"/>
  <c r="G122" i="82"/>
  <c r="C122" i="82"/>
  <c r="I123" i="82"/>
  <c r="D123" i="82"/>
  <c r="J123" i="82"/>
  <c r="E123" i="82"/>
  <c r="K123" i="82"/>
  <c r="G123" i="82"/>
  <c r="C123" i="82"/>
  <c r="I124" i="82"/>
  <c r="D124" i="82"/>
  <c r="J124" i="82"/>
  <c r="E124" i="82"/>
  <c r="K124" i="82"/>
  <c r="G124" i="82"/>
  <c r="C124" i="82"/>
  <c r="I125" i="82"/>
  <c r="D125" i="82"/>
  <c r="J125" i="82"/>
  <c r="E125" i="82"/>
  <c r="K125" i="82"/>
  <c r="G125" i="82"/>
  <c r="C125" i="82"/>
  <c r="I126" i="82"/>
  <c r="D126" i="82"/>
  <c r="J126" i="82"/>
  <c r="E126" i="82"/>
  <c r="K126" i="82"/>
  <c r="G126" i="82"/>
  <c r="C126" i="82"/>
  <c r="I127" i="82"/>
  <c r="D127" i="82"/>
  <c r="J127" i="82"/>
  <c r="E127" i="82"/>
  <c r="K127" i="82"/>
  <c r="G127" i="82"/>
  <c r="C127" i="82"/>
  <c r="I128" i="82"/>
  <c r="D128" i="82"/>
  <c r="J128" i="82"/>
  <c r="E128" i="82"/>
  <c r="K128" i="82"/>
  <c r="G128" i="82"/>
  <c r="C128" i="82"/>
  <c r="I129" i="82"/>
  <c r="D129" i="82"/>
  <c r="J129" i="82"/>
  <c r="E129" i="82"/>
  <c r="K129" i="82"/>
  <c r="G129" i="82"/>
  <c r="C129" i="82"/>
  <c r="I130" i="82"/>
  <c r="D130" i="82"/>
  <c r="J130" i="82"/>
  <c r="E130" i="82"/>
  <c r="K130" i="82"/>
  <c r="G130" i="82"/>
  <c r="C130" i="82"/>
  <c r="I131" i="82"/>
  <c r="D131" i="82"/>
  <c r="J131" i="82"/>
  <c r="E131" i="82"/>
  <c r="K131" i="82"/>
  <c r="G131" i="82"/>
  <c r="C131" i="82"/>
  <c r="I132" i="82"/>
  <c r="D132" i="82"/>
  <c r="J132" i="82"/>
  <c r="E132" i="82"/>
  <c r="K132" i="82"/>
  <c r="G132" i="82"/>
  <c r="C132" i="82"/>
  <c r="I133" i="82"/>
  <c r="D133" i="82"/>
  <c r="J133" i="82"/>
  <c r="E133" i="82"/>
  <c r="K133" i="82"/>
  <c r="G133" i="82"/>
  <c r="C133" i="82"/>
  <c r="I134" i="82"/>
  <c r="D134" i="82"/>
  <c r="J134" i="82"/>
  <c r="E134" i="82"/>
  <c r="K134" i="82"/>
  <c r="G134" i="82"/>
  <c r="C134" i="82"/>
  <c r="I135" i="82"/>
  <c r="D135" i="82"/>
  <c r="J135" i="82"/>
  <c r="E135" i="82"/>
  <c r="K135" i="82"/>
  <c r="G135" i="82"/>
  <c r="C135" i="82"/>
  <c r="I136" i="82"/>
  <c r="D136" i="82"/>
  <c r="J136" i="82"/>
  <c r="E136" i="82"/>
  <c r="K136" i="82"/>
  <c r="G136" i="82"/>
  <c r="C136" i="82"/>
  <c r="I137" i="82"/>
  <c r="D137" i="82"/>
  <c r="J137" i="82"/>
  <c r="E137" i="82"/>
  <c r="K137" i="82"/>
  <c r="G137" i="82"/>
  <c r="C137" i="82"/>
  <c r="I138" i="82"/>
  <c r="D138" i="82"/>
  <c r="J138" i="82"/>
  <c r="E138" i="82"/>
  <c r="K138" i="82"/>
  <c r="G138" i="82"/>
  <c r="C138" i="82"/>
  <c r="I139" i="82"/>
  <c r="D139" i="82"/>
  <c r="J139" i="82"/>
  <c r="E139" i="82"/>
  <c r="K139" i="82"/>
  <c r="G139" i="82"/>
  <c r="C139" i="82"/>
  <c r="I140" i="82"/>
  <c r="D140" i="82"/>
  <c r="J140" i="82"/>
  <c r="E140" i="82"/>
  <c r="K140" i="82"/>
  <c r="G140" i="82"/>
  <c r="C140" i="82"/>
  <c r="I141" i="82"/>
  <c r="D141" i="82"/>
  <c r="J141" i="82"/>
  <c r="E141" i="82"/>
  <c r="K141" i="82"/>
  <c r="G141" i="82"/>
  <c r="C141" i="82"/>
  <c r="I142" i="82"/>
  <c r="D142" i="82"/>
  <c r="J142" i="82"/>
  <c r="E142" i="82"/>
  <c r="K142" i="82"/>
  <c r="G142" i="82"/>
  <c r="C142" i="82"/>
  <c r="I143" i="82"/>
  <c r="D143" i="82"/>
  <c r="J143" i="82"/>
  <c r="E143" i="82"/>
  <c r="K143" i="82"/>
  <c r="G143" i="82"/>
  <c r="C143" i="82"/>
  <c r="I144" i="82"/>
  <c r="D144" i="82"/>
  <c r="J144" i="82"/>
  <c r="E144" i="82"/>
  <c r="K144" i="82"/>
  <c r="G144" i="82"/>
  <c r="C144" i="82"/>
  <c r="I145" i="82"/>
  <c r="D145" i="82"/>
  <c r="J145" i="82"/>
  <c r="E145" i="82"/>
  <c r="K145" i="82"/>
  <c r="G145" i="82"/>
  <c r="C145" i="82"/>
  <c r="I146" i="82"/>
  <c r="D146" i="82"/>
  <c r="J146" i="82"/>
  <c r="E146" i="82"/>
  <c r="K146" i="82"/>
  <c r="G146" i="82"/>
  <c r="C146" i="82"/>
  <c r="I147" i="82"/>
  <c r="D147" i="82"/>
  <c r="J147" i="82"/>
  <c r="E147" i="82"/>
  <c r="K147" i="82"/>
  <c r="G147" i="82"/>
  <c r="C147" i="82"/>
  <c r="I148" i="82"/>
  <c r="D148" i="82"/>
  <c r="J148" i="82"/>
  <c r="E148" i="82"/>
  <c r="K148" i="82"/>
  <c r="G148" i="82"/>
  <c r="C148" i="82"/>
  <c r="I149" i="82"/>
  <c r="D149" i="82"/>
  <c r="J149" i="82"/>
  <c r="E149" i="82"/>
  <c r="K149" i="82"/>
  <c r="G149" i="82"/>
  <c r="C149" i="82"/>
  <c r="I150" i="82"/>
  <c r="D150" i="82"/>
  <c r="J150" i="82"/>
  <c r="E150" i="82"/>
  <c r="K150" i="82"/>
  <c r="G150" i="82"/>
  <c r="C150" i="82"/>
  <c r="I151" i="82"/>
  <c r="D151" i="82"/>
  <c r="J151" i="82"/>
  <c r="E151" i="82"/>
  <c r="K151" i="82"/>
  <c r="G151" i="82"/>
  <c r="C151" i="82"/>
  <c r="I152" i="82"/>
  <c r="D152" i="82"/>
  <c r="J152" i="82"/>
  <c r="E152" i="82"/>
  <c r="K152" i="82"/>
  <c r="G152" i="82"/>
  <c r="C152" i="82"/>
  <c r="I153" i="82"/>
  <c r="D153" i="82"/>
  <c r="J153" i="82"/>
  <c r="E153" i="82"/>
  <c r="K153" i="82"/>
  <c r="G153" i="82"/>
  <c r="C153" i="82"/>
  <c r="I154" i="82"/>
  <c r="D154" i="82"/>
  <c r="J154" i="82"/>
  <c r="E154" i="82"/>
  <c r="K154" i="82"/>
  <c r="G154" i="82"/>
  <c r="C154" i="82"/>
  <c r="I155" i="82"/>
  <c r="D155" i="82"/>
  <c r="J155" i="82"/>
  <c r="E155" i="82"/>
  <c r="K155" i="82"/>
  <c r="G155" i="82"/>
  <c r="C155" i="82"/>
  <c r="I156" i="82"/>
  <c r="D156" i="82"/>
  <c r="J156" i="82"/>
  <c r="E156" i="82"/>
  <c r="K156" i="82"/>
  <c r="G156" i="82"/>
  <c r="C156" i="82"/>
  <c r="I157" i="82"/>
  <c r="D157" i="82"/>
  <c r="J157" i="82"/>
  <c r="E157" i="82"/>
  <c r="K157" i="82"/>
  <c r="G157" i="82"/>
  <c r="C157" i="82"/>
  <c r="I158" i="82"/>
  <c r="D158" i="82"/>
  <c r="J158" i="82"/>
  <c r="E158" i="82"/>
  <c r="K158" i="82"/>
  <c r="G158" i="82"/>
  <c r="C158" i="82"/>
  <c r="I159" i="82"/>
  <c r="D159" i="82"/>
  <c r="J159" i="82"/>
  <c r="E159" i="82"/>
  <c r="K159" i="82"/>
  <c r="G159" i="82"/>
  <c r="C159" i="82"/>
  <c r="I160" i="82"/>
  <c r="D160" i="82"/>
  <c r="J160" i="82"/>
  <c r="E160" i="82"/>
  <c r="K160" i="82"/>
  <c r="G160" i="82"/>
  <c r="C160" i="82"/>
  <c r="I161" i="82"/>
  <c r="D161" i="82"/>
  <c r="J161" i="82"/>
  <c r="E161" i="82"/>
  <c r="K161" i="82"/>
  <c r="G161" i="82"/>
  <c r="C161" i="82"/>
  <c r="I162" i="82"/>
  <c r="D162" i="82"/>
  <c r="J162" i="82"/>
  <c r="E162" i="82"/>
  <c r="K162" i="82"/>
  <c r="G162" i="82"/>
  <c r="C162" i="82"/>
  <c r="I163" i="82"/>
  <c r="D163" i="82"/>
  <c r="J163" i="82"/>
  <c r="E163" i="82"/>
  <c r="K163" i="82"/>
  <c r="G163" i="82"/>
  <c r="C163" i="82"/>
  <c r="I164" i="82"/>
  <c r="D164" i="82"/>
  <c r="J164" i="82"/>
  <c r="E164" i="82"/>
  <c r="K164" i="82"/>
  <c r="G164" i="82"/>
  <c r="C164" i="82"/>
  <c r="I165" i="82"/>
  <c r="D165" i="82"/>
  <c r="J165" i="82"/>
  <c r="E165" i="82"/>
  <c r="K165" i="82"/>
  <c r="G165" i="82"/>
  <c r="C165" i="82"/>
  <c r="I166" i="82"/>
  <c r="D166" i="82"/>
  <c r="J166" i="82"/>
  <c r="E166" i="82"/>
  <c r="K166" i="82"/>
  <c r="G166" i="82"/>
  <c r="C166" i="82"/>
  <c r="I167" i="82"/>
  <c r="D167" i="82"/>
  <c r="J167" i="82"/>
  <c r="E167" i="82"/>
  <c r="K167" i="82"/>
  <c r="G167" i="82"/>
  <c r="C167" i="82"/>
  <c r="I168" i="82"/>
  <c r="D168" i="82"/>
  <c r="J168" i="82"/>
  <c r="E168" i="82"/>
  <c r="K168" i="82"/>
  <c r="G168" i="82"/>
  <c r="C168" i="82"/>
  <c r="I169" i="82"/>
  <c r="D169" i="82"/>
  <c r="J169" i="82"/>
  <c r="E169" i="82"/>
  <c r="K169" i="82"/>
  <c r="G169" i="82"/>
  <c r="C169" i="82"/>
  <c r="I170" i="82"/>
  <c r="D170" i="82"/>
  <c r="J170" i="82"/>
  <c r="E170" i="82"/>
  <c r="K170" i="82"/>
  <c r="G170" i="82"/>
  <c r="C170" i="82"/>
  <c r="I171" i="82"/>
  <c r="D171" i="82"/>
  <c r="J171" i="82"/>
  <c r="E171" i="82"/>
  <c r="K171" i="82"/>
  <c r="G171" i="82"/>
  <c r="C171" i="82"/>
  <c r="I172" i="82"/>
  <c r="D172" i="82"/>
  <c r="J172" i="82"/>
  <c r="E172" i="82"/>
  <c r="K172" i="82"/>
  <c r="G172" i="82"/>
  <c r="C172" i="82"/>
  <c r="I173" i="82"/>
  <c r="D173" i="82"/>
  <c r="J173" i="82"/>
  <c r="E173" i="82"/>
  <c r="K173" i="82"/>
  <c r="G173" i="82"/>
  <c r="C173" i="82"/>
  <c r="I174" i="82"/>
  <c r="D174" i="82"/>
  <c r="J174" i="82"/>
  <c r="E174" i="82"/>
  <c r="K174" i="82"/>
  <c r="G174" i="82"/>
  <c r="C174" i="82"/>
  <c r="I175" i="82"/>
  <c r="D175" i="82"/>
  <c r="J175" i="82"/>
  <c r="E175" i="82"/>
  <c r="K175" i="82"/>
  <c r="G175" i="82"/>
  <c r="C175" i="82"/>
  <c r="I176" i="82"/>
  <c r="D176" i="82"/>
  <c r="J176" i="82"/>
  <c r="E176" i="82"/>
  <c r="K176" i="82"/>
  <c r="G176" i="82"/>
  <c r="C176" i="82"/>
  <c r="I177" i="82"/>
  <c r="D177" i="82"/>
  <c r="J177" i="82"/>
  <c r="E177" i="82"/>
  <c r="K177" i="82"/>
  <c r="G177" i="82"/>
  <c r="C177" i="82"/>
  <c r="I178" i="82"/>
  <c r="D178" i="82"/>
  <c r="J178" i="82"/>
  <c r="E178" i="82"/>
  <c r="K178" i="82"/>
  <c r="G178" i="82"/>
  <c r="C178" i="82"/>
  <c r="I179" i="82"/>
  <c r="D179" i="82"/>
  <c r="J179" i="82"/>
  <c r="E179" i="82"/>
  <c r="K179" i="82"/>
  <c r="G179" i="82"/>
  <c r="C179" i="82"/>
  <c r="I180" i="82"/>
  <c r="D180" i="82"/>
  <c r="J180" i="82"/>
  <c r="E180" i="82"/>
  <c r="K180" i="82"/>
  <c r="G180" i="82"/>
  <c r="C180" i="82"/>
  <c r="I181" i="82"/>
  <c r="D181" i="82"/>
  <c r="J181" i="82"/>
  <c r="E181" i="82"/>
  <c r="K181" i="82"/>
  <c r="G181" i="82"/>
  <c r="C181" i="82"/>
  <c r="I182" i="82"/>
  <c r="D182" i="82"/>
  <c r="J182" i="82"/>
  <c r="E182" i="82"/>
  <c r="K182" i="82"/>
  <c r="G182" i="82"/>
  <c r="C182" i="82"/>
  <c r="I183" i="82"/>
  <c r="D183" i="82"/>
  <c r="J183" i="82"/>
  <c r="E183" i="82"/>
  <c r="K183" i="82"/>
  <c r="G183" i="82"/>
  <c r="C183" i="82"/>
  <c r="I184" i="82"/>
  <c r="D184" i="82"/>
  <c r="J184" i="82"/>
  <c r="E184" i="82"/>
  <c r="K184" i="82"/>
  <c r="G184" i="82"/>
  <c r="C184" i="82"/>
  <c r="I185" i="82"/>
  <c r="D185" i="82"/>
  <c r="J185" i="82"/>
  <c r="E185" i="82"/>
  <c r="K185" i="82"/>
  <c r="G185" i="82"/>
  <c r="C185" i="82"/>
  <c r="I186" i="82"/>
  <c r="D186" i="82"/>
  <c r="J186" i="82"/>
  <c r="E186" i="82"/>
  <c r="K186" i="82"/>
  <c r="G186" i="82"/>
  <c r="C186" i="82"/>
  <c r="I187" i="82"/>
  <c r="D187" i="82"/>
  <c r="J187" i="82"/>
  <c r="E187" i="82"/>
  <c r="K187" i="82"/>
  <c r="G187" i="82"/>
  <c r="C187" i="82"/>
  <c r="I188" i="82"/>
  <c r="D188" i="82"/>
  <c r="J188" i="82"/>
  <c r="E188" i="82"/>
  <c r="K188" i="82"/>
  <c r="G188" i="82"/>
  <c r="C188" i="82"/>
  <c r="I189" i="82"/>
  <c r="D189" i="82"/>
  <c r="J189" i="82"/>
  <c r="E189" i="82"/>
  <c r="K189" i="82"/>
  <c r="G189" i="82"/>
  <c r="C189" i="82"/>
  <c r="I190" i="82"/>
  <c r="D190" i="82"/>
  <c r="J190" i="82"/>
  <c r="E190" i="82"/>
  <c r="K190" i="82"/>
  <c r="G190" i="82"/>
  <c r="C190" i="82"/>
  <c r="I191" i="82"/>
  <c r="D191" i="82"/>
  <c r="J191" i="82"/>
  <c r="E191" i="82"/>
  <c r="K191" i="82"/>
  <c r="G191" i="82"/>
  <c r="C191" i="82"/>
  <c r="I192" i="82"/>
  <c r="D192" i="82"/>
  <c r="J192" i="82"/>
  <c r="E192" i="82"/>
  <c r="K192" i="82"/>
  <c r="G192" i="82"/>
  <c r="C192" i="82"/>
  <c r="I193" i="82"/>
  <c r="D193" i="82"/>
  <c r="J193" i="82"/>
  <c r="E193" i="82"/>
  <c r="K193" i="82"/>
  <c r="G193" i="82"/>
  <c r="C193" i="82"/>
  <c r="I194" i="82"/>
  <c r="D194" i="82"/>
  <c r="J194" i="82"/>
  <c r="E194" i="82"/>
  <c r="K194" i="82"/>
  <c r="G194" i="82"/>
  <c r="C194" i="82"/>
  <c r="I195" i="82"/>
  <c r="D195" i="82"/>
  <c r="J195" i="82"/>
  <c r="E195" i="82"/>
  <c r="K195" i="82"/>
  <c r="G195" i="82"/>
  <c r="C195" i="82"/>
  <c r="I196" i="82"/>
  <c r="D196" i="82"/>
  <c r="J196" i="82"/>
  <c r="E196" i="82"/>
  <c r="K196" i="82"/>
  <c r="G196" i="82"/>
  <c r="C196" i="82"/>
  <c r="I197" i="82"/>
  <c r="D197" i="82"/>
  <c r="J197" i="82"/>
  <c r="E197" i="82"/>
  <c r="K197" i="82"/>
  <c r="G197" i="82"/>
  <c r="C197" i="82"/>
  <c r="I198" i="82"/>
  <c r="D198" i="82"/>
  <c r="J198" i="82"/>
  <c r="E198" i="82"/>
  <c r="K198" i="82"/>
  <c r="G198" i="82"/>
  <c r="C198" i="82"/>
  <c r="I199" i="82"/>
  <c r="D199" i="82"/>
  <c r="J199" i="82"/>
  <c r="E199" i="82"/>
  <c r="K199" i="82"/>
  <c r="G199" i="82"/>
  <c r="C199" i="82"/>
  <c r="I200" i="82"/>
  <c r="D200" i="82"/>
  <c r="J200" i="82"/>
  <c r="E200" i="82"/>
  <c r="K200" i="82"/>
  <c r="G200" i="82"/>
  <c r="C200" i="82"/>
  <c r="I201" i="82"/>
  <c r="D201" i="82"/>
  <c r="J201" i="82"/>
  <c r="E201" i="82"/>
  <c r="K201" i="82"/>
  <c r="G201" i="82"/>
  <c r="C201" i="82"/>
  <c r="I202" i="82"/>
  <c r="D202" i="82"/>
  <c r="J202" i="82"/>
  <c r="E202" i="82"/>
  <c r="K202" i="82"/>
  <c r="G202" i="82"/>
  <c r="C202" i="82"/>
  <c r="I203" i="82"/>
  <c r="D203" i="82"/>
  <c r="J203" i="82"/>
  <c r="E203" i="82"/>
  <c r="K203" i="82"/>
  <c r="G203" i="82"/>
  <c r="C203" i="82"/>
  <c r="I204" i="82"/>
  <c r="D204" i="82"/>
  <c r="J204" i="82"/>
  <c r="E204" i="82"/>
  <c r="K204" i="82"/>
  <c r="G204" i="82"/>
  <c r="C204" i="82"/>
  <c r="I205" i="82"/>
  <c r="D205" i="82"/>
  <c r="J205" i="82"/>
  <c r="E205" i="82"/>
  <c r="K205" i="82"/>
  <c r="G205" i="82"/>
  <c r="C205" i="82"/>
  <c r="I206" i="82"/>
  <c r="D206" i="82"/>
  <c r="J206" i="82"/>
  <c r="E206" i="82"/>
  <c r="K206" i="82"/>
  <c r="G206" i="82"/>
  <c r="C206" i="82"/>
  <c r="I207" i="82"/>
  <c r="D207" i="82"/>
  <c r="J207" i="82"/>
  <c r="E207" i="82"/>
  <c r="K207" i="82"/>
  <c r="G207" i="82"/>
  <c r="C207" i="82"/>
  <c r="I208" i="82"/>
  <c r="D208" i="82"/>
  <c r="J208" i="82"/>
  <c r="E208" i="82"/>
  <c r="K208" i="82"/>
  <c r="G208" i="82"/>
  <c r="C208" i="82"/>
  <c r="I209" i="82"/>
  <c r="D209" i="82"/>
  <c r="J209" i="82"/>
  <c r="E209" i="82"/>
  <c r="K209" i="82"/>
  <c r="G209" i="82"/>
  <c r="C209" i="82"/>
  <c r="I210" i="82"/>
  <c r="D210" i="82"/>
  <c r="J210" i="82"/>
  <c r="E210" i="82"/>
  <c r="K210" i="82"/>
  <c r="G210" i="82"/>
  <c r="C210" i="82"/>
  <c r="I211" i="82"/>
  <c r="D211" i="82"/>
  <c r="J211" i="82"/>
  <c r="E211" i="82"/>
  <c r="K211" i="82"/>
  <c r="G211" i="82"/>
  <c r="C211" i="82"/>
  <c r="I212" i="82"/>
  <c r="D212" i="82"/>
  <c r="J212" i="82"/>
  <c r="E212" i="82"/>
  <c r="K212" i="82"/>
  <c r="G212" i="82"/>
  <c r="C212" i="82"/>
  <c r="I213" i="82"/>
  <c r="D213" i="82"/>
  <c r="J213" i="82"/>
  <c r="E213" i="82"/>
  <c r="K213" i="82"/>
  <c r="G213" i="82"/>
  <c r="C213" i="82"/>
  <c r="I214" i="82"/>
  <c r="D214" i="82"/>
  <c r="J214" i="82"/>
  <c r="E214" i="82"/>
  <c r="K214" i="82"/>
  <c r="G214" i="82"/>
  <c r="C214" i="82"/>
  <c r="I215" i="82"/>
  <c r="J215" i="82"/>
  <c r="D215" i="82"/>
  <c r="E215" i="82"/>
  <c r="K215" i="82"/>
  <c r="G215" i="82"/>
  <c r="C215" i="82"/>
  <c r="I216" i="82"/>
  <c r="J216" i="82"/>
  <c r="D216" i="82"/>
  <c r="E216" i="82"/>
  <c r="K216" i="82"/>
  <c r="G216" i="82"/>
  <c r="C216" i="82"/>
  <c r="I217" i="82"/>
  <c r="J217" i="82"/>
  <c r="D217" i="82"/>
  <c r="E217" i="82"/>
  <c r="K217" i="82"/>
  <c r="G217" i="82"/>
  <c r="C217" i="82"/>
  <c r="I218" i="82"/>
  <c r="J218" i="82"/>
  <c r="D218" i="82"/>
  <c r="E218" i="82"/>
  <c r="K218" i="82"/>
  <c r="G218" i="82"/>
  <c r="C218" i="82"/>
  <c r="I219" i="82"/>
  <c r="J219" i="82"/>
  <c r="D219" i="82"/>
  <c r="E219" i="82"/>
  <c r="K219" i="82"/>
  <c r="G219" i="82"/>
  <c r="C219" i="82"/>
  <c r="I220" i="82"/>
  <c r="J220" i="82"/>
  <c r="D220" i="82"/>
  <c r="E220" i="82"/>
  <c r="K220" i="82"/>
  <c r="G220" i="82"/>
  <c r="C220" i="82"/>
  <c r="I221" i="82"/>
  <c r="D221" i="82"/>
  <c r="J221" i="82"/>
  <c r="E221" i="82"/>
  <c r="K221" i="82"/>
  <c r="G221" i="82"/>
  <c r="C221" i="82"/>
  <c r="I222" i="82"/>
  <c r="D222" i="82"/>
  <c r="J222" i="82"/>
  <c r="E222" i="82"/>
  <c r="K222" i="82"/>
  <c r="G222" i="82"/>
  <c r="C222" i="82"/>
  <c r="I223" i="82"/>
  <c r="D223" i="82"/>
  <c r="J223" i="82"/>
  <c r="E223" i="82"/>
  <c r="K223" i="82"/>
  <c r="G223" i="82"/>
  <c r="C223" i="82"/>
  <c r="I224" i="82"/>
  <c r="D224" i="82"/>
  <c r="J224" i="82"/>
  <c r="E224" i="82"/>
  <c r="K224" i="82"/>
  <c r="G224" i="82"/>
  <c r="C224" i="82"/>
  <c r="I225" i="82"/>
  <c r="D225" i="82"/>
  <c r="J225" i="82"/>
  <c r="E225" i="82"/>
  <c r="K225" i="82"/>
  <c r="G225" i="82"/>
  <c r="C225" i="82"/>
  <c r="I226" i="82"/>
  <c r="D226" i="82"/>
  <c r="J226" i="82"/>
  <c r="E226" i="82"/>
  <c r="K226" i="82"/>
  <c r="G226" i="82"/>
  <c r="C226" i="82"/>
  <c r="I227" i="82"/>
  <c r="D227" i="82"/>
  <c r="J227" i="82"/>
  <c r="E227" i="82"/>
  <c r="K227" i="82"/>
  <c r="G227" i="82"/>
  <c r="C227" i="82"/>
  <c r="I228" i="82"/>
  <c r="D228" i="82"/>
  <c r="J228" i="82"/>
  <c r="E228" i="82"/>
  <c r="K228" i="82"/>
  <c r="G228" i="82"/>
  <c r="C228" i="82"/>
  <c r="I229" i="82"/>
  <c r="D229" i="82"/>
  <c r="J229" i="82"/>
  <c r="E229" i="82"/>
  <c r="K229" i="82"/>
  <c r="G229" i="82"/>
  <c r="C229" i="82"/>
  <c r="I230" i="82"/>
  <c r="D230" i="82"/>
  <c r="J230" i="82"/>
  <c r="E230" i="82"/>
  <c r="K230" i="82"/>
  <c r="G230" i="82"/>
  <c r="C230" i="82"/>
  <c r="I231" i="82"/>
  <c r="D231" i="82"/>
  <c r="J231" i="82"/>
  <c r="E231" i="82"/>
  <c r="K231" i="82"/>
  <c r="G231" i="82"/>
  <c r="C231" i="82"/>
  <c r="I232" i="82"/>
  <c r="D232" i="82"/>
  <c r="J232" i="82"/>
  <c r="E232" i="82"/>
  <c r="K232" i="82"/>
  <c r="G232" i="82"/>
  <c r="C232" i="82"/>
  <c r="I233" i="82"/>
  <c r="D233" i="82"/>
  <c r="J233" i="82"/>
  <c r="E233" i="82"/>
  <c r="K233" i="82"/>
  <c r="G233" i="82"/>
  <c r="C233" i="82"/>
  <c r="I234" i="82"/>
  <c r="D234" i="82"/>
  <c r="J234" i="82"/>
  <c r="E234" i="82"/>
  <c r="K234" i="82"/>
  <c r="G234" i="82"/>
  <c r="C234" i="82"/>
  <c r="I235" i="82"/>
  <c r="D235" i="82"/>
  <c r="J235" i="82"/>
  <c r="E235" i="82"/>
  <c r="K235" i="82"/>
  <c r="G235" i="82"/>
  <c r="C235" i="82"/>
  <c r="I236" i="82"/>
  <c r="D236" i="82"/>
  <c r="J236" i="82"/>
  <c r="E236" i="82"/>
  <c r="K236" i="82"/>
  <c r="G236" i="82"/>
  <c r="C236" i="82"/>
  <c r="I237" i="82"/>
  <c r="D237" i="82"/>
  <c r="J237" i="82"/>
  <c r="E237" i="82"/>
  <c r="K237" i="82"/>
  <c r="G237" i="82"/>
  <c r="C237" i="82"/>
  <c r="I238" i="82"/>
  <c r="D238" i="82"/>
  <c r="J238" i="82"/>
  <c r="E238" i="82"/>
  <c r="K238" i="82"/>
  <c r="G238" i="82"/>
  <c r="C238" i="82"/>
  <c r="I239" i="82"/>
  <c r="D239" i="82"/>
  <c r="J239" i="82"/>
  <c r="E239" i="82"/>
  <c r="K239" i="82"/>
  <c r="G239" i="82"/>
  <c r="C239" i="82"/>
  <c r="I240" i="82"/>
  <c r="D240" i="82"/>
  <c r="J240" i="82"/>
  <c r="E240" i="82"/>
  <c r="K240" i="82"/>
  <c r="G240" i="82"/>
  <c r="C240" i="82"/>
  <c r="I241" i="82"/>
  <c r="D241" i="82"/>
  <c r="J241" i="82"/>
  <c r="E241" i="82"/>
  <c r="K241" i="82"/>
  <c r="G241" i="82"/>
  <c r="C241" i="82"/>
  <c r="I242" i="82"/>
  <c r="D242" i="82"/>
  <c r="J242" i="82"/>
  <c r="E242" i="82"/>
  <c r="K242" i="82"/>
  <c r="G242" i="82"/>
  <c r="C242" i="82"/>
  <c r="I243" i="82"/>
  <c r="D243" i="82"/>
  <c r="J243" i="82"/>
  <c r="E243" i="82"/>
  <c r="K243" i="82"/>
  <c r="G243" i="82"/>
  <c r="C243" i="82"/>
  <c r="I244" i="82"/>
  <c r="D244" i="82"/>
  <c r="J244" i="82"/>
  <c r="E244" i="82"/>
  <c r="K244" i="82"/>
  <c r="G244" i="82"/>
  <c r="C244" i="82"/>
  <c r="I245" i="82"/>
  <c r="D245" i="82"/>
  <c r="J245" i="82"/>
  <c r="E245" i="82"/>
  <c r="K245" i="82"/>
  <c r="G245" i="82"/>
  <c r="C245" i="82"/>
  <c r="I246" i="82"/>
  <c r="D246" i="82"/>
  <c r="J246" i="82"/>
  <c r="E246" i="82"/>
  <c r="K246" i="82"/>
  <c r="G246" i="82"/>
  <c r="C246" i="82"/>
  <c r="I247" i="82"/>
  <c r="D247" i="82"/>
  <c r="J247" i="82"/>
  <c r="E247" i="82"/>
  <c r="K247" i="82"/>
  <c r="G247" i="82"/>
  <c r="C247" i="82"/>
  <c r="I248" i="82"/>
  <c r="D248" i="82"/>
  <c r="J248" i="82"/>
  <c r="E248" i="82"/>
  <c r="K248" i="82"/>
  <c r="G248" i="82"/>
  <c r="C248" i="82"/>
  <c r="I249" i="82"/>
  <c r="D249" i="82"/>
  <c r="J249" i="82"/>
  <c r="E249" i="82"/>
  <c r="K249" i="82"/>
  <c r="G249" i="82"/>
  <c r="C249" i="82"/>
  <c r="I250" i="82"/>
  <c r="D250" i="82"/>
  <c r="J250" i="82"/>
  <c r="E250" i="82"/>
  <c r="K250" i="82"/>
  <c r="G250" i="82"/>
  <c r="C250" i="82"/>
  <c r="I251" i="82"/>
  <c r="D251" i="82"/>
  <c r="J251" i="82"/>
  <c r="E251" i="82"/>
  <c r="K251" i="82"/>
  <c r="G251" i="82"/>
  <c r="C251" i="82"/>
  <c r="I252" i="82"/>
  <c r="D252" i="82"/>
  <c r="J252" i="82"/>
  <c r="E252" i="82"/>
  <c r="K252" i="82"/>
  <c r="G252" i="82"/>
  <c r="C252" i="82"/>
  <c r="I253" i="82"/>
  <c r="D253" i="82"/>
  <c r="J253" i="82"/>
  <c r="E253" i="82"/>
  <c r="K253" i="82"/>
  <c r="G253" i="82"/>
  <c r="C253" i="82"/>
  <c r="I254" i="82"/>
  <c r="D254" i="82"/>
  <c r="J254" i="82"/>
  <c r="E254" i="82"/>
  <c r="K254" i="82"/>
  <c r="G254" i="82"/>
  <c r="C254" i="82"/>
  <c r="I255" i="82"/>
  <c r="D255" i="82"/>
  <c r="J255" i="82"/>
  <c r="E255" i="82"/>
  <c r="K255" i="82"/>
  <c r="G255" i="82"/>
  <c r="C255" i="82"/>
  <c r="I256" i="82"/>
  <c r="D256" i="82"/>
  <c r="J256" i="82"/>
  <c r="E256" i="82"/>
  <c r="K256" i="82"/>
  <c r="G256" i="82"/>
  <c r="C256" i="82"/>
  <c r="I257" i="82"/>
  <c r="D257" i="82"/>
  <c r="J257" i="82"/>
  <c r="E257" i="82"/>
  <c r="K257" i="82"/>
  <c r="G257" i="82"/>
  <c r="C257" i="82"/>
  <c r="I258" i="82"/>
  <c r="D258" i="82"/>
  <c r="J258" i="82"/>
  <c r="E258" i="82"/>
  <c r="K258" i="82"/>
  <c r="G258" i="82"/>
  <c r="C258" i="82"/>
  <c r="I259" i="82"/>
  <c r="D259" i="82"/>
  <c r="J259" i="82"/>
  <c r="E259" i="82"/>
  <c r="K259" i="82"/>
  <c r="G259" i="82"/>
  <c r="C259" i="82"/>
  <c r="I260" i="82"/>
  <c r="D260" i="82"/>
  <c r="J260" i="82"/>
  <c r="E260" i="82"/>
  <c r="K260" i="82"/>
  <c r="G260" i="82"/>
  <c r="C260" i="82"/>
  <c r="I261" i="82"/>
  <c r="D261" i="82"/>
  <c r="J261" i="82"/>
  <c r="E261" i="82"/>
  <c r="K261" i="82"/>
  <c r="G261" i="82"/>
  <c r="C261" i="82"/>
  <c r="I262" i="82"/>
  <c r="D262" i="82"/>
  <c r="J262" i="82"/>
  <c r="E262" i="82"/>
  <c r="K262" i="82"/>
  <c r="G262" i="82"/>
  <c r="C262" i="82"/>
  <c r="I263" i="82"/>
  <c r="D263" i="82"/>
  <c r="J263" i="82"/>
  <c r="E263" i="82"/>
  <c r="K263" i="82"/>
  <c r="G263" i="82"/>
  <c r="C263" i="82"/>
  <c r="I264" i="82"/>
  <c r="D264" i="82"/>
  <c r="J264" i="82"/>
  <c r="E264" i="82"/>
  <c r="K264" i="82"/>
  <c r="G264" i="82"/>
  <c r="C264" i="82"/>
  <c r="I265" i="82"/>
  <c r="D265" i="82"/>
  <c r="J265" i="82"/>
  <c r="E265" i="82"/>
  <c r="K265" i="82"/>
  <c r="G265" i="82"/>
  <c r="C265" i="82"/>
  <c r="I266" i="82"/>
  <c r="D266" i="82"/>
  <c r="J266" i="82"/>
  <c r="E266" i="82"/>
  <c r="K266" i="82"/>
  <c r="G266" i="82"/>
  <c r="C266" i="82"/>
  <c r="I267" i="82"/>
  <c r="D267" i="82"/>
  <c r="J267" i="82"/>
  <c r="E267" i="82"/>
  <c r="K267" i="82"/>
  <c r="G267" i="82"/>
  <c r="C267" i="82"/>
  <c r="I268" i="82"/>
  <c r="D268" i="82"/>
  <c r="J268" i="82"/>
  <c r="E268" i="82"/>
  <c r="K268" i="82"/>
  <c r="G268" i="82"/>
  <c r="C268" i="82"/>
  <c r="I269" i="82"/>
  <c r="D269" i="82"/>
  <c r="J269" i="82"/>
  <c r="E269" i="82"/>
  <c r="K269" i="82"/>
  <c r="G269" i="82"/>
  <c r="C269" i="82"/>
  <c r="I270" i="82"/>
  <c r="D270" i="82"/>
  <c r="J270" i="82"/>
  <c r="E270" i="82"/>
  <c r="K270" i="82"/>
  <c r="G270" i="82"/>
  <c r="C270" i="82"/>
  <c r="I271" i="82"/>
  <c r="D271" i="82"/>
  <c r="J271" i="82"/>
  <c r="E271" i="82"/>
  <c r="K271" i="82"/>
  <c r="G271" i="82"/>
  <c r="C271" i="82"/>
  <c r="I272" i="82"/>
  <c r="D272" i="82"/>
  <c r="J272" i="82"/>
  <c r="E272" i="82"/>
  <c r="K272" i="82"/>
  <c r="G272" i="82"/>
  <c r="C272" i="82"/>
  <c r="I273" i="82"/>
  <c r="D273" i="82"/>
  <c r="J273" i="82"/>
  <c r="E273" i="82"/>
  <c r="K273" i="82"/>
  <c r="G273" i="82"/>
  <c r="C273" i="82"/>
  <c r="I274" i="82"/>
  <c r="D274" i="82"/>
  <c r="J274" i="82"/>
  <c r="E274" i="82"/>
  <c r="K274" i="82"/>
  <c r="G274" i="82"/>
  <c r="C274" i="82"/>
  <c r="I275" i="82"/>
  <c r="D275" i="82"/>
  <c r="J275" i="82"/>
  <c r="E275" i="82"/>
  <c r="K275" i="82"/>
  <c r="G275" i="82"/>
  <c r="C275" i="82"/>
  <c r="I276" i="82"/>
  <c r="D276" i="82"/>
  <c r="J276" i="82"/>
  <c r="E276" i="82"/>
  <c r="K276" i="82"/>
  <c r="G276" i="82"/>
  <c r="C276" i="82"/>
  <c r="I277" i="82"/>
  <c r="D277" i="82"/>
  <c r="J277" i="82"/>
  <c r="E277" i="82"/>
  <c r="K277" i="82"/>
  <c r="G277" i="82"/>
  <c r="C277" i="82"/>
  <c r="I278" i="82"/>
  <c r="D278" i="82"/>
  <c r="J278" i="82"/>
  <c r="E278" i="82"/>
  <c r="K278" i="82"/>
  <c r="G278" i="82"/>
  <c r="C278" i="82"/>
  <c r="I279" i="82"/>
  <c r="D279" i="82"/>
  <c r="J279" i="82"/>
  <c r="E279" i="82"/>
  <c r="K279" i="82"/>
  <c r="G279" i="82"/>
  <c r="C279" i="82"/>
  <c r="I280" i="82"/>
  <c r="D280" i="82"/>
  <c r="J280" i="82"/>
  <c r="E280" i="82"/>
  <c r="K280" i="82"/>
  <c r="G280" i="82"/>
  <c r="C280" i="82"/>
  <c r="I281" i="82"/>
  <c r="D281" i="82"/>
  <c r="J281" i="82"/>
  <c r="E281" i="82"/>
  <c r="K281" i="82"/>
  <c r="G281" i="82"/>
  <c r="C281" i="82"/>
  <c r="I282" i="82"/>
  <c r="D282" i="82"/>
  <c r="J282" i="82"/>
  <c r="E282" i="82"/>
  <c r="K282" i="82"/>
  <c r="G282" i="82"/>
  <c r="C282" i="82"/>
  <c r="I283" i="82"/>
  <c r="D283" i="82"/>
  <c r="J283" i="82"/>
  <c r="E283" i="82"/>
  <c r="K283" i="82"/>
  <c r="G283" i="82"/>
  <c r="C283" i="82"/>
  <c r="I284" i="82"/>
  <c r="D284" i="82"/>
  <c r="J284" i="82"/>
  <c r="E284" i="82"/>
  <c r="K284" i="82"/>
  <c r="G284" i="82"/>
  <c r="C284" i="82"/>
  <c r="I285" i="82"/>
  <c r="D285" i="82"/>
  <c r="J285" i="82"/>
  <c r="E285" i="82"/>
  <c r="K285" i="82"/>
  <c r="G285" i="82"/>
  <c r="C285" i="82"/>
  <c r="I286" i="82"/>
  <c r="D286" i="82"/>
  <c r="J286" i="82"/>
  <c r="E286" i="82"/>
  <c r="K286" i="82"/>
  <c r="G286" i="82"/>
  <c r="C286" i="82"/>
  <c r="I287" i="82"/>
  <c r="D287" i="82"/>
  <c r="J287" i="82"/>
  <c r="E287" i="82"/>
  <c r="K287" i="82"/>
  <c r="G287" i="82"/>
  <c r="C287" i="82"/>
  <c r="I288" i="82"/>
  <c r="D288" i="82"/>
  <c r="J288" i="82"/>
  <c r="E288" i="82"/>
  <c r="K288" i="82"/>
  <c r="G288" i="82"/>
  <c r="C288" i="82"/>
  <c r="I289" i="82"/>
  <c r="D289" i="82"/>
  <c r="J289" i="82"/>
  <c r="E289" i="82"/>
  <c r="K289" i="82"/>
  <c r="G289" i="82"/>
  <c r="C289" i="82"/>
  <c r="I290" i="82"/>
  <c r="D290" i="82"/>
  <c r="J290" i="82"/>
  <c r="E290" i="82"/>
  <c r="K290" i="82"/>
  <c r="G290" i="82"/>
  <c r="C290" i="82"/>
  <c r="I291" i="82"/>
  <c r="D291" i="82"/>
  <c r="J291" i="82"/>
  <c r="E291" i="82"/>
  <c r="K291" i="82"/>
  <c r="G291" i="82"/>
  <c r="C291" i="82"/>
  <c r="I292" i="82"/>
  <c r="D292" i="82"/>
  <c r="J292" i="82"/>
  <c r="E292" i="82"/>
  <c r="K292" i="82"/>
  <c r="G292" i="82"/>
  <c r="C292" i="82"/>
  <c r="I293" i="82"/>
  <c r="D293" i="82"/>
  <c r="J293" i="82"/>
  <c r="E293" i="82"/>
  <c r="K293" i="82"/>
  <c r="G293" i="82"/>
  <c r="C293" i="82"/>
  <c r="I294" i="82"/>
  <c r="D294" i="82"/>
  <c r="J294" i="82"/>
  <c r="E294" i="82"/>
  <c r="K294" i="82"/>
  <c r="G294" i="82"/>
  <c r="C294" i="82"/>
  <c r="I295" i="82"/>
  <c r="D295" i="82"/>
  <c r="J295" i="82"/>
  <c r="E295" i="82"/>
  <c r="K295" i="82"/>
  <c r="G295" i="82"/>
  <c r="C295" i="82"/>
  <c r="I296" i="82"/>
  <c r="D296" i="82"/>
  <c r="J296" i="82"/>
  <c r="E296" i="82"/>
  <c r="K296" i="82"/>
  <c r="G296" i="82"/>
  <c r="C296" i="82"/>
  <c r="I297" i="82"/>
  <c r="D297" i="82"/>
  <c r="J297" i="82"/>
  <c r="E297" i="82"/>
  <c r="K297" i="82"/>
  <c r="G297" i="82"/>
  <c r="C297" i="82"/>
  <c r="I298" i="82"/>
  <c r="D298" i="82"/>
  <c r="J298" i="82"/>
  <c r="E298" i="82"/>
  <c r="K298" i="82"/>
  <c r="G298" i="82"/>
  <c r="C298" i="82"/>
  <c r="I299" i="82"/>
  <c r="D299" i="82"/>
  <c r="J299" i="82"/>
  <c r="E299" i="82"/>
  <c r="K299" i="82"/>
  <c r="G299" i="82"/>
  <c r="C299" i="82"/>
  <c r="I300" i="82"/>
  <c r="D300" i="82"/>
  <c r="J300" i="82"/>
  <c r="E300" i="82"/>
  <c r="K300" i="82"/>
  <c r="G300" i="82"/>
  <c r="C300" i="82"/>
  <c r="I301" i="82"/>
  <c r="D301" i="82"/>
  <c r="J301" i="82"/>
  <c r="E301" i="82"/>
  <c r="K301" i="82"/>
  <c r="G301" i="82"/>
  <c r="C301" i="82"/>
  <c r="I302" i="82"/>
  <c r="D302" i="82"/>
  <c r="J302" i="82"/>
  <c r="E302" i="82"/>
  <c r="K302" i="82"/>
  <c r="G302" i="82"/>
  <c r="C302" i="82"/>
  <c r="I303" i="82"/>
  <c r="D303" i="82"/>
  <c r="J303" i="82"/>
  <c r="E303" i="82"/>
  <c r="K303" i="82"/>
  <c r="G303" i="82"/>
  <c r="C303" i="82"/>
  <c r="I304" i="82"/>
  <c r="D304" i="82"/>
  <c r="J304" i="82"/>
  <c r="E304" i="82"/>
  <c r="K304" i="82"/>
  <c r="G304" i="82"/>
  <c r="C304" i="82"/>
  <c r="I305" i="82"/>
  <c r="D305" i="82"/>
  <c r="J305" i="82"/>
  <c r="E305" i="82"/>
  <c r="K305" i="82"/>
  <c r="G305" i="82"/>
  <c r="C305" i="82"/>
  <c r="I306" i="82"/>
  <c r="D306" i="82"/>
  <c r="J306" i="82"/>
  <c r="E306" i="82"/>
  <c r="K306" i="82"/>
  <c r="G306" i="82"/>
  <c r="C306" i="82"/>
  <c r="I307" i="82"/>
  <c r="D307" i="82"/>
  <c r="J307" i="82"/>
  <c r="E307" i="82"/>
  <c r="K307" i="82"/>
  <c r="G307" i="82"/>
  <c r="C307" i="82"/>
  <c r="I308" i="82"/>
  <c r="D308" i="82"/>
  <c r="J308" i="82"/>
  <c r="E308" i="82"/>
  <c r="K308" i="82"/>
  <c r="G308" i="82"/>
  <c r="C308" i="82"/>
  <c r="I309" i="82"/>
  <c r="D309" i="82"/>
  <c r="J309" i="82"/>
  <c r="E309" i="82"/>
  <c r="K309" i="82"/>
  <c r="G309" i="82"/>
  <c r="C309" i="82"/>
  <c r="I310" i="82"/>
  <c r="D310" i="82"/>
  <c r="J310" i="82"/>
  <c r="E310" i="82"/>
  <c r="K310" i="82"/>
  <c r="G310" i="82"/>
  <c r="C310" i="82"/>
  <c r="I311" i="82"/>
  <c r="D311" i="82"/>
  <c r="J311" i="82"/>
  <c r="E311" i="82"/>
  <c r="K311" i="82"/>
  <c r="G311" i="82"/>
  <c r="C311" i="82"/>
  <c r="I312" i="82"/>
  <c r="D312" i="82"/>
  <c r="J312" i="82"/>
  <c r="E312" i="82"/>
  <c r="K312" i="82"/>
  <c r="G312" i="82"/>
  <c r="C312" i="82"/>
  <c r="I313" i="82"/>
  <c r="D313" i="82"/>
  <c r="J313" i="82"/>
  <c r="E313" i="82"/>
  <c r="K313" i="82"/>
  <c r="G313" i="82"/>
  <c r="C313" i="82"/>
  <c r="I314" i="82"/>
  <c r="D314" i="82"/>
  <c r="J314" i="82"/>
  <c r="E314" i="82"/>
  <c r="K314" i="82"/>
  <c r="G314" i="82"/>
  <c r="C314" i="82"/>
  <c r="I315" i="82"/>
  <c r="D315" i="82"/>
  <c r="J315" i="82"/>
  <c r="E315" i="82"/>
  <c r="K315" i="82"/>
  <c r="G315" i="82"/>
  <c r="C315" i="82"/>
  <c r="I316" i="82"/>
  <c r="D316" i="82"/>
  <c r="J316" i="82"/>
  <c r="E316" i="82"/>
  <c r="K316" i="82"/>
  <c r="G316" i="82"/>
  <c r="C316" i="82"/>
  <c r="I317" i="82"/>
  <c r="D317" i="82"/>
  <c r="J317" i="82"/>
  <c r="E317" i="82"/>
  <c r="K317" i="82"/>
  <c r="G317" i="82"/>
  <c r="C317" i="82"/>
  <c r="I318" i="82"/>
  <c r="D318" i="82"/>
  <c r="J318" i="82"/>
  <c r="E318" i="82"/>
  <c r="K318" i="82"/>
  <c r="G318" i="82"/>
  <c r="C318" i="82"/>
  <c r="I319" i="82"/>
  <c r="D319" i="82"/>
  <c r="J319" i="82"/>
  <c r="E319" i="82"/>
  <c r="K319" i="82"/>
  <c r="G319" i="82"/>
  <c r="C319" i="82"/>
  <c r="I320" i="82"/>
  <c r="D320" i="82"/>
  <c r="J320" i="82"/>
  <c r="E320" i="82"/>
  <c r="K320" i="82"/>
  <c r="G320" i="82"/>
  <c r="C320" i="82"/>
  <c r="I321" i="82"/>
  <c r="D321" i="82"/>
  <c r="J321" i="82"/>
  <c r="E321" i="82"/>
  <c r="K321" i="82"/>
  <c r="G321" i="82"/>
  <c r="C321" i="82"/>
  <c r="I322" i="82"/>
  <c r="D322" i="82"/>
  <c r="J322" i="82"/>
  <c r="E322" i="82"/>
  <c r="K322" i="82"/>
  <c r="G322" i="82"/>
  <c r="C322" i="82"/>
  <c r="I323" i="82"/>
  <c r="D323" i="82"/>
  <c r="J323" i="82"/>
  <c r="E323" i="82"/>
  <c r="K323" i="82"/>
  <c r="G323" i="82"/>
  <c r="C323" i="82"/>
  <c r="I324" i="82"/>
  <c r="D324" i="82"/>
  <c r="J324" i="82"/>
  <c r="E324" i="82"/>
  <c r="K324" i="82"/>
  <c r="G324" i="82"/>
  <c r="C324" i="82"/>
  <c r="I325" i="82"/>
  <c r="D325" i="82"/>
  <c r="J325" i="82"/>
  <c r="E325" i="82"/>
  <c r="K325" i="82"/>
  <c r="G325" i="82"/>
  <c r="C325" i="82"/>
  <c r="I326" i="82"/>
  <c r="D326" i="82"/>
  <c r="J326" i="82"/>
  <c r="E326" i="82"/>
  <c r="K326" i="82"/>
  <c r="G326" i="82"/>
  <c r="C326" i="82"/>
  <c r="I327" i="82"/>
  <c r="D327" i="82"/>
  <c r="J327" i="82"/>
  <c r="E327" i="82"/>
  <c r="K327" i="82"/>
  <c r="G327" i="82"/>
  <c r="C327" i="82"/>
  <c r="I328" i="82"/>
  <c r="D328" i="82"/>
  <c r="J328" i="82"/>
  <c r="E328" i="82"/>
  <c r="K328" i="82"/>
  <c r="G328" i="82"/>
  <c r="C328" i="82"/>
  <c r="I329" i="82"/>
  <c r="D329" i="82"/>
  <c r="J329" i="82"/>
  <c r="E329" i="82"/>
  <c r="K329" i="82"/>
  <c r="G329" i="82"/>
  <c r="C329" i="82"/>
  <c r="I330" i="82"/>
  <c r="D330" i="82"/>
  <c r="J330" i="82"/>
  <c r="E330" i="82"/>
  <c r="K330" i="82"/>
  <c r="G330" i="82"/>
  <c r="C330" i="82"/>
  <c r="I331" i="82"/>
  <c r="D331" i="82"/>
  <c r="J331" i="82"/>
  <c r="E331" i="82"/>
  <c r="K331" i="82"/>
  <c r="G331" i="82"/>
  <c r="C331" i="82"/>
  <c r="F7" i="106"/>
  <c r="E7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0" i="106"/>
  <c r="B20" i="106"/>
  <c r="F5" i="106"/>
  <c r="E5" i="106"/>
  <c r="E27" i="106"/>
  <c r="B27" i="106"/>
  <c r="A2" i="106"/>
  <c r="A51" i="106"/>
  <c r="G27" i="106"/>
  <c r="H27" i="106"/>
  <c r="O138" i="82"/>
  <c r="E19" i="106"/>
  <c r="B19" i="106"/>
  <c r="E24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F8" i="106"/>
  <c r="E8" i="106"/>
  <c r="E34" i="106"/>
  <c r="B34" i="106"/>
  <c r="E39" i="106"/>
  <c r="B39" i="106"/>
  <c r="B32" i="106"/>
  <c r="G32" i="106"/>
  <c r="E32" i="106"/>
  <c r="H32" i="106"/>
  <c r="O6" i="82"/>
  <c r="E33" i="106"/>
  <c r="B33" i="106"/>
  <c r="G33" i="106"/>
  <c r="H33" i="106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E26" i="106"/>
  <c r="B26" i="106"/>
  <c r="G26" i="106"/>
  <c r="H26" i="106"/>
  <c r="O44" i="82"/>
  <c r="O45" i="82"/>
  <c r="O46" i="82"/>
  <c r="O47" i="82"/>
  <c r="G39" i="106"/>
  <c r="H39" i="106"/>
  <c r="O48" i="82"/>
  <c r="E40" i="106"/>
  <c r="B40" i="106"/>
  <c r="G40" i="106"/>
  <c r="H40" i="106"/>
  <c r="O49" i="82"/>
  <c r="E41" i="106"/>
  <c r="B41" i="106"/>
  <c r="G41" i="106"/>
  <c r="H41" i="106"/>
  <c r="O50" i="82"/>
  <c r="G19" i="106"/>
  <c r="H19" i="106"/>
  <c r="O51" i="82"/>
  <c r="G20" i="106"/>
  <c r="H20" i="106"/>
  <c r="O52" i="82"/>
  <c r="E21" i="106"/>
  <c r="B21" i="106"/>
  <c r="G21" i="106"/>
  <c r="H21" i="106"/>
  <c r="O53" i="82"/>
  <c r="O54" i="82"/>
  <c r="O55" i="82"/>
  <c r="O56" i="82"/>
  <c r="O57" i="82"/>
  <c r="O58" i="82"/>
  <c r="O59" i="82"/>
  <c r="G34" i="106"/>
  <c r="H34" i="106"/>
  <c r="O60" i="82"/>
  <c r="E35" i="106"/>
  <c r="B35" i="106"/>
  <c r="G35" i="106"/>
  <c r="H35" i="106"/>
  <c r="O61" i="82"/>
  <c r="E36" i="106"/>
  <c r="B36" i="106"/>
  <c r="G36" i="106"/>
  <c r="H36" i="106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8" i="106"/>
  <c r="B28" i="106"/>
  <c r="G28" i="106"/>
  <c r="H28" i="106"/>
  <c r="O139" i="82"/>
  <c r="O140" i="82"/>
  <c r="O141" i="82"/>
  <c r="F6" i="106"/>
  <c r="E6" i="106"/>
  <c r="E42" i="106"/>
  <c r="B42" i="106"/>
  <c r="G42" i="106"/>
  <c r="H42" i="106"/>
  <c r="O142" i="82"/>
  <c r="E43" i="106"/>
  <c r="B43" i="106"/>
  <c r="G43" i="106"/>
  <c r="H43" i="106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E23" i="106"/>
  <c r="B23" i="106"/>
  <c r="G23" i="106"/>
  <c r="H23" i="106"/>
  <c r="O215" i="82"/>
  <c r="O216" i="82"/>
  <c r="E38" i="106"/>
  <c r="B38" i="106"/>
  <c r="G38" i="106"/>
  <c r="H38" i="106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E22" i="106"/>
  <c r="B22" i="106"/>
  <c r="G22" i="106"/>
  <c r="H22" i="106"/>
  <c r="O262" i="82"/>
  <c r="O263" i="82"/>
  <c r="O264" i="82"/>
  <c r="O265" i="82"/>
  <c r="E44" i="106"/>
  <c r="B44" i="106"/>
  <c r="G44" i="106"/>
  <c r="H44" i="106"/>
  <c r="O266" i="82"/>
  <c r="E29" i="106"/>
  <c r="B29" i="106"/>
  <c r="G29" i="106"/>
  <c r="H29" i="106"/>
  <c r="O267" i="82"/>
  <c r="O268" i="82"/>
  <c r="O269" i="82"/>
  <c r="E37" i="106"/>
  <c r="B37" i="106"/>
  <c r="G37" i="106"/>
  <c r="H37" i="106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7" i="82"/>
  <c r="O308" i="82"/>
  <c r="O309" i="82"/>
  <c r="O310" i="82"/>
  <c r="O311" i="82"/>
  <c r="O312" i="82"/>
  <c r="O313" i="82"/>
  <c r="O314" i="82"/>
  <c r="O315" i="82"/>
  <c r="O316" i="82"/>
  <c r="O317" i="82"/>
  <c r="O318" i="82"/>
  <c r="O319" i="82"/>
  <c r="O320" i="82"/>
  <c r="O321" i="82"/>
  <c r="O322" i="82"/>
  <c r="O323" i="82"/>
  <c r="O324" i="82"/>
  <c r="O325" i="82"/>
  <c r="O326" i="82"/>
  <c r="O327" i="82"/>
  <c r="O328" i="82"/>
  <c r="O329" i="82"/>
  <c r="O330" i="82"/>
  <c r="G46" i="106"/>
  <c r="E46" i="106"/>
  <c r="H46" i="106"/>
  <c r="O331" i="82"/>
  <c r="P138" i="82"/>
  <c r="P139" i="82"/>
  <c r="P140" i="82"/>
  <c r="P141" i="82"/>
  <c r="P2" i="82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95" i="82"/>
  <c r="P296" i="82"/>
  <c r="P297" i="82"/>
  <c r="P298" i="82"/>
  <c r="P299" i="82"/>
  <c r="P300" i="82"/>
  <c r="P301" i="82"/>
  <c r="P302" i="82"/>
  <c r="P303" i="82"/>
  <c r="P304" i="82"/>
  <c r="P305" i="82"/>
  <c r="P306" i="82"/>
  <c r="P307" i="82"/>
  <c r="P308" i="82"/>
  <c r="P309" i="82"/>
  <c r="P310" i="82"/>
  <c r="P311" i="82"/>
  <c r="P312" i="82"/>
  <c r="P313" i="82"/>
  <c r="P314" i="82"/>
  <c r="P315" i="82"/>
  <c r="P316" i="82"/>
  <c r="P317" i="82"/>
  <c r="P318" i="82"/>
  <c r="P319" i="82"/>
  <c r="P320" i="82"/>
  <c r="P321" i="82"/>
  <c r="P322" i="82"/>
  <c r="P323" i="82"/>
  <c r="P324" i="82"/>
  <c r="P325" i="82"/>
  <c r="P326" i="82"/>
  <c r="P327" i="82"/>
  <c r="P328" i="82"/>
  <c r="P329" i="82"/>
  <c r="P330" i="82"/>
  <c r="P331" i="82"/>
  <c r="F63" i="106"/>
  <c r="F64" i="106"/>
  <c r="G63" i="106"/>
  <c r="F49" i="106"/>
  <c r="E49" i="106"/>
  <c r="F57" i="106"/>
  <c r="G57" i="106"/>
  <c r="G49" i="106"/>
  <c r="F325" i="82"/>
  <c r="H325" i="82"/>
  <c r="L325" i="82"/>
  <c r="M325" i="82"/>
  <c r="N325" i="82"/>
  <c r="F326" i="82"/>
  <c r="F327" i="82"/>
  <c r="F328" i="82"/>
  <c r="F329" i="82"/>
  <c r="F330" i="82"/>
  <c r="F331" i="82"/>
  <c r="H326" i="82"/>
  <c r="L326" i="82"/>
  <c r="M326" i="82"/>
  <c r="N326" i="82"/>
  <c r="H327" i="82"/>
  <c r="L327" i="82"/>
  <c r="M327" i="82"/>
  <c r="N327" i="82"/>
  <c r="H328" i="82"/>
  <c r="L328" i="82"/>
  <c r="M328" i="82"/>
  <c r="N328" i="82"/>
  <c r="H329" i="82"/>
  <c r="L329" i="82"/>
  <c r="M329" i="82"/>
  <c r="N329" i="82"/>
  <c r="H330" i="82"/>
  <c r="L330" i="82"/>
  <c r="M330" i="82"/>
  <c r="N330" i="82"/>
  <c r="H331" i="82"/>
  <c r="L331" i="82"/>
  <c r="M331" i="82"/>
  <c r="N331" i="82"/>
  <c r="A325" i="82"/>
  <c r="A326" i="82"/>
  <c r="A327" i="82"/>
  <c r="A328" i="82"/>
  <c r="A329" i="82"/>
  <c r="A330" i="82"/>
  <c r="A331" i="82"/>
  <c r="F324" i="82"/>
  <c r="F323" i="82"/>
  <c r="F322" i="82"/>
  <c r="F321" i="82"/>
  <c r="F320" i="82"/>
  <c r="F319" i="82"/>
  <c r="F318" i="82"/>
  <c r="F317" i="82"/>
  <c r="F316" i="82"/>
  <c r="F315" i="82"/>
  <c r="F314" i="82"/>
  <c r="F313" i="82"/>
  <c r="F312" i="82"/>
  <c r="F311" i="82"/>
  <c r="F310" i="82"/>
  <c r="F309" i="82"/>
  <c r="F308" i="82"/>
  <c r="F307" i="82"/>
  <c r="F306" i="82"/>
  <c r="F305" i="82"/>
  <c r="F304" i="82"/>
  <c r="F303" i="82"/>
  <c r="F302" i="82"/>
  <c r="F301" i="82"/>
  <c r="F300" i="82"/>
  <c r="F299" i="82"/>
  <c r="F298" i="82"/>
  <c r="F297" i="82"/>
  <c r="F296" i="82"/>
  <c r="F295" i="82"/>
  <c r="F294" i="82"/>
  <c r="F293" i="82"/>
  <c r="F292" i="82"/>
  <c r="F291" i="82"/>
  <c r="F290" i="82"/>
  <c r="F289" i="82"/>
  <c r="F288" i="82"/>
  <c r="F287" i="82"/>
  <c r="F286" i="82"/>
  <c r="F285" i="82"/>
  <c r="F284" i="82"/>
  <c r="F283" i="82"/>
  <c r="F282" i="82"/>
  <c r="F281" i="82"/>
  <c r="F280" i="82"/>
  <c r="F279" i="82"/>
  <c r="F278" i="82"/>
  <c r="F277" i="82"/>
  <c r="F276" i="82"/>
  <c r="F275" i="82"/>
  <c r="F274" i="82"/>
  <c r="F273" i="82"/>
  <c r="F272" i="82"/>
  <c r="F271" i="82"/>
  <c r="F270" i="82"/>
  <c r="F269" i="82"/>
  <c r="F268" i="82"/>
  <c r="F267" i="82"/>
  <c r="F266" i="82"/>
  <c r="F265" i="82"/>
  <c r="F264" i="82"/>
  <c r="F263" i="82"/>
  <c r="F262" i="82"/>
  <c r="F261" i="82"/>
  <c r="F260" i="82"/>
  <c r="F259" i="82"/>
  <c r="F258" i="82"/>
  <c r="F257" i="82"/>
  <c r="F256" i="82"/>
  <c r="F255" i="82"/>
  <c r="F254" i="82"/>
  <c r="F253" i="82"/>
  <c r="F252" i="82"/>
  <c r="F251" i="82"/>
  <c r="F250" i="82"/>
  <c r="F249" i="82"/>
  <c r="F248" i="82"/>
  <c r="F247" i="82"/>
  <c r="F246" i="82"/>
  <c r="F245" i="82"/>
  <c r="F244" i="82"/>
  <c r="F243" i="82"/>
  <c r="F242" i="82"/>
  <c r="F241" i="82"/>
  <c r="F240" i="82"/>
  <c r="F239" i="82"/>
  <c r="F238" i="82"/>
  <c r="F237" i="82"/>
  <c r="F236" i="82"/>
  <c r="F235" i="82"/>
  <c r="F234" i="82"/>
  <c r="F233" i="82"/>
  <c r="F232" i="82"/>
  <c r="F231" i="82"/>
  <c r="F230" i="82"/>
  <c r="F229" i="82"/>
  <c r="F228" i="82"/>
  <c r="F227" i="82"/>
  <c r="F226" i="82"/>
  <c r="F225" i="82"/>
  <c r="F224" i="82"/>
  <c r="F223" i="82"/>
  <c r="F222" i="82"/>
  <c r="F221" i="82"/>
  <c r="F220" i="82"/>
  <c r="F219" i="82"/>
  <c r="F218" i="82"/>
  <c r="F217" i="82"/>
  <c r="F216" i="82"/>
  <c r="F215" i="82"/>
  <c r="F214" i="82"/>
  <c r="F213" i="82"/>
  <c r="F212" i="82"/>
  <c r="F211" i="82"/>
  <c r="F210" i="82"/>
  <c r="F209" i="82"/>
  <c r="F208" i="82"/>
  <c r="F207" i="82"/>
  <c r="F206" i="82"/>
  <c r="F205" i="82"/>
  <c r="F204" i="82"/>
  <c r="F203" i="82"/>
  <c r="F202" i="82"/>
  <c r="F201" i="82"/>
  <c r="F200" i="82"/>
  <c r="F199" i="82"/>
  <c r="F198" i="82"/>
  <c r="F197" i="82"/>
  <c r="F196" i="82"/>
  <c r="F195" i="82"/>
  <c r="F194" i="82"/>
  <c r="F193" i="82"/>
  <c r="F192" i="82"/>
  <c r="F191" i="82"/>
  <c r="F190" i="82"/>
  <c r="F189" i="82"/>
  <c r="F188" i="82"/>
  <c r="F187" i="82"/>
  <c r="F186" i="82"/>
  <c r="F185" i="82"/>
  <c r="F184" i="82"/>
  <c r="F183" i="82"/>
  <c r="F182" i="82"/>
  <c r="F181" i="82"/>
  <c r="F180" i="82"/>
  <c r="F179" i="82"/>
  <c r="F178" i="82"/>
  <c r="F177" i="82"/>
  <c r="F176" i="82"/>
  <c r="F175" i="82"/>
  <c r="F174" i="82"/>
  <c r="F173" i="82"/>
  <c r="F172" i="82"/>
  <c r="F171" i="82"/>
  <c r="F170" i="82"/>
  <c r="F169" i="82"/>
  <c r="F168" i="82"/>
  <c r="F167" i="82"/>
  <c r="F166" i="82"/>
  <c r="F165" i="82"/>
  <c r="F164" i="82"/>
  <c r="F163" i="82"/>
  <c r="F162" i="82"/>
  <c r="F161" i="82"/>
  <c r="F160" i="82"/>
  <c r="F159" i="82"/>
  <c r="F158" i="82"/>
  <c r="F157" i="82"/>
  <c r="F156" i="82"/>
  <c r="F155" i="82"/>
  <c r="F154" i="82"/>
  <c r="F153" i="82"/>
  <c r="F152" i="82"/>
  <c r="F151" i="82"/>
  <c r="F150" i="82"/>
  <c r="F149" i="82"/>
  <c r="F148" i="82"/>
  <c r="F147" i="82"/>
  <c r="F146" i="82"/>
  <c r="F145" i="82"/>
  <c r="F144" i="82"/>
  <c r="F143" i="82"/>
  <c r="F142" i="82"/>
  <c r="F141" i="82"/>
  <c r="F140" i="82"/>
  <c r="F139" i="82"/>
  <c r="F138" i="82"/>
  <c r="F137" i="82"/>
  <c r="F136" i="82"/>
  <c r="F135" i="82"/>
  <c r="F134" i="82"/>
  <c r="F133" i="82"/>
  <c r="F132" i="82"/>
  <c r="F131" i="82"/>
  <c r="F130" i="82"/>
  <c r="F129" i="82"/>
  <c r="F128" i="82"/>
  <c r="F127" i="82"/>
  <c r="F126" i="82"/>
  <c r="F125" i="82"/>
  <c r="F124" i="82"/>
  <c r="F123" i="82"/>
  <c r="F122" i="82"/>
  <c r="F121" i="82"/>
  <c r="F120" i="82"/>
  <c r="F119" i="82"/>
  <c r="F118" i="82"/>
  <c r="F117" i="82"/>
  <c r="F116" i="82"/>
  <c r="F115" i="82"/>
  <c r="F114" i="82"/>
  <c r="F113" i="82"/>
  <c r="F112" i="82"/>
  <c r="F111" i="82"/>
  <c r="F110" i="82"/>
  <c r="F109" i="82"/>
  <c r="F108" i="82"/>
  <c r="F107" i="82"/>
  <c r="F106" i="82"/>
  <c r="F105" i="82"/>
  <c r="F104" i="82"/>
  <c r="F103" i="82"/>
  <c r="F102" i="82"/>
  <c r="F101" i="82"/>
  <c r="F100" i="82"/>
  <c r="F99" i="82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F13" i="82"/>
  <c r="F12" i="82"/>
  <c r="F11" i="82"/>
  <c r="F10" i="82"/>
  <c r="F9" i="82"/>
  <c r="F8" i="82"/>
  <c r="F7" i="82"/>
  <c r="F6" i="82"/>
  <c r="F5" i="82"/>
  <c r="F4" i="82"/>
  <c r="F3" i="82"/>
  <c r="F2" i="82"/>
  <c r="F325" i="148"/>
  <c r="H325" i="148"/>
  <c r="L325" i="148"/>
  <c r="M325" i="148"/>
  <c r="N325" i="148"/>
  <c r="F326" i="148"/>
  <c r="F327" i="148"/>
  <c r="F328" i="148"/>
  <c r="F329" i="148"/>
  <c r="F330" i="148"/>
  <c r="F331" i="148"/>
  <c r="H326" i="148"/>
  <c r="L326" i="148"/>
  <c r="M326" i="148"/>
  <c r="N326" i="148"/>
  <c r="H327" i="148"/>
  <c r="L327" i="148"/>
  <c r="M327" i="148"/>
  <c r="N327" i="148"/>
  <c r="H328" i="148"/>
  <c r="L328" i="148"/>
  <c r="M328" i="148"/>
  <c r="N328" i="148"/>
  <c r="H329" i="148"/>
  <c r="L329" i="148"/>
  <c r="M329" i="148"/>
  <c r="N329" i="148"/>
  <c r="H330" i="148"/>
  <c r="L330" i="148"/>
  <c r="M330" i="148"/>
  <c r="N330" i="148"/>
  <c r="H331" i="148"/>
  <c r="L331" i="148"/>
  <c r="M331" i="148"/>
  <c r="N331" i="148"/>
  <c r="A325" i="148"/>
  <c r="A326" i="148"/>
  <c r="A327" i="148"/>
  <c r="A328" i="148"/>
  <c r="A329" i="148"/>
  <c r="A330" i="148"/>
  <c r="A331" i="148"/>
  <c r="F324" i="148"/>
  <c r="F323" i="148"/>
  <c r="F322" i="148"/>
  <c r="F321" i="148"/>
  <c r="F320" i="148"/>
  <c r="F319" i="148"/>
  <c r="F318" i="148"/>
  <c r="F317" i="148"/>
  <c r="F316" i="148"/>
  <c r="F315" i="148"/>
  <c r="F314" i="148"/>
  <c r="F313" i="148"/>
  <c r="F312" i="148"/>
  <c r="F311" i="148"/>
  <c r="F310" i="148"/>
  <c r="F309" i="148"/>
  <c r="F308" i="148"/>
  <c r="F307" i="148"/>
  <c r="F306" i="148"/>
  <c r="F305" i="148"/>
  <c r="F304" i="148"/>
  <c r="F303" i="148"/>
  <c r="F302" i="148"/>
  <c r="F301" i="148"/>
  <c r="F300" i="148"/>
  <c r="F299" i="148"/>
  <c r="F298" i="148"/>
  <c r="F297" i="148"/>
  <c r="F296" i="148"/>
  <c r="F295" i="148"/>
  <c r="F294" i="148"/>
  <c r="F293" i="148"/>
  <c r="F292" i="148"/>
  <c r="F291" i="148"/>
  <c r="F290" i="148"/>
  <c r="F289" i="148"/>
  <c r="F288" i="148"/>
  <c r="F287" i="148"/>
  <c r="F286" i="148"/>
  <c r="F285" i="148"/>
  <c r="F284" i="148"/>
  <c r="F283" i="148"/>
  <c r="F282" i="148"/>
  <c r="F281" i="148"/>
  <c r="F280" i="148"/>
  <c r="F279" i="148"/>
  <c r="F278" i="148"/>
  <c r="F277" i="148"/>
  <c r="F276" i="148"/>
  <c r="F275" i="148"/>
  <c r="F274" i="148"/>
  <c r="F273" i="148"/>
  <c r="F272" i="148"/>
  <c r="F271" i="148"/>
  <c r="F270" i="148"/>
  <c r="F269" i="148"/>
  <c r="F268" i="148"/>
  <c r="F267" i="148"/>
  <c r="F266" i="148"/>
  <c r="F265" i="148"/>
  <c r="F264" i="148"/>
  <c r="F263" i="148"/>
  <c r="F262" i="148"/>
  <c r="F261" i="148"/>
  <c r="F260" i="148"/>
  <c r="F259" i="148"/>
  <c r="F258" i="148"/>
  <c r="F257" i="148"/>
  <c r="F256" i="148"/>
  <c r="F255" i="148"/>
  <c r="F254" i="148"/>
  <c r="F253" i="148"/>
  <c r="F252" i="148"/>
  <c r="F251" i="148"/>
  <c r="F250" i="148"/>
  <c r="F249" i="148"/>
  <c r="F248" i="148"/>
  <c r="F247" i="148"/>
  <c r="F246" i="148"/>
  <c r="F245" i="148"/>
  <c r="F244" i="148"/>
  <c r="F243" i="148"/>
  <c r="F242" i="148"/>
  <c r="F241" i="148"/>
  <c r="F240" i="148"/>
  <c r="F239" i="148"/>
  <c r="F238" i="148"/>
  <c r="F237" i="148"/>
  <c r="F236" i="148"/>
  <c r="F235" i="148"/>
  <c r="F234" i="148"/>
  <c r="F233" i="148"/>
  <c r="F232" i="148"/>
  <c r="F231" i="148"/>
  <c r="F230" i="148"/>
  <c r="F229" i="148"/>
  <c r="F228" i="148"/>
  <c r="F227" i="148"/>
  <c r="F226" i="148"/>
  <c r="F225" i="148"/>
  <c r="F224" i="148"/>
  <c r="F223" i="148"/>
  <c r="F222" i="148"/>
  <c r="F221" i="148"/>
  <c r="F220" i="148"/>
  <c r="F219" i="148"/>
  <c r="F218" i="148"/>
  <c r="F217" i="148"/>
  <c r="F216" i="148"/>
  <c r="F215" i="148"/>
  <c r="F214" i="148"/>
  <c r="F213" i="148"/>
  <c r="F212" i="148"/>
  <c r="F211" i="148"/>
  <c r="F210" i="148"/>
  <c r="F209" i="148"/>
  <c r="F208" i="148"/>
  <c r="F207" i="148"/>
  <c r="F206" i="148"/>
  <c r="F205" i="148"/>
  <c r="F204" i="148"/>
  <c r="F203" i="148"/>
  <c r="F202" i="148"/>
  <c r="F201" i="148"/>
  <c r="F200" i="148"/>
  <c r="F199" i="148"/>
  <c r="F198" i="148"/>
  <c r="F197" i="148"/>
  <c r="F196" i="148"/>
  <c r="F195" i="148"/>
  <c r="F194" i="148"/>
  <c r="F193" i="148"/>
  <c r="F192" i="148"/>
  <c r="F191" i="148"/>
  <c r="F190" i="148"/>
  <c r="F189" i="148"/>
  <c r="F188" i="148"/>
  <c r="F187" i="148"/>
  <c r="F186" i="148"/>
  <c r="F185" i="148"/>
  <c r="F184" i="148"/>
  <c r="F183" i="148"/>
  <c r="F182" i="148"/>
  <c r="F181" i="148"/>
  <c r="F180" i="148"/>
  <c r="F179" i="148"/>
  <c r="F178" i="148"/>
  <c r="F177" i="148"/>
  <c r="F176" i="148"/>
  <c r="F175" i="148"/>
  <c r="F174" i="148"/>
  <c r="F173" i="148"/>
  <c r="F172" i="148"/>
  <c r="F171" i="148"/>
  <c r="F170" i="148"/>
  <c r="F169" i="148"/>
  <c r="F168" i="148"/>
  <c r="F167" i="148"/>
  <c r="F166" i="148"/>
  <c r="F165" i="148"/>
  <c r="F164" i="148"/>
  <c r="F163" i="148"/>
  <c r="F162" i="148"/>
  <c r="F161" i="148"/>
  <c r="F160" i="148"/>
  <c r="F159" i="148"/>
  <c r="F158" i="148"/>
  <c r="F157" i="148"/>
  <c r="F156" i="148"/>
  <c r="F155" i="148"/>
  <c r="F154" i="148"/>
  <c r="F153" i="148"/>
  <c r="F152" i="148"/>
  <c r="F151" i="148"/>
  <c r="F150" i="148"/>
  <c r="F149" i="148"/>
  <c r="F148" i="148"/>
  <c r="F147" i="148"/>
  <c r="F146" i="148"/>
  <c r="F145" i="148"/>
  <c r="F144" i="148"/>
  <c r="F143" i="148"/>
  <c r="F142" i="148"/>
  <c r="F141" i="148"/>
  <c r="F140" i="148"/>
  <c r="F139" i="148"/>
  <c r="F138" i="148"/>
  <c r="F137" i="148"/>
  <c r="F136" i="148"/>
  <c r="F135" i="148"/>
  <c r="F134" i="148"/>
  <c r="F133" i="148"/>
  <c r="F132" i="148"/>
  <c r="F131" i="148"/>
  <c r="F130" i="148"/>
  <c r="F129" i="148"/>
  <c r="F128" i="148"/>
  <c r="F127" i="148"/>
  <c r="F126" i="148"/>
  <c r="F125" i="148"/>
  <c r="F124" i="148"/>
  <c r="F123" i="148"/>
  <c r="F122" i="148"/>
  <c r="F121" i="148"/>
  <c r="F120" i="148"/>
  <c r="F119" i="148"/>
  <c r="F118" i="148"/>
  <c r="F117" i="148"/>
  <c r="F116" i="148"/>
  <c r="F115" i="148"/>
  <c r="F114" i="148"/>
  <c r="F113" i="148"/>
  <c r="F112" i="148"/>
  <c r="F111" i="148"/>
  <c r="F110" i="148"/>
  <c r="F109" i="148"/>
  <c r="F108" i="148"/>
  <c r="F107" i="148"/>
  <c r="F106" i="148"/>
  <c r="F105" i="148"/>
  <c r="F104" i="148"/>
  <c r="F103" i="148"/>
  <c r="F102" i="148"/>
  <c r="F101" i="148"/>
  <c r="F100" i="148"/>
  <c r="F99" i="148"/>
  <c r="F98" i="148"/>
  <c r="F97" i="148"/>
  <c r="F96" i="148"/>
  <c r="F95" i="148"/>
  <c r="F94" i="148"/>
  <c r="F93" i="148"/>
  <c r="F92" i="148"/>
  <c r="F91" i="148"/>
  <c r="F90" i="148"/>
  <c r="F89" i="148"/>
  <c r="F88" i="148"/>
  <c r="F87" i="148"/>
  <c r="F86" i="148"/>
  <c r="F85" i="148"/>
  <c r="F84" i="148"/>
  <c r="F83" i="148"/>
  <c r="F82" i="148"/>
  <c r="F81" i="148"/>
  <c r="F80" i="148"/>
  <c r="F79" i="148"/>
  <c r="F78" i="148"/>
  <c r="F77" i="148"/>
  <c r="F76" i="148"/>
  <c r="F75" i="148"/>
  <c r="F74" i="148"/>
  <c r="F73" i="148"/>
  <c r="F72" i="148"/>
  <c r="F71" i="148"/>
  <c r="F70" i="148"/>
  <c r="F69" i="148"/>
  <c r="F68" i="148"/>
  <c r="F67" i="148"/>
  <c r="F66" i="148"/>
  <c r="F65" i="148"/>
  <c r="F64" i="148"/>
  <c r="F63" i="148"/>
  <c r="F62" i="148"/>
  <c r="F61" i="148"/>
  <c r="F60" i="148"/>
  <c r="F59" i="148"/>
  <c r="F58" i="148"/>
  <c r="F57" i="148"/>
  <c r="F56" i="148"/>
  <c r="F55" i="148"/>
  <c r="F54" i="148"/>
  <c r="F53" i="148"/>
  <c r="F52" i="148"/>
  <c r="F51" i="148"/>
  <c r="F50" i="148"/>
  <c r="F49" i="148"/>
  <c r="F48" i="148"/>
  <c r="F47" i="148"/>
  <c r="F46" i="148"/>
  <c r="F45" i="148"/>
  <c r="F44" i="148"/>
  <c r="F43" i="148"/>
  <c r="F42" i="148"/>
  <c r="F41" i="148"/>
  <c r="F40" i="148"/>
  <c r="F39" i="148"/>
  <c r="F38" i="148"/>
  <c r="F37" i="148"/>
  <c r="F36" i="148"/>
  <c r="F35" i="148"/>
  <c r="F34" i="148"/>
  <c r="F33" i="148"/>
  <c r="F32" i="148"/>
  <c r="F31" i="148"/>
  <c r="F30" i="148"/>
  <c r="F29" i="148"/>
  <c r="F28" i="148"/>
  <c r="F27" i="148"/>
  <c r="F26" i="148"/>
  <c r="F25" i="148"/>
  <c r="F24" i="148"/>
  <c r="F23" i="148"/>
  <c r="F22" i="148"/>
  <c r="F21" i="148"/>
  <c r="F20" i="148"/>
  <c r="F19" i="148"/>
  <c r="F18" i="148"/>
  <c r="F17" i="148"/>
  <c r="F16" i="148"/>
  <c r="F15" i="148"/>
  <c r="F14" i="148"/>
  <c r="F13" i="148"/>
  <c r="F12" i="148"/>
  <c r="F11" i="148"/>
  <c r="F10" i="148"/>
  <c r="F9" i="148"/>
  <c r="F8" i="148"/>
  <c r="F7" i="148"/>
  <c r="F6" i="148"/>
  <c r="F5" i="148"/>
  <c r="F4" i="148"/>
  <c r="F3" i="148"/>
  <c r="F2" i="148"/>
  <c r="F331" i="150"/>
  <c r="F330" i="150"/>
  <c r="F329" i="150"/>
  <c r="F328" i="150"/>
  <c r="F327" i="150"/>
  <c r="F326" i="150"/>
  <c r="F325" i="150"/>
  <c r="F324" i="150"/>
  <c r="F323" i="150"/>
  <c r="F322" i="150"/>
  <c r="F321" i="150"/>
  <c r="F320" i="150"/>
  <c r="F319" i="150"/>
  <c r="F318" i="150"/>
  <c r="F317" i="150"/>
  <c r="F316" i="150"/>
  <c r="F315" i="150"/>
  <c r="F314" i="150"/>
  <c r="F313" i="150"/>
  <c r="F312" i="150"/>
  <c r="F311" i="150"/>
  <c r="F310" i="150"/>
  <c r="F309" i="150"/>
  <c r="F308" i="150"/>
  <c r="F307" i="150"/>
  <c r="F306" i="150"/>
  <c r="F305" i="150"/>
  <c r="F304" i="150"/>
  <c r="F303" i="150"/>
  <c r="F302" i="150"/>
  <c r="F301" i="150"/>
  <c r="F300" i="150"/>
  <c r="F299" i="150"/>
  <c r="F298" i="150"/>
  <c r="F297" i="150"/>
  <c r="F296" i="150"/>
  <c r="F295" i="150"/>
  <c r="F294" i="150"/>
  <c r="F293" i="150"/>
  <c r="F292" i="150"/>
  <c r="F291" i="150"/>
  <c r="F290" i="150"/>
  <c r="F289" i="150"/>
  <c r="F288" i="150"/>
  <c r="F287" i="150"/>
  <c r="F286" i="150"/>
  <c r="F285" i="150"/>
  <c r="F284" i="150"/>
  <c r="F283" i="150"/>
  <c r="F282" i="150"/>
  <c r="F281" i="150"/>
  <c r="F280" i="150"/>
  <c r="F279" i="150"/>
  <c r="F278" i="150"/>
  <c r="F277" i="150"/>
  <c r="F276" i="150"/>
  <c r="F275" i="150"/>
  <c r="F274" i="150"/>
  <c r="F273" i="150"/>
  <c r="F272" i="150"/>
  <c r="F271" i="150"/>
  <c r="F270" i="150"/>
  <c r="F269" i="150"/>
  <c r="F268" i="150"/>
  <c r="F267" i="150"/>
  <c r="F266" i="150"/>
  <c r="F265" i="150"/>
  <c r="F264" i="150"/>
  <c r="F263" i="150"/>
  <c r="F262" i="150"/>
  <c r="F261" i="150"/>
  <c r="F260" i="150"/>
  <c r="F259" i="150"/>
  <c r="F258" i="150"/>
  <c r="F257" i="150"/>
  <c r="F256" i="150"/>
  <c r="F255" i="150"/>
  <c r="F254" i="150"/>
  <c r="F253" i="150"/>
  <c r="F252" i="150"/>
  <c r="F251" i="150"/>
  <c r="F250" i="150"/>
  <c r="F249" i="150"/>
  <c r="F248" i="150"/>
  <c r="F247" i="150"/>
  <c r="F246" i="150"/>
  <c r="F245" i="150"/>
  <c r="F244" i="150"/>
  <c r="F243" i="150"/>
  <c r="F242" i="150"/>
  <c r="F241" i="150"/>
  <c r="F240" i="150"/>
  <c r="F239" i="150"/>
  <c r="F238" i="150"/>
  <c r="F237" i="150"/>
  <c r="F236" i="150"/>
  <c r="F235" i="150"/>
  <c r="F234" i="150"/>
  <c r="F233" i="150"/>
  <c r="F232" i="150"/>
  <c r="F231" i="150"/>
  <c r="F230" i="150"/>
  <c r="F229" i="150"/>
  <c r="F228" i="150"/>
  <c r="F227" i="150"/>
  <c r="F226" i="150"/>
  <c r="F225" i="150"/>
  <c r="F224" i="150"/>
  <c r="F223" i="150"/>
  <c r="F222" i="150"/>
  <c r="F221" i="150"/>
  <c r="F220" i="150"/>
  <c r="F219" i="150"/>
  <c r="F218" i="150"/>
  <c r="F217" i="150"/>
  <c r="F216" i="150"/>
  <c r="F215" i="150"/>
  <c r="F214" i="150"/>
  <c r="F213" i="150"/>
  <c r="F212" i="150"/>
  <c r="F211" i="150"/>
  <c r="F210" i="150"/>
  <c r="F209" i="150"/>
  <c r="F208" i="150"/>
  <c r="F207" i="150"/>
  <c r="F206" i="150"/>
  <c r="F205" i="150"/>
  <c r="F204" i="150"/>
  <c r="F203" i="150"/>
  <c r="F202" i="150"/>
  <c r="F201" i="150"/>
  <c r="F200" i="150"/>
  <c r="F199" i="150"/>
  <c r="F198" i="150"/>
  <c r="F197" i="150"/>
  <c r="F196" i="150"/>
  <c r="F195" i="150"/>
  <c r="F194" i="150"/>
  <c r="F193" i="150"/>
  <c r="F192" i="150"/>
  <c r="F191" i="150"/>
  <c r="F190" i="150"/>
  <c r="F189" i="150"/>
  <c r="F188" i="150"/>
  <c r="F187" i="150"/>
  <c r="F186" i="150"/>
  <c r="F185" i="150"/>
  <c r="F184" i="150"/>
  <c r="F183" i="150"/>
  <c r="F182" i="150"/>
  <c r="F181" i="150"/>
  <c r="F180" i="150"/>
  <c r="F179" i="150"/>
  <c r="F178" i="150"/>
  <c r="F177" i="150"/>
  <c r="F176" i="150"/>
  <c r="F175" i="150"/>
  <c r="F174" i="150"/>
  <c r="F173" i="150"/>
  <c r="F172" i="150"/>
  <c r="F171" i="150"/>
  <c r="F170" i="150"/>
  <c r="F169" i="150"/>
  <c r="F168" i="150"/>
  <c r="F167" i="150"/>
  <c r="F166" i="150"/>
  <c r="F165" i="150"/>
  <c r="F164" i="150"/>
  <c r="F163" i="150"/>
  <c r="F162" i="150"/>
  <c r="F161" i="150"/>
  <c r="F160" i="150"/>
  <c r="F159" i="150"/>
  <c r="F158" i="150"/>
  <c r="F157" i="150"/>
  <c r="F156" i="150"/>
  <c r="F155" i="150"/>
  <c r="F154" i="150"/>
  <c r="F153" i="150"/>
  <c r="F152" i="150"/>
  <c r="F151" i="150"/>
  <c r="F150" i="150"/>
  <c r="F149" i="150"/>
  <c r="F148" i="150"/>
  <c r="F147" i="150"/>
  <c r="F146" i="150"/>
  <c r="F145" i="150"/>
  <c r="F144" i="150"/>
  <c r="F143" i="150"/>
  <c r="F142" i="150"/>
  <c r="F141" i="150"/>
  <c r="F140" i="150"/>
  <c r="F139" i="150"/>
  <c r="F138" i="150"/>
  <c r="F137" i="150"/>
  <c r="F136" i="150"/>
  <c r="F135" i="150"/>
  <c r="F134" i="150"/>
  <c r="F133" i="150"/>
  <c r="F132" i="150"/>
  <c r="F131" i="150"/>
  <c r="F130" i="150"/>
  <c r="F129" i="150"/>
  <c r="F128" i="150"/>
  <c r="F127" i="150"/>
  <c r="F126" i="150"/>
  <c r="F125" i="150"/>
  <c r="F124" i="150"/>
  <c r="F123" i="150"/>
  <c r="F122" i="150"/>
  <c r="F121" i="150"/>
  <c r="F120" i="150"/>
  <c r="F119" i="150"/>
  <c r="F118" i="150"/>
  <c r="F117" i="150"/>
  <c r="F116" i="150"/>
  <c r="F115" i="150"/>
  <c r="F114" i="150"/>
  <c r="F113" i="150"/>
  <c r="F112" i="150"/>
  <c r="F111" i="150"/>
  <c r="F110" i="150"/>
  <c r="F109" i="150"/>
  <c r="F108" i="150"/>
  <c r="F107" i="150"/>
  <c r="F106" i="150"/>
  <c r="F105" i="150"/>
  <c r="F104" i="150"/>
  <c r="F103" i="150"/>
  <c r="F102" i="150"/>
  <c r="F101" i="150"/>
  <c r="F100" i="150"/>
  <c r="F99" i="150"/>
  <c r="F98" i="150"/>
  <c r="F97" i="150"/>
  <c r="F96" i="150"/>
  <c r="F95" i="150"/>
  <c r="F94" i="150"/>
  <c r="F93" i="150"/>
  <c r="F92" i="150"/>
  <c r="F91" i="150"/>
  <c r="F90" i="150"/>
  <c r="F89" i="150"/>
  <c r="F88" i="150"/>
  <c r="F87" i="150"/>
  <c r="F86" i="150"/>
  <c r="F85" i="150"/>
  <c r="F84" i="150"/>
  <c r="F83" i="150"/>
  <c r="F82" i="150"/>
  <c r="F81" i="150"/>
  <c r="F80" i="150"/>
  <c r="F79" i="150"/>
  <c r="F78" i="150"/>
  <c r="F77" i="150"/>
  <c r="F76" i="150"/>
  <c r="F75" i="150"/>
  <c r="F74" i="150"/>
  <c r="F73" i="150"/>
  <c r="F72" i="150"/>
  <c r="F71" i="150"/>
  <c r="F70" i="150"/>
  <c r="F69" i="150"/>
  <c r="F68" i="150"/>
  <c r="F67" i="150"/>
  <c r="F66" i="150"/>
  <c r="F65" i="150"/>
  <c r="F64" i="150"/>
  <c r="F63" i="150"/>
  <c r="F62" i="150"/>
  <c r="F61" i="150"/>
  <c r="F60" i="150"/>
  <c r="F59" i="150"/>
  <c r="F58" i="150"/>
  <c r="F57" i="150"/>
  <c r="F56" i="150"/>
  <c r="F55" i="150"/>
  <c r="F54" i="150"/>
  <c r="F53" i="150"/>
  <c r="F52" i="150"/>
  <c r="F51" i="150"/>
  <c r="F50" i="150"/>
  <c r="F49" i="150"/>
  <c r="F48" i="150"/>
  <c r="F47" i="150"/>
  <c r="F46" i="150"/>
  <c r="F45" i="150"/>
  <c r="F44" i="150"/>
  <c r="F43" i="150"/>
  <c r="F42" i="150"/>
  <c r="F41" i="150"/>
  <c r="F40" i="150"/>
  <c r="F39" i="150"/>
  <c r="F38" i="150"/>
  <c r="F37" i="150"/>
  <c r="F36" i="150"/>
  <c r="F35" i="150"/>
  <c r="F34" i="150"/>
  <c r="F33" i="150"/>
  <c r="F32" i="150"/>
  <c r="F31" i="150"/>
  <c r="F30" i="150"/>
  <c r="F29" i="150"/>
  <c r="F28" i="150"/>
  <c r="F27" i="150"/>
  <c r="F26" i="150"/>
  <c r="F25" i="150"/>
  <c r="F24" i="150"/>
  <c r="F23" i="150"/>
  <c r="F22" i="150"/>
  <c r="F21" i="150"/>
  <c r="F20" i="150"/>
  <c r="F19" i="150"/>
  <c r="F18" i="150"/>
  <c r="F17" i="150"/>
  <c r="F16" i="150"/>
  <c r="F15" i="150"/>
  <c r="F14" i="150"/>
  <c r="F13" i="150"/>
  <c r="F12" i="150"/>
  <c r="F11" i="150"/>
  <c r="F10" i="150"/>
  <c r="F9" i="150"/>
  <c r="F8" i="150"/>
  <c r="F7" i="150"/>
  <c r="F6" i="150"/>
  <c r="F5" i="150"/>
  <c r="F4" i="150"/>
  <c r="F3" i="150"/>
  <c r="F2" i="150"/>
  <c r="H325" i="150"/>
  <c r="L325" i="150"/>
  <c r="M325" i="150"/>
  <c r="N325" i="150"/>
  <c r="H326" i="150"/>
  <c r="L326" i="150"/>
  <c r="M326" i="150"/>
  <c r="N326" i="150"/>
  <c r="H327" i="150"/>
  <c r="L327" i="150"/>
  <c r="M327" i="150"/>
  <c r="N327" i="150"/>
  <c r="H328" i="150"/>
  <c r="L328" i="150"/>
  <c r="M328" i="150"/>
  <c r="N328" i="150"/>
  <c r="H329" i="150"/>
  <c r="L329" i="150"/>
  <c r="M329" i="150"/>
  <c r="N329" i="150"/>
  <c r="H330" i="150"/>
  <c r="L330" i="150"/>
  <c r="M330" i="150"/>
  <c r="N330" i="150"/>
  <c r="H331" i="150"/>
  <c r="L331" i="150"/>
  <c r="M331" i="150"/>
  <c r="N331" i="150"/>
  <c r="A325" i="150"/>
  <c r="A326" i="150"/>
  <c r="A327" i="150"/>
  <c r="A328" i="150"/>
  <c r="A329" i="150"/>
  <c r="A330" i="150"/>
  <c r="A331" i="150"/>
  <c r="F325" i="159"/>
  <c r="H325" i="159"/>
  <c r="L325" i="159"/>
  <c r="M325" i="159"/>
  <c r="N325" i="159"/>
  <c r="F326" i="159"/>
  <c r="F327" i="159"/>
  <c r="F328" i="159"/>
  <c r="F329" i="159"/>
  <c r="F330" i="159"/>
  <c r="F331" i="159"/>
  <c r="H326" i="159"/>
  <c r="L326" i="159"/>
  <c r="M326" i="159"/>
  <c r="N326" i="159"/>
  <c r="H327" i="159"/>
  <c r="L327" i="159"/>
  <c r="M327" i="159"/>
  <c r="N327" i="159"/>
  <c r="H328" i="159"/>
  <c r="L328" i="159"/>
  <c r="M328" i="159"/>
  <c r="N328" i="159"/>
  <c r="H329" i="159"/>
  <c r="L329" i="159"/>
  <c r="M329" i="159"/>
  <c r="N329" i="159"/>
  <c r="H330" i="159"/>
  <c r="L330" i="159"/>
  <c r="M330" i="159"/>
  <c r="N330" i="159"/>
  <c r="H331" i="159"/>
  <c r="L331" i="159"/>
  <c r="M331" i="159"/>
  <c r="N331" i="159"/>
  <c r="A325" i="159"/>
  <c r="A326" i="159"/>
  <c r="A327" i="159"/>
  <c r="A328" i="159"/>
  <c r="A329" i="159"/>
  <c r="A330" i="159"/>
  <c r="A331" i="159"/>
  <c r="F324" i="159"/>
  <c r="F323" i="159"/>
  <c r="F322" i="159"/>
  <c r="F321" i="159"/>
  <c r="F320" i="159"/>
  <c r="F319" i="159"/>
  <c r="F318" i="159"/>
  <c r="F317" i="159"/>
  <c r="F316" i="159"/>
  <c r="F315" i="159"/>
  <c r="F314" i="159"/>
  <c r="F313" i="159"/>
  <c r="F312" i="159"/>
  <c r="F311" i="159"/>
  <c r="F310" i="159"/>
  <c r="F309" i="159"/>
  <c r="F308" i="159"/>
  <c r="F307" i="159"/>
  <c r="F306" i="159"/>
  <c r="F305" i="159"/>
  <c r="F304" i="159"/>
  <c r="F303" i="159"/>
  <c r="F302" i="159"/>
  <c r="F301" i="159"/>
  <c r="F300" i="159"/>
  <c r="F299" i="159"/>
  <c r="F298" i="159"/>
  <c r="F297" i="159"/>
  <c r="F296" i="159"/>
  <c r="F295" i="159"/>
  <c r="F294" i="159"/>
  <c r="F293" i="159"/>
  <c r="F292" i="159"/>
  <c r="F291" i="159"/>
  <c r="F290" i="159"/>
  <c r="F289" i="159"/>
  <c r="F288" i="159"/>
  <c r="F287" i="159"/>
  <c r="F286" i="159"/>
  <c r="F285" i="159"/>
  <c r="F284" i="159"/>
  <c r="F283" i="159"/>
  <c r="F282" i="159"/>
  <c r="F281" i="159"/>
  <c r="F280" i="159"/>
  <c r="F279" i="159"/>
  <c r="F278" i="159"/>
  <c r="F277" i="159"/>
  <c r="F276" i="159"/>
  <c r="F275" i="159"/>
  <c r="F274" i="159"/>
  <c r="F273" i="159"/>
  <c r="F272" i="159"/>
  <c r="F271" i="159"/>
  <c r="F270" i="159"/>
  <c r="F269" i="159"/>
  <c r="F268" i="159"/>
  <c r="F267" i="159"/>
  <c r="F266" i="159"/>
  <c r="F265" i="159"/>
  <c r="F264" i="159"/>
  <c r="F263" i="159"/>
  <c r="F262" i="159"/>
  <c r="F261" i="159"/>
  <c r="F260" i="159"/>
  <c r="F259" i="159"/>
  <c r="F258" i="159"/>
  <c r="F257" i="159"/>
  <c r="F256" i="159"/>
  <c r="F255" i="159"/>
  <c r="F254" i="159"/>
  <c r="F253" i="159"/>
  <c r="F252" i="159"/>
  <c r="F251" i="159"/>
  <c r="F250" i="159"/>
  <c r="F249" i="159"/>
  <c r="F248" i="159"/>
  <c r="F247" i="159"/>
  <c r="F246" i="159"/>
  <c r="F245" i="159"/>
  <c r="F244" i="159"/>
  <c r="F243" i="159"/>
  <c r="F242" i="159"/>
  <c r="F241" i="159"/>
  <c r="F240" i="159"/>
  <c r="F239" i="159"/>
  <c r="F238" i="159"/>
  <c r="F237" i="159"/>
  <c r="F236" i="159"/>
  <c r="F235" i="159"/>
  <c r="F234" i="159"/>
  <c r="F233" i="159"/>
  <c r="F232" i="159"/>
  <c r="F231" i="159"/>
  <c r="F230" i="159"/>
  <c r="F229" i="159"/>
  <c r="F228" i="159"/>
  <c r="F227" i="159"/>
  <c r="F226" i="159"/>
  <c r="F225" i="159"/>
  <c r="F224" i="159"/>
  <c r="F223" i="159"/>
  <c r="F222" i="159"/>
  <c r="F221" i="159"/>
  <c r="F220" i="159"/>
  <c r="F219" i="159"/>
  <c r="F218" i="159"/>
  <c r="F217" i="159"/>
  <c r="F216" i="159"/>
  <c r="F215" i="159"/>
  <c r="F214" i="159"/>
  <c r="F213" i="159"/>
  <c r="F212" i="159"/>
  <c r="F211" i="159"/>
  <c r="F210" i="159"/>
  <c r="F209" i="159"/>
  <c r="F208" i="159"/>
  <c r="F207" i="159"/>
  <c r="F206" i="159"/>
  <c r="F205" i="159"/>
  <c r="F204" i="159"/>
  <c r="F203" i="159"/>
  <c r="F202" i="159"/>
  <c r="F201" i="159"/>
  <c r="F200" i="159"/>
  <c r="F199" i="159"/>
  <c r="F198" i="159"/>
  <c r="F197" i="159"/>
  <c r="F196" i="159"/>
  <c r="F195" i="159"/>
  <c r="F194" i="159"/>
  <c r="F193" i="159"/>
  <c r="F192" i="159"/>
  <c r="F191" i="159"/>
  <c r="F190" i="159"/>
  <c r="F189" i="159"/>
  <c r="F188" i="159"/>
  <c r="F187" i="159"/>
  <c r="F186" i="159"/>
  <c r="F185" i="159"/>
  <c r="F184" i="159"/>
  <c r="F183" i="159"/>
  <c r="F182" i="159"/>
  <c r="F181" i="159"/>
  <c r="F180" i="159"/>
  <c r="F179" i="159"/>
  <c r="F178" i="159"/>
  <c r="F177" i="159"/>
  <c r="F176" i="159"/>
  <c r="F175" i="159"/>
  <c r="F174" i="159"/>
  <c r="F173" i="159"/>
  <c r="F172" i="159"/>
  <c r="F171" i="159"/>
  <c r="F170" i="159"/>
  <c r="F169" i="159"/>
  <c r="F168" i="159"/>
  <c r="F167" i="159"/>
  <c r="F166" i="159"/>
  <c r="F165" i="159"/>
  <c r="F164" i="159"/>
  <c r="F163" i="159"/>
  <c r="F162" i="159"/>
  <c r="F161" i="159"/>
  <c r="F160" i="159"/>
  <c r="F159" i="159"/>
  <c r="F158" i="159"/>
  <c r="F157" i="159"/>
  <c r="F156" i="159"/>
  <c r="F155" i="159"/>
  <c r="F154" i="159"/>
  <c r="F153" i="159"/>
  <c r="F152" i="159"/>
  <c r="F151" i="159"/>
  <c r="F150" i="159"/>
  <c r="F149" i="159"/>
  <c r="F148" i="159"/>
  <c r="F147" i="159"/>
  <c r="F146" i="159"/>
  <c r="F145" i="159"/>
  <c r="F144" i="159"/>
  <c r="F143" i="159"/>
  <c r="F142" i="159"/>
  <c r="F141" i="159"/>
  <c r="F140" i="159"/>
  <c r="F139" i="159"/>
  <c r="F138" i="159"/>
  <c r="F137" i="159"/>
  <c r="F136" i="159"/>
  <c r="F135" i="159"/>
  <c r="F134" i="159"/>
  <c r="F133" i="159"/>
  <c r="F132" i="159"/>
  <c r="F131" i="159"/>
  <c r="F130" i="159"/>
  <c r="F129" i="159"/>
  <c r="F128" i="159"/>
  <c r="F127" i="159"/>
  <c r="F126" i="159"/>
  <c r="F125" i="159"/>
  <c r="F124" i="159"/>
  <c r="F123" i="159"/>
  <c r="F122" i="159"/>
  <c r="F121" i="159"/>
  <c r="F120" i="159"/>
  <c r="F119" i="159"/>
  <c r="F118" i="159"/>
  <c r="F117" i="159"/>
  <c r="F116" i="159"/>
  <c r="F115" i="159"/>
  <c r="F114" i="159"/>
  <c r="F113" i="159"/>
  <c r="F112" i="159"/>
  <c r="F111" i="159"/>
  <c r="F110" i="159"/>
  <c r="F109" i="159"/>
  <c r="F108" i="159"/>
  <c r="F107" i="159"/>
  <c r="F106" i="159"/>
  <c r="F105" i="159"/>
  <c r="F104" i="159"/>
  <c r="F103" i="159"/>
  <c r="F102" i="159"/>
  <c r="F101" i="159"/>
  <c r="F100" i="159"/>
  <c r="F99" i="159"/>
  <c r="F98" i="159"/>
  <c r="F97" i="159"/>
  <c r="F96" i="159"/>
  <c r="F95" i="159"/>
  <c r="F94" i="159"/>
  <c r="F93" i="159"/>
  <c r="F92" i="159"/>
  <c r="F91" i="159"/>
  <c r="F90" i="159"/>
  <c r="F89" i="159"/>
  <c r="F88" i="159"/>
  <c r="F87" i="159"/>
  <c r="F86" i="159"/>
  <c r="F85" i="159"/>
  <c r="F84" i="159"/>
  <c r="F83" i="159"/>
  <c r="F82" i="159"/>
  <c r="F81" i="159"/>
  <c r="F80" i="159"/>
  <c r="F79" i="159"/>
  <c r="F78" i="159"/>
  <c r="F77" i="159"/>
  <c r="F76" i="159"/>
  <c r="F75" i="159"/>
  <c r="F74" i="159"/>
  <c r="F73" i="159"/>
  <c r="F72" i="159"/>
  <c r="F71" i="159"/>
  <c r="F70" i="159"/>
  <c r="F69" i="159"/>
  <c r="F68" i="159"/>
  <c r="F67" i="159"/>
  <c r="F66" i="159"/>
  <c r="F65" i="159"/>
  <c r="F64" i="159"/>
  <c r="F63" i="159"/>
  <c r="F62" i="159"/>
  <c r="F61" i="159"/>
  <c r="F60" i="159"/>
  <c r="F59" i="159"/>
  <c r="F58" i="159"/>
  <c r="F57" i="159"/>
  <c r="F56" i="159"/>
  <c r="F55" i="159"/>
  <c r="F54" i="159"/>
  <c r="F53" i="159"/>
  <c r="F52" i="159"/>
  <c r="F51" i="159"/>
  <c r="F50" i="159"/>
  <c r="F49" i="159"/>
  <c r="F48" i="159"/>
  <c r="F47" i="159"/>
  <c r="F46" i="159"/>
  <c r="F45" i="159"/>
  <c r="F44" i="159"/>
  <c r="F43" i="159"/>
  <c r="F42" i="159"/>
  <c r="F41" i="159"/>
  <c r="F40" i="159"/>
  <c r="F39" i="159"/>
  <c r="F38" i="159"/>
  <c r="F37" i="159"/>
  <c r="F36" i="159"/>
  <c r="F35" i="159"/>
  <c r="F34" i="159"/>
  <c r="F33" i="159"/>
  <c r="F32" i="159"/>
  <c r="F31" i="159"/>
  <c r="F30" i="159"/>
  <c r="F29" i="159"/>
  <c r="F28" i="159"/>
  <c r="F27" i="159"/>
  <c r="F26" i="159"/>
  <c r="F25" i="159"/>
  <c r="F24" i="159"/>
  <c r="F23" i="159"/>
  <c r="F22" i="159"/>
  <c r="F21" i="159"/>
  <c r="F20" i="159"/>
  <c r="F19" i="159"/>
  <c r="F18" i="159"/>
  <c r="F17" i="159"/>
  <c r="F16" i="159"/>
  <c r="F15" i="159"/>
  <c r="F14" i="159"/>
  <c r="F13" i="159"/>
  <c r="F12" i="159"/>
  <c r="F11" i="159"/>
  <c r="F10" i="159"/>
  <c r="F9" i="159"/>
  <c r="F8" i="159"/>
  <c r="F7" i="159"/>
  <c r="F6" i="159"/>
  <c r="F5" i="159"/>
  <c r="F4" i="159"/>
  <c r="F3" i="159"/>
  <c r="F2" i="159"/>
  <c r="F331" i="154"/>
  <c r="H331" i="154"/>
  <c r="L331" i="154"/>
  <c r="M331" i="154"/>
  <c r="N331" i="154"/>
  <c r="G31" i="153"/>
  <c r="E31" i="153"/>
  <c r="H31" i="153"/>
  <c r="A331" i="154"/>
  <c r="F325" i="154"/>
  <c r="H325" i="154"/>
  <c r="L325" i="154"/>
  <c r="M325" i="154"/>
  <c r="N325" i="154"/>
  <c r="F326" i="154"/>
  <c r="F327" i="154"/>
  <c r="F328" i="154"/>
  <c r="F329" i="154"/>
  <c r="F330" i="154"/>
  <c r="H326" i="154"/>
  <c r="L326" i="154"/>
  <c r="M326" i="154"/>
  <c r="N326" i="154"/>
  <c r="H327" i="154"/>
  <c r="L327" i="154"/>
  <c r="M327" i="154"/>
  <c r="N327" i="154"/>
  <c r="H328" i="154"/>
  <c r="L328" i="154"/>
  <c r="M328" i="154"/>
  <c r="N328" i="154"/>
  <c r="H329" i="154"/>
  <c r="L329" i="154"/>
  <c r="M329" i="154"/>
  <c r="N329" i="154"/>
  <c r="H330" i="154"/>
  <c r="L330" i="154"/>
  <c r="M330" i="154"/>
  <c r="N330" i="154"/>
  <c r="A324" i="154"/>
  <c r="A325" i="154"/>
  <c r="A326" i="154"/>
  <c r="A327" i="154"/>
  <c r="A328" i="154"/>
  <c r="A329" i="154"/>
  <c r="A330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55" i="106"/>
  <c r="G55" i="106"/>
  <c r="F56" i="106"/>
  <c r="G56" i="106"/>
  <c r="H56" i="153"/>
  <c r="H55" i="153"/>
  <c r="H56" i="158"/>
  <c r="H55" i="158"/>
  <c r="H55" i="149"/>
  <c r="H57" i="147"/>
  <c r="H56" i="147"/>
  <c r="H55" i="147"/>
  <c r="H57" i="106"/>
  <c r="B46" i="106"/>
  <c r="H320" i="154"/>
  <c r="L320" i="154"/>
  <c r="M320" i="154"/>
  <c r="N320" i="154"/>
  <c r="H321" i="154"/>
  <c r="L321" i="154"/>
  <c r="M321" i="154"/>
  <c r="N321" i="154"/>
  <c r="H322" i="154"/>
  <c r="L322" i="154"/>
  <c r="M322" i="154"/>
  <c r="N322" i="154"/>
  <c r="H323" i="154"/>
  <c r="L323" i="154"/>
  <c r="M323" i="154"/>
  <c r="N323" i="154"/>
  <c r="H324" i="154"/>
  <c r="L324" i="154"/>
  <c r="M324" i="154"/>
  <c r="N324" i="154"/>
  <c r="A320" i="154"/>
  <c r="A321" i="154"/>
  <c r="A322" i="154"/>
  <c r="A323" i="154"/>
  <c r="H320" i="159"/>
  <c r="L320" i="159"/>
  <c r="M320" i="159"/>
  <c r="N320" i="159"/>
  <c r="G31" i="158"/>
  <c r="E31" i="158"/>
  <c r="H31" i="158"/>
  <c r="H321" i="159"/>
  <c r="L321" i="159"/>
  <c r="M321" i="159"/>
  <c r="N321" i="159"/>
  <c r="H322" i="159"/>
  <c r="L322" i="159"/>
  <c r="M322" i="159"/>
  <c r="N322" i="159"/>
  <c r="H323" i="159"/>
  <c r="L323" i="159"/>
  <c r="M323" i="159"/>
  <c r="N323" i="159"/>
  <c r="H324" i="159"/>
  <c r="L324" i="159"/>
  <c r="M324" i="159"/>
  <c r="N324" i="159"/>
  <c r="A320" i="159"/>
  <c r="A321" i="159"/>
  <c r="A322" i="159"/>
  <c r="A323" i="159"/>
  <c r="A324" i="159"/>
  <c r="H320" i="150"/>
  <c r="L320" i="150"/>
  <c r="M320" i="150"/>
  <c r="N320" i="150"/>
  <c r="H321" i="150"/>
  <c r="L321" i="150"/>
  <c r="M321" i="150"/>
  <c r="N321" i="150"/>
  <c r="H322" i="150"/>
  <c r="L322" i="150"/>
  <c r="M322" i="150"/>
  <c r="N322" i="150"/>
  <c r="H323" i="150"/>
  <c r="L323" i="150"/>
  <c r="M323" i="150"/>
  <c r="N323" i="150"/>
  <c r="H324" i="150"/>
  <c r="L324" i="150"/>
  <c r="M324" i="150"/>
  <c r="N324" i="150"/>
  <c r="A320" i="150"/>
  <c r="A321" i="150"/>
  <c r="A322" i="150"/>
  <c r="A323" i="150"/>
  <c r="A324" i="150"/>
  <c r="P34" i="157"/>
  <c r="P33" i="157"/>
  <c r="I34" i="157"/>
  <c r="D34" i="157"/>
  <c r="J34" i="157"/>
  <c r="E34" i="157"/>
  <c r="F34" i="157"/>
  <c r="K34" i="157"/>
  <c r="G34" i="157"/>
  <c r="C34" i="157"/>
  <c r="H34" i="157"/>
  <c r="L34" i="157"/>
  <c r="M34" i="157"/>
  <c r="N34" i="157"/>
  <c r="H319" i="148"/>
  <c r="L319" i="148"/>
  <c r="M319" i="148"/>
  <c r="N319" i="148"/>
  <c r="H320" i="148"/>
  <c r="L320" i="148"/>
  <c r="M320" i="148"/>
  <c r="N320" i="148"/>
  <c r="H321" i="148"/>
  <c r="L321" i="148"/>
  <c r="M321" i="148"/>
  <c r="N321" i="148"/>
  <c r="H322" i="148"/>
  <c r="L322" i="148"/>
  <c r="M322" i="148"/>
  <c r="N322" i="148"/>
  <c r="H323" i="148"/>
  <c r="L323" i="148"/>
  <c r="M323" i="148"/>
  <c r="N323" i="148"/>
  <c r="H324" i="148"/>
  <c r="L324" i="148"/>
  <c r="M324" i="148"/>
  <c r="N324" i="148"/>
  <c r="A319" i="148"/>
  <c r="A320" i="148"/>
  <c r="A321" i="148"/>
  <c r="A322" i="148"/>
  <c r="A323" i="148"/>
  <c r="A324" i="148"/>
  <c r="H324" i="82"/>
  <c r="L324" i="82"/>
  <c r="M324" i="82"/>
  <c r="N324" i="82"/>
  <c r="A324" i="82"/>
  <c r="H319" i="82"/>
  <c r="L319" i="82"/>
  <c r="M319" i="82"/>
  <c r="N319" i="82"/>
  <c r="H320" i="82"/>
  <c r="L320" i="82"/>
  <c r="M320" i="82"/>
  <c r="N320" i="82"/>
  <c r="H321" i="82"/>
  <c r="L321" i="82"/>
  <c r="M321" i="82"/>
  <c r="N321" i="82"/>
  <c r="H322" i="82"/>
  <c r="L322" i="82"/>
  <c r="M322" i="82"/>
  <c r="N322" i="82"/>
  <c r="H323" i="82"/>
  <c r="L323" i="82"/>
  <c r="M323" i="82"/>
  <c r="N323" i="82"/>
  <c r="A319" i="82"/>
  <c r="A320" i="82"/>
  <c r="A321" i="82"/>
  <c r="A322" i="82"/>
  <c r="A323" i="82"/>
  <c r="F56" i="153"/>
  <c r="G56" i="153"/>
  <c r="H311" i="154"/>
  <c r="L311" i="154"/>
  <c r="M311" i="154"/>
  <c r="N311" i="154"/>
  <c r="H312" i="154"/>
  <c r="L312" i="154"/>
  <c r="M312" i="154"/>
  <c r="N312" i="154"/>
  <c r="H313" i="154"/>
  <c r="L313" i="154"/>
  <c r="M313" i="154"/>
  <c r="N313" i="154"/>
  <c r="H314" i="154"/>
  <c r="L314" i="154"/>
  <c r="M314" i="154"/>
  <c r="N314" i="154"/>
  <c r="H315" i="154"/>
  <c r="L315" i="154"/>
  <c r="M315" i="154"/>
  <c r="N315" i="154"/>
  <c r="H316" i="154"/>
  <c r="L316" i="154"/>
  <c r="M316" i="154"/>
  <c r="N316" i="154"/>
  <c r="H317" i="154"/>
  <c r="L317" i="154"/>
  <c r="M317" i="154"/>
  <c r="N317" i="154"/>
  <c r="H318" i="154"/>
  <c r="L318" i="154"/>
  <c r="M318" i="154"/>
  <c r="N318" i="154"/>
  <c r="H319" i="154"/>
  <c r="L319" i="154"/>
  <c r="M319" i="154"/>
  <c r="N319" i="154"/>
  <c r="A311" i="154"/>
  <c r="A312" i="154"/>
  <c r="A313" i="154"/>
  <c r="A314" i="154"/>
  <c r="A315" i="154"/>
  <c r="A316" i="154"/>
  <c r="A317" i="154"/>
  <c r="A318" i="154"/>
  <c r="A319" i="154"/>
  <c r="F65" i="153"/>
  <c r="B11" i="153"/>
  <c r="F56" i="158"/>
  <c r="G56" i="158"/>
  <c r="B11" i="158"/>
  <c r="B10" i="158"/>
  <c r="F65" i="158"/>
  <c r="H311" i="159"/>
  <c r="L311" i="159"/>
  <c r="M311" i="159"/>
  <c r="N311" i="159"/>
  <c r="H312" i="159"/>
  <c r="L312" i="159"/>
  <c r="M312" i="159"/>
  <c r="N312" i="159"/>
  <c r="H313" i="159"/>
  <c r="L313" i="159"/>
  <c r="M313" i="159"/>
  <c r="N313" i="159"/>
  <c r="H314" i="159"/>
  <c r="L314" i="159"/>
  <c r="M314" i="159"/>
  <c r="N314" i="159"/>
  <c r="H315" i="159"/>
  <c r="L315" i="159"/>
  <c r="M315" i="159"/>
  <c r="N315" i="159"/>
  <c r="H316" i="159"/>
  <c r="L316" i="159"/>
  <c r="M316" i="159"/>
  <c r="N316" i="159"/>
  <c r="H317" i="159"/>
  <c r="L317" i="159"/>
  <c r="M317" i="159"/>
  <c r="N317" i="159"/>
  <c r="H318" i="159"/>
  <c r="L318" i="159"/>
  <c r="M318" i="159"/>
  <c r="N318" i="159"/>
  <c r="H319" i="159"/>
  <c r="L319" i="159"/>
  <c r="M319" i="159"/>
  <c r="N319" i="159"/>
  <c r="A311" i="159"/>
  <c r="A312" i="159"/>
  <c r="A313" i="159"/>
  <c r="A314" i="159"/>
  <c r="A315" i="159"/>
  <c r="A316" i="159"/>
  <c r="A317" i="159"/>
  <c r="A318" i="159"/>
  <c r="A319" i="159"/>
  <c r="G31" i="149"/>
  <c r="E31" i="149"/>
  <c r="H31" i="149"/>
  <c r="H311" i="150"/>
  <c r="L311" i="150"/>
  <c r="M311" i="150"/>
  <c r="N311" i="150"/>
  <c r="H312" i="150"/>
  <c r="L312" i="150"/>
  <c r="M312" i="150"/>
  <c r="N312" i="150"/>
  <c r="H313" i="150"/>
  <c r="L313" i="150"/>
  <c r="M313" i="150"/>
  <c r="N313" i="150"/>
  <c r="H314" i="150"/>
  <c r="L314" i="150"/>
  <c r="M314" i="150"/>
  <c r="N314" i="150"/>
  <c r="H315" i="150"/>
  <c r="L315" i="150"/>
  <c r="M315" i="150"/>
  <c r="N315" i="150"/>
  <c r="H316" i="150"/>
  <c r="L316" i="150"/>
  <c r="M316" i="150"/>
  <c r="N316" i="150"/>
  <c r="H317" i="150"/>
  <c r="L317" i="150"/>
  <c r="M317" i="150"/>
  <c r="N317" i="150"/>
  <c r="H318" i="150"/>
  <c r="L318" i="150"/>
  <c r="M318" i="150"/>
  <c r="N318" i="150"/>
  <c r="H319" i="150"/>
  <c r="L319" i="150"/>
  <c r="M319" i="150"/>
  <c r="N319" i="150"/>
  <c r="A311" i="150"/>
  <c r="A312" i="150"/>
  <c r="A313" i="150"/>
  <c r="A314" i="150"/>
  <c r="A315" i="150"/>
  <c r="A316" i="150"/>
  <c r="A317" i="150"/>
  <c r="A318" i="150"/>
  <c r="A319" i="150"/>
  <c r="B11" i="149"/>
  <c r="B10" i="149"/>
  <c r="P3" i="157"/>
  <c r="P4" i="157"/>
  <c r="P5" i="157"/>
  <c r="P6" i="157"/>
  <c r="P7" i="157"/>
  <c r="P8" i="157"/>
  <c r="P9" i="157"/>
  <c r="P10" i="157"/>
  <c r="P11" i="157"/>
  <c r="P12" i="157"/>
  <c r="P13" i="157"/>
  <c r="P14" i="157"/>
  <c r="P15" i="157"/>
  <c r="P16" i="157"/>
  <c r="P17" i="157"/>
  <c r="P18" i="157"/>
  <c r="P19" i="157"/>
  <c r="P20" i="157"/>
  <c r="P21" i="157"/>
  <c r="P22" i="157"/>
  <c r="P23" i="157"/>
  <c r="P24" i="157"/>
  <c r="P25" i="157"/>
  <c r="P26" i="157"/>
  <c r="P27" i="157"/>
  <c r="P28" i="157"/>
  <c r="P29" i="157"/>
  <c r="P30" i="157"/>
  <c r="P31" i="157"/>
  <c r="P32" i="157"/>
  <c r="I32" i="157"/>
  <c r="D32" i="157"/>
  <c r="J32" i="157"/>
  <c r="E32" i="157"/>
  <c r="F32" i="157"/>
  <c r="K32" i="157"/>
  <c r="G32" i="157"/>
  <c r="C32" i="157"/>
  <c r="H32" i="157"/>
  <c r="L32" i="157"/>
  <c r="M32" i="157"/>
  <c r="N32" i="157"/>
  <c r="I33" i="157"/>
  <c r="D33" i="157"/>
  <c r="J33" i="157"/>
  <c r="E33" i="157"/>
  <c r="F33" i="157"/>
  <c r="K33" i="157"/>
  <c r="G33" i="157"/>
  <c r="C33" i="157"/>
  <c r="H33" i="157"/>
  <c r="L33" i="157"/>
  <c r="M33" i="157"/>
  <c r="N33" i="157"/>
  <c r="K3" i="157"/>
  <c r="G3" i="157"/>
  <c r="K4" i="157"/>
  <c r="G4" i="157"/>
  <c r="K5" i="157"/>
  <c r="G5" i="157"/>
  <c r="K6" i="157"/>
  <c r="G6" i="157"/>
  <c r="K7" i="157"/>
  <c r="G7" i="157"/>
  <c r="K8" i="157"/>
  <c r="G8" i="157"/>
  <c r="K9" i="157"/>
  <c r="G9" i="157"/>
  <c r="K10" i="157"/>
  <c r="G10" i="157"/>
  <c r="K11" i="157"/>
  <c r="G11" i="157"/>
  <c r="K12" i="157"/>
  <c r="G12" i="157"/>
  <c r="K13" i="157"/>
  <c r="G13" i="157"/>
  <c r="K14" i="157"/>
  <c r="G14" i="157"/>
  <c r="K15" i="157"/>
  <c r="G15" i="157"/>
  <c r="K16" i="157"/>
  <c r="G16" i="157"/>
  <c r="K17" i="157"/>
  <c r="G17" i="157"/>
  <c r="K18" i="157"/>
  <c r="G18" i="157"/>
  <c r="K19" i="157"/>
  <c r="G19" i="157"/>
  <c r="K20" i="157"/>
  <c r="G20" i="157"/>
  <c r="K21" i="157"/>
  <c r="G21" i="157"/>
  <c r="K22" i="157"/>
  <c r="G22" i="157"/>
  <c r="K23" i="157"/>
  <c r="G23" i="157"/>
  <c r="K24" i="157"/>
  <c r="G24" i="157"/>
  <c r="K25" i="157"/>
  <c r="G25" i="157"/>
  <c r="K26" i="157"/>
  <c r="G26" i="157"/>
  <c r="K27" i="157"/>
  <c r="G27" i="157"/>
  <c r="K28" i="157"/>
  <c r="G28" i="157"/>
  <c r="K29" i="157"/>
  <c r="G29" i="157"/>
  <c r="K30" i="157"/>
  <c r="G30" i="157"/>
  <c r="K31" i="157"/>
  <c r="G31" i="157"/>
  <c r="K2" i="157"/>
  <c r="G2" i="157"/>
  <c r="G31" i="147"/>
  <c r="E31" i="147"/>
  <c r="H31" i="147"/>
  <c r="H311" i="148"/>
  <c r="L311" i="148"/>
  <c r="M311" i="148"/>
  <c r="N311" i="148"/>
  <c r="H312" i="148"/>
  <c r="L312" i="148"/>
  <c r="M312" i="148"/>
  <c r="N312" i="148"/>
  <c r="H313" i="148"/>
  <c r="L313" i="148"/>
  <c r="M313" i="148"/>
  <c r="N313" i="148"/>
  <c r="H314" i="148"/>
  <c r="L314" i="148"/>
  <c r="M314" i="148"/>
  <c r="N314" i="148"/>
  <c r="H315" i="148"/>
  <c r="L315" i="148"/>
  <c r="M315" i="148"/>
  <c r="N315" i="148"/>
  <c r="H316" i="148"/>
  <c r="L316" i="148"/>
  <c r="M316" i="148"/>
  <c r="N316" i="148"/>
  <c r="H317" i="148"/>
  <c r="L317" i="148"/>
  <c r="M317" i="148"/>
  <c r="N317" i="148"/>
  <c r="H318" i="148"/>
  <c r="L318" i="148"/>
  <c r="M318" i="148"/>
  <c r="N318" i="148"/>
  <c r="A311" i="148"/>
  <c r="A312" i="148"/>
  <c r="A313" i="148"/>
  <c r="A314" i="148"/>
  <c r="A315" i="148"/>
  <c r="A316" i="148"/>
  <c r="A317" i="148"/>
  <c r="A318" i="148"/>
  <c r="B11" i="106"/>
  <c r="B10" i="106"/>
  <c r="B5" i="106"/>
  <c r="G31" i="106"/>
  <c r="E31" i="106"/>
  <c r="H31" i="106"/>
  <c r="N318" i="82"/>
  <c r="M318" i="82"/>
  <c r="L318" i="82"/>
  <c r="H318" i="82"/>
  <c r="N317" i="82"/>
  <c r="M317" i="82"/>
  <c r="L317" i="82"/>
  <c r="H317" i="82"/>
  <c r="N316" i="82"/>
  <c r="M316" i="82"/>
  <c r="L316" i="82"/>
  <c r="H316" i="82"/>
  <c r="N315" i="82"/>
  <c r="M315" i="82"/>
  <c r="L315" i="82"/>
  <c r="H315" i="82"/>
  <c r="N314" i="82"/>
  <c r="M314" i="82"/>
  <c r="L314" i="82"/>
  <c r="H314" i="82"/>
  <c r="N313" i="82"/>
  <c r="M313" i="82"/>
  <c r="L313" i="82"/>
  <c r="H313" i="82"/>
  <c r="N312" i="82"/>
  <c r="M312" i="82"/>
  <c r="L312" i="82"/>
  <c r="H312" i="82"/>
  <c r="N311" i="82"/>
  <c r="M311" i="82"/>
  <c r="L311" i="82"/>
  <c r="H311" i="82"/>
  <c r="A311" i="82"/>
  <c r="A312" i="82"/>
  <c r="A313" i="82"/>
  <c r="A314" i="82"/>
  <c r="A315" i="82"/>
  <c r="A316" i="82"/>
  <c r="A317" i="82"/>
  <c r="A318" i="82"/>
  <c r="B10" i="153"/>
  <c r="B10" i="147"/>
  <c r="H306" i="154"/>
  <c r="L306" i="154"/>
  <c r="M306" i="154"/>
  <c r="N306" i="154"/>
  <c r="H307" i="154"/>
  <c r="L307" i="154"/>
  <c r="M307" i="154"/>
  <c r="N307" i="154"/>
  <c r="H308" i="154"/>
  <c r="L308" i="154"/>
  <c r="M308" i="154"/>
  <c r="N308" i="154"/>
  <c r="H309" i="154"/>
  <c r="L309" i="154"/>
  <c r="M309" i="154"/>
  <c r="N309" i="154"/>
  <c r="H310" i="154"/>
  <c r="L310" i="154"/>
  <c r="M310" i="154"/>
  <c r="N310" i="154"/>
  <c r="A306" i="154"/>
  <c r="A307" i="154"/>
  <c r="A308" i="154"/>
  <c r="A309" i="154"/>
  <c r="A310" i="154"/>
  <c r="H306" i="159"/>
  <c r="L306" i="159"/>
  <c r="M306" i="159"/>
  <c r="N306" i="159"/>
  <c r="H307" i="159"/>
  <c r="L307" i="159"/>
  <c r="M307" i="159"/>
  <c r="N307" i="159"/>
  <c r="H308" i="159"/>
  <c r="L308" i="159"/>
  <c r="M308" i="159"/>
  <c r="N308" i="159"/>
  <c r="H309" i="159"/>
  <c r="L309" i="159"/>
  <c r="M309" i="159"/>
  <c r="N309" i="159"/>
  <c r="H310" i="159"/>
  <c r="L310" i="159"/>
  <c r="M310" i="159"/>
  <c r="N310" i="159"/>
  <c r="A306" i="159"/>
  <c r="A307" i="159"/>
  <c r="A308" i="159"/>
  <c r="A309" i="159"/>
  <c r="A310" i="159"/>
  <c r="H306" i="150"/>
  <c r="L306" i="150"/>
  <c r="M306" i="150"/>
  <c r="N306" i="150"/>
  <c r="H307" i="150"/>
  <c r="L307" i="150"/>
  <c r="M307" i="150"/>
  <c r="N307" i="150"/>
  <c r="H308" i="150"/>
  <c r="L308" i="150"/>
  <c r="M308" i="150"/>
  <c r="N308" i="150"/>
  <c r="H309" i="150"/>
  <c r="L309" i="150"/>
  <c r="M309" i="150"/>
  <c r="N309" i="150"/>
  <c r="H310" i="150"/>
  <c r="L310" i="150"/>
  <c r="M310" i="150"/>
  <c r="N310" i="150"/>
  <c r="A306" i="150"/>
  <c r="A307" i="150"/>
  <c r="A308" i="150"/>
  <c r="A309" i="150"/>
  <c r="A310" i="150"/>
  <c r="I30" i="157"/>
  <c r="D30" i="157"/>
  <c r="J30" i="157"/>
  <c r="E30" i="157"/>
  <c r="F30" i="157"/>
  <c r="C30" i="157"/>
  <c r="H30" i="157"/>
  <c r="L30" i="157"/>
  <c r="M30" i="157"/>
  <c r="N30" i="157"/>
  <c r="I31" i="157"/>
  <c r="D31" i="157"/>
  <c r="J31" i="157"/>
  <c r="E31" i="157"/>
  <c r="F31" i="157"/>
  <c r="C31" i="157"/>
  <c r="H31" i="157"/>
  <c r="L31" i="157"/>
  <c r="M31" i="157"/>
  <c r="N31" i="157"/>
  <c r="H306" i="148"/>
  <c r="L306" i="148"/>
  <c r="M306" i="148"/>
  <c r="N306" i="148"/>
  <c r="H307" i="148"/>
  <c r="L307" i="148"/>
  <c r="M307" i="148"/>
  <c r="N307" i="148"/>
  <c r="H308" i="148"/>
  <c r="L308" i="148"/>
  <c r="M308" i="148"/>
  <c r="N308" i="148"/>
  <c r="H309" i="148"/>
  <c r="L309" i="148"/>
  <c r="M309" i="148"/>
  <c r="N309" i="148"/>
  <c r="H310" i="148"/>
  <c r="L310" i="148"/>
  <c r="M310" i="148"/>
  <c r="N310" i="148"/>
  <c r="A306" i="148"/>
  <c r="A307" i="148"/>
  <c r="A308" i="148"/>
  <c r="A309" i="148"/>
  <c r="A310" i="148"/>
  <c r="H306" i="82"/>
  <c r="L306" i="82"/>
  <c r="M306" i="82"/>
  <c r="N306" i="82"/>
  <c r="H307" i="82"/>
  <c r="L307" i="82"/>
  <c r="M307" i="82"/>
  <c r="N307" i="82"/>
  <c r="H308" i="82"/>
  <c r="L308" i="82"/>
  <c r="M308" i="82"/>
  <c r="N308" i="82"/>
  <c r="H309" i="82"/>
  <c r="L309" i="82"/>
  <c r="M309" i="82"/>
  <c r="N309" i="82"/>
  <c r="H310" i="82"/>
  <c r="L310" i="82"/>
  <c r="M310" i="82"/>
  <c r="N310" i="82"/>
  <c r="A306" i="82"/>
  <c r="A307" i="82"/>
  <c r="A308" i="82"/>
  <c r="A309" i="82"/>
  <c r="A310" i="82"/>
  <c r="I3" i="157"/>
  <c r="D3" i="157"/>
  <c r="E3" i="157"/>
  <c r="I4" i="157"/>
  <c r="D4" i="157"/>
  <c r="E4" i="157"/>
  <c r="I5" i="157"/>
  <c r="D5" i="157"/>
  <c r="E5" i="157"/>
  <c r="I6" i="157"/>
  <c r="D6" i="157"/>
  <c r="E6" i="157"/>
  <c r="I7" i="157"/>
  <c r="D7" i="157"/>
  <c r="E7" i="157"/>
  <c r="I8" i="157"/>
  <c r="D8" i="157"/>
  <c r="E8" i="157"/>
  <c r="I9" i="157"/>
  <c r="D9" i="157"/>
  <c r="E9" i="157"/>
  <c r="I10" i="157"/>
  <c r="D10" i="157"/>
  <c r="E10" i="157"/>
  <c r="I11" i="157"/>
  <c r="D11" i="157"/>
  <c r="E11" i="157"/>
  <c r="I12" i="157"/>
  <c r="D12" i="157"/>
  <c r="E12" i="157"/>
  <c r="I13" i="157"/>
  <c r="D13" i="157"/>
  <c r="E13" i="157"/>
  <c r="I14" i="157"/>
  <c r="D14" i="157"/>
  <c r="E14" i="157"/>
  <c r="I15" i="157"/>
  <c r="D15" i="157"/>
  <c r="E15" i="157"/>
  <c r="I16" i="157"/>
  <c r="D16" i="157"/>
  <c r="E16" i="157"/>
  <c r="I17" i="157"/>
  <c r="D17" i="157"/>
  <c r="E17" i="157"/>
  <c r="I18" i="157"/>
  <c r="D18" i="157"/>
  <c r="E18" i="157"/>
  <c r="I19" i="157"/>
  <c r="D19" i="157"/>
  <c r="E19" i="157"/>
  <c r="I20" i="157"/>
  <c r="D20" i="157"/>
  <c r="E20" i="157"/>
  <c r="I21" i="157"/>
  <c r="D21" i="157"/>
  <c r="E21" i="157"/>
  <c r="I22" i="157"/>
  <c r="D22" i="157"/>
  <c r="E22" i="157"/>
  <c r="I23" i="157"/>
  <c r="D23" i="157"/>
  <c r="E23" i="157"/>
  <c r="I24" i="157"/>
  <c r="D24" i="157"/>
  <c r="E24" i="157"/>
  <c r="I25" i="157"/>
  <c r="D25" i="157"/>
  <c r="E25" i="157"/>
  <c r="I26" i="157"/>
  <c r="D26" i="157"/>
  <c r="E26" i="157"/>
  <c r="I27" i="157"/>
  <c r="D27" i="157"/>
  <c r="E27" i="157"/>
  <c r="I28" i="157"/>
  <c r="D28" i="157"/>
  <c r="E28" i="157"/>
  <c r="I29" i="157"/>
  <c r="D29" i="157"/>
  <c r="E29" i="157"/>
  <c r="E2" i="157"/>
  <c r="I2" i="157"/>
  <c r="D2" i="157"/>
  <c r="H301" i="154"/>
  <c r="L301" i="154"/>
  <c r="M301" i="154"/>
  <c r="N301" i="154"/>
  <c r="H302" i="154"/>
  <c r="L302" i="154"/>
  <c r="M302" i="154"/>
  <c r="N302" i="154"/>
  <c r="H303" i="154"/>
  <c r="L303" i="154"/>
  <c r="M303" i="154"/>
  <c r="N303" i="154"/>
  <c r="H304" i="154"/>
  <c r="L304" i="154"/>
  <c r="M304" i="154"/>
  <c r="N304" i="154"/>
  <c r="H305" i="154"/>
  <c r="L305" i="154"/>
  <c r="M305" i="154"/>
  <c r="N305" i="154"/>
  <c r="A301" i="154"/>
  <c r="A302" i="154"/>
  <c r="A303" i="154"/>
  <c r="A304" i="154"/>
  <c r="A305" i="154"/>
  <c r="H301" i="159"/>
  <c r="L301" i="159"/>
  <c r="M301" i="159"/>
  <c r="N301" i="159"/>
  <c r="H302" i="159"/>
  <c r="L302" i="159"/>
  <c r="M302" i="159"/>
  <c r="N302" i="159"/>
  <c r="H303" i="159"/>
  <c r="L303" i="159"/>
  <c r="M303" i="159"/>
  <c r="N303" i="159"/>
  <c r="H304" i="159"/>
  <c r="L304" i="159"/>
  <c r="M304" i="159"/>
  <c r="N304" i="159"/>
  <c r="H305" i="159"/>
  <c r="L305" i="159"/>
  <c r="M305" i="159"/>
  <c r="N305" i="159"/>
  <c r="A301" i="159"/>
  <c r="A302" i="159"/>
  <c r="A303" i="159"/>
  <c r="A304" i="159"/>
  <c r="A305" i="159"/>
  <c r="H301" i="150"/>
  <c r="L301" i="150"/>
  <c r="M301" i="150"/>
  <c r="N301" i="150"/>
  <c r="H302" i="150"/>
  <c r="L302" i="150"/>
  <c r="M302" i="150"/>
  <c r="N302" i="150"/>
  <c r="H303" i="150"/>
  <c r="L303" i="150"/>
  <c r="M303" i="150"/>
  <c r="N303" i="150"/>
  <c r="H304" i="150"/>
  <c r="L304" i="150"/>
  <c r="M304" i="150"/>
  <c r="N304" i="150"/>
  <c r="H305" i="150"/>
  <c r="L305" i="150"/>
  <c r="M305" i="150"/>
  <c r="N305" i="150"/>
  <c r="A301" i="150"/>
  <c r="A302" i="150"/>
  <c r="A303" i="150"/>
  <c r="A304" i="150"/>
  <c r="A305" i="150"/>
  <c r="J9" i="157"/>
  <c r="F9" i="157"/>
  <c r="C9" i="157"/>
  <c r="H9" i="157"/>
  <c r="L9" i="157"/>
  <c r="M9" i="157"/>
  <c r="N9" i="157"/>
  <c r="J10" i="157"/>
  <c r="F10" i="157"/>
  <c r="C10" i="157"/>
  <c r="H10" i="157"/>
  <c r="L10" i="157"/>
  <c r="M10" i="157"/>
  <c r="N10" i="157"/>
  <c r="J11" i="157"/>
  <c r="F11" i="157"/>
  <c r="C11" i="157"/>
  <c r="H11" i="157"/>
  <c r="L11" i="157"/>
  <c r="M11" i="157"/>
  <c r="N11" i="157"/>
  <c r="J12" i="157"/>
  <c r="F12" i="157"/>
  <c r="C12" i="157"/>
  <c r="H12" i="157"/>
  <c r="L12" i="157"/>
  <c r="M12" i="157"/>
  <c r="N12" i="157"/>
  <c r="J13" i="157"/>
  <c r="F13" i="157"/>
  <c r="C13" i="157"/>
  <c r="H13" i="157"/>
  <c r="L13" i="157"/>
  <c r="M13" i="157"/>
  <c r="N13" i="157"/>
  <c r="J14" i="157"/>
  <c r="F14" i="157"/>
  <c r="C14" i="157"/>
  <c r="H14" i="157"/>
  <c r="L14" i="157"/>
  <c r="M14" i="157"/>
  <c r="N14" i="157"/>
  <c r="J15" i="157"/>
  <c r="F15" i="157"/>
  <c r="C15" i="157"/>
  <c r="H15" i="157"/>
  <c r="L15" i="157"/>
  <c r="M15" i="157"/>
  <c r="N15" i="157"/>
  <c r="J16" i="157"/>
  <c r="F16" i="157"/>
  <c r="C16" i="157"/>
  <c r="H16" i="157"/>
  <c r="L16" i="157"/>
  <c r="M16" i="157"/>
  <c r="N16" i="157"/>
  <c r="J17" i="157"/>
  <c r="F17" i="157"/>
  <c r="C17" i="157"/>
  <c r="H17" i="157"/>
  <c r="L17" i="157"/>
  <c r="M17" i="157"/>
  <c r="N17" i="157"/>
  <c r="J18" i="157"/>
  <c r="F18" i="157"/>
  <c r="C18" i="157"/>
  <c r="H18" i="157"/>
  <c r="L18" i="157"/>
  <c r="M18" i="157"/>
  <c r="N18" i="157"/>
  <c r="J19" i="157"/>
  <c r="F19" i="157"/>
  <c r="C19" i="157"/>
  <c r="H19" i="157"/>
  <c r="L19" i="157"/>
  <c r="M19" i="157"/>
  <c r="N19" i="157"/>
  <c r="J20" i="157"/>
  <c r="F20" i="157"/>
  <c r="C20" i="157"/>
  <c r="H20" i="157"/>
  <c r="L20" i="157"/>
  <c r="M20" i="157"/>
  <c r="N20" i="157"/>
  <c r="J21" i="157"/>
  <c r="F21" i="157"/>
  <c r="C21" i="157"/>
  <c r="H21" i="157"/>
  <c r="L21" i="157"/>
  <c r="M21" i="157"/>
  <c r="N21" i="157"/>
  <c r="J22" i="157"/>
  <c r="F22" i="157"/>
  <c r="C22" i="157"/>
  <c r="H22" i="157"/>
  <c r="L22" i="157"/>
  <c r="M22" i="157"/>
  <c r="N22" i="157"/>
  <c r="J23" i="157"/>
  <c r="F23" i="157"/>
  <c r="C23" i="157"/>
  <c r="H23" i="157"/>
  <c r="L23" i="157"/>
  <c r="M23" i="157"/>
  <c r="N23" i="157"/>
  <c r="J24" i="157"/>
  <c r="F24" i="157"/>
  <c r="C24" i="157"/>
  <c r="H24" i="157"/>
  <c r="L24" i="157"/>
  <c r="M24" i="157"/>
  <c r="N24" i="157"/>
  <c r="J25" i="157"/>
  <c r="F25" i="157"/>
  <c r="C25" i="157"/>
  <c r="H25" i="157"/>
  <c r="L25" i="157"/>
  <c r="M25" i="157"/>
  <c r="N25" i="157"/>
  <c r="J26" i="157"/>
  <c r="F26" i="157"/>
  <c r="C26" i="157"/>
  <c r="H26" i="157"/>
  <c r="L26" i="157"/>
  <c r="M26" i="157"/>
  <c r="N26" i="157"/>
  <c r="J27" i="157"/>
  <c r="F27" i="157"/>
  <c r="C27" i="157"/>
  <c r="H27" i="157"/>
  <c r="L27" i="157"/>
  <c r="M27" i="157"/>
  <c r="N27" i="157"/>
  <c r="J28" i="157"/>
  <c r="F28" i="157"/>
  <c r="C28" i="157"/>
  <c r="H28" i="157"/>
  <c r="L28" i="157"/>
  <c r="M28" i="157"/>
  <c r="N28" i="157"/>
  <c r="J29" i="157"/>
  <c r="F29" i="157"/>
  <c r="C29" i="157"/>
  <c r="H29" i="157"/>
  <c r="L29" i="157"/>
  <c r="M29" i="157"/>
  <c r="N29" i="157"/>
  <c r="H301" i="82"/>
  <c r="L301" i="82"/>
  <c r="M301" i="82"/>
  <c r="N301" i="82"/>
  <c r="H302" i="82"/>
  <c r="L302" i="82"/>
  <c r="M302" i="82"/>
  <c r="N302" i="82"/>
  <c r="H303" i="82"/>
  <c r="L303" i="82"/>
  <c r="M303" i="82"/>
  <c r="N303" i="82"/>
  <c r="H304" i="82"/>
  <c r="L304" i="82"/>
  <c r="M304" i="82"/>
  <c r="N304" i="82"/>
  <c r="H305" i="82"/>
  <c r="L305" i="82"/>
  <c r="M305" i="82"/>
  <c r="N305" i="82"/>
  <c r="A301" i="82"/>
  <c r="A302" i="82"/>
  <c r="A303" i="82"/>
  <c r="A304" i="82"/>
  <c r="A305" i="82"/>
  <c r="A305" i="148"/>
  <c r="H305" i="148"/>
  <c r="L305" i="148"/>
  <c r="M305" i="148"/>
  <c r="N305" i="148"/>
  <c r="H301" i="148"/>
  <c r="L301" i="148"/>
  <c r="M301" i="148"/>
  <c r="N301" i="148"/>
  <c r="H302" i="148"/>
  <c r="L302" i="148"/>
  <c r="M302" i="148"/>
  <c r="N302" i="148"/>
  <c r="H303" i="148"/>
  <c r="L303" i="148"/>
  <c r="M303" i="148"/>
  <c r="N303" i="148"/>
  <c r="H304" i="148"/>
  <c r="L304" i="148"/>
  <c r="M304" i="148"/>
  <c r="N304" i="148"/>
  <c r="A301" i="148"/>
  <c r="A302" i="148"/>
  <c r="A303" i="148"/>
  <c r="A304" i="148"/>
  <c r="A287" i="154"/>
  <c r="A288" i="154"/>
  <c r="A289" i="154"/>
  <c r="A290" i="154"/>
  <c r="A291" i="154"/>
  <c r="A292" i="154"/>
  <c r="A293" i="154"/>
  <c r="A294" i="154"/>
  <c r="A295" i="154"/>
  <c r="A296" i="154"/>
  <c r="A297" i="154"/>
  <c r="A298" i="154"/>
  <c r="A299" i="154"/>
  <c r="A300" i="154"/>
  <c r="A288" i="159"/>
  <c r="A289" i="159"/>
  <c r="A290" i="159"/>
  <c r="A291" i="159"/>
  <c r="A292" i="159"/>
  <c r="A293" i="159"/>
  <c r="A294" i="159"/>
  <c r="A295" i="159"/>
  <c r="A296" i="159"/>
  <c r="A297" i="159"/>
  <c r="A298" i="159"/>
  <c r="A299" i="159"/>
  <c r="A300" i="159"/>
  <c r="A293" i="150"/>
  <c r="A294" i="150"/>
  <c r="A295" i="150"/>
  <c r="A296" i="150"/>
  <c r="A297" i="150"/>
  <c r="A298" i="150"/>
  <c r="A299" i="150"/>
  <c r="A300" i="150"/>
  <c r="A289" i="148"/>
  <c r="A290" i="148"/>
  <c r="A291" i="148"/>
  <c r="A292" i="148"/>
  <c r="A293" i="148"/>
  <c r="A294" i="148"/>
  <c r="A295" i="148"/>
  <c r="A296" i="148"/>
  <c r="A297" i="148"/>
  <c r="A298" i="148"/>
  <c r="A299" i="148"/>
  <c r="A300" i="148"/>
  <c r="J2" i="157"/>
  <c r="F2" i="157"/>
  <c r="C2" i="157"/>
  <c r="H2" i="157"/>
  <c r="L2" i="157"/>
  <c r="M2" i="157"/>
  <c r="N2" i="157"/>
  <c r="J3" i="157"/>
  <c r="F3" i="157"/>
  <c r="C3" i="157"/>
  <c r="H3" i="157"/>
  <c r="L3" i="157"/>
  <c r="M3" i="157"/>
  <c r="N3" i="157"/>
  <c r="J4" i="157"/>
  <c r="F4" i="157"/>
  <c r="C4" i="157"/>
  <c r="H4" i="157"/>
  <c r="L4" i="157"/>
  <c r="M4" i="157"/>
  <c r="N4" i="157"/>
  <c r="J5" i="157"/>
  <c r="F5" i="157"/>
  <c r="C5" i="157"/>
  <c r="H5" i="157"/>
  <c r="L5" i="157"/>
  <c r="M5" i="157"/>
  <c r="N5" i="157"/>
  <c r="J6" i="157"/>
  <c r="F6" i="157"/>
  <c r="C6" i="157"/>
  <c r="H6" i="157"/>
  <c r="L6" i="157"/>
  <c r="M6" i="157"/>
  <c r="N6" i="157"/>
  <c r="J7" i="157"/>
  <c r="F7" i="157"/>
  <c r="C7" i="157"/>
  <c r="H7" i="157"/>
  <c r="L7" i="157"/>
  <c r="M7" i="157"/>
  <c r="N7" i="157"/>
  <c r="J8" i="157"/>
  <c r="F8" i="157"/>
  <c r="C8" i="157"/>
  <c r="H8" i="157"/>
  <c r="L8" i="157"/>
  <c r="M8" i="157"/>
  <c r="N8" i="157"/>
  <c r="N300" i="154"/>
  <c r="M300" i="154"/>
  <c r="L300" i="154"/>
  <c r="H300" i="154"/>
  <c r="N299" i="154"/>
  <c r="M299" i="154"/>
  <c r="L299" i="154"/>
  <c r="H299" i="154"/>
  <c r="N298" i="154"/>
  <c r="M298" i="154"/>
  <c r="L298" i="154"/>
  <c r="H298" i="154"/>
  <c r="N297" i="154"/>
  <c r="M297" i="154"/>
  <c r="L297" i="154"/>
  <c r="H297" i="154"/>
  <c r="N296" i="154"/>
  <c r="M296" i="154"/>
  <c r="L296" i="154"/>
  <c r="H296" i="154"/>
  <c r="N295" i="154"/>
  <c r="M295" i="154"/>
  <c r="L295" i="154"/>
  <c r="H295" i="154"/>
  <c r="N300" i="159"/>
  <c r="M300" i="159"/>
  <c r="L300" i="159"/>
  <c r="H300" i="159"/>
  <c r="N299" i="159"/>
  <c r="M299" i="159"/>
  <c r="L299" i="159"/>
  <c r="H299" i="159"/>
  <c r="N298" i="159"/>
  <c r="M298" i="159"/>
  <c r="L298" i="159"/>
  <c r="H298" i="159"/>
  <c r="N297" i="159"/>
  <c r="M297" i="159"/>
  <c r="L297" i="159"/>
  <c r="H297" i="159"/>
  <c r="N296" i="159"/>
  <c r="M296" i="159"/>
  <c r="L296" i="159"/>
  <c r="H296" i="159"/>
  <c r="N295" i="159"/>
  <c r="M295" i="159"/>
  <c r="L295" i="159"/>
  <c r="H295" i="159"/>
  <c r="N300" i="150"/>
  <c r="M300" i="150"/>
  <c r="L300" i="150"/>
  <c r="H300" i="150"/>
  <c r="N299" i="150"/>
  <c r="M299" i="150"/>
  <c r="L299" i="150"/>
  <c r="H299" i="150"/>
  <c r="N298" i="150"/>
  <c r="M298" i="150"/>
  <c r="L298" i="150"/>
  <c r="H298" i="150"/>
  <c r="N297" i="150"/>
  <c r="M297" i="150"/>
  <c r="L297" i="150"/>
  <c r="H297" i="150"/>
  <c r="N296" i="150"/>
  <c r="M296" i="150"/>
  <c r="L296" i="150"/>
  <c r="H296" i="150"/>
  <c r="N295" i="150"/>
  <c r="M295" i="150"/>
  <c r="L295" i="150"/>
  <c r="H295" i="150"/>
  <c r="N300" i="148"/>
  <c r="M300" i="148"/>
  <c r="L300" i="148"/>
  <c r="H300" i="148"/>
  <c r="N299" i="148"/>
  <c r="M299" i="148"/>
  <c r="L299" i="148"/>
  <c r="H299" i="148"/>
  <c r="N298" i="148"/>
  <c r="M298" i="148"/>
  <c r="L298" i="148"/>
  <c r="H298" i="148"/>
  <c r="N297" i="148"/>
  <c r="M297" i="148"/>
  <c r="L297" i="148"/>
  <c r="H297" i="148"/>
  <c r="N296" i="148"/>
  <c r="M296" i="148"/>
  <c r="L296" i="148"/>
  <c r="H296" i="148"/>
  <c r="N295" i="148"/>
  <c r="M295" i="148"/>
  <c r="L295" i="148"/>
  <c r="H295" i="148"/>
  <c r="A299" i="82"/>
  <c r="H299" i="82"/>
  <c r="L299" i="82"/>
  <c r="M299" i="82"/>
  <c r="N299" i="82"/>
  <c r="A300" i="82"/>
  <c r="H300" i="82"/>
  <c r="L300" i="82"/>
  <c r="M300" i="82"/>
  <c r="N300" i="82"/>
  <c r="H295" i="82"/>
  <c r="H296" i="82"/>
  <c r="H297" i="82"/>
  <c r="H298" i="82"/>
  <c r="A295" i="82"/>
  <c r="L295" i="82"/>
  <c r="M295" i="82"/>
  <c r="N295" i="82"/>
  <c r="A296" i="82"/>
  <c r="L296" i="82"/>
  <c r="M296" i="82"/>
  <c r="N296" i="82"/>
  <c r="A297" i="82"/>
  <c r="L297" i="82"/>
  <c r="M297" i="82"/>
  <c r="N297" i="82"/>
  <c r="A298" i="82"/>
  <c r="L298" i="82"/>
  <c r="M298" i="82"/>
  <c r="N298" i="82"/>
  <c r="N294" i="159"/>
  <c r="M294" i="159"/>
  <c r="L294" i="159"/>
  <c r="H294" i="159"/>
  <c r="N293" i="159"/>
  <c r="M293" i="159"/>
  <c r="L293" i="159"/>
  <c r="H293" i="159"/>
  <c r="N292" i="159"/>
  <c r="M292" i="159"/>
  <c r="L292" i="159"/>
  <c r="H292" i="159"/>
  <c r="N291" i="159"/>
  <c r="M291" i="159"/>
  <c r="L291" i="159"/>
  <c r="H291" i="159"/>
  <c r="N290" i="159"/>
  <c r="M290" i="159"/>
  <c r="L290" i="159"/>
  <c r="H290" i="159"/>
  <c r="N289" i="159"/>
  <c r="M289" i="159"/>
  <c r="L289" i="159"/>
  <c r="H289" i="159"/>
  <c r="N288" i="159"/>
  <c r="M288" i="159"/>
  <c r="L288" i="159"/>
  <c r="H288" i="159"/>
  <c r="N287" i="159"/>
  <c r="M287" i="159"/>
  <c r="L287" i="159"/>
  <c r="H287" i="159"/>
  <c r="A287" i="159"/>
  <c r="N286" i="159"/>
  <c r="M286" i="159"/>
  <c r="L286" i="159"/>
  <c r="H286" i="159"/>
  <c r="A286" i="159"/>
  <c r="N285" i="159"/>
  <c r="M285" i="159"/>
  <c r="L285" i="159"/>
  <c r="H285" i="159"/>
  <c r="A285" i="159"/>
  <c r="N284" i="159"/>
  <c r="M284" i="159"/>
  <c r="L284" i="159"/>
  <c r="H284" i="159"/>
  <c r="A284" i="159"/>
  <c r="N283" i="159"/>
  <c r="M283" i="159"/>
  <c r="L283" i="159"/>
  <c r="H283" i="159"/>
  <c r="A283" i="159"/>
  <c r="N282" i="159"/>
  <c r="M282" i="159"/>
  <c r="L282" i="159"/>
  <c r="H282" i="159"/>
  <c r="A282" i="159"/>
  <c r="N281" i="159"/>
  <c r="M281" i="159"/>
  <c r="L281" i="159"/>
  <c r="H281" i="159"/>
  <c r="A281" i="159"/>
  <c r="N280" i="159"/>
  <c r="M280" i="159"/>
  <c r="L280" i="159"/>
  <c r="H280" i="159"/>
  <c r="A280" i="159"/>
  <c r="N279" i="159"/>
  <c r="M279" i="159"/>
  <c r="L279" i="159"/>
  <c r="H279" i="159"/>
  <c r="A279" i="159"/>
  <c r="N278" i="159"/>
  <c r="M278" i="159"/>
  <c r="L278" i="159"/>
  <c r="H278" i="159"/>
  <c r="A278" i="159"/>
  <c r="N277" i="159"/>
  <c r="M277" i="159"/>
  <c r="L277" i="159"/>
  <c r="H277" i="159"/>
  <c r="A277" i="159"/>
  <c r="N276" i="159"/>
  <c r="M276" i="159"/>
  <c r="L276" i="159"/>
  <c r="H276" i="159"/>
  <c r="A276" i="159"/>
  <c r="N275" i="159"/>
  <c r="M275" i="159"/>
  <c r="L275" i="159"/>
  <c r="H275" i="159"/>
  <c r="A275" i="159"/>
  <c r="N274" i="159"/>
  <c r="M274" i="159"/>
  <c r="L274" i="159"/>
  <c r="H274" i="159"/>
  <c r="A274" i="159"/>
  <c r="N273" i="159"/>
  <c r="M273" i="159"/>
  <c r="L273" i="159"/>
  <c r="H273" i="159"/>
  <c r="A273" i="159"/>
  <c r="N272" i="159"/>
  <c r="M272" i="159"/>
  <c r="L272" i="159"/>
  <c r="H272" i="159"/>
  <c r="A272" i="159"/>
  <c r="N271" i="159"/>
  <c r="M271" i="159"/>
  <c r="L271" i="159"/>
  <c r="H271" i="159"/>
  <c r="A271" i="159"/>
  <c r="N270" i="159"/>
  <c r="M270" i="159"/>
  <c r="L270" i="159"/>
  <c r="H270" i="159"/>
  <c r="A270" i="159"/>
  <c r="N269" i="159"/>
  <c r="M269" i="159"/>
  <c r="L269" i="159"/>
  <c r="H269" i="159"/>
  <c r="A269" i="159"/>
  <c r="N268" i="159"/>
  <c r="M268" i="159"/>
  <c r="L268" i="159"/>
  <c r="H268" i="159"/>
  <c r="A268" i="159"/>
  <c r="N267" i="159"/>
  <c r="M267" i="159"/>
  <c r="L267" i="159"/>
  <c r="H267" i="159"/>
  <c r="A267" i="159"/>
  <c r="N266" i="159"/>
  <c r="M266" i="159"/>
  <c r="L266" i="159"/>
  <c r="H266" i="159"/>
  <c r="A266" i="159"/>
  <c r="N265" i="159"/>
  <c r="M265" i="159"/>
  <c r="L265" i="159"/>
  <c r="H265" i="159"/>
  <c r="A265" i="159"/>
  <c r="N264" i="159"/>
  <c r="M264" i="159"/>
  <c r="L264" i="159"/>
  <c r="H264" i="159"/>
  <c r="A264" i="159"/>
  <c r="N263" i="159"/>
  <c r="M263" i="159"/>
  <c r="L263" i="159"/>
  <c r="H263" i="159"/>
  <c r="A263" i="159"/>
  <c r="N262" i="159"/>
  <c r="M262" i="159"/>
  <c r="L262" i="159"/>
  <c r="H262" i="159"/>
  <c r="A262" i="159"/>
  <c r="N261" i="159"/>
  <c r="M261" i="159"/>
  <c r="L261" i="159"/>
  <c r="H261" i="159"/>
  <c r="A261" i="159"/>
  <c r="N260" i="159"/>
  <c r="M260" i="159"/>
  <c r="L260" i="159"/>
  <c r="H260" i="159"/>
  <c r="A260" i="159"/>
  <c r="N259" i="159"/>
  <c r="M259" i="159"/>
  <c r="L259" i="159"/>
  <c r="H259" i="159"/>
  <c r="A259" i="159"/>
  <c r="N258" i="159"/>
  <c r="M258" i="159"/>
  <c r="L258" i="159"/>
  <c r="H258" i="159"/>
  <c r="A258" i="159"/>
  <c r="N257" i="159"/>
  <c r="M257" i="159"/>
  <c r="L257" i="159"/>
  <c r="H257" i="159"/>
  <c r="A257" i="159"/>
  <c r="N256" i="159"/>
  <c r="M256" i="159"/>
  <c r="L256" i="159"/>
  <c r="H256" i="159"/>
  <c r="A256" i="159"/>
  <c r="N255" i="159"/>
  <c r="M255" i="159"/>
  <c r="L255" i="159"/>
  <c r="H255" i="159"/>
  <c r="A255" i="159"/>
  <c r="N254" i="159"/>
  <c r="M254" i="159"/>
  <c r="L254" i="159"/>
  <c r="H254" i="159"/>
  <c r="A254" i="159"/>
  <c r="N253" i="159"/>
  <c r="M253" i="159"/>
  <c r="L253" i="159"/>
  <c r="H253" i="159"/>
  <c r="A253" i="159"/>
  <c r="N252" i="159"/>
  <c r="M252" i="159"/>
  <c r="L252" i="159"/>
  <c r="H252" i="159"/>
  <c r="A252" i="159"/>
  <c r="N251" i="159"/>
  <c r="M251" i="159"/>
  <c r="L251" i="159"/>
  <c r="H251" i="159"/>
  <c r="A251" i="159"/>
  <c r="N250" i="159"/>
  <c r="M250" i="159"/>
  <c r="L250" i="159"/>
  <c r="H250" i="159"/>
  <c r="A250" i="159"/>
  <c r="N249" i="159"/>
  <c r="M249" i="159"/>
  <c r="L249" i="159"/>
  <c r="H249" i="159"/>
  <c r="A249" i="159"/>
  <c r="N248" i="159"/>
  <c r="M248" i="159"/>
  <c r="L248" i="159"/>
  <c r="H248" i="159"/>
  <c r="A248" i="159"/>
  <c r="N247" i="159"/>
  <c r="M247" i="159"/>
  <c r="L247" i="159"/>
  <c r="H247" i="159"/>
  <c r="A247" i="159"/>
  <c r="N246" i="159"/>
  <c r="M246" i="159"/>
  <c r="L246" i="159"/>
  <c r="H246" i="159"/>
  <c r="A246" i="159"/>
  <c r="N245" i="159"/>
  <c r="M245" i="159"/>
  <c r="L245" i="159"/>
  <c r="H245" i="159"/>
  <c r="A245" i="159"/>
  <c r="N244" i="159"/>
  <c r="M244" i="159"/>
  <c r="L244" i="159"/>
  <c r="H244" i="159"/>
  <c r="A244" i="159"/>
  <c r="N243" i="159"/>
  <c r="M243" i="159"/>
  <c r="L243" i="159"/>
  <c r="H243" i="159"/>
  <c r="A243" i="159"/>
  <c r="N242" i="159"/>
  <c r="M242" i="159"/>
  <c r="L242" i="159"/>
  <c r="H242" i="159"/>
  <c r="A242" i="159"/>
  <c r="N241" i="159"/>
  <c r="M241" i="159"/>
  <c r="L241" i="159"/>
  <c r="H241" i="159"/>
  <c r="A241" i="159"/>
  <c r="N240" i="159"/>
  <c r="M240" i="159"/>
  <c r="L240" i="159"/>
  <c r="H240" i="159"/>
  <c r="A240" i="159"/>
  <c r="N239" i="159"/>
  <c r="M239" i="159"/>
  <c r="L239" i="159"/>
  <c r="H239" i="159"/>
  <c r="A239" i="159"/>
  <c r="N238" i="159"/>
  <c r="M238" i="159"/>
  <c r="L238" i="159"/>
  <c r="H238" i="159"/>
  <c r="A238" i="159"/>
  <c r="N237" i="159"/>
  <c r="M237" i="159"/>
  <c r="L237" i="159"/>
  <c r="H237" i="159"/>
  <c r="A237" i="159"/>
  <c r="N236" i="159"/>
  <c r="M236" i="159"/>
  <c r="L236" i="159"/>
  <c r="H236" i="159"/>
  <c r="A236" i="159"/>
  <c r="N235" i="159"/>
  <c r="M235" i="159"/>
  <c r="L235" i="159"/>
  <c r="H235" i="159"/>
  <c r="A235" i="159"/>
  <c r="N234" i="159"/>
  <c r="M234" i="159"/>
  <c r="L234" i="159"/>
  <c r="H234" i="159"/>
  <c r="A234" i="159"/>
  <c r="N233" i="159"/>
  <c r="M233" i="159"/>
  <c r="L233" i="159"/>
  <c r="H233" i="159"/>
  <c r="A233" i="159"/>
  <c r="N232" i="159"/>
  <c r="M232" i="159"/>
  <c r="L232" i="159"/>
  <c r="H232" i="159"/>
  <c r="A232" i="159"/>
  <c r="N231" i="159"/>
  <c r="M231" i="159"/>
  <c r="L231" i="159"/>
  <c r="H231" i="159"/>
  <c r="A231" i="159"/>
  <c r="N230" i="159"/>
  <c r="M230" i="159"/>
  <c r="L230" i="159"/>
  <c r="H230" i="159"/>
  <c r="A230" i="159"/>
  <c r="N229" i="159"/>
  <c r="M229" i="159"/>
  <c r="L229" i="159"/>
  <c r="H229" i="159"/>
  <c r="A229" i="159"/>
  <c r="N228" i="159"/>
  <c r="M228" i="159"/>
  <c r="L228" i="159"/>
  <c r="H228" i="159"/>
  <c r="A228" i="159"/>
  <c r="N227" i="159"/>
  <c r="M227" i="159"/>
  <c r="L227" i="159"/>
  <c r="H227" i="159"/>
  <c r="A227" i="159"/>
  <c r="N226" i="159"/>
  <c r="M226" i="159"/>
  <c r="L226" i="159"/>
  <c r="H226" i="159"/>
  <c r="A226" i="159"/>
  <c r="N225" i="159"/>
  <c r="M225" i="159"/>
  <c r="L225" i="159"/>
  <c r="H225" i="159"/>
  <c r="A225" i="159"/>
  <c r="N224" i="159"/>
  <c r="M224" i="159"/>
  <c r="L224" i="159"/>
  <c r="H224" i="159"/>
  <c r="A224" i="159"/>
  <c r="N223" i="159"/>
  <c r="M223" i="159"/>
  <c r="L223" i="159"/>
  <c r="H223" i="159"/>
  <c r="A223" i="159"/>
  <c r="N222" i="159"/>
  <c r="M222" i="159"/>
  <c r="L222" i="159"/>
  <c r="H222" i="159"/>
  <c r="A222" i="159"/>
  <c r="N221" i="159"/>
  <c r="M221" i="159"/>
  <c r="L221" i="159"/>
  <c r="H221" i="159"/>
  <c r="A221" i="159"/>
  <c r="N220" i="159"/>
  <c r="M220" i="159"/>
  <c r="L220" i="159"/>
  <c r="H220" i="159"/>
  <c r="A220" i="159"/>
  <c r="N219" i="159"/>
  <c r="M219" i="159"/>
  <c r="L219" i="159"/>
  <c r="H219" i="159"/>
  <c r="A219" i="159"/>
  <c r="N218" i="159"/>
  <c r="M218" i="159"/>
  <c r="L218" i="159"/>
  <c r="H218" i="159"/>
  <c r="A218" i="159"/>
  <c r="N217" i="159"/>
  <c r="M217" i="159"/>
  <c r="L217" i="159"/>
  <c r="H217" i="159"/>
  <c r="A217" i="159"/>
  <c r="N216" i="159"/>
  <c r="M216" i="159"/>
  <c r="L216" i="159"/>
  <c r="H216" i="159"/>
  <c r="A216" i="159"/>
  <c r="N215" i="159"/>
  <c r="M215" i="159"/>
  <c r="L215" i="159"/>
  <c r="H215" i="159"/>
  <c r="A215" i="159"/>
  <c r="N214" i="159"/>
  <c r="M214" i="159"/>
  <c r="L214" i="159"/>
  <c r="H214" i="159"/>
  <c r="A214" i="159"/>
  <c r="N213" i="159"/>
  <c r="M213" i="159"/>
  <c r="L213" i="159"/>
  <c r="H213" i="159"/>
  <c r="A213" i="159"/>
  <c r="N212" i="159"/>
  <c r="M212" i="159"/>
  <c r="L212" i="159"/>
  <c r="H212" i="159"/>
  <c r="A212" i="159"/>
  <c r="N211" i="159"/>
  <c r="M211" i="159"/>
  <c r="L211" i="159"/>
  <c r="H211" i="159"/>
  <c r="A211" i="159"/>
  <c r="N210" i="159"/>
  <c r="M210" i="159"/>
  <c r="L210" i="159"/>
  <c r="H210" i="159"/>
  <c r="A210" i="159"/>
  <c r="N209" i="159"/>
  <c r="M209" i="159"/>
  <c r="L209" i="159"/>
  <c r="H209" i="159"/>
  <c r="A209" i="159"/>
  <c r="N208" i="159"/>
  <c r="M208" i="159"/>
  <c r="L208" i="159"/>
  <c r="H208" i="159"/>
  <c r="A208" i="159"/>
  <c r="N207" i="159"/>
  <c r="M207" i="159"/>
  <c r="L207" i="159"/>
  <c r="H207" i="159"/>
  <c r="A207" i="159"/>
  <c r="N206" i="159"/>
  <c r="M206" i="159"/>
  <c r="L206" i="159"/>
  <c r="H206" i="159"/>
  <c r="A206" i="159"/>
  <c r="N205" i="159"/>
  <c r="M205" i="159"/>
  <c r="L205" i="159"/>
  <c r="H205" i="159"/>
  <c r="A205" i="159"/>
  <c r="N204" i="159"/>
  <c r="M204" i="159"/>
  <c r="L204" i="159"/>
  <c r="H204" i="159"/>
  <c r="A204" i="159"/>
  <c r="N203" i="159"/>
  <c r="M203" i="159"/>
  <c r="L203" i="159"/>
  <c r="H203" i="159"/>
  <c r="A203" i="159"/>
  <c r="N202" i="159"/>
  <c r="M202" i="159"/>
  <c r="L202" i="159"/>
  <c r="H202" i="159"/>
  <c r="A202" i="159"/>
  <c r="N201" i="159"/>
  <c r="M201" i="159"/>
  <c r="L201" i="159"/>
  <c r="H201" i="159"/>
  <c r="A201" i="159"/>
  <c r="N200" i="159"/>
  <c r="M200" i="159"/>
  <c r="L200" i="159"/>
  <c r="H200" i="159"/>
  <c r="A200" i="159"/>
  <c r="N199" i="159"/>
  <c r="M199" i="159"/>
  <c r="L199" i="159"/>
  <c r="H199" i="159"/>
  <c r="A199" i="159"/>
  <c r="N198" i="159"/>
  <c r="M198" i="159"/>
  <c r="L198" i="159"/>
  <c r="H198" i="159"/>
  <c r="A198" i="159"/>
  <c r="N197" i="159"/>
  <c r="M197" i="159"/>
  <c r="L197" i="159"/>
  <c r="H197" i="159"/>
  <c r="A197" i="159"/>
  <c r="N196" i="159"/>
  <c r="M196" i="159"/>
  <c r="L196" i="159"/>
  <c r="H196" i="159"/>
  <c r="A196" i="159"/>
  <c r="N195" i="159"/>
  <c r="M195" i="159"/>
  <c r="L195" i="159"/>
  <c r="H195" i="159"/>
  <c r="A195" i="159"/>
  <c r="N194" i="159"/>
  <c r="M194" i="159"/>
  <c r="L194" i="159"/>
  <c r="H194" i="159"/>
  <c r="A194" i="159"/>
  <c r="N193" i="159"/>
  <c r="M193" i="159"/>
  <c r="L193" i="159"/>
  <c r="H193" i="159"/>
  <c r="A193" i="159"/>
  <c r="N192" i="159"/>
  <c r="M192" i="159"/>
  <c r="L192" i="159"/>
  <c r="H192" i="159"/>
  <c r="A192" i="159"/>
  <c r="N191" i="159"/>
  <c r="M191" i="159"/>
  <c r="L191" i="159"/>
  <c r="H191" i="159"/>
  <c r="A191" i="159"/>
  <c r="N190" i="159"/>
  <c r="M190" i="159"/>
  <c r="L190" i="159"/>
  <c r="H190" i="159"/>
  <c r="A190" i="159"/>
  <c r="N189" i="159"/>
  <c r="M189" i="159"/>
  <c r="L189" i="159"/>
  <c r="H189" i="159"/>
  <c r="A189" i="159"/>
  <c r="N188" i="159"/>
  <c r="M188" i="159"/>
  <c r="L188" i="159"/>
  <c r="H188" i="159"/>
  <c r="A188" i="159"/>
  <c r="N187" i="159"/>
  <c r="M187" i="159"/>
  <c r="L187" i="159"/>
  <c r="H187" i="159"/>
  <c r="A187" i="159"/>
  <c r="N186" i="159"/>
  <c r="M186" i="159"/>
  <c r="L186" i="159"/>
  <c r="H186" i="159"/>
  <c r="A186" i="159"/>
  <c r="N185" i="159"/>
  <c r="M185" i="159"/>
  <c r="L185" i="159"/>
  <c r="H185" i="159"/>
  <c r="A185" i="159"/>
  <c r="N184" i="159"/>
  <c r="M184" i="159"/>
  <c r="L184" i="159"/>
  <c r="H184" i="159"/>
  <c r="A184" i="159"/>
  <c r="N183" i="159"/>
  <c r="M183" i="159"/>
  <c r="L183" i="159"/>
  <c r="H183" i="159"/>
  <c r="A183" i="159"/>
  <c r="N182" i="159"/>
  <c r="M182" i="159"/>
  <c r="L182" i="159"/>
  <c r="H182" i="159"/>
  <c r="A182" i="159"/>
  <c r="N181" i="159"/>
  <c r="M181" i="159"/>
  <c r="L181" i="159"/>
  <c r="H181" i="159"/>
  <c r="A181" i="159"/>
  <c r="N180" i="159"/>
  <c r="M180" i="159"/>
  <c r="L180" i="159"/>
  <c r="H180" i="159"/>
  <c r="A180" i="159"/>
  <c r="N179" i="159"/>
  <c r="M179" i="159"/>
  <c r="L179" i="159"/>
  <c r="H179" i="159"/>
  <c r="A179" i="159"/>
  <c r="N178" i="159"/>
  <c r="M178" i="159"/>
  <c r="L178" i="159"/>
  <c r="H178" i="159"/>
  <c r="A178" i="159"/>
  <c r="N177" i="159"/>
  <c r="M177" i="159"/>
  <c r="L177" i="159"/>
  <c r="H177" i="159"/>
  <c r="A177" i="159"/>
  <c r="N176" i="159"/>
  <c r="M176" i="159"/>
  <c r="L176" i="159"/>
  <c r="H176" i="159"/>
  <c r="A176" i="159"/>
  <c r="N175" i="159"/>
  <c r="M175" i="159"/>
  <c r="L175" i="159"/>
  <c r="H175" i="159"/>
  <c r="A175" i="159"/>
  <c r="N174" i="159"/>
  <c r="M174" i="159"/>
  <c r="L174" i="159"/>
  <c r="H174" i="159"/>
  <c r="A174" i="159"/>
  <c r="N173" i="159"/>
  <c r="M173" i="159"/>
  <c r="L173" i="159"/>
  <c r="H173" i="159"/>
  <c r="A173" i="159"/>
  <c r="N172" i="159"/>
  <c r="M172" i="159"/>
  <c r="L172" i="159"/>
  <c r="H172" i="159"/>
  <c r="A172" i="159"/>
  <c r="N171" i="159"/>
  <c r="M171" i="159"/>
  <c r="L171" i="159"/>
  <c r="H171" i="159"/>
  <c r="A171" i="159"/>
  <c r="N170" i="159"/>
  <c r="M170" i="159"/>
  <c r="L170" i="159"/>
  <c r="H170" i="159"/>
  <c r="A170" i="159"/>
  <c r="N169" i="159"/>
  <c r="M169" i="159"/>
  <c r="L169" i="159"/>
  <c r="H169" i="159"/>
  <c r="A169" i="159"/>
  <c r="N168" i="159"/>
  <c r="M168" i="159"/>
  <c r="L168" i="159"/>
  <c r="H168" i="159"/>
  <c r="A168" i="159"/>
  <c r="N167" i="159"/>
  <c r="M167" i="159"/>
  <c r="L167" i="159"/>
  <c r="H167" i="159"/>
  <c r="A167" i="159"/>
  <c r="N166" i="159"/>
  <c r="M166" i="159"/>
  <c r="L166" i="159"/>
  <c r="H166" i="159"/>
  <c r="A166" i="159"/>
  <c r="N165" i="159"/>
  <c r="M165" i="159"/>
  <c r="L165" i="159"/>
  <c r="H165" i="159"/>
  <c r="A165" i="159"/>
  <c r="N164" i="159"/>
  <c r="M164" i="159"/>
  <c r="L164" i="159"/>
  <c r="H164" i="159"/>
  <c r="A164" i="159"/>
  <c r="N163" i="159"/>
  <c r="M163" i="159"/>
  <c r="L163" i="159"/>
  <c r="H163" i="159"/>
  <c r="A163" i="159"/>
  <c r="N162" i="159"/>
  <c r="M162" i="159"/>
  <c r="L162" i="159"/>
  <c r="H162" i="159"/>
  <c r="A162" i="159"/>
  <c r="N161" i="159"/>
  <c r="M161" i="159"/>
  <c r="L161" i="159"/>
  <c r="H161" i="159"/>
  <c r="A161" i="159"/>
  <c r="N160" i="159"/>
  <c r="M160" i="159"/>
  <c r="L160" i="159"/>
  <c r="H160" i="159"/>
  <c r="A160" i="159"/>
  <c r="N159" i="159"/>
  <c r="M159" i="159"/>
  <c r="L159" i="159"/>
  <c r="H159" i="159"/>
  <c r="A159" i="159"/>
  <c r="N158" i="159"/>
  <c r="M158" i="159"/>
  <c r="L158" i="159"/>
  <c r="H158" i="159"/>
  <c r="A158" i="159"/>
  <c r="N157" i="159"/>
  <c r="M157" i="159"/>
  <c r="L157" i="159"/>
  <c r="H157" i="159"/>
  <c r="A157" i="159"/>
  <c r="N156" i="159"/>
  <c r="M156" i="159"/>
  <c r="L156" i="159"/>
  <c r="H156" i="159"/>
  <c r="A156" i="159"/>
  <c r="N155" i="159"/>
  <c r="M155" i="159"/>
  <c r="L155" i="159"/>
  <c r="H155" i="159"/>
  <c r="A155" i="159"/>
  <c r="N154" i="159"/>
  <c r="M154" i="159"/>
  <c r="L154" i="159"/>
  <c r="H154" i="159"/>
  <c r="A154" i="159"/>
  <c r="N153" i="159"/>
  <c r="M153" i="159"/>
  <c r="L153" i="159"/>
  <c r="H153" i="159"/>
  <c r="A153" i="159"/>
  <c r="N152" i="159"/>
  <c r="M152" i="159"/>
  <c r="L152" i="159"/>
  <c r="H152" i="159"/>
  <c r="A152" i="159"/>
  <c r="N151" i="159"/>
  <c r="M151" i="159"/>
  <c r="L151" i="159"/>
  <c r="H151" i="159"/>
  <c r="A151" i="159"/>
  <c r="N150" i="159"/>
  <c r="M150" i="159"/>
  <c r="L150" i="159"/>
  <c r="H150" i="159"/>
  <c r="A150" i="159"/>
  <c r="N149" i="159"/>
  <c r="M149" i="159"/>
  <c r="L149" i="159"/>
  <c r="H149" i="159"/>
  <c r="A149" i="159"/>
  <c r="N148" i="159"/>
  <c r="M148" i="159"/>
  <c r="L148" i="159"/>
  <c r="H148" i="159"/>
  <c r="A148" i="159"/>
  <c r="N147" i="159"/>
  <c r="M147" i="159"/>
  <c r="L147" i="159"/>
  <c r="H147" i="159"/>
  <c r="A147" i="159"/>
  <c r="N146" i="159"/>
  <c r="M146" i="159"/>
  <c r="L146" i="159"/>
  <c r="H146" i="159"/>
  <c r="A146" i="159"/>
  <c r="N145" i="159"/>
  <c r="M145" i="159"/>
  <c r="L145" i="159"/>
  <c r="H145" i="159"/>
  <c r="A145" i="159"/>
  <c r="N144" i="159"/>
  <c r="M144" i="159"/>
  <c r="L144" i="159"/>
  <c r="H144" i="159"/>
  <c r="A144" i="159"/>
  <c r="N143" i="159"/>
  <c r="M143" i="159"/>
  <c r="L143" i="159"/>
  <c r="H143" i="159"/>
  <c r="A143" i="159"/>
  <c r="N142" i="159"/>
  <c r="M142" i="159"/>
  <c r="L142" i="159"/>
  <c r="H142" i="159"/>
  <c r="A142" i="159"/>
  <c r="N141" i="159"/>
  <c r="M141" i="159"/>
  <c r="L141" i="159"/>
  <c r="H141" i="159"/>
  <c r="A141" i="159"/>
  <c r="N140" i="159"/>
  <c r="M140" i="159"/>
  <c r="L140" i="159"/>
  <c r="H140" i="159"/>
  <c r="A140" i="159"/>
  <c r="N139" i="159"/>
  <c r="M139" i="159"/>
  <c r="L139" i="159"/>
  <c r="H139" i="159"/>
  <c r="A139" i="159"/>
  <c r="N138" i="159"/>
  <c r="M138" i="159"/>
  <c r="L138" i="159"/>
  <c r="H138" i="159"/>
  <c r="A138" i="159"/>
  <c r="N137" i="159"/>
  <c r="M137" i="159"/>
  <c r="L137" i="159"/>
  <c r="H137" i="159"/>
  <c r="A137" i="159"/>
  <c r="N136" i="159"/>
  <c r="M136" i="159"/>
  <c r="L136" i="159"/>
  <c r="H136" i="159"/>
  <c r="A136" i="159"/>
  <c r="N135" i="159"/>
  <c r="M135" i="159"/>
  <c r="L135" i="159"/>
  <c r="H135" i="159"/>
  <c r="A135" i="159"/>
  <c r="N134" i="159"/>
  <c r="M134" i="159"/>
  <c r="L134" i="159"/>
  <c r="H134" i="159"/>
  <c r="A134" i="159"/>
  <c r="N133" i="159"/>
  <c r="M133" i="159"/>
  <c r="L133" i="159"/>
  <c r="H133" i="159"/>
  <c r="A133" i="159"/>
  <c r="N132" i="159"/>
  <c r="M132" i="159"/>
  <c r="L132" i="159"/>
  <c r="H132" i="159"/>
  <c r="A132" i="159"/>
  <c r="N131" i="159"/>
  <c r="M131" i="159"/>
  <c r="L131" i="159"/>
  <c r="H131" i="159"/>
  <c r="A131" i="159"/>
  <c r="N130" i="159"/>
  <c r="M130" i="159"/>
  <c r="L130" i="159"/>
  <c r="H130" i="159"/>
  <c r="A130" i="159"/>
  <c r="N129" i="159"/>
  <c r="M129" i="159"/>
  <c r="L129" i="159"/>
  <c r="H129" i="159"/>
  <c r="A129" i="159"/>
  <c r="N128" i="159"/>
  <c r="M128" i="159"/>
  <c r="L128" i="159"/>
  <c r="H128" i="159"/>
  <c r="A128" i="159"/>
  <c r="N127" i="159"/>
  <c r="M127" i="159"/>
  <c r="L127" i="159"/>
  <c r="H127" i="159"/>
  <c r="A127" i="159"/>
  <c r="N126" i="159"/>
  <c r="M126" i="159"/>
  <c r="L126" i="159"/>
  <c r="H126" i="159"/>
  <c r="A126" i="159"/>
  <c r="N125" i="159"/>
  <c r="M125" i="159"/>
  <c r="L125" i="159"/>
  <c r="H125" i="159"/>
  <c r="A125" i="159"/>
  <c r="N124" i="159"/>
  <c r="M124" i="159"/>
  <c r="L124" i="159"/>
  <c r="H124" i="159"/>
  <c r="A124" i="159"/>
  <c r="N123" i="159"/>
  <c r="M123" i="159"/>
  <c r="L123" i="159"/>
  <c r="H123" i="159"/>
  <c r="A123" i="159"/>
  <c r="N122" i="159"/>
  <c r="M122" i="159"/>
  <c r="L122" i="159"/>
  <c r="H122" i="159"/>
  <c r="A122" i="159"/>
  <c r="N121" i="159"/>
  <c r="M121" i="159"/>
  <c r="L121" i="159"/>
  <c r="H121" i="159"/>
  <c r="A121" i="159"/>
  <c r="N120" i="159"/>
  <c r="M120" i="159"/>
  <c r="L120" i="159"/>
  <c r="H120" i="159"/>
  <c r="A120" i="159"/>
  <c r="N119" i="159"/>
  <c r="M119" i="159"/>
  <c r="L119" i="159"/>
  <c r="H119" i="159"/>
  <c r="A119" i="159"/>
  <c r="N118" i="159"/>
  <c r="M118" i="159"/>
  <c r="L118" i="159"/>
  <c r="H118" i="159"/>
  <c r="A118" i="159"/>
  <c r="N117" i="159"/>
  <c r="M117" i="159"/>
  <c r="L117" i="159"/>
  <c r="H117" i="159"/>
  <c r="A117" i="159"/>
  <c r="N116" i="159"/>
  <c r="M116" i="159"/>
  <c r="L116" i="159"/>
  <c r="H116" i="159"/>
  <c r="A116" i="159"/>
  <c r="N115" i="159"/>
  <c r="M115" i="159"/>
  <c r="L115" i="159"/>
  <c r="H115" i="159"/>
  <c r="A115" i="159"/>
  <c r="N114" i="159"/>
  <c r="M114" i="159"/>
  <c r="L114" i="159"/>
  <c r="H114" i="159"/>
  <c r="A114" i="159"/>
  <c r="N113" i="159"/>
  <c r="M113" i="159"/>
  <c r="L113" i="159"/>
  <c r="H113" i="159"/>
  <c r="A113" i="159"/>
  <c r="N112" i="159"/>
  <c r="M112" i="159"/>
  <c r="L112" i="159"/>
  <c r="H112" i="159"/>
  <c r="A112" i="159"/>
  <c r="N111" i="159"/>
  <c r="M111" i="159"/>
  <c r="L111" i="159"/>
  <c r="H111" i="159"/>
  <c r="A111" i="159"/>
  <c r="N110" i="159"/>
  <c r="M110" i="159"/>
  <c r="L110" i="159"/>
  <c r="H110" i="159"/>
  <c r="A110" i="159"/>
  <c r="N109" i="159"/>
  <c r="M109" i="159"/>
  <c r="L109" i="159"/>
  <c r="H109" i="159"/>
  <c r="A109" i="159"/>
  <c r="N108" i="159"/>
  <c r="M108" i="159"/>
  <c r="L108" i="159"/>
  <c r="H108" i="159"/>
  <c r="A108" i="159"/>
  <c r="N107" i="159"/>
  <c r="M107" i="159"/>
  <c r="L107" i="159"/>
  <c r="H107" i="159"/>
  <c r="A107" i="159"/>
  <c r="N106" i="159"/>
  <c r="M106" i="159"/>
  <c r="L106" i="159"/>
  <c r="H106" i="159"/>
  <c r="A106" i="159"/>
  <c r="N105" i="159"/>
  <c r="M105" i="159"/>
  <c r="L105" i="159"/>
  <c r="H105" i="159"/>
  <c r="A105" i="159"/>
  <c r="N104" i="159"/>
  <c r="M104" i="159"/>
  <c r="L104" i="159"/>
  <c r="H104" i="159"/>
  <c r="A104" i="159"/>
  <c r="N103" i="159"/>
  <c r="M103" i="159"/>
  <c r="L103" i="159"/>
  <c r="H103" i="159"/>
  <c r="A103" i="159"/>
  <c r="N102" i="159"/>
  <c r="M102" i="159"/>
  <c r="L102" i="159"/>
  <c r="H102" i="159"/>
  <c r="A102" i="159"/>
  <c r="N101" i="159"/>
  <c r="M101" i="159"/>
  <c r="L101" i="159"/>
  <c r="H101" i="159"/>
  <c r="A101" i="159"/>
  <c r="N100" i="159"/>
  <c r="M100" i="159"/>
  <c r="L100" i="159"/>
  <c r="H100" i="159"/>
  <c r="A100" i="159"/>
  <c r="N99" i="159"/>
  <c r="M99" i="159"/>
  <c r="L99" i="159"/>
  <c r="H99" i="159"/>
  <c r="A99" i="159"/>
  <c r="N98" i="159"/>
  <c r="M98" i="159"/>
  <c r="L98" i="159"/>
  <c r="H98" i="159"/>
  <c r="A98" i="159"/>
  <c r="N97" i="159"/>
  <c r="M97" i="159"/>
  <c r="L97" i="159"/>
  <c r="H97" i="159"/>
  <c r="A97" i="159"/>
  <c r="N96" i="159"/>
  <c r="M96" i="159"/>
  <c r="L96" i="159"/>
  <c r="H96" i="159"/>
  <c r="A96" i="159"/>
  <c r="N95" i="159"/>
  <c r="M95" i="159"/>
  <c r="L95" i="159"/>
  <c r="H95" i="159"/>
  <c r="A95" i="159"/>
  <c r="N94" i="159"/>
  <c r="M94" i="159"/>
  <c r="L94" i="159"/>
  <c r="H94" i="159"/>
  <c r="A94" i="159"/>
  <c r="N93" i="159"/>
  <c r="M93" i="159"/>
  <c r="L93" i="159"/>
  <c r="H93" i="159"/>
  <c r="A93" i="159"/>
  <c r="N92" i="159"/>
  <c r="M92" i="159"/>
  <c r="L92" i="159"/>
  <c r="H92" i="159"/>
  <c r="A92" i="159"/>
  <c r="N91" i="159"/>
  <c r="M91" i="159"/>
  <c r="L91" i="159"/>
  <c r="H91" i="159"/>
  <c r="A91" i="159"/>
  <c r="N90" i="159"/>
  <c r="M90" i="159"/>
  <c r="L90" i="159"/>
  <c r="H90" i="159"/>
  <c r="A90" i="159"/>
  <c r="N89" i="159"/>
  <c r="M89" i="159"/>
  <c r="L89" i="159"/>
  <c r="H89" i="159"/>
  <c r="A89" i="159"/>
  <c r="N88" i="159"/>
  <c r="M88" i="159"/>
  <c r="L88" i="159"/>
  <c r="H88" i="159"/>
  <c r="A88" i="159"/>
  <c r="N87" i="159"/>
  <c r="M87" i="159"/>
  <c r="L87" i="159"/>
  <c r="H87" i="159"/>
  <c r="A87" i="159"/>
  <c r="N86" i="159"/>
  <c r="M86" i="159"/>
  <c r="L86" i="159"/>
  <c r="H86" i="159"/>
  <c r="A86" i="159"/>
  <c r="N85" i="159"/>
  <c r="M85" i="159"/>
  <c r="L85" i="159"/>
  <c r="H85" i="159"/>
  <c r="A85" i="159"/>
  <c r="N84" i="159"/>
  <c r="M84" i="159"/>
  <c r="L84" i="159"/>
  <c r="H84" i="159"/>
  <c r="A84" i="159"/>
  <c r="N83" i="159"/>
  <c r="M83" i="159"/>
  <c r="L83" i="159"/>
  <c r="H83" i="159"/>
  <c r="A83" i="159"/>
  <c r="N82" i="159"/>
  <c r="M82" i="159"/>
  <c r="L82" i="159"/>
  <c r="H82" i="159"/>
  <c r="A82" i="159"/>
  <c r="N81" i="159"/>
  <c r="M81" i="159"/>
  <c r="L81" i="159"/>
  <c r="H81" i="159"/>
  <c r="A81" i="159"/>
  <c r="N80" i="159"/>
  <c r="M80" i="159"/>
  <c r="L80" i="159"/>
  <c r="H80" i="159"/>
  <c r="A80" i="159"/>
  <c r="N79" i="159"/>
  <c r="M79" i="159"/>
  <c r="L79" i="159"/>
  <c r="H79" i="159"/>
  <c r="A79" i="159"/>
  <c r="N78" i="159"/>
  <c r="M78" i="159"/>
  <c r="L78" i="159"/>
  <c r="H78" i="159"/>
  <c r="A78" i="159"/>
  <c r="N77" i="159"/>
  <c r="M77" i="159"/>
  <c r="L77" i="159"/>
  <c r="H77" i="159"/>
  <c r="A77" i="159"/>
  <c r="N76" i="159"/>
  <c r="M76" i="159"/>
  <c r="L76" i="159"/>
  <c r="H76" i="159"/>
  <c r="A76" i="159"/>
  <c r="N75" i="159"/>
  <c r="M75" i="159"/>
  <c r="L75" i="159"/>
  <c r="H75" i="159"/>
  <c r="A75" i="159"/>
  <c r="N74" i="159"/>
  <c r="M74" i="159"/>
  <c r="L74" i="159"/>
  <c r="H74" i="159"/>
  <c r="A74" i="159"/>
  <c r="N73" i="159"/>
  <c r="M73" i="159"/>
  <c r="L73" i="159"/>
  <c r="H73" i="159"/>
  <c r="A73" i="159"/>
  <c r="N72" i="159"/>
  <c r="M72" i="159"/>
  <c r="L72" i="159"/>
  <c r="H72" i="159"/>
  <c r="A72" i="159"/>
  <c r="N71" i="159"/>
  <c r="M71" i="159"/>
  <c r="L71" i="159"/>
  <c r="H71" i="159"/>
  <c r="A71" i="159"/>
  <c r="N70" i="159"/>
  <c r="M70" i="159"/>
  <c r="L70" i="159"/>
  <c r="H70" i="159"/>
  <c r="A70" i="159"/>
  <c r="N69" i="159"/>
  <c r="M69" i="159"/>
  <c r="L69" i="159"/>
  <c r="H69" i="159"/>
  <c r="A69" i="159"/>
  <c r="N68" i="159"/>
  <c r="M68" i="159"/>
  <c r="L68" i="159"/>
  <c r="H68" i="159"/>
  <c r="A68" i="159"/>
  <c r="N67" i="159"/>
  <c r="M67" i="159"/>
  <c r="L67" i="159"/>
  <c r="H67" i="159"/>
  <c r="A67" i="159"/>
  <c r="N66" i="159"/>
  <c r="M66" i="159"/>
  <c r="L66" i="159"/>
  <c r="H66" i="159"/>
  <c r="A66" i="159"/>
  <c r="N65" i="159"/>
  <c r="M65" i="159"/>
  <c r="L65" i="159"/>
  <c r="H65" i="159"/>
  <c r="A65" i="159"/>
  <c r="N64" i="159"/>
  <c r="M64" i="159"/>
  <c r="L64" i="159"/>
  <c r="H64" i="159"/>
  <c r="A64" i="159"/>
  <c r="N63" i="159"/>
  <c r="M63" i="159"/>
  <c r="L63" i="159"/>
  <c r="H63" i="159"/>
  <c r="A63" i="159"/>
  <c r="N62" i="159"/>
  <c r="M62" i="159"/>
  <c r="L62" i="159"/>
  <c r="H62" i="159"/>
  <c r="A62" i="159"/>
  <c r="N61" i="159"/>
  <c r="M61" i="159"/>
  <c r="L61" i="159"/>
  <c r="H61" i="159"/>
  <c r="A61" i="159"/>
  <c r="N60" i="159"/>
  <c r="M60" i="159"/>
  <c r="L60" i="159"/>
  <c r="H60" i="159"/>
  <c r="A60" i="159"/>
  <c r="N59" i="159"/>
  <c r="M59" i="159"/>
  <c r="L59" i="159"/>
  <c r="H59" i="159"/>
  <c r="A59" i="159"/>
  <c r="N58" i="159"/>
  <c r="M58" i="159"/>
  <c r="L58" i="159"/>
  <c r="H58" i="159"/>
  <c r="A58" i="159"/>
  <c r="N57" i="159"/>
  <c r="M57" i="159"/>
  <c r="L57" i="159"/>
  <c r="H57" i="159"/>
  <c r="A57" i="159"/>
  <c r="N56" i="159"/>
  <c r="M56" i="159"/>
  <c r="L56" i="159"/>
  <c r="H56" i="159"/>
  <c r="A56" i="159"/>
  <c r="N55" i="159"/>
  <c r="M55" i="159"/>
  <c r="L55" i="159"/>
  <c r="H55" i="159"/>
  <c r="A55" i="159"/>
  <c r="N54" i="159"/>
  <c r="M54" i="159"/>
  <c r="L54" i="159"/>
  <c r="H54" i="159"/>
  <c r="A54" i="159"/>
  <c r="N53" i="159"/>
  <c r="M53" i="159"/>
  <c r="L53" i="159"/>
  <c r="H53" i="159"/>
  <c r="A53" i="159"/>
  <c r="N52" i="159"/>
  <c r="M52" i="159"/>
  <c r="L52" i="159"/>
  <c r="H52" i="159"/>
  <c r="A52" i="159"/>
  <c r="N51" i="159"/>
  <c r="M51" i="159"/>
  <c r="L51" i="159"/>
  <c r="H51" i="159"/>
  <c r="A51" i="159"/>
  <c r="N50" i="159"/>
  <c r="M50" i="159"/>
  <c r="L50" i="159"/>
  <c r="H50" i="159"/>
  <c r="A50" i="159"/>
  <c r="N49" i="159"/>
  <c r="M49" i="159"/>
  <c r="L49" i="159"/>
  <c r="H49" i="159"/>
  <c r="A49" i="159"/>
  <c r="N48" i="159"/>
  <c r="M48" i="159"/>
  <c r="L48" i="159"/>
  <c r="H48" i="159"/>
  <c r="A48" i="159"/>
  <c r="N47" i="159"/>
  <c r="M47" i="159"/>
  <c r="L47" i="159"/>
  <c r="H47" i="159"/>
  <c r="A47" i="159"/>
  <c r="N46" i="159"/>
  <c r="M46" i="159"/>
  <c r="L46" i="159"/>
  <c r="H46" i="159"/>
  <c r="A46" i="159"/>
  <c r="N45" i="159"/>
  <c r="M45" i="159"/>
  <c r="L45" i="159"/>
  <c r="H45" i="159"/>
  <c r="A45" i="159"/>
  <c r="N44" i="159"/>
  <c r="M44" i="159"/>
  <c r="L44" i="159"/>
  <c r="H44" i="159"/>
  <c r="A44" i="159"/>
  <c r="N43" i="159"/>
  <c r="M43" i="159"/>
  <c r="L43" i="159"/>
  <c r="H43" i="159"/>
  <c r="A43" i="159"/>
  <c r="N42" i="159"/>
  <c r="M42" i="159"/>
  <c r="L42" i="159"/>
  <c r="H42" i="159"/>
  <c r="A42" i="159"/>
  <c r="N41" i="159"/>
  <c r="M41" i="159"/>
  <c r="L41" i="159"/>
  <c r="H41" i="159"/>
  <c r="A41" i="159"/>
  <c r="N40" i="159"/>
  <c r="M40" i="159"/>
  <c r="L40" i="159"/>
  <c r="H40" i="159"/>
  <c r="A40" i="159"/>
  <c r="N39" i="159"/>
  <c r="M39" i="159"/>
  <c r="L39" i="159"/>
  <c r="H39" i="159"/>
  <c r="A39" i="159"/>
  <c r="N38" i="159"/>
  <c r="M38" i="159"/>
  <c r="L38" i="159"/>
  <c r="H38" i="159"/>
  <c r="A38" i="159"/>
  <c r="N37" i="159"/>
  <c r="M37" i="159"/>
  <c r="L37" i="159"/>
  <c r="H37" i="159"/>
  <c r="A37" i="159"/>
  <c r="N36" i="159"/>
  <c r="M36" i="159"/>
  <c r="L36" i="159"/>
  <c r="H36" i="159"/>
  <c r="A36" i="159"/>
  <c r="N35" i="159"/>
  <c r="M35" i="159"/>
  <c r="L35" i="159"/>
  <c r="H35" i="159"/>
  <c r="A35" i="159"/>
  <c r="N34" i="159"/>
  <c r="M34" i="159"/>
  <c r="L34" i="159"/>
  <c r="H34" i="159"/>
  <c r="A34" i="159"/>
  <c r="N33" i="159"/>
  <c r="M33" i="159"/>
  <c r="L33" i="159"/>
  <c r="H33" i="159"/>
  <c r="A33" i="159"/>
  <c r="N32" i="159"/>
  <c r="M32" i="159"/>
  <c r="L32" i="159"/>
  <c r="H32" i="159"/>
  <c r="A32" i="159"/>
  <c r="N31" i="159"/>
  <c r="M31" i="159"/>
  <c r="L31" i="159"/>
  <c r="H31" i="159"/>
  <c r="A31" i="159"/>
  <c r="N30" i="159"/>
  <c r="M30" i="159"/>
  <c r="L30" i="159"/>
  <c r="H30" i="159"/>
  <c r="A30" i="159"/>
  <c r="N29" i="159"/>
  <c r="M29" i="159"/>
  <c r="L29" i="159"/>
  <c r="H29" i="159"/>
  <c r="A29" i="159"/>
  <c r="N28" i="159"/>
  <c r="M28" i="159"/>
  <c r="L28" i="159"/>
  <c r="H28" i="159"/>
  <c r="A28" i="159"/>
  <c r="N27" i="159"/>
  <c r="M27" i="159"/>
  <c r="L27" i="159"/>
  <c r="H27" i="159"/>
  <c r="A27" i="159"/>
  <c r="N26" i="159"/>
  <c r="M26" i="159"/>
  <c r="L26" i="159"/>
  <c r="H26" i="159"/>
  <c r="A26" i="159"/>
  <c r="N25" i="159"/>
  <c r="M25" i="159"/>
  <c r="L25" i="159"/>
  <c r="H25" i="159"/>
  <c r="A25" i="159"/>
  <c r="N24" i="159"/>
  <c r="M24" i="159"/>
  <c r="L24" i="159"/>
  <c r="H24" i="159"/>
  <c r="A24" i="159"/>
  <c r="N23" i="159"/>
  <c r="M23" i="159"/>
  <c r="L23" i="159"/>
  <c r="H23" i="159"/>
  <c r="A23" i="159"/>
  <c r="N22" i="159"/>
  <c r="M22" i="159"/>
  <c r="L22" i="159"/>
  <c r="H22" i="159"/>
  <c r="A22" i="159"/>
  <c r="N21" i="159"/>
  <c r="M21" i="159"/>
  <c r="L21" i="159"/>
  <c r="H21" i="159"/>
  <c r="A21" i="159"/>
  <c r="N20" i="159"/>
  <c r="M20" i="159"/>
  <c r="L20" i="159"/>
  <c r="H20" i="159"/>
  <c r="A20" i="159"/>
  <c r="N19" i="159"/>
  <c r="M19" i="159"/>
  <c r="L19" i="159"/>
  <c r="H19" i="159"/>
  <c r="A19" i="159"/>
  <c r="N18" i="159"/>
  <c r="M18" i="159"/>
  <c r="L18" i="159"/>
  <c r="H18" i="159"/>
  <c r="A18" i="159"/>
  <c r="N17" i="159"/>
  <c r="M17" i="159"/>
  <c r="L17" i="159"/>
  <c r="H17" i="159"/>
  <c r="A17" i="159"/>
  <c r="N16" i="159"/>
  <c r="M16" i="159"/>
  <c r="L16" i="159"/>
  <c r="H16" i="159"/>
  <c r="A16" i="159"/>
  <c r="N15" i="159"/>
  <c r="M15" i="159"/>
  <c r="L15" i="159"/>
  <c r="H15" i="159"/>
  <c r="A15" i="159"/>
  <c r="N14" i="159"/>
  <c r="M14" i="159"/>
  <c r="L14" i="159"/>
  <c r="H14" i="159"/>
  <c r="A14" i="159"/>
  <c r="N13" i="159"/>
  <c r="M13" i="159"/>
  <c r="L13" i="159"/>
  <c r="H13" i="159"/>
  <c r="A13" i="159"/>
  <c r="N12" i="159"/>
  <c r="M12" i="159"/>
  <c r="L12" i="159"/>
  <c r="H12" i="159"/>
  <c r="A12" i="159"/>
  <c r="N11" i="159"/>
  <c r="M11" i="159"/>
  <c r="L11" i="159"/>
  <c r="H11" i="159"/>
  <c r="A11" i="159"/>
  <c r="N10" i="159"/>
  <c r="M10" i="159"/>
  <c r="L10" i="159"/>
  <c r="H10" i="159"/>
  <c r="A10" i="159"/>
  <c r="N9" i="159"/>
  <c r="M9" i="159"/>
  <c r="L9" i="159"/>
  <c r="H9" i="159"/>
  <c r="A9" i="159"/>
  <c r="N8" i="159"/>
  <c r="M8" i="159"/>
  <c r="L8" i="159"/>
  <c r="H8" i="159"/>
  <c r="A8" i="159"/>
  <c r="N7" i="159"/>
  <c r="M7" i="159"/>
  <c r="L7" i="159"/>
  <c r="H7" i="159"/>
  <c r="A7" i="159"/>
  <c r="N6" i="159"/>
  <c r="M6" i="159"/>
  <c r="L6" i="159"/>
  <c r="H6" i="159"/>
  <c r="A6" i="159"/>
  <c r="N5" i="159"/>
  <c r="M5" i="159"/>
  <c r="L5" i="159"/>
  <c r="H5" i="159"/>
  <c r="A5" i="159"/>
  <c r="N4" i="159"/>
  <c r="M4" i="159"/>
  <c r="L4" i="159"/>
  <c r="H4" i="159"/>
  <c r="A4" i="159"/>
  <c r="N3" i="159"/>
  <c r="M3" i="159"/>
  <c r="L3" i="159"/>
  <c r="H3" i="159"/>
  <c r="A3" i="159"/>
  <c r="N2" i="159"/>
  <c r="M2" i="159"/>
  <c r="L2" i="159"/>
  <c r="H2" i="159"/>
  <c r="A2" i="159"/>
  <c r="B55" i="158"/>
  <c r="B56" i="158"/>
  <c r="B57" i="158"/>
  <c r="B58" i="158"/>
  <c r="B60" i="158"/>
  <c r="B61" i="158"/>
  <c r="F55" i="158"/>
  <c r="G55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47" i="158"/>
  <c r="I46" i="158"/>
  <c r="J46" i="158"/>
  <c r="F46" i="158"/>
  <c r="C46" i="158"/>
  <c r="D46" i="158"/>
  <c r="G45" i="158"/>
  <c r="E45" i="158"/>
  <c r="H45" i="158"/>
  <c r="I45" i="158"/>
  <c r="J45" i="158"/>
  <c r="F45" i="158"/>
  <c r="C45" i="158"/>
  <c r="D45" i="158"/>
  <c r="I44" i="158"/>
  <c r="J44" i="158"/>
  <c r="F44" i="158"/>
  <c r="C44" i="158"/>
  <c r="D44" i="158"/>
  <c r="I43" i="158"/>
  <c r="J43" i="158"/>
  <c r="F43" i="158"/>
  <c r="C43" i="158"/>
  <c r="D43" i="158"/>
  <c r="I42" i="158"/>
  <c r="J42" i="158"/>
  <c r="F42" i="158"/>
  <c r="C42" i="158"/>
  <c r="D42" i="158"/>
  <c r="I41" i="158"/>
  <c r="J41" i="158"/>
  <c r="F41" i="158"/>
  <c r="C41" i="158"/>
  <c r="D41" i="158"/>
  <c r="I40" i="158"/>
  <c r="J40" i="158"/>
  <c r="F40" i="158"/>
  <c r="C40" i="158"/>
  <c r="D40" i="158"/>
  <c r="I39" i="158"/>
  <c r="J39" i="158"/>
  <c r="F39" i="158"/>
  <c r="C39" i="158"/>
  <c r="D39" i="158"/>
  <c r="I38" i="158"/>
  <c r="J38" i="158"/>
  <c r="F38" i="158"/>
  <c r="C38" i="158"/>
  <c r="D38" i="158"/>
  <c r="I37" i="158"/>
  <c r="J37" i="158"/>
  <c r="F37" i="158"/>
  <c r="C37" i="158"/>
  <c r="D37" i="158"/>
  <c r="I36" i="158"/>
  <c r="J36" i="158"/>
  <c r="F36" i="158"/>
  <c r="C36" i="158"/>
  <c r="D36" i="158"/>
  <c r="C35" i="158"/>
  <c r="I34" i="158"/>
  <c r="J34" i="158"/>
  <c r="F34" i="158"/>
  <c r="C34" i="158"/>
  <c r="D34" i="158"/>
  <c r="I33" i="158"/>
  <c r="J33" i="158"/>
  <c r="F33" i="158"/>
  <c r="C33" i="158"/>
  <c r="D33" i="158"/>
  <c r="I32" i="158"/>
  <c r="J32" i="158"/>
  <c r="F32" i="158"/>
  <c r="C32" i="158"/>
  <c r="D32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C18" i="158"/>
  <c r="D18" i="158"/>
  <c r="R17" i="158"/>
  <c r="P17" i="158"/>
  <c r="O17" i="158"/>
  <c r="M17" i="158"/>
  <c r="I17" i="158"/>
  <c r="J17" i="158"/>
  <c r="F17" i="158"/>
  <c r="C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R3" i="158"/>
  <c r="P3" i="158"/>
  <c r="O3" i="158"/>
  <c r="M3" i="158"/>
  <c r="V2" i="158"/>
  <c r="H291" i="154"/>
  <c r="L291" i="154"/>
  <c r="M291" i="154"/>
  <c r="N291" i="154"/>
  <c r="H292" i="154"/>
  <c r="L292" i="154"/>
  <c r="M292" i="154"/>
  <c r="N292" i="154"/>
  <c r="H293" i="154"/>
  <c r="L293" i="154"/>
  <c r="M293" i="154"/>
  <c r="N293" i="154"/>
  <c r="H294" i="154"/>
  <c r="L294" i="154"/>
  <c r="M294" i="154"/>
  <c r="N294" i="154"/>
  <c r="A291" i="150"/>
  <c r="H291" i="150"/>
  <c r="L291" i="150"/>
  <c r="M291" i="150"/>
  <c r="N291" i="150"/>
  <c r="A292" i="150"/>
  <c r="H292" i="150"/>
  <c r="L292" i="150"/>
  <c r="M292" i="150"/>
  <c r="N292" i="150"/>
  <c r="H293" i="150"/>
  <c r="L293" i="150"/>
  <c r="M293" i="150"/>
  <c r="N293" i="150"/>
  <c r="H294" i="150"/>
  <c r="L294" i="150"/>
  <c r="M294" i="150"/>
  <c r="N294" i="150"/>
  <c r="H291" i="148"/>
  <c r="L291" i="148"/>
  <c r="M291" i="148"/>
  <c r="N291" i="148"/>
  <c r="H292" i="148"/>
  <c r="L292" i="148"/>
  <c r="M292" i="148"/>
  <c r="N292" i="148"/>
  <c r="H293" i="148"/>
  <c r="L293" i="148"/>
  <c r="M293" i="148"/>
  <c r="N293" i="148"/>
  <c r="H294" i="148"/>
  <c r="L294" i="148"/>
  <c r="M294" i="148"/>
  <c r="N294" i="148"/>
  <c r="A291" i="82"/>
  <c r="H291" i="82"/>
  <c r="L291" i="82"/>
  <c r="M291" i="82"/>
  <c r="N291" i="82"/>
  <c r="A292" i="82"/>
  <c r="H292" i="82"/>
  <c r="L292" i="82"/>
  <c r="M292" i="82"/>
  <c r="N292" i="82"/>
  <c r="A293" i="82"/>
  <c r="H293" i="82"/>
  <c r="L293" i="82"/>
  <c r="M293" i="82"/>
  <c r="N293" i="82"/>
  <c r="A294" i="82"/>
  <c r="H294" i="82"/>
  <c r="L294" i="82"/>
  <c r="M294" i="82"/>
  <c r="N294" i="82"/>
  <c r="A285" i="154"/>
  <c r="A286" i="154"/>
  <c r="H285" i="154"/>
  <c r="L285" i="154"/>
  <c r="M285" i="154"/>
  <c r="N285" i="154"/>
  <c r="H286" i="154"/>
  <c r="L286" i="154"/>
  <c r="M286" i="154"/>
  <c r="N286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H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L285" i="150"/>
  <c r="M285" i="150"/>
  <c r="N285" i="150"/>
  <c r="H286" i="150"/>
  <c r="L286" i="150"/>
  <c r="M286" i="150"/>
  <c r="N286" i="150"/>
  <c r="H287" i="150"/>
  <c r="L287" i="150"/>
  <c r="M287" i="150"/>
  <c r="N287" i="150"/>
  <c r="H288" i="150"/>
  <c r="L288" i="150"/>
  <c r="M288" i="150"/>
  <c r="N288" i="150"/>
  <c r="H289" i="150"/>
  <c r="L289" i="150"/>
  <c r="M289" i="150"/>
  <c r="N289" i="150"/>
  <c r="H290" i="150"/>
  <c r="L290" i="150"/>
  <c r="M290" i="150"/>
  <c r="N290" i="150"/>
  <c r="A285" i="148"/>
  <c r="A286" i="148"/>
  <c r="A287" i="148"/>
  <c r="A288" i="148"/>
  <c r="H285" i="148"/>
  <c r="L285" i="148"/>
  <c r="M285" i="148"/>
  <c r="N285" i="148"/>
  <c r="H286" i="148"/>
  <c r="L286" i="148"/>
  <c r="M286" i="148"/>
  <c r="N286" i="148"/>
  <c r="H287" i="148"/>
  <c r="L287" i="148"/>
  <c r="M287" i="148"/>
  <c r="N287" i="148"/>
  <c r="H288" i="148"/>
  <c r="L288" i="148"/>
  <c r="M288" i="148"/>
  <c r="N288" i="148"/>
  <c r="H289" i="148"/>
  <c r="L289" i="148"/>
  <c r="M289" i="148"/>
  <c r="N289" i="148"/>
  <c r="H290" i="148"/>
  <c r="L290" i="148"/>
  <c r="M290" i="148"/>
  <c r="N290" i="148"/>
  <c r="A285" i="82"/>
  <c r="H285" i="82"/>
  <c r="L285" i="82"/>
  <c r="M285" i="82"/>
  <c r="N285" i="82"/>
  <c r="A286" i="82"/>
  <c r="H286" i="82"/>
  <c r="L286" i="82"/>
  <c r="M286" i="82"/>
  <c r="N286" i="82"/>
  <c r="A287" i="82"/>
  <c r="H287" i="82"/>
  <c r="L287" i="82"/>
  <c r="M287" i="82"/>
  <c r="N287" i="82"/>
  <c r="A288" i="82"/>
  <c r="H288" i="82"/>
  <c r="L288" i="82"/>
  <c r="M288" i="82"/>
  <c r="N288" i="82"/>
  <c r="A289" i="82"/>
  <c r="H289" i="82"/>
  <c r="L289" i="82"/>
  <c r="M289" i="82"/>
  <c r="N289" i="82"/>
  <c r="A290" i="82"/>
  <c r="H290" i="82"/>
  <c r="L290" i="82"/>
  <c r="M290" i="82"/>
  <c r="N290" i="82"/>
  <c r="C5" i="103"/>
  <c r="E5" i="103"/>
  <c r="C6" i="103"/>
  <c r="E6" i="103"/>
  <c r="C2" i="103"/>
  <c r="E2" i="103"/>
  <c r="N284" i="154"/>
  <c r="M284" i="154"/>
  <c r="L284" i="154"/>
  <c r="H284" i="154"/>
  <c r="A284" i="154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55" i="153"/>
  <c r="G55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47" i="153"/>
  <c r="I46" i="153"/>
  <c r="J46" i="153"/>
  <c r="F46" i="153"/>
  <c r="C46" i="153"/>
  <c r="D46" i="153"/>
  <c r="G45" i="153"/>
  <c r="E45" i="153"/>
  <c r="H45" i="153"/>
  <c r="I45" i="153"/>
  <c r="J45" i="153"/>
  <c r="F45" i="153"/>
  <c r="C45" i="153"/>
  <c r="D45" i="153"/>
  <c r="I44" i="153"/>
  <c r="J44" i="153"/>
  <c r="F44" i="153"/>
  <c r="C44" i="153"/>
  <c r="D44" i="153"/>
  <c r="I43" i="153"/>
  <c r="J43" i="153"/>
  <c r="F43" i="153"/>
  <c r="C43" i="153"/>
  <c r="D43" i="153"/>
  <c r="I42" i="153"/>
  <c r="J42" i="153"/>
  <c r="F42" i="153"/>
  <c r="C42" i="153"/>
  <c r="D42" i="153"/>
  <c r="I41" i="153"/>
  <c r="J41" i="153"/>
  <c r="F41" i="153"/>
  <c r="C41" i="153"/>
  <c r="D41" i="153"/>
  <c r="I40" i="153"/>
  <c r="J40" i="153"/>
  <c r="F40" i="153"/>
  <c r="C40" i="153"/>
  <c r="D40" i="153"/>
  <c r="I39" i="153"/>
  <c r="J39" i="153"/>
  <c r="F39" i="153"/>
  <c r="C39" i="153"/>
  <c r="D39" i="153"/>
  <c r="I38" i="153"/>
  <c r="J38" i="153"/>
  <c r="F38" i="153"/>
  <c r="C38" i="153"/>
  <c r="D38" i="153"/>
  <c r="I37" i="153"/>
  <c r="J37" i="153"/>
  <c r="F37" i="153"/>
  <c r="C37" i="153"/>
  <c r="D37" i="153"/>
  <c r="C36" i="153"/>
  <c r="C35" i="153"/>
  <c r="I34" i="153"/>
  <c r="J34" i="153"/>
  <c r="F34" i="153"/>
  <c r="C34" i="153"/>
  <c r="D34" i="153"/>
  <c r="I33" i="153"/>
  <c r="J33" i="153"/>
  <c r="F33" i="153"/>
  <c r="C33" i="153"/>
  <c r="D33" i="153"/>
  <c r="I32" i="153"/>
  <c r="J32" i="153"/>
  <c r="F32" i="153"/>
  <c r="C32" i="153"/>
  <c r="D32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R3" i="153"/>
  <c r="P3" i="153"/>
  <c r="O3" i="153"/>
  <c r="M3" i="153"/>
  <c r="V2" i="153"/>
  <c r="N284" i="150"/>
  <c r="M284" i="150"/>
  <c r="L284" i="150"/>
  <c r="H284" i="150"/>
  <c r="N283" i="150"/>
  <c r="M283" i="150"/>
  <c r="L283" i="150"/>
  <c r="H283" i="150"/>
  <c r="A283" i="150"/>
  <c r="N282" i="150"/>
  <c r="M282" i="150"/>
  <c r="L282" i="150"/>
  <c r="H282" i="150"/>
  <c r="A282" i="150"/>
  <c r="N281" i="150"/>
  <c r="M281" i="150"/>
  <c r="L281" i="150"/>
  <c r="H281" i="150"/>
  <c r="A281" i="150"/>
  <c r="N280" i="150"/>
  <c r="M280" i="150"/>
  <c r="L280" i="150"/>
  <c r="H280" i="150"/>
  <c r="A280" i="150"/>
  <c r="N279" i="150"/>
  <c r="M279" i="150"/>
  <c r="L279" i="150"/>
  <c r="H279" i="150"/>
  <c r="A279" i="150"/>
  <c r="N278" i="150"/>
  <c r="M278" i="150"/>
  <c r="L278" i="150"/>
  <c r="H278" i="150"/>
  <c r="A278" i="150"/>
  <c r="N277" i="150"/>
  <c r="M277" i="150"/>
  <c r="L277" i="150"/>
  <c r="H277" i="150"/>
  <c r="A277" i="150"/>
  <c r="N276" i="150"/>
  <c r="M276" i="150"/>
  <c r="L276" i="150"/>
  <c r="H276" i="150"/>
  <c r="A276" i="150"/>
  <c r="N275" i="150"/>
  <c r="M275" i="150"/>
  <c r="L275" i="150"/>
  <c r="H275" i="150"/>
  <c r="A275" i="150"/>
  <c r="N274" i="150"/>
  <c r="M274" i="150"/>
  <c r="L274" i="150"/>
  <c r="H274" i="150"/>
  <c r="A274" i="150"/>
  <c r="N273" i="150"/>
  <c r="M273" i="150"/>
  <c r="L273" i="150"/>
  <c r="H273" i="150"/>
  <c r="A273" i="150"/>
  <c r="N272" i="150"/>
  <c r="M272" i="150"/>
  <c r="L272" i="150"/>
  <c r="H272" i="150"/>
  <c r="A272" i="150"/>
  <c r="N271" i="150"/>
  <c r="M271" i="150"/>
  <c r="L271" i="150"/>
  <c r="H271" i="150"/>
  <c r="A271" i="150"/>
  <c r="N270" i="150"/>
  <c r="M270" i="150"/>
  <c r="L270" i="150"/>
  <c r="H270" i="150"/>
  <c r="A270" i="150"/>
  <c r="N269" i="150"/>
  <c r="M269" i="150"/>
  <c r="L269" i="150"/>
  <c r="H269" i="150"/>
  <c r="A269" i="150"/>
  <c r="N268" i="150"/>
  <c r="M268" i="150"/>
  <c r="L268" i="150"/>
  <c r="H268" i="150"/>
  <c r="A268" i="150"/>
  <c r="N267" i="150"/>
  <c r="M267" i="150"/>
  <c r="L267" i="150"/>
  <c r="H267" i="150"/>
  <c r="A267" i="150"/>
  <c r="N266" i="150"/>
  <c r="M266" i="150"/>
  <c r="L266" i="150"/>
  <c r="H266" i="150"/>
  <c r="A266" i="150"/>
  <c r="N265" i="150"/>
  <c r="M265" i="150"/>
  <c r="L265" i="150"/>
  <c r="H265" i="150"/>
  <c r="A265" i="150"/>
  <c r="N264" i="150"/>
  <c r="M264" i="150"/>
  <c r="L264" i="150"/>
  <c r="H264" i="150"/>
  <c r="A264" i="150"/>
  <c r="N263" i="150"/>
  <c r="M263" i="150"/>
  <c r="L263" i="150"/>
  <c r="H263" i="150"/>
  <c r="A263" i="150"/>
  <c r="N262" i="150"/>
  <c r="M262" i="150"/>
  <c r="L262" i="150"/>
  <c r="H262" i="150"/>
  <c r="A262" i="150"/>
  <c r="N261" i="150"/>
  <c r="M261" i="150"/>
  <c r="L261" i="150"/>
  <c r="H261" i="150"/>
  <c r="A261" i="150"/>
  <c r="N260" i="150"/>
  <c r="M260" i="150"/>
  <c r="L260" i="150"/>
  <c r="H260" i="150"/>
  <c r="A260" i="150"/>
  <c r="N259" i="150"/>
  <c r="M259" i="150"/>
  <c r="L259" i="150"/>
  <c r="H259" i="150"/>
  <c r="A259" i="150"/>
  <c r="N258" i="150"/>
  <c r="M258" i="150"/>
  <c r="L258" i="150"/>
  <c r="H258" i="150"/>
  <c r="A258" i="150"/>
  <c r="N257" i="150"/>
  <c r="M257" i="150"/>
  <c r="L257" i="150"/>
  <c r="H257" i="150"/>
  <c r="A257" i="150"/>
  <c r="N256" i="150"/>
  <c r="M256" i="150"/>
  <c r="L256" i="150"/>
  <c r="H256" i="150"/>
  <c r="A256" i="150"/>
  <c r="N255" i="150"/>
  <c r="M255" i="150"/>
  <c r="L255" i="150"/>
  <c r="H255" i="150"/>
  <c r="A255" i="150"/>
  <c r="N254" i="150"/>
  <c r="M254" i="150"/>
  <c r="L254" i="150"/>
  <c r="H254" i="150"/>
  <c r="A254" i="150"/>
  <c r="N253" i="150"/>
  <c r="M253" i="150"/>
  <c r="L253" i="150"/>
  <c r="H253" i="150"/>
  <c r="A253" i="150"/>
  <c r="N252" i="150"/>
  <c r="M252" i="150"/>
  <c r="L252" i="150"/>
  <c r="H252" i="150"/>
  <c r="A252" i="150"/>
  <c r="N251" i="150"/>
  <c r="M251" i="150"/>
  <c r="L251" i="150"/>
  <c r="H251" i="150"/>
  <c r="A251" i="150"/>
  <c r="N250" i="150"/>
  <c r="M250" i="150"/>
  <c r="L250" i="150"/>
  <c r="H250" i="150"/>
  <c r="A250" i="150"/>
  <c r="N249" i="150"/>
  <c r="M249" i="150"/>
  <c r="L249" i="150"/>
  <c r="H249" i="150"/>
  <c r="A249" i="150"/>
  <c r="N248" i="150"/>
  <c r="M248" i="150"/>
  <c r="L248" i="150"/>
  <c r="H248" i="150"/>
  <c r="A248" i="150"/>
  <c r="N247" i="150"/>
  <c r="M247" i="150"/>
  <c r="L247" i="150"/>
  <c r="H247" i="150"/>
  <c r="A247" i="150"/>
  <c r="N246" i="150"/>
  <c r="M246" i="150"/>
  <c r="L246" i="150"/>
  <c r="H246" i="150"/>
  <c r="A246" i="150"/>
  <c r="N245" i="150"/>
  <c r="M245" i="150"/>
  <c r="L245" i="150"/>
  <c r="H245" i="150"/>
  <c r="A245" i="150"/>
  <c r="N244" i="150"/>
  <c r="M244" i="150"/>
  <c r="L244" i="150"/>
  <c r="H244" i="150"/>
  <c r="A244" i="150"/>
  <c r="N243" i="150"/>
  <c r="M243" i="150"/>
  <c r="L243" i="150"/>
  <c r="H243" i="150"/>
  <c r="A243" i="150"/>
  <c r="N242" i="150"/>
  <c r="M242" i="150"/>
  <c r="L242" i="150"/>
  <c r="H242" i="150"/>
  <c r="A242" i="150"/>
  <c r="N241" i="150"/>
  <c r="M241" i="150"/>
  <c r="L241" i="150"/>
  <c r="H241" i="150"/>
  <c r="A241" i="150"/>
  <c r="N240" i="150"/>
  <c r="M240" i="150"/>
  <c r="L240" i="150"/>
  <c r="H240" i="150"/>
  <c r="A240" i="150"/>
  <c r="N239" i="150"/>
  <c r="M239" i="150"/>
  <c r="L239" i="150"/>
  <c r="H239" i="150"/>
  <c r="A239" i="150"/>
  <c r="N238" i="150"/>
  <c r="M238" i="150"/>
  <c r="L238" i="150"/>
  <c r="H238" i="150"/>
  <c r="A238" i="150"/>
  <c r="N237" i="150"/>
  <c r="M237" i="150"/>
  <c r="L237" i="150"/>
  <c r="H237" i="150"/>
  <c r="A237" i="150"/>
  <c r="N236" i="150"/>
  <c r="M236" i="150"/>
  <c r="L236" i="150"/>
  <c r="H236" i="150"/>
  <c r="A236" i="150"/>
  <c r="N235" i="150"/>
  <c r="M235" i="150"/>
  <c r="L235" i="150"/>
  <c r="H235" i="150"/>
  <c r="A235" i="150"/>
  <c r="N234" i="150"/>
  <c r="M234" i="150"/>
  <c r="L234" i="150"/>
  <c r="H234" i="150"/>
  <c r="A234" i="150"/>
  <c r="N233" i="150"/>
  <c r="M233" i="150"/>
  <c r="L233" i="150"/>
  <c r="H233" i="150"/>
  <c r="A233" i="150"/>
  <c r="N232" i="150"/>
  <c r="M232" i="150"/>
  <c r="L232" i="150"/>
  <c r="H232" i="150"/>
  <c r="A232" i="150"/>
  <c r="N231" i="150"/>
  <c r="M231" i="150"/>
  <c r="L231" i="150"/>
  <c r="H231" i="150"/>
  <c r="A231" i="150"/>
  <c r="N230" i="150"/>
  <c r="M230" i="150"/>
  <c r="L230" i="150"/>
  <c r="H230" i="150"/>
  <c r="A230" i="150"/>
  <c r="N229" i="150"/>
  <c r="M229" i="150"/>
  <c r="L229" i="150"/>
  <c r="H229" i="150"/>
  <c r="A229" i="150"/>
  <c r="N228" i="150"/>
  <c r="M228" i="150"/>
  <c r="L228" i="150"/>
  <c r="H228" i="150"/>
  <c r="A228" i="150"/>
  <c r="N227" i="150"/>
  <c r="M227" i="150"/>
  <c r="L227" i="150"/>
  <c r="H227" i="150"/>
  <c r="A227" i="150"/>
  <c r="N226" i="150"/>
  <c r="M226" i="150"/>
  <c r="L226" i="150"/>
  <c r="H226" i="150"/>
  <c r="A226" i="150"/>
  <c r="N225" i="150"/>
  <c r="M225" i="150"/>
  <c r="L225" i="150"/>
  <c r="H225" i="150"/>
  <c r="A225" i="150"/>
  <c r="N224" i="150"/>
  <c r="M224" i="150"/>
  <c r="L224" i="150"/>
  <c r="H224" i="150"/>
  <c r="A224" i="150"/>
  <c r="N223" i="150"/>
  <c r="M223" i="150"/>
  <c r="L223" i="150"/>
  <c r="H223" i="150"/>
  <c r="A223" i="150"/>
  <c r="N222" i="150"/>
  <c r="M222" i="150"/>
  <c r="L222" i="150"/>
  <c r="H222" i="150"/>
  <c r="A222" i="150"/>
  <c r="N221" i="150"/>
  <c r="M221" i="150"/>
  <c r="L221" i="150"/>
  <c r="H221" i="150"/>
  <c r="A221" i="150"/>
  <c r="N220" i="150"/>
  <c r="M220" i="150"/>
  <c r="L220" i="150"/>
  <c r="H220" i="150"/>
  <c r="A220" i="150"/>
  <c r="N219" i="150"/>
  <c r="M219" i="150"/>
  <c r="L219" i="150"/>
  <c r="H219" i="150"/>
  <c r="A219" i="150"/>
  <c r="N218" i="150"/>
  <c r="M218" i="150"/>
  <c r="L218" i="150"/>
  <c r="H218" i="150"/>
  <c r="A218" i="150"/>
  <c r="N217" i="150"/>
  <c r="M217" i="150"/>
  <c r="L217" i="150"/>
  <c r="H217" i="150"/>
  <c r="A217" i="150"/>
  <c r="N216" i="150"/>
  <c r="M216" i="150"/>
  <c r="L216" i="150"/>
  <c r="H216" i="150"/>
  <c r="A216" i="150"/>
  <c r="N215" i="150"/>
  <c r="M215" i="150"/>
  <c r="L215" i="150"/>
  <c r="H215" i="150"/>
  <c r="A215" i="150"/>
  <c r="N214" i="150"/>
  <c r="M214" i="150"/>
  <c r="L214" i="150"/>
  <c r="H214" i="150"/>
  <c r="A214" i="150"/>
  <c r="N213" i="150"/>
  <c r="M213" i="150"/>
  <c r="L213" i="150"/>
  <c r="H213" i="150"/>
  <c r="A213" i="150"/>
  <c r="N212" i="150"/>
  <c r="M212" i="150"/>
  <c r="L212" i="150"/>
  <c r="H212" i="150"/>
  <c r="A212" i="150"/>
  <c r="N211" i="150"/>
  <c r="M211" i="150"/>
  <c r="L211" i="150"/>
  <c r="H211" i="150"/>
  <c r="A211" i="150"/>
  <c r="N210" i="150"/>
  <c r="M210" i="150"/>
  <c r="L210" i="150"/>
  <c r="H210" i="150"/>
  <c r="A210" i="150"/>
  <c r="N209" i="150"/>
  <c r="M209" i="150"/>
  <c r="L209" i="150"/>
  <c r="H209" i="150"/>
  <c r="A209" i="150"/>
  <c r="N208" i="150"/>
  <c r="M208" i="150"/>
  <c r="L208" i="150"/>
  <c r="H208" i="150"/>
  <c r="A208" i="150"/>
  <c r="N207" i="150"/>
  <c r="M207" i="150"/>
  <c r="L207" i="150"/>
  <c r="H207" i="150"/>
  <c r="A207" i="150"/>
  <c r="N206" i="150"/>
  <c r="M206" i="150"/>
  <c r="L206" i="150"/>
  <c r="H206" i="150"/>
  <c r="A206" i="150"/>
  <c r="N205" i="150"/>
  <c r="M205" i="150"/>
  <c r="L205" i="150"/>
  <c r="H205" i="150"/>
  <c r="A205" i="150"/>
  <c r="N204" i="150"/>
  <c r="M204" i="150"/>
  <c r="L204" i="150"/>
  <c r="H204" i="150"/>
  <c r="A204" i="150"/>
  <c r="N203" i="150"/>
  <c r="M203" i="150"/>
  <c r="L203" i="150"/>
  <c r="H203" i="150"/>
  <c r="A203" i="150"/>
  <c r="N202" i="150"/>
  <c r="M202" i="150"/>
  <c r="L202" i="150"/>
  <c r="H202" i="150"/>
  <c r="A202" i="150"/>
  <c r="N201" i="150"/>
  <c r="M201" i="150"/>
  <c r="L201" i="150"/>
  <c r="H201" i="150"/>
  <c r="A201" i="150"/>
  <c r="N200" i="150"/>
  <c r="M200" i="150"/>
  <c r="L200" i="150"/>
  <c r="H200" i="150"/>
  <c r="A200" i="150"/>
  <c r="N199" i="150"/>
  <c r="M199" i="150"/>
  <c r="L199" i="150"/>
  <c r="H199" i="150"/>
  <c r="A199" i="150"/>
  <c r="N198" i="150"/>
  <c r="M198" i="150"/>
  <c r="L198" i="150"/>
  <c r="H198" i="150"/>
  <c r="A198" i="150"/>
  <c r="N197" i="150"/>
  <c r="M197" i="150"/>
  <c r="L197" i="150"/>
  <c r="H197" i="150"/>
  <c r="A197" i="150"/>
  <c r="N196" i="150"/>
  <c r="M196" i="150"/>
  <c r="L196" i="150"/>
  <c r="H196" i="150"/>
  <c r="A196" i="150"/>
  <c r="N195" i="150"/>
  <c r="M195" i="150"/>
  <c r="L195" i="150"/>
  <c r="H195" i="150"/>
  <c r="A195" i="150"/>
  <c r="N194" i="150"/>
  <c r="M194" i="150"/>
  <c r="L194" i="150"/>
  <c r="H194" i="150"/>
  <c r="A194" i="150"/>
  <c r="N193" i="150"/>
  <c r="M193" i="150"/>
  <c r="L193" i="150"/>
  <c r="H193" i="150"/>
  <c r="A193" i="150"/>
  <c r="N192" i="150"/>
  <c r="M192" i="150"/>
  <c r="L192" i="150"/>
  <c r="H192" i="150"/>
  <c r="A192" i="150"/>
  <c r="N191" i="150"/>
  <c r="M191" i="150"/>
  <c r="L191" i="150"/>
  <c r="H191" i="150"/>
  <c r="A191" i="150"/>
  <c r="N190" i="150"/>
  <c r="M190" i="150"/>
  <c r="L190" i="150"/>
  <c r="H190" i="150"/>
  <c r="A190" i="150"/>
  <c r="N189" i="150"/>
  <c r="M189" i="150"/>
  <c r="L189" i="150"/>
  <c r="H189" i="150"/>
  <c r="A189" i="150"/>
  <c r="N188" i="150"/>
  <c r="M188" i="150"/>
  <c r="L188" i="150"/>
  <c r="H188" i="150"/>
  <c r="A188" i="150"/>
  <c r="N187" i="150"/>
  <c r="M187" i="150"/>
  <c r="L187" i="150"/>
  <c r="H187" i="150"/>
  <c r="A187" i="150"/>
  <c r="N186" i="150"/>
  <c r="M186" i="150"/>
  <c r="L186" i="150"/>
  <c r="H186" i="150"/>
  <c r="A186" i="150"/>
  <c r="N185" i="150"/>
  <c r="M185" i="150"/>
  <c r="L185" i="150"/>
  <c r="H185" i="150"/>
  <c r="A185" i="150"/>
  <c r="N184" i="150"/>
  <c r="M184" i="150"/>
  <c r="L184" i="150"/>
  <c r="H184" i="150"/>
  <c r="A184" i="150"/>
  <c r="N183" i="150"/>
  <c r="M183" i="150"/>
  <c r="L183" i="150"/>
  <c r="H183" i="150"/>
  <c r="A183" i="150"/>
  <c r="N182" i="150"/>
  <c r="M182" i="150"/>
  <c r="L182" i="150"/>
  <c r="H182" i="150"/>
  <c r="A182" i="150"/>
  <c r="N181" i="150"/>
  <c r="M181" i="150"/>
  <c r="L181" i="150"/>
  <c r="H181" i="150"/>
  <c r="A181" i="150"/>
  <c r="N180" i="150"/>
  <c r="M180" i="150"/>
  <c r="L180" i="150"/>
  <c r="H180" i="150"/>
  <c r="A180" i="150"/>
  <c r="N179" i="150"/>
  <c r="M179" i="150"/>
  <c r="L179" i="150"/>
  <c r="H179" i="150"/>
  <c r="A179" i="150"/>
  <c r="N178" i="150"/>
  <c r="M178" i="150"/>
  <c r="L178" i="150"/>
  <c r="H178" i="150"/>
  <c r="A178" i="150"/>
  <c r="N177" i="150"/>
  <c r="M177" i="150"/>
  <c r="L177" i="150"/>
  <c r="H177" i="150"/>
  <c r="A177" i="150"/>
  <c r="N176" i="150"/>
  <c r="M176" i="150"/>
  <c r="L176" i="150"/>
  <c r="H176" i="150"/>
  <c r="A176" i="150"/>
  <c r="N175" i="150"/>
  <c r="M175" i="150"/>
  <c r="L175" i="150"/>
  <c r="H175" i="150"/>
  <c r="A175" i="150"/>
  <c r="N174" i="150"/>
  <c r="M174" i="150"/>
  <c r="L174" i="150"/>
  <c r="H174" i="150"/>
  <c r="A174" i="150"/>
  <c r="N173" i="150"/>
  <c r="M173" i="150"/>
  <c r="L173" i="150"/>
  <c r="H173" i="150"/>
  <c r="A173" i="150"/>
  <c r="N172" i="150"/>
  <c r="M172" i="150"/>
  <c r="L172" i="150"/>
  <c r="H172" i="150"/>
  <c r="A172" i="150"/>
  <c r="N171" i="150"/>
  <c r="M171" i="150"/>
  <c r="L171" i="150"/>
  <c r="H171" i="150"/>
  <c r="A171" i="150"/>
  <c r="N170" i="150"/>
  <c r="M170" i="150"/>
  <c r="L170" i="150"/>
  <c r="H170" i="150"/>
  <c r="A170" i="150"/>
  <c r="N169" i="150"/>
  <c r="M169" i="150"/>
  <c r="L169" i="150"/>
  <c r="H169" i="150"/>
  <c r="A169" i="150"/>
  <c r="N168" i="150"/>
  <c r="M168" i="150"/>
  <c r="L168" i="150"/>
  <c r="H168" i="150"/>
  <c r="A168" i="150"/>
  <c r="N167" i="150"/>
  <c r="M167" i="150"/>
  <c r="L167" i="150"/>
  <c r="H167" i="150"/>
  <c r="A167" i="150"/>
  <c r="N166" i="150"/>
  <c r="M166" i="150"/>
  <c r="L166" i="150"/>
  <c r="H166" i="150"/>
  <c r="A166" i="150"/>
  <c r="N165" i="150"/>
  <c r="M165" i="150"/>
  <c r="L165" i="150"/>
  <c r="H165" i="150"/>
  <c r="A165" i="150"/>
  <c r="N164" i="150"/>
  <c r="M164" i="150"/>
  <c r="L164" i="150"/>
  <c r="H164" i="150"/>
  <c r="A164" i="150"/>
  <c r="N163" i="150"/>
  <c r="M163" i="150"/>
  <c r="L163" i="150"/>
  <c r="H163" i="150"/>
  <c r="A163" i="150"/>
  <c r="N162" i="150"/>
  <c r="M162" i="150"/>
  <c r="L162" i="150"/>
  <c r="H162" i="150"/>
  <c r="A162" i="150"/>
  <c r="N161" i="150"/>
  <c r="M161" i="150"/>
  <c r="L161" i="150"/>
  <c r="H161" i="150"/>
  <c r="A161" i="150"/>
  <c r="N160" i="150"/>
  <c r="M160" i="150"/>
  <c r="L160" i="150"/>
  <c r="H160" i="150"/>
  <c r="A160" i="150"/>
  <c r="N159" i="150"/>
  <c r="M159" i="150"/>
  <c r="L159" i="150"/>
  <c r="H159" i="150"/>
  <c r="A159" i="150"/>
  <c r="N158" i="150"/>
  <c r="M158" i="150"/>
  <c r="L158" i="150"/>
  <c r="H158" i="150"/>
  <c r="A158" i="150"/>
  <c r="N157" i="150"/>
  <c r="M157" i="150"/>
  <c r="L157" i="150"/>
  <c r="H157" i="150"/>
  <c r="A157" i="150"/>
  <c r="N156" i="150"/>
  <c r="M156" i="150"/>
  <c r="L156" i="150"/>
  <c r="H156" i="150"/>
  <c r="A156" i="150"/>
  <c r="N155" i="150"/>
  <c r="M155" i="150"/>
  <c r="L155" i="150"/>
  <c r="H155" i="150"/>
  <c r="A155" i="150"/>
  <c r="N154" i="150"/>
  <c r="M154" i="150"/>
  <c r="L154" i="150"/>
  <c r="H154" i="150"/>
  <c r="A154" i="150"/>
  <c r="N153" i="150"/>
  <c r="M153" i="150"/>
  <c r="L153" i="150"/>
  <c r="H153" i="150"/>
  <c r="A153" i="150"/>
  <c r="N152" i="150"/>
  <c r="M152" i="150"/>
  <c r="L152" i="150"/>
  <c r="H152" i="150"/>
  <c r="A152" i="150"/>
  <c r="N151" i="150"/>
  <c r="M151" i="150"/>
  <c r="L151" i="150"/>
  <c r="H151" i="150"/>
  <c r="A151" i="150"/>
  <c r="N150" i="150"/>
  <c r="M150" i="150"/>
  <c r="L150" i="150"/>
  <c r="H150" i="150"/>
  <c r="A150" i="150"/>
  <c r="N149" i="150"/>
  <c r="M149" i="150"/>
  <c r="L149" i="150"/>
  <c r="H149" i="150"/>
  <c r="A149" i="150"/>
  <c r="N148" i="150"/>
  <c r="M148" i="150"/>
  <c r="L148" i="150"/>
  <c r="H148" i="150"/>
  <c r="A148" i="150"/>
  <c r="N147" i="150"/>
  <c r="M147" i="150"/>
  <c r="L147" i="150"/>
  <c r="H147" i="150"/>
  <c r="A147" i="150"/>
  <c r="N146" i="150"/>
  <c r="M146" i="150"/>
  <c r="L146" i="150"/>
  <c r="H146" i="150"/>
  <c r="A146" i="150"/>
  <c r="N145" i="150"/>
  <c r="M145" i="150"/>
  <c r="L145" i="150"/>
  <c r="H145" i="150"/>
  <c r="A145" i="150"/>
  <c r="N144" i="150"/>
  <c r="M144" i="150"/>
  <c r="L144" i="150"/>
  <c r="H144" i="150"/>
  <c r="A144" i="150"/>
  <c r="N143" i="150"/>
  <c r="M143" i="150"/>
  <c r="L143" i="150"/>
  <c r="H143" i="150"/>
  <c r="A143" i="150"/>
  <c r="N142" i="150"/>
  <c r="M142" i="150"/>
  <c r="L142" i="150"/>
  <c r="H142" i="150"/>
  <c r="A142" i="150"/>
  <c r="N141" i="150"/>
  <c r="M141" i="150"/>
  <c r="L141" i="150"/>
  <c r="H141" i="150"/>
  <c r="A141" i="150"/>
  <c r="N140" i="150"/>
  <c r="M140" i="150"/>
  <c r="L140" i="150"/>
  <c r="H140" i="150"/>
  <c r="A140" i="150"/>
  <c r="N139" i="150"/>
  <c r="M139" i="150"/>
  <c r="L139" i="150"/>
  <c r="H139" i="150"/>
  <c r="A139" i="150"/>
  <c r="N138" i="150"/>
  <c r="M138" i="150"/>
  <c r="L138" i="150"/>
  <c r="H138" i="150"/>
  <c r="A138" i="150"/>
  <c r="N137" i="150"/>
  <c r="M137" i="150"/>
  <c r="L137" i="150"/>
  <c r="H137" i="150"/>
  <c r="A137" i="150"/>
  <c r="N136" i="150"/>
  <c r="M136" i="150"/>
  <c r="L136" i="150"/>
  <c r="H136" i="150"/>
  <c r="A136" i="150"/>
  <c r="N135" i="150"/>
  <c r="M135" i="150"/>
  <c r="L135" i="150"/>
  <c r="H135" i="150"/>
  <c r="A135" i="150"/>
  <c r="N134" i="150"/>
  <c r="M134" i="150"/>
  <c r="L134" i="150"/>
  <c r="H134" i="150"/>
  <c r="A134" i="150"/>
  <c r="N133" i="150"/>
  <c r="M133" i="150"/>
  <c r="L133" i="150"/>
  <c r="H133" i="150"/>
  <c r="A133" i="150"/>
  <c r="N132" i="150"/>
  <c r="M132" i="150"/>
  <c r="L132" i="150"/>
  <c r="H132" i="150"/>
  <c r="A132" i="150"/>
  <c r="N131" i="150"/>
  <c r="M131" i="150"/>
  <c r="L131" i="150"/>
  <c r="H131" i="150"/>
  <c r="A131" i="150"/>
  <c r="N130" i="150"/>
  <c r="M130" i="150"/>
  <c r="L130" i="150"/>
  <c r="H130" i="150"/>
  <c r="A130" i="150"/>
  <c r="N129" i="150"/>
  <c r="M129" i="150"/>
  <c r="L129" i="150"/>
  <c r="H129" i="150"/>
  <c r="A129" i="150"/>
  <c r="N128" i="150"/>
  <c r="M128" i="150"/>
  <c r="L128" i="150"/>
  <c r="H128" i="150"/>
  <c r="A128" i="150"/>
  <c r="N127" i="150"/>
  <c r="M127" i="150"/>
  <c r="L127" i="150"/>
  <c r="H127" i="150"/>
  <c r="A127" i="150"/>
  <c r="N126" i="150"/>
  <c r="M126" i="150"/>
  <c r="L126" i="150"/>
  <c r="H126" i="150"/>
  <c r="A126" i="150"/>
  <c r="N125" i="150"/>
  <c r="M125" i="150"/>
  <c r="L125" i="150"/>
  <c r="H125" i="150"/>
  <c r="A125" i="150"/>
  <c r="N124" i="150"/>
  <c r="M124" i="150"/>
  <c r="L124" i="150"/>
  <c r="H124" i="150"/>
  <c r="A124" i="150"/>
  <c r="N123" i="150"/>
  <c r="M123" i="150"/>
  <c r="L123" i="150"/>
  <c r="H123" i="150"/>
  <c r="A123" i="150"/>
  <c r="N122" i="150"/>
  <c r="M122" i="150"/>
  <c r="L122" i="150"/>
  <c r="H122" i="150"/>
  <c r="A122" i="150"/>
  <c r="N121" i="150"/>
  <c r="M121" i="150"/>
  <c r="L121" i="150"/>
  <c r="H121" i="150"/>
  <c r="A121" i="150"/>
  <c r="N120" i="150"/>
  <c r="M120" i="150"/>
  <c r="L120" i="150"/>
  <c r="H120" i="150"/>
  <c r="A120" i="150"/>
  <c r="N119" i="150"/>
  <c r="M119" i="150"/>
  <c r="L119" i="150"/>
  <c r="H119" i="150"/>
  <c r="A119" i="150"/>
  <c r="N118" i="150"/>
  <c r="M118" i="150"/>
  <c r="L118" i="150"/>
  <c r="H118" i="150"/>
  <c r="A118" i="150"/>
  <c r="N117" i="150"/>
  <c r="M117" i="150"/>
  <c r="L117" i="150"/>
  <c r="H117" i="150"/>
  <c r="A117" i="150"/>
  <c r="N116" i="150"/>
  <c r="M116" i="150"/>
  <c r="L116" i="150"/>
  <c r="H116" i="150"/>
  <c r="A116" i="150"/>
  <c r="N115" i="150"/>
  <c r="M115" i="150"/>
  <c r="L115" i="150"/>
  <c r="H115" i="150"/>
  <c r="A115" i="150"/>
  <c r="N114" i="150"/>
  <c r="M114" i="150"/>
  <c r="L114" i="150"/>
  <c r="H114" i="150"/>
  <c r="A114" i="150"/>
  <c r="N113" i="150"/>
  <c r="M113" i="150"/>
  <c r="L113" i="150"/>
  <c r="H113" i="150"/>
  <c r="A113" i="150"/>
  <c r="N112" i="150"/>
  <c r="M112" i="150"/>
  <c r="L112" i="150"/>
  <c r="H112" i="150"/>
  <c r="A112" i="150"/>
  <c r="N111" i="150"/>
  <c r="M111" i="150"/>
  <c r="L111" i="150"/>
  <c r="H111" i="150"/>
  <c r="A111" i="150"/>
  <c r="N110" i="150"/>
  <c r="M110" i="150"/>
  <c r="L110" i="150"/>
  <c r="H110" i="150"/>
  <c r="A110" i="150"/>
  <c r="N109" i="150"/>
  <c r="M109" i="150"/>
  <c r="L109" i="150"/>
  <c r="H109" i="150"/>
  <c r="A109" i="150"/>
  <c r="N108" i="150"/>
  <c r="M108" i="150"/>
  <c r="L108" i="150"/>
  <c r="H108" i="150"/>
  <c r="A108" i="150"/>
  <c r="N107" i="150"/>
  <c r="M107" i="150"/>
  <c r="L107" i="150"/>
  <c r="H107" i="150"/>
  <c r="A107" i="150"/>
  <c r="N106" i="150"/>
  <c r="M106" i="150"/>
  <c r="L106" i="150"/>
  <c r="H106" i="150"/>
  <c r="A106" i="150"/>
  <c r="N105" i="150"/>
  <c r="M105" i="150"/>
  <c r="L105" i="150"/>
  <c r="H105" i="150"/>
  <c r="A105" i="150"/>
  <c r="N104" i="150"/>
  <c r="M104" i="150"/>
  <c r="L104" i="150"/>
  <c r="H104" i="150"/>
  <c r="A104" i="150"/>
  <c r="N103" i="150"/>
  <c r="M103" i="150"/>
  <c r="L103" i="150"/>
  <c r="H103" i="150"/>
  <c r="A103" i="150"/>
  <c r="N102" i="150"/>
  <c r="M102" i="150"/>
  <c r="L102" i="150"/>
  <c r="H102" i="150"/>
  <c r="A102" i="150"/>
  <c r="N101" i="150"/>
  <c r="M101" i="150"/>
  <c r="L101" i="150"/>
  <c r="H101" i="150"/>
  <c r="A101" i="150"/>
  <c r="N100" i="150"/>
  <c r="M100" i="150"/>
  <c r="L100" i="150"/>
  <c r="H100" i="150"/>
  <c r="A100" i="150"/>
  <c r="N99" i="150"/>
  <c r="M99" i="150"/>
  <c r="L99" i="150"/>
  <c r="H99" i="150"/>
  <c r="A99" i="150"/>
  <c r="N98" i="150"/>
  <c r="M98" i="150"/>
  <c r="L98" i="150"/>
  <c r="H98" i="150"/>
  <c r="A98" i="150"/>
  <c r="N97" i="150"/>
  <c r="M97" i="150"/>
  <c r="L97" i="150"/>
  <c r="H97" i="150"/>
  <c r="A97" i="150"/>
  <c r="N96" i="150"/>
  <c r="M96" i="150"/>
  <c r="L96" i="150"/>
  <c r="H96" i="150"/>
  <c r="A96" i="150"/>
  <c r="N95" i="150"/>
  <c r="M95" i="150"/>
  <c r="L95" i="150"/>
  <c r="H95" i="150"/>
  <c r="A95" i="150"/>
  <c r="N94" i="150"/>
  <c r="M94" i="150"/>
  <c r="L94" i="150"/>
  <c r="H94" i="150"/>
  <c r="A94" i="150"/>
  <c r="N93" i="150"/>
  <c r="M93" i="150"/>
  <c r="L93" i="150"/>
  <c r="H93" i="150"/>
  <c r="A93" i="150"/>
  <c r="N92" i="150"/>
  <c r="M92" i="150"/>
  <c r="L92" i="150"/>
  <c r="H92" i="150"/>
  <c r="A92" i="150"/>
  <c r="N91" i="150"/>
  <c r="M91" i="150"/>
  <c r="L91" i="150"/>
  <c r="H91" i="150"/>
  <c r="A91" i="150"/>
  <c r="N90" i="150"/>
  <c r="M90" i="150"/>
  <c r="L90" i="150"/>
  <c r="H90" i="150"/>
  <c r="A90" i="150"/>
  <c r="N89" i="150"/>
  <c r="M89" i="150"/>
  <c r="L89" i="150"/>
  <c r="H89" i="150"/>
  <c r="A89" i="150"/>
  <c r="N88" i="150"/>
  <c r="M88" i="150"/>
  <c r="L88" i="150"/>
  <c r="H88" i="150"/>
  <c r="A88" i="150"/>
  <c r="N87" i="150"/>
  <c r="M87" i="150"/>
  <c r="L87" i="150"/>
  <c r="H87" i="150"/>
  <c r="A87" i="150"/>
  <c r="N86" i="150"/>
  <c r="M86" i="150"/>
  <c r="L86" i="150"/>
  <c r="H86" i="150"/>
  <c r="A86" i="150"/>
  <c r="N85" i="150"/>
  <c r="M85" i="150"/>
  <c r="L85" i="150"/>
  <c r="H85" i="150"/>
  <c r="A85" i="150"/>
  <c r="N84" i="150"/>
  <c r="M84" i="150"/>
  <c r="L84" i="150"/>
  <c r="H84" i="150"/>
  <c r="A84" i="150"/>
  <c r="N83" i="150"/>
  <c r="M83" i="150"/>
  <c r="L83" i="150"/>
  <c r="H83" i="150"/>
  <c r="A83" i="150"/>
  <c r="N82" i="150"/>
  <c r="M82" i="150"/>
  <c r="L82" i="150"/>
  <c r="H82" i="150"/>
  <c r="A82" i="150"/>
  <c r="N81" i="150"/>
  <c r="M81" i="150"/>
  <c r="L81" i="150"/>
  <c r="H81" i="150"/>
  <c r="A81" i="150"/>
  <c r="N80" i="150"/>
  <c r="M80" i="150"/>
  <c r="L80" i="150"/>
  <c r="H80" i="150"/>
  <c r="A80" i="150"/>
  <c r="N79" i="150"/>
  <c r="M79" i="150"/>
  <c r="L79" i="150"/>
  <c r="H79" i="150"/>
  <c r="A79" i="150"/>
  <c r="N78" i="150"/>
  <c r="M78" i="150"/>
  <c r="L78" i="150"/>
  <c r="H78" i="150"/>
  <c r="A78" i="150"/>
  <c r="N77" i="150"/>
  <c r="M77" i="150"/>
  <c r="L77" i="150"/>
  <c r="H77" i="150"/>
  <c r="A77" i="150"/>
  <c r="N76" i="150"/>
  <c r="M76" i="150"/>
  <c r="L76" i="150"/>
  <c r="H76" i="150"/>
  <c r="A76" i="150"/>
  <c r="N75" i="150"/>
  <c r="M75" i="150"/>
  <c r="L75" i="150"/>
  <c r="H75" i="150"/>
  <c r="A75" i="150"/>
  <c r="N74" i="150"/>
  <c r="M74" i="150"/>
  <c r="L74" i="150"/>
  <c r="H74" i="150"/>
  <c r="A74" i="150"/>
  <c r="N73" i="150"/>
  <c r="M73" i="150"/>
  <c r="L73" i="150"/>
  <c r="H73" i="150"/>
  <c r="A73" i="150"/>
  <c r="N72" i="150"/>
  <c r="M72" i="150"/>
  <c r="L72" i="150"/>
  <c r="H72" i="150"/>
  <c r="A72" i="150"/>
  <c r="N71" i="150"/>
  <c r="M71" i="150"/>
  <c r="L71" i="150"/>
  <c r="H71" i="150"/>
  <c r="A71" i="150"/>
  <c r="N70" i="150"/>
  <c r="M70" i="150"/>
  <c r="L70" i="150"/>
  <c r="H70" i="150"/>
  <c r="A70" i="150"/>
  <c r="N69" i="150"/>
  <c r="M69" i="150"/>
  <c r="L69" i="150"/>
  <c r="H69" i="150"/>
  <c r="A69" i="150"/>
  <c r="N68" i="150"/>
  <c r="M68" i="150"/>
  <c r="L68" i="150"/>
  <c r="H68" i="150"/>
  <c r="A68" i="150"/>
  <c r="N67" i="150"/>
  <c r="M67" i="150"/>
  <c r="L67" i="150"/>
  <c r="H67" i="150"/>
  <c r="A67" i="150"/>
  <c r="N66" i="150"/>
  <c r="M66" i="150"/>
  <c r="L66" i="150"/>
  <c r="H66" i="150"/>
  <c r="A66" i="150"/>
  <c r="N65" i="150"/>
  <c r="M65" i="150"/>
  <c r="L65" i="150"/>
  <c r="H65" i="150"/>
  <c r="A65" i="150"/>
  <c r="N64" i="150"/>
  <c r="M64" i="150"/>
  <c r="L64" i="150"/>
  <c r="H64" i="150"/>
  <c r="A64" i="150"/>
  <c r="N63" i="150"/>
  <c r="M63" i="150"/>
  <c r="L63" i="150"/>
  <c r="H63" i="150"/>
  <c r="A63" i="150"/>
  <c r="N62" i="150"/>
  <c r="M62" i="150"/>
  <c r="L62" i="150"/>
  <c r="H62" i="150"/>
  <c r="A62" i="150"/>
  <c r="N61" i="150"/>
  <c r="M61" i="150"/>
  <c r="L61" i="150"/>
  <c r="H61" i="150"/>
  <c r="A61" i="150"/>
  <c r="N60" i="150"/>
  <c r="M60" i="150"/>
  <c r="L60" i="150"/>
  <c r="H60" i="150"/>
  <c r="A60" i="150"/>
  <c r="N59" i="150"/>
  <c r="M59" i="150"/>
  <c r="L59" i="150"/>
  <c r="H59" i="150"/>
  <c r="A59" i="150"/>
  <c r="N58" i="150"/>
  <c r="M58" i="150"/>
  <c r="L58" i="150"/>
  <c r="H58" i="150"/>
  <c r="A58" i="150"/>
  <c r="N57" i="150"/>
  <c r="M57" i="150"/>
  <c r="L57" i="150"/>
  <c r="H57" i="150"/>
  <c r="A57" i="150"/>
  <c r="N56" i="150"/>
  <c r="M56" i="150"/>
  <c r="L56" i="150"/>
  <c r="H56" i="150"/>
  <c r="A56" i="150"/>
  <c r="N55" i="150"/>
  <c r="M55" i="150"/>
  <c r="L55" i="150"/>
  <c r="H55" i="150"/>
  <c r="A55" i="150"/>
  <c r="N54" i="150"/>
  <c r="M54" i="150"/>
  <c r="L54" i="150"/>
  <c r="H54" i="150"/>
  <c r="A54" i="150"/>
  <c r="N53" i="150"/>
  <c r="M53" i="150"/>
  <c r="L53" i="150"/>
  <c r="H53" i="150"/>
  <c r="A53" i="150"/>
  <c r="N52" i="150"/>
  <c r="M52" i="150"/>
  <c r="L52" i="150"/>
  <c r="H52" i="150"/>
  <c r="A52" i="150"/>
  <c r="N51" i="150"/>
  <c r="M51" i="150"/>
  <c r="L51" i="150"/>
  <c r="H51" i="150"/>
  <c r="A51" i="150"/>
  <c r="N50" i="150"/>
  <c r="M50" i="150"/>
  <c r="L50" i="150"/>
  <c r="H50" i="150"/>
  <c r="A50" i="150"/>
  <c r="N49" i="150"/>
  <c r="M49" i="150"/>
  <c r="L49" i="150"/>
  <c r="H49" i="150"/>
  <c r="A49" i="150"/>
  <c r="N48" i="150"/>
  <c r="M48" i="150"/>
  <c r="L48" i="150"/>
  <c r="H48" i="150"/>
  <c r="A48" i="150"/>
  <c r="N47" i="150"/>
  <c r="M47" i="150"/>
  <c r="L47" i="150"/>
  <c r="H47" i="150"/>
  <c r="A47" i="150"/>
  <c r="N46" i="150"/>
  <c r="M46" i="150"/>
  <c r="L46" i="150"/>
  <c r="H46" i="150"/>
  <c r="A46" i="150"/>
  <c r="N45" i="150"/>
  <c r="M45" i="150"/>
  <c r="L45" i="150"/>
  <c r="H45" i="150"/>
  <c r="A45" i="150"/>
  <c r="N44" i="150"/>
  <c r="M44" i="150"/>
  <c r="L44" i="150"/>
  <c r="H44" i="150"/>
  <c r="A44" i="150"/>
  <c r="N43" i="150"/>
  <c r="M43" i="150"/>
  <c r="L43" i="150"/>
  <c r="H43" i="150"/>
  <c r="A43" i="150"/>
  <c r="N42" i="150"/>
  <c r="M42" i="150"/>
  <c r="L42" i="150"/>
  <c r="H42" i="150"/>
  <c r="A42" i="150"/>
  <c r="N41" i="150"/>
  <c r="M41" i="150"/>
  <c r="L41" i="150"/>
  <c r="H41" i="150"/>
  <c r="A41" i="150"/>
  <c r="N40" i="150"/>
  <c r="M40" i="150"/>
  <c r="L40" i="150"/>
  <c r="H40" i="150"/>
  <c r="A40" i="150"/>
  <c r="N39" i="150"/>
  <c r="M39" i="150"/>
  <c r="L39" i="150"/>
  <c r="H39" i="150"/>
  <c r="A39" i="150"/>
  <c r="N38" i="150"/>
  <c r="M38" i="150"/>
  <c r="L38" i="150"/>
  <c r="H38" i="150"/>
  <c r="A38" i="150"/>
  <c r="N37" i="150"/>
  <c r="M37" i="150"/>
  <c r="L37" i="150"/>
  <c r="H37" i="150"/>
  <c r="A37" i="150"/>
  <c r="N36" i="150"/>
  <c r="M36" i="150"/>
  <c r="L36" i="150"/>
  <c r="H36" i="150"/>
  <c r="A36" i="150"/>
  <c r="N35" i="150"/>
  <c r="M35" i="150"/>
  <c r="L35" i="150"/>
  <c r="H35" i="150"/>
  <c r="A35" i="150"/>
  <c r="N34" i="150"/>
  <c r="M34" i="150"/>
  <c r="L34" i="150"/>
  <c r="H34" i="150"/>
  <c r="A34" i="150"/>
  <c r="N33" i="150"/>
  <c r="M33" i="150"/>
  <c r="L33" i="150"/>
  <c r="H33" i="150"/>
  <c r="A33" i="150"/>
  <c r="N32" i="150"/>
  <c r="M32" i="150"/>
  <c r="L32" i="150"/>
  <c r="H32" i="150"/>
  <c r="A32" i="150"/>
  <c r="N31" i="150"/>
  <c r="M31" i="150"/>
  <c r="L31" i="150"/>
  <c r="H31" i="150"/>
  <c r="A31" i="150"/>
  <c r="N30" i="150"/>
  <c r="M30" i="150"/>
  <c r="L30" i="150"/>
  <c r="H30" i="150"/>
  <c r="A30" i="150"/>
  <c r="N29" i="150"/>
  <c r="M29" i="150"/>
  <c r="L29" i="150"/>
  <c r="H29" i="150"/>
  <c r="A29" i="150"/>
  <c r="N28" i="150"/>
  <c r="M28" i="150"/>
  <c r="L28" i="150"/>
  <c r="H28" i="150"/>
  <c r="A28" i="150"/>
  <c r="N27" i="150"/>
  <c r="M27" i="150"/>
  <c r="L27" i="150"/>
  <c r="H27" i="150"/>
  <c r="A27" i="150"/>
  <c r="N26" i="150"/>
  <c r="M26" i="150"/>
  <c r="L26" i="150"/>
  <c r="H26" i="150"/>
  <c r="A26" i="150"/>
  <c r="N25" i="150"/>
  <c r="M25" i="150"/>
  <c r="L25" i="150"/>
  <c r="H25" i="150"/>
  <c r="A25" i="150"/>
  <c r="N24" i="150"/>
  <c r="M24" i="150"/>
  <c r="L24" i="150"/>
  <c r="H24" i="150"/>
  <c r="A24" i="150"/>
  <c r="N23" i="150"/>
  <c r="M23" i="150"/>
  <c r="L23" i="150"/>
  <c r="H23" i="150"/>
  <c r="A23" i="150"/>
  <c r="N22" i="150"/>
  <c r="M22" i="150"/>
  <c r="L22" i="150"/>
  <c r="H22" i="150"/>
  <c r="A22" i="150"/>
  <c r="N21" i="150"/>
  <c r="M21" i="150"/>
  <c r="L21" i="150"/>
  <c r="H21" i="150"/>
  <c r="A21" i="150"/>
  <c r="N20" i="150"/>
  <c r="M20" i="150"/>
  <c r="L20" i="150"/>
  <c r="H20" i="150"/>
  <c r="A20" i="150"/>
  <c r="N19" i="150"/>
  <c r="M19" i="150"/>
  <c r="L19" i="150"/>
  <c r="H19" i="150"/>
  <c r="A19" i="150"/>
  <c r="N18" i="150"/>
  <c r="M18" i="150"/>
  <c r="L18" i="150"/>
  <c r="H18" i="150"/>
  <c r="A18" i="150"/>
  <c r="N17" i="150"/>
  <c r="M17" i="150"/>
  <c r="L17" i="150"/>
  <c r="H17" i="150"/>
  <c r="A17" i="150"/>
  <c r="N16" i="150"/>
  <c r="M16" i="150"/>
  <c r="L16" i="150"/>
  <c r="H16" i="150"/>
  <c r="A16" i="150"/>
  <c r="N15" i="150"/>
  <c r="M15" i="150"/>
  <c r="L15" i="150"/>
  <c r="H15" i="150"/>
  <c r="A15" i="150"/>
  <c r="N14" i="150"/>
  <c r="M14" i="150"/>
  <c r="L14" i="150"/>
  <c r="H14" i="150"/>
  <c r="A14" i="150"/>
  <c r="N13" i="150"/>
  <c r="M13" i="150"/>
  <c r="L13" i="150"/>
  <c r="H13" i="150"/>
  <c r="A13" i="150"/>
  <c r="N12" i="150"/>
  <c r="M12" i="150"/>
  <c r="L12" i="150"/>
  <c r="H12" i="150"/>
  <c r="A12" i="150"/>
  <c r="N11" i="150"/>
  <c r="M11" i="150"/>
  <c r="L11" i="150"/>
  <c r="H11" i="150"/>
  <c r="A11" i="150"/>
  <c r="N10" i="150"/>
  <c r="M10" i="150"/>
  <c r="L10" i="150"/>
  <c r="H10" i="150"/>
  <c r="A10" i="150"/>
  <c r="N9" i="150"/>
  <c r="M9" i="150"/>
  <c r="L9" i="150"/>
  <c r="H9" i="150"/>
  <c r="A9" i="150"/>
  <c r="N8" i="150"/>
  <c r="M8" i="150"/>
  <c r="L8" i="150"/>
  <c r="H8" i="150"/>
  <c r="A8" i="150"/>
  <c r="N7" i="150"/>
  <c r="M7" i="150"/>
  <c r="L7" i="150"/>
  <c r="H7" i="150"/>
  <c r="A7" i="150"/>
  <c r="N6" i="150"/>
  <c r="M6" i="150"/>
  <c r="L6" i="150"/>
  <c r="H6" i="150"/>
  <c r="A6" i="150"/>
  <c r="N5" i="150"/>
  <c r="M5" i="150"/>
  <c r="L5" i="150"/>
  <c r="H5" i="150"/>
  <c r="A5" i="150"/>
  <c r="N4" i="150"/>
  <c r="M4" i="150"/>
  <c r="L4" i="150"/>
  <c r="H4" i="150"/>
  <c r="A4" i="150"/>
  <c r="N3" i="150"/>
  <c r="M3" i="150"/>
  <c r="L3" i="150"/>
  <c r="H3" i="150"/>
  <c r="A3" i="150"/>
  <c r="N2" i="150"/>
  <c r="M2" i="150"/>
  <c r="L2" i="150"/>
  <c r="H2" i="150"/>
  <c r="A2" i="150"/>
  <c r="B55" i="149"/>
  <c r="B57" i="149"/>
  <c r="B58" i="149"/>
  <c r="B60" i="149"/>
  <c r="B61" i="149"/>
  <c r="F55" i="149"/>
  <c r="G55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47" i="149"/>
  <c r="I46" i="149"/>
  <c r="J46" i="149"/>
  <c r="F46" i="149"/>
  <c r="C46" i="149"/>
  <c r="D46" i="149"/>
  <c r="G45" i="149"/>
  <c r="E45" i="149"/>
  <c r="H45" i="149"/>
  <c r="I45" i="149"/>
  <c r="J45" i="149"/>
  <c r="F45" i="149"/>
  <c r="C45" i="149"/>
  <c r="D45" i="149"/>
  <c r="I44" i="149"/>
  <c r="J44" i="149"/>
  <c r="F44" i="149"/>
  <c r="C44" i="149"/>
  <c r="D44" i="149"/>
  <c r="I43" i="149"/>
  <c r="J43" i="149"/>
  <c r="F43" i="149"/>
  <c r="C43" i="149"/>
  <c r="D43" i="149"/>
  <c r="I42" i="149"/>
  <c r="J42" i="149"/>
  <c r="F42" i="149"/>
  <c r="C42" i="149"/>
  <c r="D42" i="149"/>
  <c r="I41" i="149"/>
  <c r="J41" i="149"/>
  <c r="F41" i="149"/>
  <c r="C41" i="149"/>
  <c r="D41" i="149"/>
  <c r="I40" i="149"/>
  <c r="J40" i="149"/>
  <c r="F40" i="149"/>
  <c r="C40" i="149"/>
  <c r="D40" i="149"/>
  <c r="I39" i="149"/>
  <c r="J39" i="149"/>
  <c r="F39" i="149"/>
  <c r="C39" i="149"/>
  <c r="D39" i="149"/>
  <c r="I38" i="149"/>
  <c r="J38" i="149"/>
  <c r="F38" i="149"/>
  <c r="C38" i="149"/>
  <c r="D38" i="149"/>
  <c r="I37" i="149"/>
  <c r="J37" i="149"/>
  <c r="F37" i="149"/>
  <c r="C37" i="149"/>
  <c r="D37" i="149"/>
  <c r="C36" i="149"/>
  <c r="C35" i="149"/>
  <c r="I34" i="149"/>
  <c r="J34" i="149"/>
  <c r="F34" i="149"/>
  <c r="C34" i="149"/>
  <c r="D34" i="149"/>
  <c r="I33" i="149"/>
  <c r="J33" i="149"/>
  <c r="F33" i="149"/>
  <c r="C33" i="149"/>
  <c r="D33" i="149"/>
  <c r="I32" i="149"/>
  <c r="J32" i="149"/>
  <c r="F32" i="149"/>
  <c r="C32" i="149"/>
  <c r="D32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R20" i="149"/>
  <c r="P20" i="149"/>
  <c r="O20" i="149"/>
  <c r="M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C18" i="149"/>
  <c r="D18" i="149"/>
  <c r="R17" i="149"/>
  <c r="P17" i="149"/>
  <c r="O17" i="149"/>
  <c r="M17" i="149"/>
  <c r="I17" i="149"/>
  <c r="J17" i="149"/>
  <c r="F17" i="149"/>
  <c r="C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R3" i="149"/>
  <c r="P3" i="149"/>
  <c r="O3" i="149"/>
  <c r="M3" i="149"/>
  <c r="V2" i="149"/>
  <c r="N284" i="148"/>
  <c r="M284" i="148"/>
  <c r="L284" i="148"/>
  <c r="H284" i="148"/>
  <c r="A284" i="148"/>
  <c r="N283" i="148"/>
  <c r="M283" i="148"/>
  <c r="L283" i="148"/>
  <c r="H283" i="148"/>
  <c r="A283" i="148"/>
  <c r="N282" i="148"/>
  <c r="M282" i="148"/>
  <c r="L282" i="148"/>
  <c r="H282" i="148"/>
  <c r="A282" i="148"/>
  <c r="N281" i="148"/>
  <c r="M281" i="148"/>
  <c r="L281" i="148"/>
  <c r="H281" i="148"/>
  <c r="A281" i="148"/>
  <c r="N280" i="148"/>
  <c r="M280" i="148"/>
  <c r="L280" i="148"/>
  <c r="H280" i="148"/>
  <c r="A280" i="148"/>
  <c r="N279" i="148"/>
  <c r="M279" i="148"/>
  <c r="L279" i="148"/>
  <c r="H279" i="148"/>
  <c r="A279" i="148"/>
  <c r="N278" i="148"/>
  <c r="M278" i="148"/>
  <c r="L278" i="148"/>
  <c r="H278" i="148"/>
  <c r="A278" i="148"/>
  <c r="N277" i="148"/>
  <c r="M277" i="148"/>
  <c r="L277" i="148"/>
  <c r="H277" i="148"/>
  <c r="A277" i="148"/>
  <c r="N276" i="148"/>
  <c r="M276" i="148"/>
  <c r="L276" i="148"/>
  <c r="H276" i="148"/>
  <c r="A276" i="148"/>
  <c r="N275" i="148"/>
  <c r="M275" i="148"/>
  <c r="L275" i="148"/>
  <c r="H275" i="148"/>
  <c r="A275" i="148"/>
  <c r="N274" i="148"/>
  <c r="M274" i="148"/>
  <c r="L274" i="148"/>
  <c r="H274" i="148"/>
  <c r="A274" i="148"/>
  <c r="N273" i="148"/>
  <c r="M273" i="148"/>
  <c r="L273" i="148"/>
  <c r="H273" i="148"/>
  <c r="A273" i="148"/>
  <c r="N272" i="148"/>
  <c r="M272" i="148"/>
  <c r="L272" i="148"/>
  <c r="H272" i="148"/>
  <c r="A272" i="148"/>
  <c r="N271" i="148"/>
  <c r="M271" i="148"/>
  <c r="L271" i="148"/>
  <c r="H271" i="148"/>
  <c r="A271" i="148"/>
  <c r="N270" i="148"/>
  <c r="M270" i="148"/>
  <c r="L270" i="148"/>
  <c r="H270" i="148"/>
  <c r="A270" i="148"/>
  <c r="N269" i="148"/>
  <c r="M269" i="148"/>
  <c r="L269" i="148"/>
  <c r="H269" i="148"/>
  <c r="A269" i="148"/>
  <c r="N268" i="148"/>
  <c r="M268" i="148"/>
  <c r="L268" i="148"/>
  <c r="H268" i="148"/>
  <c r="A268" i="148"/>
  <c r="N267" i="148"/>
  <c r="M267" i="148"/>
  <c r="L267" i="148"/>
  <c r="H267" i="148"/>
  <c r="A267" i="148"/>
  <c r="N266" i="148"/>
  <c r="M266" i="148"/>
  <c r="L266" i="148"/>
  <c r="H266" i="148"/>
  <c r="A266" i="148"/>
  <c r="N265" i="148"/>
  <c r="M265" i="148"/>
  <c r="L265" i="148"/>
  <c r="H265" i="148"/>
  <c r="A265" i="148"/>
  <c r="N264" i="148"/>
  <c r="M264" i="148"/>
  <c r="L264" i="148"/>
  <c r="H264" i="148"/>
  <c r="A264" i="148"/>
  <c r="N263" i="148"/>
  <c r="M263" i="148"/>
  <c r="L263" i="148"/>
  <c r="H263" i="148"/>
  <c r="A263" i="148"/>
  <c r="N262" i="148"/>
  <c r="M262" i="148"/>
  <c r="L262" i="148"/>
  <c r="H262" i="148"/>
  <c r="A262" i="148"/>
  <c r="N261" i="148"/>
  <c r="M261" i="148"/>
  <c r="L261" i="148"/>
  <c r="H261" i="148"/>
  <c r="A261" i="148"/>
  <c r="N260" i="148"/>
  <c r="M260" i="148"/>
  <c r="L260" i="148"/>
  <c r="H260" i="148"/>
  <c r="A260" i="148"/>
  <c r="N259" i="148"/>
  <c r="M259" i="148"/>
  <c r="L259" i="148"/>
  <c r="H259" i="148"/>
  <c r="A259" i="148"/>
  <c r="N258" i="148"/>
  <c r="M258" i="148"/>
  <c r="L258" i="148"/>
  <c r="H258" i="148"/>
  <c r="A258" i="148"/>
  <c r="N257" i="148"/>
  <c r="M257" i="148"/>
  <c r="L257" i="148"/>
  <c r="H257" i="148"/>
  <c r="A257" i="148"/>
  <c r="N256" i="148"/>
  <c r="M256" i="148"/>
  <c r="L256" i="148"/>
  <c r="H256" i="148"/>
  <c r="A256" i="148"/>
  <c r="N255" i="148"/>
  <c r="M255" i="148"/>
  <c r="L255" i="148"/>
  <c r="H255" i="148"/>
  <c r="A255" i="148"/>
  <c r="N254" i="148"/>
  <c r="M254" i="148"/>
  <c r="L254" i="148"/>
  <c r="H254" i="148"/>
  <c r="A254" i="148"/>
  <c r="N253" i="148"/>
  <c r="M253" i="148"/>
  <c r="L253" i="148"/>
  <c r="H253" i="148"/>
  <c r="A253" i="148"/>
  <c r="N252" i="148"/>
  <c r="M252" i="148"/>
  <c r="L252" i="148"/>
  <c r="H252" i="148"/>
  <c r="A252" i="148"/>
  <c r="N251" i="148"/>
  <c r="M251" i="148"/>
  <c r="L251" i="148"/>
  <c r="H251" i="148"/>
  <c r="A251" i="148"/>
  <c r="N250" i="148"/>
  <c r="M250" i="148"/>
  <c r="L250" i="148"/>
  <c r="H250" i="148"/>
  <c r="A250" i="148"/>
  <c r="N249" i="148"/>
  <c r="M249" i="148"/>
  <c r="L249" i="148"/>
  <c r="H249" i="148"/>
  <c r="A249" i="148"/>
  <c r="N248" i="148"/>
  <c r="M248" i="148"/>
  <c r="L248" i="148"/>
  <c r="H248" i="148"/>
  <c r="A248" i="148"/>
  <c r="N247" i="148"/>
  <c r="M247" i="148"/>
  <c r="L247" i="148"/>
  <c r="H247" i="148"/>
  <c r="A247" i="148"/>
  <c r="N246" i="148"/>
  <c r="M246" i="148"/>
  <c r="L246" i="148"/>
  <c r="H246" i="148"/>
  <c r="A246" i="148"/>
  <c r="N245" i="148"/>
  <c r="M245" i="148"/>
  <c r="L245" i="148"/>
  <c r="H245" i="148"/>
  <c r="A245" i="148"/>
  <c r="N244" i="148"/>
  <c r="M244" i="148"/>
  <c r="L244" i="148"/>
  <c r="H244" i="148"/>
  <c r="A244" i="148"/>
  <c r="N243" i="148"/>
  <c r="M243" i="148"/>
  <c r="L243" i="148"/>
  <c r="H243" i="148"/>
  <c r="A243" i="148"/>
  <c r="N242" i="148"/>
  <c r="M242" i="148"/>
  <c r="L242" i="148"/>
  <c r="H242" i="148"/>
  <c r="A242" i="148"/>
  <c r="N241" i="148"/>
  <c r="M241" i="148"/>
  <c r="L241" i="148"/>
  <c r="H241" i="148"/>
  <c r="A241" i="148"/>
  <c r="N240" i="148"/>
  <c r="M240" i="148"/>
  <c r="L240" i="148"/>
  <c r="H240" i="148"/>
  <c r="A240" i="148"/>
  <c r="N239" i="148"/>
  <c r="M239" i="148"/>
  <c r="L239" i="148"/>
  <c r="H239" i="148"/>
  <c r="A239" i="148"/>
  <c r="N238" i="148"/>
  <c r="M238" i="148"/>
  <c r="L238" i="148"/>
  <c r="H238" i="148"/>
  <c r="A238" i="148"/>
  <c r="N237" i="148"/>
  <c r="M237" i="148"/>
  <c r="L237" i="148"/>
  <c r="H237" i="148"/>
  <c r="A237" i="148"/>
  <c r="N236" i="148"/>
  <c r="M236" i="148"/>
  <c r="L236" i="148"/>
  <c r="H236" i="148"/>
  <c r="A236" i="148"/>
  <c r="N235" i="148"/>
  <c r="M235" i="148"/>
  <c r="L235" i="148"/>
  <c r="H235" i="148"/>
  <c r="A235" i="148"/>
  <c r="N234" i="148"/>
  <c r="M234" i="148"/>
  <c r="L234" i="148"/>
  <c r="H234" i="148"/>
  <c r="A234" i="148"/>
  <c r="N233" i="148"/>
  <c r="M233" i="148"/>
  <c r="L233" i="148"/>
  <c r="H233" i="148"/>
  <c r="A233" i="148"/>
  <c r="N232" i="148"/>
  <c r="M232" i="148"/>
  <c r="L232" i="148"/>
  <c r="H232" i="148"/>
  <c r="A232" i="148"/>
  <c r="N231" i="148"/>
  <c r="M231" i="148"/>
  <c r="L231" i="148"/>
  <c r="H231" i="148"/>
  <c r="A231" i="148"/>
  <c r="N230" i="148"/>
  <c r="M230" i="148"/>
  <c r="L230" i="148"/>
  <c r="H230" i="148"/>
  <c r="A230" i="148"/>
  <c r="N229" i="148"/>
  <c r="M229" i="148"/>
  <c r="L229" i="148"/>
  <c r="H229" i="148"/>
  <c r="A229" i="148"/>
  <c r="N228" i="148"/>
  <c r="M228" i="148"/>
  <c r="L228" i="148"/>
  <c r="H228" i="148"/>
  <c r="A228" i="148"/>
  <c r="N227" i="148"/>
  <c r="M227" i="148"/>
  <c r="L227" i="148"/>
  <c r="H227" i="148"/>
  <c r="A227" i="148"/>
  <c r="N226" i="148"/>
  <c r="M226" i="148"/>
  <c r="L226" i="148"/>
  <c r="H226" i="148"/>
  <c r="A226" i="148"/>
  <c r="N225" i="148"/>
  <c r="M225" i="148"/>
  <c r="L225" i="148"/>
  <c r="H225" i="148"/>
  <c r="A225" i="148"/>
  <c r="N224" i="148"/>
  <c r="M224" i="148"/>
  <c r="L224" i="148"/>
  <c r="H224" i="148"/>
  <c r="A224" i="148"/>
  <c r="N223" i="148"/>
  <c r="M223" i="148"/>
  <c r="L223" i="148"/>
  <c r="H223" i="148"/>
  <c r="A223" i="148"/>
  <c r="N222" i="148"/>
  <c r="M222" i="148"/>
  <c r="L222" i="148"/>
  <c r="H222" i="148"/>
  <c r="A222" i="148"/>
  <c r="N221" i="148"/>
  <c r="M221" i="148"/>
  <c r="L221" i="148"/>
  <c r="H221" i="148"/>
  <c r="A221" i="148"/>
  <c r="N220" i="148"/>
  <c r="M220" i="148"/>
  <c r="L220" i="148"/>
  <c r="H220" i="148"/>
  <c r="A220" i="148"/>
  <c r="N219" i="148"/>
  <c r="M219" i="148"/>
  <c r="L219" i="148"/>
  <c r="H219" i="148"/>
  <c r="A219" i="148"/>
  <c r="N218" i="148"/>
  <c r="M218" i="148"/>
  <c r="L218" i="148"/>
  <c r="H218" i="148"/>
  <c r="A218" i="148"/>
  <c r="N217" i="148"/>
  <c r="M217" i="148"/>
  <c r="L217" i="148"/>
  <c r="H217" i="148"/>
  <c r="A217" i="148"/>
  <c r="N216" i="148"/>
  <c r="M216" i="148"/>
  <c r="L216" i="148"/>
  <c r="H216" i="148"/>
  <c r="A216" i="148"/>
  <c r="N215" i="148"/>
  <c r="M215" i="148"/>
  <c r="L215" i="148"/>
  <c r="H215" i="148"/>
  <c r="A215" i="148"/>
  <c r="N214" i="148"/>
  <c r="M214" i="148"/>
  <c r="L214" i="148"/>
  <c r="H214" i="148"/>
  <c r="A214" i="148"/>
  <c r="N213" i="148"/>
  <c r="M213" i="148"/>
  <c r="L213" i="148"/>
  <c r="H213" i="148"/>
  <c r="A213" i="148"/>
  <c r="N212" i="148"/>
  <c r="M212" i="148"/>
  <c r="L212" i="148"/>
  <c r="H212" i="148"/>
  <c r="A212" i="148"/>
  <c r="N211" i="148"/>
  <c r="M211" i="148"/>
  <c r="L211" i="148"/>
  <c r="H211" i="148"/>
  <c r="A211" i="148"/>
  <c r="N210" i="148"/>
  <c r="M210" i="148"/>
  <c r="L210" i="148"/>
  <c r="H210" i="148"/>
  <c r="A210" i="148"/>
  <c r="N209" i="148"/>
  <c r="M209" i="148"/>
  <c r="L209" i="148"/>
  <c r="H209" i="148"/>
  <c r="A209" i="148"/>
  <c r="N208" i="148"/>
  <c r="M208" i="148"/>
  <c r="L208" i="148"/>
  <c r="H208" i="148"/>
  <c r="A208" i="148"/>
  <c r="N207" i="148"/>
  <c r="M207" i="148"/>
  <c r="L207" i="148"/>
  <c r="H207" i="148"/>
  <c r="A207" i="148"/>
  <c r="N206" i="148"/>
  <c r="M206" i="148"/>
  <c r="L206" i="148"/>
  <c r="H206" i="148"/>
  <c r="A206" i="148"/>
  <c r="N205" i="148"/>
  <c r="M205" i="148"/>
  <c r="L205" i="148"/>
  <c r="H205" i="148"/>
  <c r="A205" i="148"/>
  <c r="N204" i="148"/>
  <c r="M204" i="148"/>
  <c r="L204" i="148"/>
  <c r="H204" i="148"/>
  <c r="A204" i="148"/>
  <c r="N203" i="148"/>
  <c r="M203" i="148"/>
  <c r="L203" i="148"/>
  <c r="H203" i="148"/>
  <c r="A203" i="148"/>
  <c r="N202" i="148"/>
  <c r="M202" i="148"/>
  <c r="L202" i="148"/>
  <c r="H202" i="148"/>
  <c r="A202" i="148"/>
  <c r="N201" i="148"/>
  <c r="M201" i="148"/>
  <c r="L201" i="148"/>
  <c r="H201" i="148"/>
  <c r="A201" i="148"/>
  <c r="N200" i="148"/>
  <c r="M200" i="148"/>
  <c r="L200" i="148"/>
  <c r="H200" i="148"/>
  <c r="A200" i="148"/>
  <c r="N199" i="148"/>
  <c r="M199" i="148"/>
  <c r="L199" i="148"/>
  <c r="H199" i="148"/>
  <c r="A199" i="148"/>
  <c r="N198" i="148"/>
  <c r="M198" i="148"/>
  <c r="L198" i="148"/>
  <c r="H198" i="148"/>
  <c r="A198" i="148"/>
  <c r="N197" i="148"/>
  <c r="M197" i="148"/>
  <c r="L197" i="148"/>
  <c r="H197" i="148"/>
  <c r="A197" i="148"/>
  <c r="N196" i="148"/>
  <c r="M196" i="148"/>
  <c r="L196" i="148"/>
  <c r="H196" i="148"/>
  <c r="A196" i="148"/>
  <c r="N195" i="148"/>
  <c r="M195" i="148"/>
  <c r="L195" i="148"/>
  <c r="H195" i="148"/>
  <c r="A195" i="148"/>
  <c r="N194" i="148"/>
  <c r="M194" i="148"/>
  <c r="L194" i="148"/>
  <c r="H194" i="148"/>
  <c r="A194" i="148"/>
  <c r="N193" i="148"/>
  <c r="M193" i="148"/>
  <c r="L193" i="148"/>
  <c r="H193" i="148"/>
  <c r="A193" i="148"/>
  <c r="N192" i="148"/>
  <c r="M192" i="148"/>
  <c r="L192" i="148"/>
  <c r="H192" i="148"/>
  <c r="A192" i="148"/>
  <c r="N191" i="148"/>
  <c r="M191" i="148"/>
  <c r="L191" i="148"/>
  <c r="H191" i="148"/>
  <c r="A191" i="148"/>
  <c r="N190" i="148"/>
  <c r="M190" i="148"/>
  <c r="L190" i="148"/>
  <c r="H190" i="148"/>
  <c r="A190" i="148"/>
  <c r="N189" i="148"/>
  <c r="M189" i="148"/>
  <c r="L189" i="148"/>
  <c r="H189" i="148"/>
  <c r="A189" i="148"/>
  <c r="N188" i="148"/>
  <c r="M188" i="148"/>
  <c r="L188" i="148"/>
  <c r="H188" i="148"/>
  <c r="A188" i="148"/>
  <c r="N187" i="148"/>
  <c r="M187" i="148"/>
  <c r="L187" i="148"/>
  <c r="H187" i="148"/>
  <c r="A187" i="148"/>
  <c r="N186" i="148"/>
  <c r="M186" i="148"/>
  <c r="L186" i="148"/>
  <c r="H186" i="148"/>
  <c r="A186" i="148"/>
  <c r="N185" i="148"/>
  <c r="M185" i="148"/>
  <c r="L185" i="148"/>
  <c r="H185" i="148"/>
  <c r="A185" i="148"/>
  <c r="N184" i="148"/>
  <c r="M184" i="148"/>
  <c r="L184" i="148"/>
  <c r="H184" i="148"/>
  <c r="A184" i="148"/>
  <c r="N183" i="148"/>
  <c r="M183" i="148"/>
  <c r="L183" i="148"/>
  <c r="H183" i="148"/>
  <c r="A183" i="148"/>
  <c r="N182" i="148"/>
  <c r="M182" i="148"/>
  <c r="L182" i="148"/>
  <c r="H182" i="148"/>
  <c r="A182" i="148"/>
  <c r="N181" i="148"/>
  <c r="M181" i="148"/>
  <c r="L181" i="148"/>
  <c r="H181" i="148"/>
  <c r="A181" i="148"/>
  <c r="N180" i="148"/>
  <c r="M180" i="148"/>
  <c r="L180" i="148"/>
  <c r="H180" i="148"/>
  <c r="A180" i="148"/>
  <c r="N179" i="148"/>
  <c r="M179" i="148"/>
  <c r="L179" i="148"/>
  <c r="H179" i="148"/>
  <c r="A179" i="148"/>
  <c r="N178" i="148"/>
  <c r="M178" i="148"/>
  <c r="L178" i="148"/>
  <c r="H178" i="148"/>
  <c r="A178" i="148"/>
  <c r="N177" i="148"/>
  <c r="M177" i="148"/>
  <c r="L177" i="148"/>
  <c r="H177" i="148"/>
  <c r="A177" i="148"/>
  <c r="N176" i="148"/>
  <c r="M176" i="148"/>
  <c r="L176" i="148"/>
  <c r="H176" i="148"/>
  <c r="A176" i="148"/>
  <c r="N175" i="148"/>
  <c r="M175" i="148"/>
  <c r="L175" i="148"/>
  <c r="H175" i="148"/>
  <c r="A175" i="148"/>
  <c r="N174" i="148"/>
  <c r="M174" i="148"/>
  <c r="L174" i="148"/>
  <c r="H174" i="148"/>
  <c r="A174" i="148"/>
  <c r="N173" i="148"/>
  <c r="M173" i="148"/>
  <c r="L173" i="148"/>
  <c r="H173" i="148"/>
  <c r="A173" i="148"/>
  <c r="N172" i="148"/>
  <c r="M172" i="148"/>
  <c r="L172" i="148"/>
  <c r="H172" i="148"/>
  <c r="A172" i="148"/>
  <c r="N171" i="148"/>
  <c r="M171" i="148"/>
  <c r="L171" i="148"/>
  <c r="H171" i="148"/>
  <c r="A171" i="148"/>
  <c r="N170" i="148"/>
  <c r="M170" i="148"/>
  <c r="L170" i="148"/>
  <c r="H170" i="148"/>
  <c r="A170" i="148"/>
  <c r="N169" i="148"/>
  <c r="M169" i="148"/>
  <c r="L169" i="148"/>
  <c r="H169" i="148"/>
  <c r="A169" i="148"/>
  <c r="N168" i="148"/>
  <c r="M168" i="148"/>
  <c r="L168" i="148"/>
  <c r="H168" i="148"/>
  <c r="A168" i="148"/>
  <c r="N167" i="148"/>
  <c r="M167" i="148"/>
  <c r="L167" i="148"/>
  <c r="H167" i="148"/>
  <c r="A167" i="148"/>
  <c r="N166" i="148"/>
  <c r="M166" i="148"/>
  <c r="L166" i="148"/>
  <c r="H166" i="148"/>
  <c r="A166" i="148"/>
  <c r="N165" i="148"/>
  <c r="M165" i="148"/>
  <c r="L165" i="148"/>
  <c r="H165" i="148"/>
  <c r="A165" i="148"/>
  <c r="N164" i="148"/>
  <c r="M164" i="148"/>
  <c r="L164" i="148"/>
  <c r="H164" i="148"/>
  <c r="A164" i="148"/>
  <c r="N163" i="148"/>
  <c r="M163" i="148"/>
  <c r="L163" i="148"/>
  <c r="H163" i="148"/>
  <c r="A163" i="148"/>
  <c r="N162" i="148"/>
  <c r="M162" i="148"/>
  <c r="L162" i="148"/>
  <c r="H162" i="148"/>
  <c r="A162" i="148"/>
  <c r="N161" i="148"/>
  <c r="M161" i="148"/>
  <c r="L161" i="148"/>
  <c r="H161" i="148"/>
  <c r="A161" i="148"/>
  <c r="N160" i="148"/>
  <c r="M160" i="148"/>
  <c r="L160" i="148"/>
  <c r="H160" i="148"/>
  <c r="A160" i="148"/>
  <c r="N159" i="148"/>
  <c r="M159" i="148"/>
  <c r="L159" i="148"/>
  <c r="H159" i="148"/>
  <c r="A159" i="148"/>
  <c r="N158" i="148"/>
  <c r="M158" i="148"/>
  <c r="L158" i="148"/>
  <c r="H158" i="148"/>
  <c r="A158" i="148"/>
  <c r="N157" i="148"/>
  <c r="M157" i="148"/>
  <c r="L157" i="148"/>
  <c r="H157" i="148"/>
  <c r="A157" i="148"/>
  <c r="N156" i="148"/>
  <c r="M156" i="148"/>
  <c r="L156" i="148"/>
  <c r="H156" i="148"/>
  <c r="A156" i="148"/>
  <c r="N155" i="148"/>
  <c r="M155" i="148"/>
  <c r="L155" i="148"/>
  <c r="H155" i="148"/>
  <c r="A155" i="148"/>
  <c r="N154" i="148"/>
  <c r="M154" i="148"/>
  <c r="L154" i="148"/>
  <c r="H154" i="148"/>
  <c r="A154" i="148"/>
  <c r="N153" i="148"/>
  <c r="M153" i="148"/>
  <c r="L153" i="148"/>
  <c r="H153" i="148"/>
  <c r="A153" i="148"/>
  <c r="N152" i="148"/>
  <c r="M152" i="148"/>
  <c r="L152" i="148"/>
  <c r="H152" i="148"/>
  <c r="A152" i="148"/>
  <c r="N151" i="148"/>
  <c r="M151" i="148"/>
  <c r="L151" i="148"/>
  <c r="H151" i="148"/>
  <c r="A151" i="148"/>
  <c r="N150" i="148"/>
  <c r="M150" i="148"/>
  <c r="L150" i="148"/>
  <c r="H150" i="148"/>
  <c r="A150" i="148"/>
  <c r="N149" i="148"/>
  <c r="M149" i="148"/>
  <c r="L149" i="148"/>
  <c r="H149" i="148"/>
  <c r="A149" i="148"/>
  <c r="N148" i="148"/>
  <c r="M148" i="148"/>
  <c r="L148" i="148"/>
  <c r="H148" i="148"/>
  <c r="A148" i="148"/>
  <c r="N147" i="148"/>
  <c r="M147" i="148"/>
  <c r="L147" i="148"/>
  <c r="H147" i="148"/>
  <c r="A147" i="148"/>
  <c r="N146" i="148"/>
  <c r="M146" i="148"/>
  <c r="L146" i="148"/>
  <c r="H146" i="148"/>
  <c r="A146" i="148"/>
  <c r="N145" i="148"/>
  <c r="M145" i="148"/>
  <c r="L145" i="148"/>
  <c r="H145" i="148"/>
  <c r="A145" i="148"/>
  <c r="N144" i="148"/>
  <c r="M144" i="148"/>
  <c r="L144" i="148"/>
  <c r="H144" i="148"/>
  <c r="A144" i="148"/>
  <c r="N143" i="148"/>
  <c r="M143" i="148"/>
  <c r="L143" i="148"/>
  <c r="H143" i="148"/>
  <c r="A143" i="148"/>
  <c r="N142" i="148"/>
  <c r="M142" i="148"/>
  <c r="L142" i="148"/>
  <c r="H142" i="148"/>
  <c r="A142" i="148"/>
  <c r="N141" i="148"/>
  <c r="M141" i="148"/>
  <c r="L141" i="148"/>
  <c r="H141" i="148"/>
  <c r="A141" i="148"/>
  <c r="N140" i="148"/>
  <c r="M140" i="148"/>
  <c r="L140" i="148"/>
  <c r="H140" i="148"/>
  <c r="A140" i="148"/>
  <c r="N139" i="148"/>
  <c r="M139" i="148"/>
  <c r="L139" i="148"/>
  <c r="H139" i="148"/>
  <c r="A139" i="148"/>
  <c r="N138" i="148"/>
  <c r="M138" i="148"/>
  <c r="L138" i="148"/>
  <c r="H138" i="148"/>
  <c r="A138" i="148"/>
  <c r="N137" i="148"/>
  <c r="M137" i="148"/>
  <c r="L137" i="148"/>
  <c r="H137" i="148"/>
  <c r="A137" i="148"/>
  <c r="N136" i="148"/>
  <c r="M136" i="148"/>
  <c r="L136" i="148"/>
  <c r="H136" i="148"/>
  <c r="A136" i="148"/>
  <c r="N135" i="148"/>
  <c r="M135" i="148"/>
  <c r="L135" i="148"/>
  <c r="H135" i="148"/>
  <c r="A135" i="148"/>
  <c r="N134" i="148"/>
  <c r="M134" i="148"/>
  <c r="L134" i="148"/>
  <c r="H134" i="148"/>
  <c r="A134" i="148"/>
  <c r="N133" i="148"/>
  <c r="M133" i="148"/>
  <c r="L133" i="148"/>
  <c r="H133" i="148"/>
  <c r="A133" i="148"/>
  <c r="N132" i="148"/>
  <c r="M132" i="148"/>
  <c r="L132" i="148"/>
  <c r="H132" i="148"/>
  <c r="A132" i="148"/>
  <c r="N131" i="148"/>
  <c r="M131" i="148"/>
  <c r="L131" i="148"/>
  <c r="H131" i="148"/>
  <c r="A131" i="148"/>
  <c r="N130" i="148"/>
  <c r="M130" i="148"/>
  <c r="L130" i="148"/>
  <c r="H130" i="148"/>
  <c r="A130" i="148"/>
  <c r="N129" i="148"/>
  <c r="M129" i="148"/>
  <c r="L129" i="148"/>
  <c r="H129" i="148"/>
  <c r="A129" i="148"/>
  <c r="N128" i="148"/>
  <c r="M128" i="148"/>
  <c r="L128" i="148"/>
  <c r="H128" i="148"/>
  <c r="A128" i="148"/>
  <c r="N127" i="148"/>
  <c r="M127" i="148"/>
  <c r="L127" i="148"/>
  <c r="H127" i="148"/>
  <c r="A127" i="148"/>
  <c r="N126" i="148"/>
  <c r="M126" i="148"/>
  <c r="L126" i="148"/>
  <c r="H126" i="148"/>
  <c r="A126" i="148"/>
  <c r="N125" i="148"/>
  <c r="M125" i="148"/>
  <c r="L125" i="148"/>
  <c r="H125" i="148"/>
  <c r="A125" i="148"/>
  <c r="N124" i="148"/>
  <c r="M124" i="148"/>
  <c r="L124" i="148"/>
  <c r="H124" i="148"/>
  <c r="A124" i="148"/>
  <c r="N123" i="148"/>
  <c r="M123" i="148"/>
  <c r="L123" i="148"/>
  <c r="H123" i="148"/>
  <c r="A123" i="148"/>
  <c r="N122" i="148"/>
  <c r="M122" i="148"/>
  <c r="L122" i="148"/>
  <c r="H122" i="148"/>
  <c r="A122" i="148"/>
  <c r="N121" i="148"/>
  <c r="M121" i="148"/>
  <c r="L121" i="148"/>
  <c r="H121" i="148"/>
  <c r="A121" i="148"/>
  <c r="N120" i="148"/>
  <c r="M120" i="148"/>
  <c r="L120" i="148"/>
  <c r="H120" i="148"/>
  <c r="A120" i="148"/>
  <c r="N119" i="148"/>
  <c r="M119" i="148"/>
  <c r="L119" i="148"/>
  <c r="H119" i="148"/>
  <c r="A119" i="148"/>
  <c r="N118" i="148"/>
  <c r="M118" i="148"/>
  <c r="L118" i="148"/>
  <c r="H118" i="148"/>
  <c r="A118" i="148"/>
  <c r="N117" i="148"/>
  <c r="M117" i="148"/>
  <c r="L117" i="148"/>
  <c r="H117" i="148"/>
  <c r="A117" i="148"/>
  <c r="N116" i="148"/>
  <c r="M116" i="148"/>
  <c r="L116" i="148"/>
  <c r="H116" i="148"/>
  <c r="A116" i="148"/>
  <c r="N115" i="148"/>
  <c r="M115" i="148"/>
  <c r="L115" i="148"/>
  <c r="H115" i="148"/>
  <c r="A115" i="148"/>
  <c r="N114" i="148"/>
  <c r="M114" i="148"/>
  <c r="L114" i="148"/>
  <c r="H114" i="148"/>
  <c r="A114" i="148"/>
  <c r="N113" i="148"/>
  <c r="M113" i="148"/>
  <c r="L113" i="148"/>
  <c r="H113" i="148"/>
  <c r="A113" i="148"/>
  <c r="N112" i="148"/>
  <c r="M112" i="148"/>
  <c r="L112" i="148"/>
  <c r="H112" i="148"/>
  <c r="A112" i="148"/>
  <c r="N111" i="148"/>
  <c r="M111" i="148"/>
  <c r="L111" i="148"/>
  <c r="H111" i="148"/>
  <c r="A111" i="148"/>
  <c r="N110" i="148"/>
  <c r="M110" i="148"/>
  <c r="L110" i="148"/>
  <c r="H110" i="148"/>
  <c r="A110" i="148"/>
  <c r="N109" i="148"/>
  <c r="M109" i="148"/>
  <c r="L109" i="148"/>
  <c r="H109" i="148"/>
  <c r="A109" i="148"/>
  <c r="N108" i="148"/>
  <c r="M108" i="148"/>
  <c r="L108" i="148"/>
  <c r="H108" i="148"/>
  <c r="A108" i="148"/>
  <c r="N107" i="148"/>
  <c r="M107" i="148"/>
  <c r="L107" i="148"/>
  <c r="H107" i="148"/>
  <c r="A107" i="148"/>
  <c r="N106" i="148"/>
  <c r="M106" i="148"/>
  <c r="L106" i="148"/>
  <c r="H106" i="148"/>
  <c r="A106" i="148"/>
  <c r="N105" i="148"/>
  <c r="M105" i="148"/>
  <c r="L105" i="148"/>
  <c r="H105" i="148"/>
  <c r="A105" i="148"/>
  <c r="N104" i="148"/>
  <c r="M104" i="148"/>
  <c r="L104" i="148"/>
  <c r="H104" i="148"/>
  <c r="A104" i="148"/>
  <c r="N103" i="148"/>
  <c r="M103" i="148"/>
  <c r="L103" i="148"/>
  <c r="H103" i="148"/>
  <c r="A103" i="148"/>
  <c r="N102" i="148"/>
  <c r="M102" i="148"/>
  <c r="L102" i="148"/>
  <c r="H102" i="148"/>
  <c r="A102" i="148"/>
  <c r="N101" i="148"/>
  <c r="M101" i="148"/>
  <c r="L101" i="148"/>
  <c r="H101" i="148"/>
  <c r="A101" i="148"/>
  <c r="N100" i="148"/>
  <c r="M100" i="148"/>
  <c r="L100" i="148"/>
  <c r="H100" i="148"/>
  <c r="A100" i="148"/>
  <c r="N99" i="148"/>
  <c r="M99" i="148"/>
  <c r="L99" i="148"/>
  <c r="H99" i="148"/>
  <c r="A99" i="148"/>
  <c r="N98" i="148"/>
  <c r="M98" i="148"/>
  <c r="L98" i="148"/>
  <c r="H98" i="148"/>
  <c r="A98" i="148"/>
  <c r="N97" i="148"/>
  <c r="M97" i="148"/>
  <c r="L97" i="148"/>
  <c r="H97" i="148"/>
  <c r="A97" i="148"/>
  <c r="N96" i="148"/>
  <c r="M96" i="148"/>
  <c r="L96" i="148"/>
  <c r="H96" i="148"/>
  <c r="A96" i="148"/>
  <c r="N95" i="148"/>
  <c r="M95" i="148"/>
  <c r="L95" i="148"/>
  <c r="H95" i="148"/>
  <c r="A95" i="148"/>
  <c r="N94" i="148"/>
  <c r="M94" i="148"/>
  <c r="L94" i="148"/>
  <c r="H94" i="148"/>
  <c r="A94" i="148"/>
  <c r="N93" i="148"/>
  <c r="M93" i="148"/>
  <c r="L93" i="148"/>
  <c r="H93" i="148"/>
  <c r="A93" i="148"/>
  <c r="N92" i="148"/>
  <c r="M92" i="148"/>
  <c r="L92" i="148"/>
  <c r="H92" i="148"/>
  <c r="A92" i="148"/>
  <c r="N91" i="148"/>
  <c r="M91" i="148"/>
  <c r="L91" i="148"/>
  <c r="H91" i="148"/>
  <c r="A91" i="148"/>
  <c r="N90" i="148"/>
  <c r="M90" i="148"/>
  <c r="L90" i="148"/>
  <c r="H90" i="148"/>
  <c r="A90" i="148"/>
  <c r="N89" i="148"/>
  <c r="M89" i="148"/>
  <c r="L89" i="148"/>
  <c r="H89" i="148"/>
  <c r="A89" i="148"/>
  <c r="N88" i="148"/>
  <c r="M88" i="148"/>
  <c r="L88" i="148"/>
  <c r="H88" i="148"/>
  <c r="A88" i="148"/>
  <c r="N87" i="148"/>
  <c r="M87" i="148"/>
  <c r="L87" i="148"/>
  <c r="H87" i="148"/>
  <c r="A87" i="148"/>
  <c r="N86" i="148"/>
  <c r="M86" i="148"/>
  <c r="L86" i="148"/>
  <c r="H86" i="148"/>
  <c r="A86" i="148"/>
  <c r="N85" i="148"/>
  <c r="M85" i="148"/>
  <c r="L85" i="148"/>
  <c r="H85" i="148"/>
  <c r="A85" i="148"/>
  <c r="N84" i="148"/>
  <c r="M84" i="148"/>
  <c r="L84" i="148"/>
  <c r="H84" i="148"/>
  <c r="A84" i="148"/>
  <c r="N83" i="148"/>
  <c r="M83" i="148"/>
  <c r="L83" i="148"/>
  <c r="H83" i="148"/>
  <c r="A83" i="148"/>
  <c r="N82" i="148"/>
  <c r="M82" i="148"/>
  <c r="L82" i="148"/>
  <c r="H82" i="148"/>
  <c r="A82" i="148"/>
  <c r="N81" i="148"/>
  <c r="M81" i="148"/>
  <c r="L81" i="148"/>
  <c r="H81" i="148"/>
  <c r="A81" i="148"/>
  <c r="N80" i="148"/>
  <c r="M80" i="148"/>
  <c r="L80" i="148"/>
  <c r="H80" i="148"/>
  <c r="A80" i="148"/>
  <c r="N79" i="148"/>
  <c r="M79" i="148"/>
  <c r="L79" i="148"/>
  <c r="H79" i="148"/>
  <c r="A79" i="148"/>
  <c r="N78" i="148"/>
  <c r="M78" i="148"/>
  <c r="L78" i="148"/>
  <c r="H78" i="148"/>
  <c r="A78" i="148"/>
  <c r="N77" i="148"/>
  <c r="M77" i="148"/>
  <c r="L77" i="148"/>
  <c r="H77" i="148"/>
  <c r="A77" i="148"/>
  <c r="N76" i="148"/>
  <c r="M76" i="148"/>
  <c r="L76" i="148"/>
  <c r="H76" i="148"/>
  <c r="A76" i="148"/>
  <c r="N75" i="148"/>
  <c r="M75" i="148"/>
  <c r="L75" i="148"/>
  <c r="H75" i="148"/>
  <c r="A75" i="148"/>
  <c r="N74" i="148"/>
  <c r="M74" i="148"/>
  <c r="L74" i="148"/>
  <c r="H74" i="148"/>
  <c r="A74" i="148"/>
  <c r="N73" i="148"/>
  <c r="M73" i="148"/>
  <c r="L73" i="148"/>
  <c r="H73" i="148"/>
  <c r="A73" i="148"/>
  <c r="N72" i="148"/>
  <c r="M72" i="148"/>
  <c r="L72" i="148"/>
  <c r="H72" i="148"/>
  <c r="A72" i="148"/>
  <c r="N71" i="148"/>
  <c r="M71" i="148"/>
  <c r="L71" i="148"/>
  <c r="H71" i="148"/>
  <c r="A71" i="148"/>
  <c r="N70" i="148"/>
  <c r="M70" i="148"/>
  <c r="L70" i="148"/>
  <c r="H70" i="148"/>
  <c r="A70" i="148"/>
  <c r="N69" i="148"/>
  <c r="M69" i="148"/>
  <c r="L69" i="148"/>
  <c r="H69" i="148"/>
  <c r="A69" i="148"/>
  <c r="N68" i="148"/>
  <c r="M68" i="148"/>
  <c r="L68" i="148"/>
  <c r="H68" i="148"/>
  <c r="A68" i="148"/>
  <c r="N67" i="148"/>
  <c r="M67" i="148"/>
  <c r="L67" i="148"/>
  <c r="H67" i="148"/>
  <c r="A67" i="148"/>
  <c r="N66" i="148"/>
  <c r="M66" i="148"/>
  <c r="L66" i="148"/>
  <c r="H66" i="148"/>
  <c r="A66" i="148"/>
  <c r="N65" i="148"/>
  <c r="M65" i="148"/>
  <c r="L65" i="148"/>
  <c r="H65" i="148"/>
  <c r="A65" i="148"/>
  <c r="N64" i="148"/>
  <c r="M64" i="148"/>
  <c r="L64" i="148"/>
  <c r="H64" i="148"/>
  <c r="A64" i="148"/>
  <c r="N63" i="148"/>
  <c r="M63" i="148"/>
  <c r="L63" i="148"/>
  <c r="H63" i="148"/>
  <c r="A63" i="148"/>
  <c r="N62" i="148"/>
  <c r="M62" i="148"/>
  <c r="L62" i="148"/>
  <c r="H62" i="148"/>
  <c r="A62" i="148"/>
  <c r="N61" i="148"/>
  <c r="M61" i="148"/>
  <c r="L61" i="148"/>
  <c r="H61" i="148"/>
  <c r="A61" i="148"/>
  <c r="N60" i="148"/>
  <c r="M60" i="148"/>
  <c r="L60" i="148"/>
  <c r="H60" i="148"/>
  <c r="A60" i="148"/>
  <c r="N59" i="148"/>
  <c r="M59" i="148"/>
  <c r="L59" i="148"/>
  <c r="H59" i="148"/>
  <c r="A59" i="148"/>
  <c r="N58" i="148"/>
  <c r="M58" i="148"/>
  <c r="L58" i="148"/>
  <c r="H58" i="148"/>
  <c r="A58" i="148"/>
  <c r="N57" i="148"/>
  <c r="M57" i="148"/>
  <c r="L57" i="148"/>
  <c r="H57" i="148"/>
  <c r="A57" i="148"/>
  <c r="N56" i="148"/>
  <c r="M56" i="148"/>
  <c r="L56" i="148"/>
  <c r="H56" i="148"/>
  <c r="A56" i="148"/>
  <c r="N55" i="148"/>
  <c r="M55" i="148"/>
  <c r="L55" i="148"/>
  <c r="H55" i="148"/>
  <c r="A55" i="148"/>
  <c r="N54" i="148"/>
  <c r="M54" i="148"/>
  <c r="L54" i="148"/>
  <c r="H54" i="148"/>
  <c r="A54" i="148"/>
  <c r="N53" i="148"/>
  <c r="M53" i="148"/>
  <c r="L53" i="148"/>
  <c r="H53" i="148"/>
  <c r="A53" i="148"/>
  <c r="N52" i="148"/>
  <c r="M52" i="148"/>
  <c r="L52" i="148"/>
  <c r="H52" i="148"/>
  <c r="A52" i="148"/>
  <c r="N51" i="148"/>
  <c r="M51" i="148"/>
  <c r="L51" i="148"/>
  <c r="H51" i="148"/>
  <c r="A51" i="148"/>
  <c r="N50" i="148"/>
  <c r="M50" i="148"/>
  <c r="L50" i="148"/>
  <c r="H50" i="148"/>
  <c r="A50" i="148"/>
  <c r="N49" i="148"/>
  <c r="M49" i="148"/>
  <c r="L49" i="148"/>
  <c r="H49" i="148"/>
  <c r="A49" i="148"/>
  <c r="N48" i="148"/>
  <c r="M48" i="148"/>
  <c r="L48" i="148"/>
  <c r="H48" i="148"/>
  <c r="A48" i="148"/>
  <c r="N47" i="148"/>
  <c r="M47" i="148"/>
  <c r="L47" i="148"/>
  <c r="H47" i="148"/>
  <c r="A47" i="148"/>
  <c r="N46" i="148"/>
  <c r="M46" i="148"/>
  <c r="L46" i="148"/>
  <c r="H46" i="148"/>
  <c r="A46" i="148"/>
  <c r="N45" i="148"/>
  <c r="M45" i="148"/>
  <c r="L45" i="148"/>
  <c r="H45" i="148"/>
  <c r="A45" i="148"/>
  <c r="N44" i="148"/>
  <c r="M44" i="148"/>
  <c r="L44" i="148"/>
  <c r="H44" i="148"/>
  <c r="A44" i="148"/>
  <c r="N43" i="148"/>
  <c r="M43" i="148"/>
  <c r="L43" i="148"/>
  <c r="H43" i="148"/>
  <c r="A43" i="148"/>
  <c r="N42" i="148"/>
  <c r="M42" i="148"/>
  <c r="L42" i="148"/>
  <c r="H42" i="148"/>
  <c r="A42" i="148"/>
  <c r="N41" i="148"/>
  <c r="M41" i="148"/>
  <c r="L41" i="148"/>
  <c r="H41" i="148"/>
  <c r="A41" i="148"/>
  <c r="N40" i="148"/>
  <c r="M40" i="148"/>
  <c r="L40" i="148"/>
  <c r="H40" i="148"/>
  <c r="A40" i="148"/>
  <c r="N39" i="148"/>
  <c r="M39" i="148"/>
  <c r="L39" i="148"/>
  <c r="H39" i="148"/>
  <c r="A39" i="148"/>
  <c r="N38" i="148"/>
  <c r="M38" i="148"/>
  <c r="L38" i="148"/>
  <c r="H38" i="148"/>
  <c r="A38" i="148"/>
  <c r="N37" i="148"/>
  <c r="M37" i="148"/>
  <c r="L37" i="148"/>
  <c r="H37" i="148"/>
  <c r="A37" i="148"/>
  <c r="N36" i="148"/>
  <c r="M36" i="148"/>
  <c r="L36" i="148"/>
  <c r="H36" i="148"/>
  <c r="A36" i="148"/>
  <c r="N35" i="148"/>
  <c r="M35" i="148"/>
  <c r="L35" i="148"/>
  <c r="H35" i="148"/>
  <c r="A35" i="148"/>
  <c r="N34" i="148"/>
  <c r="M34" i="148"/>
  <c r="L34" i="148"/>
  <c r="H34" i="148"/>
  <c r="A34" i="148"/>
  <c r="N33" i="148"/>
  <c r="M33" i="148"/>
  <c r="L33" i="148"/>
  <c r="H33" i="148"/>
  <c r="A33" i="148"/>
  <c r="N32" i="148"/>
  <c r="M32" i="148"/>
  <c r="L32" i="148"/>
  <c r="H32" i="148"/>
  <c r="A32" i="148"/>
  <c r="N31" i="148"/>
  <c r="M31" i="148"/>
  <c r="L31" i="148"/>
  <c r="H31" i="148"/>
  <c r="A31" i="148"/>
  <c r="N30" i="148"/>
  <c r="M30" i="148"/>
  <c r="L30" i="148"/>
  <c r="H30" i="148"/>
  <c r="A30" i="148"/>
  <c r="N29" i="148"/>
  <c r="M29" i="148"/>
  <c r="L29" i="148"/>
  <c r="H29" i="148"/>
  <c r="A29" i="148"/>
  <c r="N28" i="148"/>
  <c r="M28" i="148"/>
  <c r="L28" i="148"/>
  <c r="H28" i="148"/>
  <c r="A28" i="148"/>
  <c r="N27" i="148"/>
  <c r="M27" i="148"/>
  <c r="L27" i="148"/>
  <c r="H27" i="148"/>
  <c r="A27" i="148"/>
  <c r="N26" i="148"/>
  <c r="M26" i="148"/>
  <c r="L26" i="148"/>
  <c r="H26" i="148"/>
  <c r="A26" i="148"/>
  <c r="N25" i="148"/>
  <c r="M25" i="148"/>
  <c r="L25" i="148"/>
  <c r="H25" i="148"/>
  <c r="A25" i="148"/>
  <c r="N24" i="148"/>
  <c r="M24" i="148"/>
  <c r="L24" i="148"/>
  <c r="H24" i="148"/>
  <c r="A24" i="148"/>
  <c r="N23" i="148"/>
  <c r="M23" i="148"/>
  <c r="L23" i="148"/>
  <c r="H23" i="148"/>
  <c r="A23" i="148"/>
  <c r="N22" i="148"/>
  <c r="M22" i="148"/>
  <c r="L22" i="148"/>
  <c r="H22" i="148"/>
  <c r="A22" i="148"/>
  <c r="N21" i="148"/>
  <c r="M21" i="148"/>
  <c r="L21" i="148"/>
  <c r="H21" i="148"/>
  <c r="A21" i="148"/>
  <c r="N20" i="148"/>
  <c r="M20" i="148"/>
  <c r="L20" i="148"/>
  <c r="H20" i="148"/>
  <c r="A20" i="148"/>
  <c r="N19" i="148"/>
  <c r="M19" i="148"/>
  <c r="L19" i="148"/>
  <c r="H19" i="148"/>
  <c r="A19" i="148"/>
  <c r="N18" i="148"/>
  <c r="M18" i="148"/>
  <c r="L18" i="148"/>
  <c r="H18" i="148"/>
  <c r="A18" i="148"/>
  <c r="N17" i="148"/>
  <c r="M17" i="148"/>
  <c r="L17" i="148"/>
  <c r="H17" i="148"/>
  <c r="A17" i="148"/>
  <c r="N16" i="148"/>
  <c r="M16" i="148"/>
  <c r="L16" i="148"/>
  <c r="H16" i="148"/>
  <c r="A16" i="148"/>
  <c r="N15" i="148"/>
  <c r="M15" i="148"/>
  <c r="L15" i="148"/>
  <c r="H15" i="148"/>
  <c r="A15" i="148"/>
  <c r="N14" i="148"/>
  <c r="M14" i="148"/>
  <c r="L14" i="148"/>
  <c r="H14" i="148"/>
  <c r="A14" i="148"/>
  <c r="N13" i="148"/>
  <c r="M13" i="148"/>
  <c r="L13" i="148"/>
  <c r="H13" i="148"/>
  <c r="A13" i="148"/>
  <c r="N12" i="148"/>
  <c r="M12" i="148"/>
  <c r="L12" i="148"/>
  <c r="H12" i="148"/>
  <c r="A12" i="148"/>
  <c r="N11" i="148"/>
  <c r="M11" i="148"/>
  <c r="L11" i="148"/>
  <c r="H11" i="148"/>
  <c r="A11" i="148"/>
  <c r="N10" i="148"/>
  <c r="M10" i="148"/>
  <c r="L10" i="148"/>
  <c r="H10" i="148"/>
  <c r="A10" i="148"/>
  <c r="N9" i="148"/>
  <c r="M9" i="148"/>
  <c r="L9" i="148"/>
  <c r="H9" i="148"/>
  <c r="A9" i="148"/>
  <c r="N8" i="148"/>
  <c r="M8" i="148"/>
  <c r="L8" i="148"/>
  <c r="H8" i="148"/>
  <c r="A8" i="148"/>
  <c r="N7" i="148"/>
  <c r="M7" i="148"/>
  <c r="L7" i="148"/>
  <c r="H7" i="148"/>
  <c r="A7" i="148"/>
  <c r="N6" i="148"/>
  <c r="M6" i="148"/>
  <c r="L6" i="148"/>
  <c r="H6" i="148"/>
  <c r="A6" i="148"/>
  <c r="N5" i="148"/>
  <c r="M5" i="148"/>
  <c r="L5" i="148"/>
  <c r="H5" i="148"/>
  <c r="A5" i="148"/>
  <c r="N4" i="148"/>
  <c r="M4" i="148"/>
  <c r="L4" i="148"/>
  <c r="H4" i="148"/>
  <c r="A4" i="148"/>
  <c r="N3" i="148"/>
  <c r="M3" i="148"/>
  <c r="L3" i="148"/>
  <c r="H3" i="148"/>
  <c r="A3" i="148"/>
  <c r="N2" i="148"/>
  <c r="M2" i="148"/>
  <c r="L2" i="148"/>
  <c r="H2" i="148"/>
  <c r="A2" i="148"/>
  <c r="B55" i="147"/>
  <c r="B57" i="147"/>
  <c r="B58" i="147"/>
  <c r="B60" i="147"/>
  <c r="B61" i="147"/>
  <c r="F55" i="147"/>
  <c r="G55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47" i="147"/>
  <c r="I46" i="147"/>
  <c r="J46" i="147"/>
  <c r="F46" i="147"/>
  <c r="C46" i="147"/>
  <c r="D46" i="147"/>
  <c r="G45" i="147"/>
  <c r="E45" i="147"/>
  <c r="H45" i="147"/>
  <c r="I45" i="147"/>
  <c r="J45" i="147"/>
  <c r="F45" i="147"/>
  <c r="C45" i="147"/>
  <c r="D45" i="147"/>
  <c r="I44" i="147"/>
  <c r="J44" i="147"/>
  <c r="F44" i="147"/>
  <c r="C44" i="147"/>
  <c r="D44" i="147"/>
  <c r="I43" i="147"/>
  <c r="J43" i="147"/>
  <c r="F43" i="147"/>
  <c r="C43" i="147"/>
  <c r="D43" i="147"/>
  <c r="I42" i="147"/>
  <c r="J42" i="147"/>
  <c r="F42" i="147"/>
  <c r="C42" i="147"/>
  <c r="D42" i="147"/>
  <c r="I41" i="147"/>
  <c r="J41" i="147"/>
  <c r="F41" i="147"/>
  <c r="C41" i="147"/>
  <c r="D41" i="147"/>
  <c r="I40" i="147"/>
  <c r="J40" i="147"/>
  <c r="F40" i="147"/>
  <c r="C40" i="147"/>
  <c r="D40" i="147"/>
  <c r="I39" i="147"/>
  <c r="J39" i="147"/>
  <c r="F39" i="147"/>
  <c r="C39" i="147"/>
  <c r="D39" i="147"/>
  <c r="I38" i="147"/>
  <c r="J38" i="147"/>
  <c r="F38" i="147"/>
  <c r="C38" i="147"/>
  <c r="D38" i="147"/>
  <c r="I37" i="147"/>
  <c r="J37" i="147"/>
  <c r="F37" i="147"/>
  <c r="C37" i="147"/>
  <c r="D37" i="147"/>
  <c r="C36" i="147"/>
  <c r="C35" i="147"/>
  <c r="I34" i="147"/>
  <c r="J34" i="147"/>
  <c r="F34" i="147"/>
  <c r="C34" i="147"/>
  <c r="D34" i="147"/>
  <c r="I33" i="147"/>
  <c r="J33" i="147"/>
  <c r="F33" i="147"/>
  <c r="C33" i="147"/>
  <c r="D33" i="147"/>
  <c r="I32" i="147"/>
  <c r="J32" i="147"/>
  <c r="F32" i="147"/>
  <c r="C32" i="147"/>
  <c r="D32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R20" i="147"/>
  <c r="P20" i="147"/>
  <c r="O20" i="147"/>
  <c r="M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C18" i="147"/>
  <c r="D18" i="147"/>
  <c r="R17" i="147"/>
  <c r="P17" i="147"/>
  <c r="O17" i="147"/>
  <c r="M17" i="147"/>
  <c r="I17" i="147"/>
  <c r="J17" i="147"/>
  <c r="F17" i="147"/>
  <c r="C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R3" i="147"/>
  <c r="P3" i="147"/>
  <c r="O3" i="147"/>
  <c r="M3" i="147"/>
  <c r="V2" i="147"/>
  <c r="A284" i="82"/>
  <c r="H284" i="82"/>
  <c r="L284" i="82"/>
  <c r="M284" i="82"/>
  <c r="N284" i="82"/>
  <c r="E30" i="106"/>
  <c r="E45" i="106"/>
  <c r="I46" i="106"/>
  <c r="J46" i="106"/>
  <c r="F46" i="106"/>
  <c r="C46" i="106"/>
  <c r="D46" i="106"/>
  <c r="G45" i="106"/>
  <c r="H45" i="106"/>
  <c r="I45" i="106"/>
  <c r="J45" i="106"/>
  <c r="F45" i="106"/>
  <c r="C45" i="106"/>
  <c r="D45" i="106"/>
  <c r="I44" i="106"/>
  <c r="J44" i="106"/>
  <c r="F44" i="106"/>
  <c r="C44" i="106"/>
  <c r="D44" i="106"/>
  <c r="I43" i="106"/>
  <c r="J43" i="106"/>
  <c r="F43" i="106"/>
  <c r="C43" i="106"/>
  <c r="D43" i="106"/>
  <c r="C42" i="106"/>
  <c r="I41" i="106"/>
  <c r="J41" i="106"/>
  <c r="F41" i="106"/>
  <c r="C41" i="106"/>
  <c r="D41" i="106"/>
  <c r="I40" i="106"/>
  <c r="J40" i="106"/>
  <c r="F40" i="106"/>
  <c r="C40" i="106"/>
  <c r="D40" i="106"/>
  <c r="I39" i="106"/>
  <c r="J39" i="106"/>
  <c r="F39" i="106"/>
  <c r="C39" i="106"/>
  <c r="D39" i="106"/>
  <c r="I38" i="106"/>
  <c r="J38" i="106"/>
  <c r="F38" i="106"/>
  <c r="C38" i="106"/>
  <c r="D38" i="106"/>
  <c r="I37" i="106"/>
  <c r="J37" i="106"/>
  <c r="F37" i="106"/>
  <c r="C37" i="106"/>
  <c r="D37" i="106"/>
  <c r="C36" i="106"/>
  <c r="C35" i="106"/>
  <c r="C34" i="106"/>
  <c r="C33" i="106"/>
  <c r="C32" i="10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47" i="106"/>
  <c r="R3" i="106"/>
  <c r="H272" i="82"/>
  <c r="L272" i="82"/>
  <c r="M272" i="82"/>
  <c r="N272" i="82"/>
  <c r="H273" i="82"/>
  <c r="L273" i="82"/>
  <c r="M273" i="82"/>
  <c r="N273" i="82"/>
  <c r="H274" i="82"/>
  <c r="L274" i="82"/>
  <c r="M274" i="82"/>
  <c r="N274" i="82"/>
  <c r="H275" i="82"/>
  <c r="L275" i="82"/>
  <c r="M275" i="82"/>
  <c r="N275" i="82"/>
  <c r="H276" i="82"/>
  <c r="L276" i="82"/>
  <c r="M276" i="82"/>
  <c r="N276" i="82"/>
  <c r="H277" i="82"/>
  <c r="L277" i="82"/>
  <c r="M277" i="82"/>
  <c r="N277" i="82"/>
  <c r="H278" i="82"/>
  <c r="L278" i="82"/>
  <c r="M278" i="82"/>
  <c r="N278" i="82"/>
  <c r="H279" i="82"/>
  <c r="L279" i="82"/>
  <c r="M279" i="82"/>
  <c r="N279" i="82"/>
  <c r="H280" i="82"/>
  <c r="L280" i="82"/>
  <c r="M280" i="82"/>
  <c r="N280" i="82"/>
  <c r="H281" i="82"/>
  <c r="L281" i="82"/>
  <c r="M281" i="82"/>
  <c r="N281" i="82"/>
  <c r="H282" i="82"/>
  <c r="L282" i="82"/>
  <c r="M282" i="82"/>
  <c r="N282" i="82"/>
  <c r="H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7" i="103"/>
  <c r="E7" i="103"/>
  <c r="C4" i="103"/>
  <c r="E4" i="103"/>
  <c r="R5" i="106"/>
  <c r="R4" i="106"/>
  <c r="V6" i="106"/>
  <c r="G30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17" i="106"/>
  <c r="C18" i="106"/>
  <c r="D24" i="106"/>
  <c r="D25" i="106"/>
  <c r="D26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22" i="106"/>
  <c r="F23" i="106"/>
  <c r="F24" i="106"/>
  <c r="F25" i="106"/>
  <c r="F26" i="106"/>
  <c r="F28" i="106"/>
  <c r="F29" i="106"/>
  <c r="F30" i="106"/>
  <c r="F31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L256" i="82"/>
  <c r="M256" i="82"/>
  <c r="N256" i="82"/>
  <c r="A257" i="82"/>
  <c r="H257" i="82"/>
  <c r="L257" i="82"/>
  <c r="M257" i="82"/>
  <c r="N257" i="82"/>
  <c r="A258" i="82"/>
  <c r="H258" i="82"/>
  <c r="L258" i="82"/>
  <c r="M258" i="82"/>
  <c r="N258" i="82"/>
  <c r="A259" i="82"/>
  <c r="H259" i="82"/>
  <c r="L259" i="82"/>
  <c r="M259" i="82"/>
  <c r="N259" i="82"/>
  <c r="A260" i="82"/>
  <c r="H260" i="82"/>
  <c r="L260" i="82"/>
  <c r="M260" i="82"/>
  <c r="N260" i="82"/>
  <c r="A261" i="82"/>
  <c r="H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H266" i="82"/>
  <c r="L266" i="82"/>
  <c r="M266" i="82"/>
  <c r="N266" i="82"/>
  <c r="H267" i="82"/>
  <c r="L267" i="82"/>
  <c r="M267" i="82"/>
  <c r="N267" i="82"/>
  <c r="H268" i="82"/>
  <c r="L268" i="82"/>
  <c r="M268" i="82"/>
  <c r="N268" i="82"/>
  <c r="H269" i="82"/>
  <c r="L269" i="82"/>
  <c r="M269" i="82"/>
  <c r="N269" i="82"/>
  <c r="H270" i="82"/>
  <c r="L270" i="82"/>
  <c r="M270" i="82"/>
  <c r="N270" i="82"/>
  <c r="H271" i="82"/>
  <c r="L271" i="82"/>
  <c r="M271" i="82"/>
  <c r="N271" i="82"/>
  <c r="B58" i="106"/>
  <c r="B60" i="106"/>
  <c r="B61" i="106"/>
  <c r="D31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C3" i="103"/>
  <c r="M4" i="106"/>
  <c r="M12" i="106"/>
  <c r="M11" i="106"/>
  <c r="M10" i="106"/>
  <c r="M9" i="106"/>
  <c r="M8" i="106"/>
  <c r="M7" i="106"/>
  <c r="M6" i="106"/>
  <c r="M5" i="106"/>
  <c r="M3" i="106"/>
  <c r="I30" i="106"/>
  <c r="J30" i="106"/>
  <c r="I31" i="106"/>
  <c r="J31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0" i="103"/>
  <c r="E9" i="103"/>
  <c r="E8" i="103"/>
  <c r="E3" i="103"/>
  <c r="D21" i="158"/>
  <c r="F21" i="158"/>
  <c r="I21" i="158"/>
  <c r="J21" i="158"/>
  <c r="B59" i="158"/>
  <c r="B62" i="158"/>
  <c r="C55" i="158"/>
  <c r="C56" i="158"/>
  <c r="C57" i="158"/>
  <c r="C58" i="158"/>
  <c r="C59" i="158"/>
  <c r="C60" i="158"/>
  <c r="C61" i="158"/>
  <c r="C62" i="158"/>
  <c r="F62" i="158"/>
  <c r="F61" i="158"/>
  <c r="F60" i="158"/>
  <c r="B47" i="158"/>
  <c r="D47" i="158"/>
  <c r="D35" i="158"/>
  <c r="F35" i="158"/>
  <c r="I35" i="158"/>
  <c r="J35" i="158"/>
  <c r="I35" i="153"/>
  <c r="J35" i="153"/>
  <c r="F60" i="153"/>
  <c r="F61" i="153"/>
  <c r="F62" i="153"/>
  <c r="B47" i="153"/>
  <c r="D47" i="153"/>
  <c r="I36" i="153"/>
  <c r="J36" i="153"/>
  <c r="F36" i="153"/>
  <c r="D36" i="153"/>
  <c r="F35" i="153"/>
  <c r="D35" i="153"/>
  <c r="D35" i="106"/>
  <c r="F35" i="106"/>
  <c r="I35" i="106"/>
  <c r="J35" i="106"/>
  <c r="F27" i="106"/>
  <c r="D27" i="106"/>
  <c r="I27" i="106"/>
  <c r="J27" i="106"/>
  <c r="B57" i="106"/>
  <c r="D20" i="106"/>
  <c r="F20" i="106"/>
  <c r="I20" i="106"/>
  <c r="J20" i="106"/>
  <c r="B56" i="106"/>
  <c r="D42" i="106"/>
  <c r="F42" i="106"/>
  <c r="I42" i="106"/>
  <c r="J42" i="106"/>
  <c r="D35" i="147"/>
  <c r="F35" i="147"/>
  <c r="I35" i="147"/>
  <c r="J35" i="147"/>
  <c r="B56" i="147"/>
  <c r="I20" i="147"/>
  <c r="J20" i="147"/>
  <c r="F20" i="147"/>
  <c r="D20" i="147"/>
  <c r="F56" i="147"/>
  <c r="G56" i="147"/>
  <c r="D21" i="147"/>
  <c r="F21" i="147"/>
  <c r="I21" i="147"/>
  <c r="J21" i="147"/>
  <c r="D36" i="147"/>
  <c r="F36" i="147"/>
  <c r="I36" i="147"/>
  <c r="J36" i="147"/>
  <c r="B47" i="147"/>
  <c r="D47" i="147"/>
  <c r="F60" i="147"/>
  <c r="F61" i="147"/>
  <c r="B59" i="147"/>
  <c r="B62" i="147"/>
  <c r="C55" i="147"/>
  <c r="C56" i="147"/>
  <c r="C57" i="147"/>
  <c r="C58" i="147"/>
  <c r="C59" i="147"/>
  <c r="C60" i="147"/>
  <c r="C61" i="147"/>
  <c r="C62" i="147"/>
  <c r="F62" i="147"/>
  <c r="F65" i="147"/>
  <c r="P2" i="157"/>
  <c r="B59" i="106"/>
  <c r="I36" i="106"/>
  <c r="J36" i="106"/>
  <c r="F36" i="106"/>
  <c r="D36" i="106"/>
  <c r="I21" i="106"/>
  <c r="J21" i="106"/>
  <c r="F21" i="106"/>
  <c r="D21" i="106"/>
  <c r="D34" i="106"/>
  <c r="F34" i="106"/>
  <c r="I34" i="106"/>
  <c r="J34" i="106"/>
  <c r="F18" i="106"/>
  <c r="D17" i="106"/>
  <c r="D18" i="106"/>
  <c r="D19" i="106"/>
  <c r="F19" i="106"/>
  <c r="F17" i="106"/>
  <c r="I17" i="106"/>
  <c r="J17" i="106"/>
  <c r="I18" i="106"/>
  <c r="J18" i="106"/>
  <c r="I19" i="106"/>
  <c r="J19" i="106"/>
  <c r="B55" i="106"/>
  <c r="B62" i="106"/>
  <c r="C55" i="106"/>
  <c r="C56" i="106"/>
  <c r="C57" i="106"/>
  <c r="C58" i="106"/>
  <c r="C59" i="106"/>
  <c r="C60" i="106"/>
  <c r="C61" i="106"/>
  <c r="C62" i="106"/>
  <c r="H55" i="106"/>
  <c r="F33" i="106"/>
  <c r="I33" i="106"/>
  <c r="J33" i="106"/>
  <c r="D33" i="106"/>
  <c r="I32" i="106"/>
  <c r="J32" i="106"/>
  <c r="F32" i="106"/>
  <c r="D32" i="106"/>
  <c r="H56" i="106"/>
  <c r="F65" i="106"/>
  <c r="F61" i="106"/>
  <c r="F62" i="106"/>
  <c r="F60" i="106"/>
  <c r="B47" i="106"/>
  <c r="D47" i="106"/>
  <c r="C49" i="106"/>
  <c r="H56" i="149"/>
  <c r="F56" i="149"/>
  <c r="G56" i="149"/>
  <c r="F65" i="149"/>
  <c r="I20" i="149"/>
  <c r="J20" i="149"/>
  <c r="F20" i="149"/>
  <c r="D20" i="149"/>
  <c r="D21" i="149"/>
  <c r="F21" i="149"/>
  <c r="I21" i="149"/>
  <c r="J21" i="149"/>
  <c r="B56" i="149"/>
  <c r="B59" i="149"/>
  <c r="B62" i="149"/>
  <c r="C56" i="149"/>
  <c r="C57" i="149"/>
  <c r="C58" i="149"/>
  <c r="C59" i="149"/>
  <c r="C60" i="149"/>
  <c r="C61" i="149"/>
  <c r="C55" i="149"/>
  <c r="C62" i="149"/>
  <c r="B47" i="149"/>
  <c r="D47" i="149"/>
  <c r="I36" i="149"/>
  <c r="J36" i="149"/>
  <c r="F36" i="149"/>
  <c r="D36" i="149"/>
  <c r="F35" i="149"/>
  <c r="D35" i="149"/>
  <c r="I35" i="149"/>
  <c r="J35" i="149"/>
  <c r="F62" i="149"/>
  <c r="F61" i="149"/>
  <c r="F60" i="149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<sst xmlns="http://schemas.openxmlformats.org/spreadsheetml/2006/main" count="991" uniqueCount="297">
  <si>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</si>
  <si>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</si>
  <si>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</si>
  <si>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</si>
  <si>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</si>
  <si>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</si>
  <si>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</si>
  <si>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</si>
  <si>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</si>
  <si>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</si>
  <si>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</si>
  <si>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</si>
  <si>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</si>
  <si>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</si>
  <si>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</si>
  <si>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</si>
  <si>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</si>
  <si>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</si>
  <si>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</si>
  <si>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</si>
  <si>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</si>
  <si>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</si>
  <si>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</si>
  <si>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</si>
  <si>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</si>
  <si>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</si>
  <si>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</si>
  <si>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</si>
  <si>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</si>
  <si>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</si>
  <si>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</si>
  <si>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</si>
  <si>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</si>
  <si>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</si>
  <si>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</si>
  <si>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</si>
  <si>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</si>
  <si>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</si>
  <si>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</si>
  <si>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</si>
  <si>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</si>
  <si>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</si>
  <si>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</si>
  <si>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</si>
  <si>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</si>
  <si>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</si>
  <si>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</si>
  <si>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</si>
  <si>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</si>
  <si>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</si>
  <si>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</si>
  <si>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</si>
  <si>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</si>
  <si>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</si>
  <si>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</si>
  <si>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</si>
  <si>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</si>
  <si>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</si>
  <si>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</si>
  <si>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</si>
  <si>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</si>
  <si>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</si>
  <si>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</si>
  <si>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</si>
  <si>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</si>
  <si>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</si>
  <si>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</si>
  <si>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</si>
  <si>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</si>
  <si>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</si>
  <si>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</si>
  <si>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</si>
  <si>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</si>
  <si>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</si>
  <si>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</si>
  <si>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</si>
  <si>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</si>
  <si>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</si>
  <si>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</si>
  <si>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</si>
  <si>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</si>
  <si>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</si>
  <si>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</si>
  <si>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</si>
  <si>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</si>
  <si>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</si>
  <si>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</si>
  <si>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</si>
  <si>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</si>
  <si>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</si>
  <si>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</si>
  <si>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</si>
  <si>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</si>
  <si>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</si>
  <si>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</si>
  <si>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</si>
  <si>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</si>
  <si>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</si>
  <si>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</si>
  <si>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</si>
  <si>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</si>
  <si>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</si>
  <si>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</si>
  <si>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</si>
  <si>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</si>
  <si>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</si>
  <si>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</si>
  <si>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</si>
  <si>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</si>
  <si>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</si>
  <si>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</si>
  <si>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</si>
  <si>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</si>
  <si>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</si>
  <si>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</si>
  <si>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</si>
  <si>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</si>
  <si>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</si>
  <si>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</si>
  <si>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</si>
  <si>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</si>
  <si>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</si>
  <si>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</si>
  <si>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</si>
  <si>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</si>
  <si>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</si>
  <si>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</si>
  <si>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</si>
  <si>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</si>
  <si>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</si>
  <si>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</si>
  <si>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</si>
  <si>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</si>
  <si>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</si>
  <si>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</si>
  <si>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</si>
  <si>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</si>
  <si>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</si>
  <si>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</si>
  <si>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</si>
  <si>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</si>
  <si>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</si>
  <si>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</si>
  <si>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</si>
  <si>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</si>
  <si>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</si>
  <si>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</si>
  <si>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</si>
  <si>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</si>
  <si>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</si>
  <si>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</si>
  <si>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</si>
  <si>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</si>
  <si>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</si>
  <si>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</si>
  <si>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</si>
  <si>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</si>
  <si>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</si>
  <si>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</si>
  <si>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</si>
  <si>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</si>
  <si>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</si>
  <si>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</si>
  <si>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</si>
  <si>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</si>
  <si>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</si>
  <si>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</si>
  <si>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</si>
  <si>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</si>
  <si>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</si>
  <si>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</si>
  <si>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</si>
  <si>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</si>
  <si>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</si>
  <si>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</si>
  <si>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</si>
  <si>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</si>
  <si>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</si>
  <si>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</si>
  <si>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</si>
  <si>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</si>
  <si>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</si>
  <si>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</si>
  <si>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</si>
  <si>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</si>
  <si>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</si>
  <si>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</si>
  <si>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</si>
  <si>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</si>
  <si>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</si>
  <si>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</si>
  <si>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</si>
  <si>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</si>
  <si>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</si>
  <si>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</si>
  <si>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</si>
  <si>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</si>
  <si>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</si>
  <si>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</si>
  <si>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</si>
  <si>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</si>
  <si>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</si>
  <si>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</si>
  <si>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</si>
  <si>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</si>
  <si>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</si>
  <si>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</si>
  <si>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</si>
  <si>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</si>
  <si>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</si>
  <si>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</si>
  <si>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</si>
  <si>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</si>
  <si>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</si>
  <si>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</si>
  <si>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</si>
  <si>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</si>
  <si>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</si>
  <si>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</si>
  <si>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</si>
  <si>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</si>
  <si>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</si>
  <si>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</si>
  <si>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</si>
  <si>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</si>
  <si>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</si>
  <si>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</si>
  <si>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</si>
  <si>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</si>
  <si>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</si>
  <si>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</si>
  <si>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</si>
  <si>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</si>
  <si>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</si>
  <si>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</si>
  <si>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</si>
  <si>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</si>
  <si>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</si>
  <si>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</si>
  <si>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</si>
  <si>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</si>
  <si>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</si>
  <si>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</si>
  <si>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</si>
  <si>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</si>
  <si>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</si>
  <si>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</si>
  <si>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</si>
  <si>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unit</t>
    <phoneticPr fontId="19"/>
  </si>
  <si>
    <t>Xcolor</t>
    <phoneticPr fontId="19"/>
  </si>
  <si>
    <t>Ycolor</t>
    <phoneticPr fontId="19"/>
  </si>
  <si>
    <t>Premium4color</t>
    <phoneticPr fontId="19"/>
  </si>
  <si>
    <t>PremiumW3color</t>
    <phoneticPr fontId="19"/>
  </si>
  <si>
    <t>PremiumW4color</t>
    <phoneticPr fontId="19"/>
  </si>
  <si>
    <t>Premium3color</t>
    <phoneticPr fontId="19"/>
  </si>
  <si>
    <t>Premium5color</t>
    <phoneticPr fontId="19"/>
  </si>
  <si>
    <t>Premium4R3lesscolor</t>
    <phoneticPr fontId="19"/>
  </si>
  <si>
    <t>Premium5R3lesscolor</t>
    <phoneticPr fontId="19"/>
  </si>
  <si>
    <t>Premium3R6releasecolor</t>
    <phoneticPr fontId="19"/>
  </si>
  <si>
    <t>Premium4R6releasecolor</t>
    <phoneticPr fontId="19"/>
  </si>
  <si>
    <t>Premium5R6releasecolor</t>
    <phoneticPr fontId="19"/>
  </si>
  <si>
    <t>PremiumSS4color</t>
    <phoneticPr fontId="19"/>
  </si>
  <si>
    <t>PremiumSS5color</t>
    <phoneticPr fontId="19"/>
  </si>
  <si>
    <t>PremiumSS5R5onlycolor</t>
    <phoneticPr fontId="19"/>
  </si>
  <si>
    <t>PremiumSSS4R3lesscolor</t>
    <phoneticPr fontId="19"/>
  </si>
  <si>
    <t>PremiumSSS5R3lesscolor</t>
    <phoneticPr fontId="19"/>
  </si>
  <si>
    <t>PremiumSSS4R3less</t>
    <phoneticPr fontId="19"/>
  </si>
  <si>
    <t>PremiumSSS5R3less</t>
    <phoneticPr fontId="19"/>
  </si>
  <si>
    <t>unit</t>
    <phoneticPr fontId="19"/>
  </si>
  <si>
    <t>秘術の果実x3</t>
    <phoneticPr fontId="19"/>
  </si>
  <si>
    <t>秘術の果実</t>
    <phoneticPr fontId="19"/>
  </si>
  <si>
    <t>ランキング対抗ガチャ特典</t>
    <rPh sb="10" eb="12">
      <t>トクテン</t>
    </rPh>
    <phoneticPr fontId="19"/>
  </si>
  <si>
    <t>STEP4特典として
秘術の果実1体をプレゼント！</t>
    <phoneticPr fontId="19"/>
  </si>
  <si>
    <t>STEP5特典として
秘術の果実3体をプレゼント！</t>
    <phoneticPr fontId="19"/>
  </si>
  <si>
    <t>通常確率</t>
    <phoneticPr fontId="19"/>
  </si>
  <si>
    <t>通常確率</t>
    <phoneticPr fontId="19"/>
  </si>
  <si>
    <t>通常確率</t>
    <phoneticPr fontId="19"/>
  </si>
  <si>
    <t>old</t>
    <phoneticPr fontId="19"/>
  </si>
  <si>
    <t>PremiumSSS</t>
    <phoneticPr fontId="19"/>
  </si>
  <si>
    <t>PremiumSSw</t>
    <phoneticPr fontId="19"/>
  </si>
  <si>
    <t>PremiumSS5R5only</t>
    <phoneticPr fontId="19"/>
  </si>
  <si>
    <t>PremiumSSS</t>
    <phoneticPr fontId="19"/>
  </si>
  <si>
    <t>PremiumSSw</t>
    <phoneticPr fontId="19"/>
  </si>
  <si>
    <t>PremiumSSw</t>
    <phoneticPr fontId="19"/>
  </si>
  <si>
    <t>PremiumSSS</t>
    <phoneticPr fontId="19"/>
  </si>
  <si>
    <t>PremiumSSS</t>
    <phoneticPr fontId="19"/>
  </si>
  <si>
    <t>↓これが正しい</t>
    <phoneticPr fontId="19"/>
  </si>
  <si>
    <t>tables_442101</t>
  </si>
  <si>
    <t>tables_442103</t>
  </si>
  <si>
    <t>tables_settle_442103</t>
  </si>
  <si>
    <t>tables_442104</t>
  </si>
  <si>
    <t>tables_442105</t>
  </si>
  <si>
    <t>tables_442100</t>
  </si>
  <si>
    <t>442104</t>
  </si>
  <si>
    <t>4421041</t>
  </si>
  <si>
    <t>442105</t>
  </si>
  <si>
    <t>4421051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</si>
</sst>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"/>
    <numFmt numFmtId="184" formatCode="0.0000000000000000000%"/>
    <numFmt numFmtId="185" formatCode="0.000000000000000000_ "/>
    <numFmt numFmtId="186" formatCode="0.000000000000%"/>
    <numFmt numFmtId="187" formatCode="0.0000000000000000_ "/>
    <numFmt numFmtId="188" formatCode="0.000_);[Red]\(0.000\)"/>
    <numFmt numFmtId="189" formatCode="0.00000_);[Red]\(0.00000\)"/>
    <numFmt numFmtId="190" formatCode="0.000000000_);[Red]\(0.000000000\)"/>
    <numFmt numFmtId="191" formatCode="0.000000000_ 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0"/>
      <name val="Arial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668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</cellStyleXfs>
  <cellXfs count="110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51" fillId="4" borderId="1" xfId="0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  <xf numFmtId="176" fontId="56" fillId="32" borderId="1" xfId="0" applyNumberFormat="1" applyFont="1" applyFill="1" applyBorder="1"/>
    <xf numFmtId="177" fontId="0" fillId="0" borderId="0" xfId="0" applyNumberFormat="1"/>
    <xf numFmtId="180" fontId="0" fillId="4" borderId="1" xfId="0" applyNumberFormat="1" applyFill="1" applyBorder="1"/>
    <xf numFmtId="182" fontId="0" fillId="0" borderId="0" xfId="0" applyNumberFormat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/>
    <xf numFmtId="0" fontId="24" fillId="0" borderId="17" xfId="2" applyFont="1" applyBorder="1" applyAlignment="1">
      <alignment vertical="center"/>
    </xf>
    <xf numFmtId="0" fontId="24" fillId="3" borderId="18" xfId="2" applyFont="1" applyFill="1" applyBorder="1" applyAlignment="1">
      <alignment vertical="center"/>
    </xf>
    <xf numFmtId="0" fontId="57" fillId="0" borderId="1" xfId="0" applyFont="1" applyBorder="1"/>
    <xf numFmtId="187" fontId="0" fillId="0" borderId="0" xfId="0" applyNumberFormat="1"/>
    <xf numFmtId="189" fontId="0" fillId="0" borderId="0" xfId="3575" applyNumberFormat="1" applyFont="1"/>
    <xf numFmtId="0" fontId="0" fillId="0" borderId="0" xfId="0" applyAlignment="1">
      <alignment horizontal="center"/>
    </xf>
    <xf numFmtId="188" fontId="0" fillId="0" borderId="0" xfId="0" applyNumberFormat="1"/>
    <xf numFmtId="189" fontId="0" fillId="0" borderId="0" xfId="0" applyNumberFormat="1"/>
    <xf numFmtId="190" fontId="0" fillId="0" borderId="0" xfId="0" applyNumberFormat="1"/>
    <xf numFmtId="191" fontId="0" fillId="0" borderId="0" xfId="0" applyNumberFormat="1"/>
    <xf numFmtId="0" fontId="24" fillId="0" borderId="0" xfId="2" applyFont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unknown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unknown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5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6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バリアテスト</v>
          </cell>
          <cell r="H1296" t="str">
            <v>green</v>
          </cell>
          <cell r="I1296">
            <v>5</v>
          </cell>
          <cell r="J1296" t="str">
            <v>PremiumSSS</v>
          </cell>
          <cell r="K1296" t="str">
            <v>attack</v>
          </cell>
          <cell r="L1296" t="str">
            <v>攻撃タイプ</v>
          </cell>
          <cell r="M1296" t="str">
            <v>academia</v>
          </cell>
        </row>
        <row r="1297">
          <cell r="A1297">
            <v>1296</v>
          </cell>
          <cell r="B1297" t="str">
            <v>ja</v>
          </cell>
          <cell r="C1297" t="str">
            <v>バリアテスト</v>
          </cell>
          <cell r="H1297" t="str">
            <v>green</v>
          </cell>
          <cell r="I1297">
            <v>6</v>
          </cell>
          <cell r="J1297" t="str">
            <v>PremiumSSS</v>
          </cell>
          <cell r="K1297" t="str">
            <v>attack</v>
          </cell>
          <cell r="L1297" t="str">
            <v>攻撃タイプ</v>
          </cell>
          <cell r="M1297" t="str">
            <v>academia</v>
          </cell>
        </row>
        <row r="1298">
          <cell r="A1298">
            <v>1297</v>
          </cell>
          <cell r="B1298" t="str">
            <v>ja</v>
          </cell>
          <cell r="C1298" t="str">
            <v>フェルメール</v>
          </cell>
          <cell r="H1298" t="str">
            <v>blue</v>
          </cell>
          <cell r="I1298">
            <v>5</v>
          </cell>
          <cell r="J1298" t="str">
            <v>PremiumSSS</v>
          </cell>
          <cell r="K1298" t="str">
            <v>heal</v>
          </cell>
          <cell r="L1298" t="str">
            <v>回復タイプ</v>
          </cell>
          <cell r="M1298" t="str">
            <v>academia</v>
          </cell>
        </row>
        <row r="1299">
          <cell r="A1299">
            <v>1298</v>
          </cell>
          <cell r="B1299" t="str">
            <v>ja</v>
          </cell>
          <cell r="C1299" t="str">
            <v>フェルメール</v>
          </cell>
          <cell r="H1299" t="str">
            <v>blue</v>
          </cell>
          <cell r="I1299">
            <v>6</v>
          </cell>
          <cell r="J1299" t="str">
            <v>PremiumSSS</v>
          </cell>
          <cell r="K1299" t="str">
            <v>heal</v>
          </cell>
          <cell r="L1299" t="str">
            <v>回復タイプ</v>
          </cell>
          <cell r="M1299" t="str">
            <v>academia</v>
          </cell>
        </row>
        <row r="1300">
          <cell r="A1300">
            <v>6001</v>
          </cell>
          <cell r="B1300" t="str">
            <v>ja</v>
          </cell>
          <cell r="C1300" t="str">
            <v>ジェリー</v>
          </cell>
          <cell r="D1300" t="str">
            <v>ノーマルクエスト</v>
          </cell>
          <cell r="E1300" t="str">
            <v>QoH</v>
          </cell>
          <cell r="F1300" t="str">
            <v>世界観</v>
          </cell>
          <cell r="G1300" t="str">
            <v>不明</v>
          </cell>
          <cell r="H1300" t="str">
            <v>red</v>
          </cell>
          <cell r="I1300">
            <v>1</v>
          </cell>
          <cell r="J1300" t="str">
            <v>Drop1T</v>
          </cell>
          <cell r="K1300" t="str">
            <v>ra</v>
          </cell>
          <cell r="L1300" t="str">
            <v>ラグランジュチャレンジ</v>
          </cell>
          <cell r="M1300" t="str">
            <v>unknown</v>
          </cell>
        </row>
        <row r="1301">
          <cell r="A1301">
            <v>6002</v>
          </cell>
          <cell r="B1301" t="str">
            <v>ja</v>
          </cell>
          <cell r="C1301" t="str">
            <v>ヨシタカ</v>
          </cell>
          <cell r="D1301" t="str">
            <v>ノーマルクエスト</v>
          </cell>
          <cell r="E1301" t="str">
            <v>アバター</v>
          </cell>
          <cell r="F1301" t="str">
            <v>世界観</v>
          </cell>
          <cell r="G1301" t="str">
            <v>男性</v>
          </cell>
          <cell r="H1301" t="str">
            <v>red</v>
          </cell>
          <cell r="I1301">
            <v>2</v>
          </cell>
          <cell r="J1301" t="str">
            <v>Drop1N</v>
          </cell>
          <cell r="K1301" t="str">
            <v>ra</v>
          </cell>
          <cell r="L1301" t="str">
            <v>ラグランジュチャレンジ</v>
          </cell>
          <cell r="M1301" t="str">
            <v>human</v>
          </cell>
        </row>
        <row r="1302">
          <cell r="A1302">
            <v>6003</v>
          </cell>
          <cell r="B1302" t="str">
            <v>ja</v>
          </cell>
          <cell r="C1302" t="str">
            <v>朱雀</v>
          </cell>
          <cell r="D1302" t="str">
            <v>リンクガチャ:4神</v>
          </cell>
          <cell r="E1302" t="str">
            <v>守護神</v>
          </cell>
          <cell r="F1302" t="str">
            <v>格好いい</v>
          </cell>
          <cell r="G1302" t="str">
            <v>不明</v>
          </cell>
          <cell r="H1302" t="str">
            <v>red</v>
          </cell>
          <cell r="I1302">
            <v>3</v>
          </cell>
          <cell r="J1302" t="str">
            <v>Drop2N</v>
          </cell>
          <cell r="K1302" t="str">
            <v>ra</v>
          </cell>
          <cell r="L1302" t="str">
            <v>ラグランジュチャレンジ</v>
          </cell>
          <cell r="M1302" t="str">
            <v>animal</v>
          </cell>
        </row>
        <row r="1303">
          <cell r="A1303">
            <v>6004</v>
          </cell>
          <cell r="B1303" t="str">
            <v>ja</v>
          </cell>
          <cell r="C1303" t="str">
            <v>ブレット</v>
          </cell>
          <cell r="D1303" t="str">
            <v>ノーマルクエスト</v>
          </cell>
          <cell r="E1303" t="str">
            <v>アバター</v>
          </cell>
          <cell r="F1303" t="str">
            <v>世界観</v>
          </cell>
          <cell r="G1303" t="str">
            <v>不明</v>
          </cell>
          <cell r="H1303" t="str">
            <v>red</v>
          </cell>
          <cell r="I1303">
            <v>1</v>
          </cell>
          <cell r="J1303" t="str">
            <v>Drop1W</v>
          </cell>
          <cell r="K1303" t="str">
            <v>ra</v>
          </cell>
          <cell r="L1303" t="str">
            <v>ラグランジュチャレンジ</v>
          </cell>
          <cell r="M1303" t="str">
            <v>animal</v>
          </cell>
        </row>
        <row r="1304">
          <cell r="A1304">
            <v>6005</v>
          </cell>
          <cell r="B1304" t="str">
            <v>ja</v>
          </cell>
          <cell r="C1304" t="str">
            <v>孤神 テティス</v>
          </cell>
          <cell r="D1304" t="str">
            <v>初期ガチャ</v>
          </cell>
          <cell r="E1304" t="str">
            <v>管理者</v>
          </cell>
          <cell r="F1304" t="str">
            <v>美しい</v>
          </cell>
          <cell r="G1304" t="str">
            <v>女性</v>
          </cell>
          <cell r="H1304" t="str">
            <v>blue</v>
          </cell>
          <cell r="I1304">
            <v>4</v>
          </cell>
          <cell r="J1304" t="str">
            <v>PremiumN</v>
          </cell>
          <cell r="K1304" t="str">
            <v>ra</v>
          </cell>
          <cell r="L1304" t="str">
            <v>ラグランジュチャレンジ</v>
          </cell>
          <cell r="M1304" t="str">
            <v>god</v>
          </cell>
        </row>
        <row r="1305">
          <cell r="A1305">
            <v>6006</v>
          </cell>
          <cell r="B1305" t="str">
            <v>ja</v>
          </cell>
          <cell r="C1305" t="str">
            <v>海底の孤高神 テティス</v>
          </cell>
          <cell r="D1305" t="str">
            <v>初期ガチャ</v>
          </cell>
          <cell r="E1305" t="str">
            <v>管理者</v>
          </cell>
          <cell r="F1305" t="str">
            <v>美しい</v>
          </cell>
          <cell r="G1305" t="str">
            <v>女性</v>
          </cell>
          <cell r="H1305" t="str">
            <v>blue</v>
          </cell>
          <cell r="I1305">
            <v>5</v>
          </cell>
          <cell r="J1305" t="str">
            <v>PremiumN</v>
          </cell>
          <cell r="K1305" t="str">
            <v>ra</v>
          </cell>
          <cell r="L1305" t="str">
            <v>ラグランジュチャレンジ</v>
          </cell>
          <cell r="M1305" t="str">
            <v>god</v>
          </cell>
        </row>
        <row r="1306">
          <cell r="A1306">
            <v>6007</v>
          </cell>
          <cell r="B1306" t="str">
            <v>ja</v>
          </cell>
          <cell r="C1306" t="str">
            <v>番犬 ケルベロス</v>
          </cell>
          <cell r="D1306" t="str">
            <v>初期ガチャ</v>
          </cell>
          <cell r="E1306" t="str">
            <v>破界者</v>
          </cell>
          <cell r="F1306" t="str">
            <v>可愛い</v>
          </cell>
          <cell r="G1306" t="str">
            <v>女性</v>
          </cell>
          <cell r="H1306" t="str">
            <v>red</v>
          </cell>
          <cell r="I1306">
            <v>4</v>
          </cell>
          <cell r="J1306" t="str">
            <v>PremiumN</v>
          </cell>
          <cell r="K1306" t="str">
            <v>ra</v>
          </cell>
          <cell r="L1306" t="str">
            <v>ラグランジュチャレンジ</v>
          </cell>
          <cell r="M1306" t="str">
            <v>animal</v>
          </cell>
        </row>
        <row r="1307">
          <cell r="A1307">
            <v>6008</v>
          </cell>
          <cell r="B1307" t="str">
            <v>ja</v>
          </cell>
          <cell r="C1307" t="str">
            <v>焔神 プロメテウス</v>
          </cell>
          <cell r="D1307" t="str">
            <v>初期ガチャ</v>
          </cell>
          <cell r="E1307" t="str">
            <v>管理者</v>
          </cell>
          <cell r="F1307" t="str">
            <v>格好いい</v>
          </cell>
          <cell r="G1307" t="str">
            <v>男性</v>
          </cell>
          <cell r="H1307" t="str">
            <v>red</v>
          </cell>
          <cell r="I1307">
            <v>4</v>
          </cell>
          <cell r="J1307" t="str">
            <v>PremiumN</v>
          </cell>
          <cell r="K1307" t="str">
            <v>ra</v>
          </cell>
          <cell r="L1307" t="str">
            <v>ラグランジュチャレンジ</v>
          </cell>
          <cell r="M1307" t="str">
            <v>god</v>
          </cell>
        </row>
        <row r="1308">
          <cell r="A1308">
            <v>6009</v>
          </cell>
          <cell r="B1308" t="str">
            <v>ja</v>
          </cell>
          <cell r="C1308" t="str">
            <v>超越自我 ラグランジュ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女性</v>
          </cell>
          <cell r="H1308" t="str">
            <v>red</v>
          </cell>
          <cell r="I1308">
            <v>5</v>
          </cell>
          <cell r="J1308" t="str">
            <v>PremiumSSS</v>
          </cell>
          <cell r="K1308" t="str">
            <v>ra</v>
          </cell>
          <cell r="L1308" t="str">
            <v>ラグランジュチャレンジ</v>
          </cell>
          <cell r="M1308" t="str">
            <v>human</v>
          </cell>
        </row>
        <row r="1309">
          <cell r="A1309">
            <v>6010</v>
          </cell>
          <cell r="B1309" t="str">
            <v>ja</v>
          </cell>
          <cell r="C1309" t="str">
            <v>超越凌駕 ラグランジュ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女性</v>
          </cell>
          <cell r="H1309" t="str">
            <v>red</v>
          </cell>
          <cell r="I1309">
            <v>6</v>
          </cell>
          <cell r="J1309" t="str">
            <v>PremiumSSS</v>
          </cell>
          <cell r="K1309" t="str">
            <v>ra</v>
          </cell>
          <cell r="L1309" t="str">
            <v>ラグランジュチャレンジ</v>
          </cell>
          <cell r="M1309" t="str">
            <v>human</v>
          </cell>
        </row>
        <row r="1310">
          <cell r="A1310">
            <v>6011</v>
          </cell>
          <cell r="B1310" t="str">
            <v>ja</v>
          </cell>
          <cell r="C1310" t="str">
            <v>パトドッグリーダー ポチ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2</v>
          </cell>
          <cell r="J1310" t="str">
            <v>Drop1T</v>
          </cell>
          <cell r="K1310" t="str">
            <v>ra002</v>
          </cell>
          <cell r="L1310" t="str">
            <v>ユークリッドチャレンジ</v>
          </cell>
          <cell r="M1310" t="str">
            <v>unknown</v>
          </cell>
        </row>
        <row r="1311">
          <cell r="A1311">
            <v>6012</v>
          </cell>
          <cell r="B1311" t="str">
            <v>ja</v>
          </cell>
          <cell r="C1311" t="str">
            <v>ミミ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yellow</v>
          </cell>
          <cell r="I1311">
            <v>1</v>
          </cell>
          <cell r="J1311" t="str">
            <v>Drop1W</v>
          </cell>
          <cell r="K1311" t="str">
            <v>ra002</v>
          </cell>
          <cell r="L1311" t="str">
            <v>ユークリッドチャレンジ</v>
          </cell>
          <cell r="M1311" t="str">
            <v>animal</v>
          </cell>
        </row>
        <row r="1312">
          <cell r="A1312">
            <v>6013</v>
          </cell>
          <cell r="B1312" t="str">
            <v>ja</v>
          </cell>
          <cell r="C1312" t="str">
            <v>護衛機人 スケアクロウ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2</v>
          </cell>
          <cell r="J1312" t="str">
            <v>Drop1N</v>
          </cell>
          <cell r="K1312" t="str">
            <v>ra002</v>
          </cell>
          <cell r="L1312" t="str">
            <v>ユークリッドチャレンジ</v>
          </cell>
          <cell r="M1312" t="str">
            <v>machine</v>
          </cell>
        </row>
        <row r="1313">
          <cell r="A1313">
            <v>6014</v>
          </cell>
          <cell r="B1313" t="str">
            <v>ja</v>
          </cell>
          <cell r="C1313" t="str">
            <v>月下の人狼 ローレンス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blue</v>
          </cell>
          <cell r="I1313">
            <v>4</v>
          </cell>
          <cell r="J1313" t="str">
            <v>PremiumW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6015</v>
          </cell>
          <cell r="B1314" t="str">
            <v>ja</v>
          </cell>
          <cell r="C1314" t="str">
            <v>フレイヤ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blue</v>
          </cell>
          <cell r="I1314">
            <v>4</v>
          </cell>
          <cell r="J1314" t="str">
            <v>PremiumSS</v>
          </cell>
          <cell r="K1314" t="str">
            <v>ra002</v>
          </cell>
          <cell r="L1314" t="str">
            <v>ユークリッドチャレンジ</v>
          </cell>
          <cell r="M1314" t="str">
            <v>animal</v>
          </cell>
        </row>
        <row r="1315">
          <cell r="A1315">
            <v>6016</v>
          </cell>
          <cell r="B1315" t="str">
            <v>ja</v>
          </cell>
          <cell r="C1315" t="str">
            <v>根原論理 ユークリッド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5</v>
          </cell>
          <cell r="J1315" t="str">
            <v>PremiumSSS</v>
          </cell>
          <cell r="K1315" t="str">
            <v>ra002</v>
          </cell>
          <cell r="L1315" t="str">
            <v>ユークリッドチャレンジ</v>
          </cell>
          <cell r="M1315" t="str">
            <v>human</v>
          </cell>
        </row>
        <row r="1316">
          <cell r="A1316">
            <v>6017</v>
          </cell>
          <cell r="B1316" t="str">
            <v>ja</v>
          </cell>
          <cell r="C1316" t="str">
            <v>不朽の極論 ユークリッド</v>
          </cell>
          <cell r="D1316" t="str">
            <v>ガチャ:フィーバーフェス02</v>
          </cell>
          <cell r="E1316" t="str">
            <v>執行者</v>
          </cell>
          <cell r="F1316" t="str">
            <v>格好いい</v>
          </cell>
          <cell r="G1316" t="str">
            <v>男性</v>
          </cell>
          <cell r="H1316" t="str">
            <v>blue</v>
          </cell>
          <cell r="I1316">
            <v>6</v>
          </cell>
          <cell r="J1316" t="str">
            <v>PremiumSSS</v>
          </cell>
          <cell r="K1316" t="str">
            <v>ra002</v>
          </cell>
          <cell r="L1316" t="str">
            <v>ユークリッドチャレンジ</v>
          </cell>
          <cell r="M1316" t="str">
            <v>human</v>
          </cell>
        </row>
        <row r="1317">
          <cell r="A1317">
            <v>6018</v>
          </cell>
          <cell r="B1317" t="str">
            <v>ja</v>
          </cell>
          <cell r="C1317" t="str">
            <v>ハヅル</v>
          </cell>
          <cell r="D1317" t="str">
            <v>ガチャ:フィーバーフェス02</v>
          </cell>
          <cell r="E1317" t="str">
            <v>執行者</v>
          </cell>
          <cell r="F1317" t="str">
            <v>格好いい</v>
          </cell>
          <cell r="G1317" t="str">
            <v>男性</v>
          </cell>
          <cell r="H1317" t="str">
            <v>red</v>
          </cell>
          <cell r="I1317">
            <v>4</v>
          </cell>
          <cell r="J1317" t="str">
            <v>PremiumSS</v>
          </cell>
          <cell r="K1317" t="str">
            <v>ra002</v>
          </cell>
          <cell r="L1317" t="str">
            <v>ユークリッドチャレンジ</v>
          </cell>
          <cell r="M1317" t="str">
            <v>animal</v>
          </cell>
        </row>
        <row r="1318">
          <cell r="A1318">
            <v>6019</v>
          </cell>
          <cell r="B1318" t="str">
            <v>ja</v>
          </cell>
          <cell r="C1318" t="str">
            <v>天織羽鶴 ハヅル</v>
          </cell>
          <cell r="D1318" t="str">
            <v>ガチャ:フィーバーフェス02</v>
          </cell>
          <cell r="E1318" t="str">
            <v>執行者</v>
          </cell>
          <cell r="F1318" t="str">
            <v>格好いい</v>
          </cell>
          <cell r="G1318" t="str">
            <v>男性</v>
          </cell>
          <cell r="H1318" t="str">
            <v>red</v>
          </cell>
          <cell r="I1318">
            <v>5</v>
          </cell>
          <cell r="J1318" t="str">
            <v>PremiumSS</v>
          </cell>
          <cell r="K1318" t="str">
            <v>ra002</v>
          </cell>
          <cell r="L1318" t="str">
            <v>ユークリッドチャレンジ</v>
          </cell>
          <cell r="M1318" t="str">
            <v>animal</v>
          </cell>
        </row>
        <row r="1319">
          <cell r="A1319">
            <v>6020</v>
          </cell>
          <cell r="B1319" t="str">
            <v>ja</v>
          </cell>
          <cell r="C1319" t="str">
            <v>ミズチ</v>
          </cell>
          <cell r="D1319" t="str">
            <v>ガチャ:フィーバーフェス02</v>
          </cell>
          <cell r="E1319" t="str">
            <v>執行者</v>
          </cell>
          <cell r="F1319" t="str">
            <v>格好いい</v>
          </cell>
          <cell r="G1319" t="str">
            <v>男性</v>
          </cell>
          <cell r="H1319" t="str">
            <v>blue</v>
          </cell>
          <cell r="I1319">
            <v>4</v>
          </cell>
          <cell r="J1319" t="str">
            <v>PremiumS</v>
          </cell>
          <cell r="K1319" t="str">
            <v>ra002</v>
          </cell>
          <cell r="L1319" t="str">
            <v>ユークリッドチャレンジ</v>
          </cell>
          <cell r="M1319" t="str">
            <v>dragon</v>
          </cell>
        </row>
        <row r="1320">
          <cell r="A1320">
            <v>8001</v>
          </cell>
          <cell r="B1320" t="str">
            <v>ja</v>
          </cell>
          <cell r="C1320" t="str">
            <v>媽祖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女性</v>
          </cell>
          <cell r="H1320" t="str">
            <v>yellow</v>
          </cell>
          <cell r="I1320">
            <v>5</v>
          </cell>
          <cell r="J1320" t="str">
            <v>PremiumSS</v>
          </cell>
          <cell r="K1320" t="str">
            <v>attack</v>
          </cell>
          <cell r="L1320" t="str">
            <v>攻撃タイプ</v>
          </cell>
          <cell r="M1320" t="str">
            <v>god</v>
          </cell>
        </row>
        <row r="1321">
          <cell r="A1321">
            <v>8002</v>
          </cell>
          <cell r="B1321" t="str">
            <v>ja</v>
          </cell>
          <cell r="C1321" t="str">
            <v>天后 媽祖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女性</v>
          </cell>
          <cell r="H1321" t="str">
            <v>yellow</v>
          </cell>
          <cell r="I1321">
            <v>6</v>
          </cell>
          <cell r="J1321" t="str">
            <v>PremiumSS</v>
          </cell>
          <cell r="K1321" t="str">
            <v>attack</v>
          </cell>
          <cell r="L1321" t="str">
            <v>攻撃タイプ</v>
          </cell>
          <cell r="M1321" t="str">
            <v>god</v>
          </cell>
        </row>
        <row r="1322">
          <cell r="A1322">
            <v>8003</v>
          </cell>
          <cell r="B1322" t="str">
            <v>ja</v>
          </cell>
          <cell r="C1322" t="str">
            <v>蛟龍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blue</v>
          </cell>
          <cell r="I1322">
            <v>5</v>
          </cell>
          <cell r="J1322" t="str">
            <v>DropWizS</v>
          </cell>
          <cell r="K1322" t="str">
            <v>hp</v>
          </cell>
          <cell r="L1322" t="str">
            <v>体力タイプ</v>
          </cell>
          <cell r="M1322" t="str">
            <v>dragon</v>
          </cell>
        </row>
        <row r="1323">
          <cell r="A1323">
            <v>8004</v>
          </cell>
          <cell r="B1323" t="str">
            <v>ja</v>
          </cell>
          <cell r="C1323" t="str">
            <v>深海蛟龍怪‧晏公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blue</v>
          </cell>
          <cell r="I1323">
            <v>6</v>
          </cell>
          <cell r="J1323" t="str">
            <v>DropWizS</v>
          </cell>
          <cell r="K1323" t="str">
            <v>hp</v>
          </cell>
          <cell r="L1323" t="str">
            <v>体力タイプ</v>
          </cell>
          <cell r="M1323" t="str">
            <v>dragon</v>
          </cell>
        </row>
        <row r="1324">
          <cell r="A1324">
            <v>8005</v>
          </cell>
          <cell r="B1324" t="str">
            <v>ja</v>
          </cell>
          <cell r="C1324" t="str">
            <v>三蔵法師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blue</v>
          </cell>
          <cell r="I1324">
            <v>5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human</v>
          </cell>
        </row>
        <row r="1325">
          <cell r="A1325">
            <v>8006</v>
          </cell>
          <cell r="B1325" t="str">
            <v>ja</v>
          </cell>
          <cell r="C1325" t="str">
            <v>三蔵法師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blue</v>
          </cell>
          <cell r="I1325">
            <v>6</v>
          </cell>
          <cell r="J1325" t="str">
            <v>PremiumSS</v>
          </cell>
          <cell r="K1325" t="str">
            <v>balance</v>
          </cell>
          <cell r="L1325" t="str">
            <v>バランスタイプ</v>
          </cell>
          <cell r="M1325" t="str">
            <v>human</v>
          </cell>
        </row>
        <row r="1326">
          <cell r="A1326">
            <v>8007</v>
          </cell>
          <cell r="B1326" t="str">
            <v>ja</v>
          </cell>
          <cell r="C1326" t="str">
            <v>孫悟空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不明</v>
          </cell>
          <cell r="H1326" t="str">
            <v>red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animal</v>
          </cell>
        </row>
        <row r="1327">
          <cell r="A1327">
            <v>8008</v>
          </cell>
          <cell r="B1327" t="str">
            <v>ja</v>
          </cell>
          <cell r="C1327" t="str">
            <v>孫悟空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不明</v>
          </cell>
          <cell r="H1327" t="str">
            <v>red</v>
          </cell>
          <cell r="I1327">
            <v>6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animal</v>
          </cell>
        </row>
        <row r="1328">
          <cell r="A1328">
            <v>8009</v>
          </cell>
          <cell r="B1328" t="str">
            <v>ja</v>
          </cell>
          <cell r="C1328" t="str">
            <v>西王娘娘</v>
          </cell>
          <cell r="D1328" t="str">
            <v>イベント:ミクコラボ01</v>
          </cell>
          <cell r="E1328" t="str">
            <v>執行者</v>
          </cell>
          <cell r="F1328" t="str">
            <v>格好いい</v>
          </cell>
          <cell r="G1328" t="str">
            <v>不明</v>
          </cell>
          <cell r="H1328" t="str">
            <v>green</v>
          </cell>
          <cell r="I1328">
            <v>5</v>
          </cell>
          <cell r="J1328" t="str">
            <v>PremiumSS</v>
          </cell>
          <cell r="K1328" t="str">
            <v>attack</v>
          </cell>
          <cell r="L1328" t="str">
            <v>攻撃タイプ</v>
          </cell>
          <cell r="M1328" t="str">
            <v>god</v>
          </cell>
        </row>
        <row r="1329">
          <cell r="A1329">
            <v>8010</v>
          </cell>
          <cell r="B1329" t="str">
            <v>ja</v>
          </cell>
          <cell r="C1329" t="str">
            <v>西王娘娘</v>
          </cell>
          <cell r="D1329" t="str">
            <v>イベント:ミクコラボ01</v>
          </cell>
          <cell r="E1329" t="str">
            <v>執行者</v>
          </cell>
          <cell r="F1329" t="str">
            <v>格好いい</v>
          </cell>
          <cell r="G1329" t="str">
            <v>不明</v>
          </cell>
          <cell r="H1329" t="str">
            <v>green</v>
          </cell>
          <cell r="I1329">
            <v>6</v>
          </cell>
          <cell r="J1329" t="str">
            <v>PremiumSS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8011</v>
          </cell>
          <cell r="B1330" t="str">
            <v>ja</v>
          </cell>
          <cell r="C1330" t="str">
            <v>月下老人</v>
          </cell>
          <cell r="D1330" t="str">
            <v>イベント:ミクコラボ01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yellow</v>
          </cell>
          <cell r="I1330">
            <v>5</v>
          </cell>
          <cell r="J1330" t="str">
            <v>DropWizS</v>
          </cell>
          <cell r="K1330" t="str">
            <v>balance</v>
          </cell>
          <cell r="L1330" t="str">
            <v>バランスタイプ</v>
          </cell>
          <cell r="M1330" t="str">
            <v>god</v>
          </cell>
        </row>
        <row r="1331">
          <cell r="A1331">
            <v>8012</v>
          </cell>
          <cell r="B1331" t="str">
            <v>ja</v>
          </cell>
          <cell r="C1331" t="str">
            <v>良緣祈福 月下老人</v>
          </cell>
          <cell r="D1331" t="str">
            <v>イベント:ミクコラボ01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yellow</v>
          </cell>
          <cell r="I1331">
            <v>6</v>
          </cell>
          <cell r="J1331" t="str">
            <v>DropWizS</v>
          </cell>
          <cell r="K1331" t="str">
            <v>balance</v>
          </cell>
          <cell r="L1331" t="str">
            <v>バランスタイプ</v>
          </cell>
          <cell r="M1331" t="str">
            <v>god</v>
          </cell>
        </row>
        <row r="1332">
          <cell r="A1332">
            <v>8013</v>
          </cell>
          <cell r="B1332" t="str">
            <v>ja</v>
          </cell>
          <cell r="C1332" t="str">
            <v>初音ミクV3</v>
          </cell>
          <cell r="D1332" t="str">
            <v>初音ミクV3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yellow</v>
          </cell>
          <cell r="I1332">
            <v>4</v>
          </cell>
          <cell r="J1332" t="str">
            <v>DropWizS</v>
          </cell>
          <cell r="K1332" t="str">
            <v>balance</v>
          </cell>
          <cell r="L1332" t="str">
            <v>バランスタイプ</v>
          </cell>
          <cell r="M1332" t="str">
            <v>unknown</v>
          </cell>
        </row>
        <row r="1333">
          <cell r="A1333">
            <v>8014</v>
          </cell>
          <cell r="B1333" t="str">
            <v>ja</v>
          </cell>
          <cell r="C1333" t="str">
            <v>初音ミクV3</v>
          </cell>
          <cell r="D1333" t="str">
            <v>初音ミクV3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yellow</v>
          </cell>
          <cell r="I1333">
            <v>5</v>
          </cell>
          <cell r="J1333" t="str">
            <v>DropWizS</v>
          </cell>
          <cell r="K1333" t="str">
            <v>balance</v>
          </cell>
          <cell r="L1333" t="str">
            <v>バランスタイプ</v>
          </cell>
          <cell r="M1333" t="str">
            <v>unknown</v>
          </cell>
        </row>
        <row r="1334">
          <cell r="A1334">
            <v>8015</v>
          </cell>
          <cell r="B1334" t="str">
            <v>ja</v>
          </cell>
          <cell r="C1334" t="str">
            <v>初音ミク・アペンド</v>
          </cell>
          <cell r="D1334" t="str">
            <v>初音ミク・アペンド</v>
          </cell>
          <cell r="E1334" t="str">
            <v>執行者</v>
          </cell>
          <cell r="F1334" t="str">
            <v>格好いい</v>
          </cell>
          <cell r="G1334" t="str">
            <v>女性</v>
          </cell>
          <cell r="H1334" t="str">
            <v>green</v>
          </cell>
          <cell r="I1334">
            <v>4</v>
          </cell>
          <cell r="J1334" t="str">
            <v>PremiumSSS</v>
          </cell>
          <cell r="K1334" t="str">
            <v>technical</v>
          </cell>
          <cell r="L1334" t="str">
            <v>テクニカルタイプ</v>
          </cell>
          <cell r="M1334" t="str">
            <v>unknown</v>
          </cell>
        </row>
        <row r="1335">
          <cell r="A1335">
            <v>8016</v>
          </cell>
          <cell r="B1335" t="str">
            <v>ja</v>
          </cell>
          <cell r="C1335" t="str">
            <v>初音ミク・アペンド</v>
          </cell>
          <cell r="D1335" t="str">
            <v>初音ミク・アペンド</v>
          </cell>
          <cell r="E1335" t="str">
            <v>執行者</v>
          </cell>
          <cell r="F1335" t="str">
            <v>格好いい</v>
          </cell>
          <cell r="G1335" t="str">
            <v>女性</v>
          </cell>
          <cell r="H1335" t="str">
            <v>green</v>
          </cell>
          <cell r="I1335">
            <v>5</v>
          </cell>
          <cell r="J1335" t="str">
            <v>PremiumSSS</v>
          </cell>
          <cell r="K1335" t="str">
            <v>technical</v>
          </cell>
          <cell r="L1335" t="str">
            <v>テクニカルタイプ</v>
          </cell>
          <cell r="M1335" t="str">
            <v>unknown</v>
          </cell>
        </row>
        <row r="1336">
          <cell r="A1336">
            <v>8017</v>
          </cell>
          <cell r="B1336" t="str">
            <v>ja</v>
          </cell>
          <cell r="C1336" t="str">
            <v>初音ミク</v>
          </cell>
          <cell r="D1336" t="str">
            <v>初音ミク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green</v>
          </cell>
          <cell r="I1336">
            <v>4</v>
          </cell>
          <cell r="J1336" t="str">
            <v>PremiumSSS</v>
          </cell>
          <cell r="K1336" t="str">
            <v>balance</v>
          </cell>
          <cell r="L1336" t="str">
            <v>バランスタイプ</v>
          </cell>
          <cell r="M1336" t="str">
            <v>unknown</v>
          </cell>
        </row>
        <row r="1337">
          <cell r="A1337">
            <v>8018</v>
          </cell>
          <cell r="B1337" t="str">
            <v>ja</v>
          </cell>
          <cell r="C1337" t="str">
            <v>初音ミク</v>
          </cell>
          <cell r="D1337" t="str">
            <v>初音ミク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green</v>
          </cell>
          <cell r="I1337">
            <v>5</v>
          </cell>
          <cell r="J1337" t="str">
            <v>PremiumSSS</v>
          </cell>
          <cell r="K1337" t="str">
            <v>balance</v>
          </cell>
          <cell r="L1337" t="str">
            <v>バランスタイプ</v>
          </cell>
          <cell r="M1337" t="str">
            <v>unknown</v>
          </cell>
        </row>
        <row r="1338">
          <cell r="A1338">
            <v>8019</v>
          </cell>
          <cell r="B1338" t="str">
            <v>ja</v>
          </cell>
          <cell r="C1338" t="str">
            <v>鏡音リン</v>
          </cell>
          <cell r="D1338" t="str">
            <v>鏡音リン</v>
          </cell>
          <cell r="E1338" t="str">
            <v>執行者</v>
          </cell>
          <cell r="F1338" t="str">
            <v>格好いい</v>
          </cell>
          <cell r="G1338" t="str">
            <v>男性</v>
          </cell>
          <cell r="H1338" t="str">
            <v>yellow</v>
          </cell>
          <cell r="I1338">
            <v>4</v>
          </cell>
          <cell r="J1338" t="str">
            <v>PremiumSS</v>
          </cell>
          <cell r="K1338" t="str">
            <v>balance</v>
          </cell>
          <cell r="L1338" t="str">
            <v>バランスタイプ</v>
          </cell>
          <cell r="M1338" t="str">
            <v>unknown</v>
          </cell>
        </row>
        <row r="1339">
          <cell r="A1339">
            <v>8020</v>
          </cell>
          <cell r="B1339" t="str">
            <v>ja</v>
          </cell>
          <cell r="C1339" t="str">
            <v>鏡音リン</v>
          </cell>
          <cell r="D1339" t="str">
            <v>鏡音リン</v>
          </cell>
          <cell r="E1339" t="str">
            <v>執行者</v>
          </cell>
          <cell r="F1339" t="str">
            <v>格好いい</v>
          </cell>
          <cell r="G1339" t="str">
            <v>男性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balance</v>
          </cell>
          <cell r="L1339" t="str">
            <v>バランスタイプ</v>
          </cell>
          <cell r="M1339" t="str">
            <v>unknown</v>
          </cell>
        </row>
        <row r="1340">
          <cell r="A1340">
            <v>8021</v>
          </cell>
          <cell r="B1340" t="str">
            <v>ja</v>
          </cell>
          <cell r="C1340" t="str">
            <v>鏡音レン</v>
          </cell>
          <cell r="D1340" t="str">
            <v>鏡音レン</v>
          </cell>
          <cell r="E1340" t="str">
            <v>執行者</v>
          </cell>
          <cell r="F1340" t="str">
            <v>格好いい</v>
          </cell>
          <cell r="G1340" t="str">
            <v>女性</v>
          </cell>
          <cell r="H1340" t="str">
            <v>yellow</v>
          </cell>
          <cell r="I1340">
            <v>4</v>
          </cell>
          <cell r="J1340" t="str">
            <v>PremiumSS</v>
          </cell>
          <cell r="K1340" t="str">
            <v>heal</v>
          </cell>
          <cell r="L1340" t="str">
            <v>回復タイプ</v>
          </cell>
          <cell r="M1340" t="str">
            <v>unknown</v>
          </cell>
        </row>
        <row r="1341">
          <cell r="A1341">
            <v>8022</v>
          </cell>
          <cell r="B1341" t="str">
            <v>ja</v>
          </cell>
          <cell r="C1341" t="str">
            <v>鏡音レン</v>
          </cell>
          <cell r="D1341" t="str">
            <v>鏡音レン</v>
          </cell>
          <cell r="E1341" t="str">
            <v>執行者</v>
          </cell>
          <cell r="F1341" t="str">
            <v>格好いい</v>
          </cell>
          <cell r="G1341" t="str">
            <v>女性</v>
          </cell>
          <cell r="H1341" t="str">
            <v>yellow</v>
          </cell>
          <cell r="I1341">
            <v>5</v>
          </cell>
          <cell r="J1341" t="str">
            <v>PremiumSS</v>
          </cell>
          <cell r="K1341" t="str">
            <v>heal</v>
          </cell>
          <cell r="L1341" t="str">
            <v>回復タイプ</v>
          </cell>
          <cell r="M1341" t="str">
            <v>unknown</v>
          </cell>
        </row>
        <row r="1342">
          <cell r="A1342">
            <v>8023</v>
          </cell>
          <cell r="B1342" t="str">
            <v>ja</v>
          </cell>
          <cell r="C1342" t="str">
            <v>巡音ルカ</v>
          </cell>
          <cell r="D1342" t="str">
            <v>巡音ルカ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red</v>
          </cell>
          <cell r="I1342">
            <v>3</v>
          </cell>
          <cell r="J1342" t="str">
            <v>PremiumS</v>
          </cell>
          <cell r="K1342" t="str">
            <v>attack</v>
          </cell>
          <cell r="L1342" t="str">
            <v>攻撃タイプ</v>
          </cell>
          <cell r="M1342" t="str">
            <v>unknown</v>
          </cell>
        </row>
        <row r="1343">
          <cell r="A1343">
            <v>8024</v>
          </cell>
          <cell r="B1343" t="str">
            <v>ja</v>
          </cell>
          <cell r="C1343" t="str">
            <v>巡音ルカ</v>
          </cell>
          <cell r="D1343" t="str">
            <v>巡音ルカ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red</v>
          </cell>
          <cell r="I1343">
            <v>4</v>
          </cell>
          <cell r="J1343" t="str">
            <v>PremiumS</v>
          </cell>
          <cell r="K1343" t="str">
            <v>attack</v>
          </cell>
          <cell r="L1343" t="str">
            <v>攻撃タイプ</v>
          </cell>
          <cell r="M1343" t="str">
            <v>unknown</v>
          </cell>
        </row>
        <row r="1344">
          <cell r="A1344">
            <v>8025</v>
          </cell>
          <cell r="B1344" t="str">
            <v>ja</v>
          </cell>
          <cell r="C1344" t="str">
            <v>MEIKO</v>
          </cell>
          <cell r="D1344" t="str">
            <v>MEIKO</v>
          </cell>
          <cell r="E1344" t="str">
            <v>執行者</v>
          </cell>
          <cell r="F1344" t="str">
            <v>格好いい</v>
          </cell>
          <cell r="G1344" t="str">
            <v>男性</v>
          </cell>
          <cell r="H1344" t="str">
            <v>red</v>
          </cell>
          <cell r="I1344">
            <v>3</v>
          </cell>
          <cell r="J1344" t="str">
            <v>PremiumS</v>
          </cell>
          <cell r="K1344" t="str">
            <v>hp</v>
          </cell>
          <cell r="L1344" t="str">
            <v>体力タイプ</v>
          </cell>
          <cell r="M1344" t="str">
            <v>unknown</v>
          </cell>
        </row>
        <row r="1345">
          <cell r="A1345">
            <v>8026</v>
          </cell>
          <cell r="B1345" t="str">
            <v>ja</v>
          </cell>
          <cell r="C1345" t="str">
            <v>MEIKO</v>
          </cell>
          <cell r="D1345" t="str">
            <v>MEIKO</v>
          </cell>
          <cell r="E1345" t="str">
            <v>執行者</v>
          </cell>
          <cell r="F1345" t="str">
            <v>格好いい</v>
          </cell>
          <cell r="G1345" t="str">
            <v>男性</v>
          </cell>
          <cell r="H1345" t="str">
            <v>red</v>
          </cell>
          <cell r="I1345">
            <v>4</v>
          </cell>
          <cell r="J1345" t="str">
            <v>PremiumS</v>
          </cell>
          <cell r="K1345" t="str">
            <v>hp</v>
          </cell>
          <cell r="L1345" t="str">
            <v>体力タイプ</v>
          </cell>
          <cell r="M1345" t="str">
            <v>unknown</v>
          </cell>
        </row>
        <row r="1346">
          <cell r="A1346">
            <v>8027</v>
          </cell>
          <cell r="B1346" t="str">
            <v>ja</v>
          </cell>
          <cell r="C1346" t="str">
            <v>KAITO</v>
          </cell>
          <cell r="D1346" t="str">
            <v>KAITO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blue</v>
          </cell>
          <cell r="I1346">
            <v>3</v>
          </cell>
          <cell r="J1346" t="str">
            <v>PremiumS</v>
          </cell>
          <cell r="K1346" t="str">
            <v>technical</v>
          </cell>
          <cell r="L1346" t="str">
            <v>テクニカルタイプ</v>
          </cell>
          <cell r="M1346" t="str">
            <v>unknown</v>
          </cell>
        </row>
        <row r="1347">
          <cell r="A1347">
            <v>8028</v>
          </cell>
          <cell r="B1347" t="str">
            <v>ja</v>
          </cell>
          <cell r="C1347" t="str">
            <v>KAITO</v>
          </cell>
          <cell r="D1347" t="str">
            <v>KAITO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blue</v>
          </cell>
          <cell r="I1347">
            <v>4</v>
          </cell>
          <cell r="J1347" t="str">
            <v>PremiumS</v>
          </cell>
          <cell r="K1347" t="str">
            <v>technical</v>
          </cell>
          <cell r="L1347" t="str">
            <v>テクニカルタイプ</v>
          </cell>
          <cell r="M1347" t="str">
            <v>unknown</v>
          </cell>
        </row>
        <row r="1348">
          <cell r="A1348">
            <v>8029</v>
          </cell>
          <cell r="B1348" t="str">
            <v>ja</v>
          </cell>
          <cell r="C1348" t="str">
            <v>Expoミク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blue</v>
          </cell>
          <cell r="I1348">
            <v>4</v>
          </cell>
          <cell r="J1348" t="str">
            <v>Drop2N</v>
          </cell>
          <cell r="K1348" t="str">
            <v>heal</v>
          </cell>
          <cell r="L1348" t="str">
            <v>回復タイプ</v>
          </cell>
          <cell r="M1348" t="str">
            <v>unknown</v>
          </cell>
        </row>
        <row r="1349">
          <cell r="A1349">
            <v>8030</v>
          </cell>
          <cell r="B1349" t="str">
            <v>ja</v>
          </cell>
          <cell r="C1349" t="str">
            <v>Expoミク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blue</v>
          </cell>
          <cell r="I1349">
            <v>4</v>
          </cell>
          <cell r="J1349" t="str">
            <v>Drop2N</v>
          </cell>
          <cell r="K1349" t="str">
            <v>heal</v>
          </cell>
          <cell r="L1349" t="str">
            <v>回復タイプ</v>
          </cell>
          <cell r="M1349" t="str">
            <v>unknown</v>
          </cell>
        </row>
        <row r="1350">
          <cell r="A1350">
            <v>8031</v>
          </cell>
          <cell r="B1350" t="str">
            <v>ja</v>
          </cell>
          <cell r="C1350" t="str">
            <v>閻羅王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red</v>
          </cell>
          <cell r="I1350">
            <v>5</v>
          </cell>
          <cell r="J1350" t="str">
            <v>PremiumSS</v>
          </cell>
          <cell r="K1350" t="str">
            <v>balance</v>
          </cell>
          <cell r="L1350" t="str">
            <v>バランスタイプ</v>
          </cell>
          <cell r="M1350" t="str">
            <v>god</v>
          </cell>
        </row>
        <row r="1351">
          <cell r="A1351">
            <v>8032</v>
          </cell>
          <cell r="B1351" t="str">
            <v>ja</v>
          </cell>
          <cell r="C1351" t="str">
            <v>十殿閻羅王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red</v>
          </cell>
          <cell r="I1351">
            <v>6</v>
          </cell>
          <cell r="J1351" t="str">
            <v>PremiumSS</v>
          </cell>
          <cell r="K1351" t="str">
            <v>balance</v>
          </cell>
          <cell r="L1351" t="str">
            <v>バランスタイプ</v>
          </cell>
          <cell r="M1351" t="str">
            <v>god</v>
          </cell>
        </row>
        <row r="1352">
          <cell r="A1352">
            <v>8033</v>
          </cell>
          <cell r="B1352" t="str">
            <v>ja</v>
          </cell>
          <cell r="C1352" t="str">
            <v>牛頭馬面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green</v>
          </cell>
          <cell r="I1352">
            <v>5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god</v>
          </cell>
        </row>
        <row r="1353">
          <cell r="A1353">
            <v>8034</v>
          </cell>
          <cell r="B1353" t="str">
            <v>ja</v>
          </cell>
          <cell r="C1353" t="str">
            <v>牛頭馬面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green</v>
          </cell>
          <cell r="I1353">
            <v>6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god</v>
          </cell>
        </row>
        <row r="1354">
          <cell r="A1354">
            <v>8035</v>
          </cell>
          <cell r="B1354" t="str">
            <v>ja</v>
          </cell>
          <cell r="C1354" t="str">
            <v>嫦娥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8036</v>
          </cell>
          <cell r="B1355" t="str">
            <v>ja</v>
          </cell>
          <cell r="C1355" t="str">
            <v>嫦娥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8037</v>
          </cell>
          <cell r="B1356" t="str">
            <v>ja</v>
          </cell>
          <cell r="C1356" t="str">
            <v>后羿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8038</v>
          </cell>
          <cell r="B1357" t="str">
            <v>ja</v>
          </cell>
          <cell r="C1357" t="str">
            <v>后羿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8039</v>
          </cell>
          <cell r="B1358" t="str">
            <v>ja</v>
          </cell>
          <cell r="C1358" t="str">
            <v>何仙姑</v>
          </cell>
          <cell r="D1358" t="str">
            <v>Expoミク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blue</v>
          </cell>
          <cell r="I1358">
            <v>4</v>
          </cell>
          <cell r="J1358" t="str">
            <v>Drop2N</v>
          </cell>
          <cell r="K1358" t="str">
            <v>heal</v>
          </cell>
          <cell r="L1358" t="str">
            <v>回復タイプ</v>
          </cell>
          <cell r="M1358" t="str">
            <v>unknown</v>
          </cell>
        </row>
        <row r="1359">
          <cell r="A1359">
            <v>8040</v>
          </cell>
          <cell r="B1359" t="str">
            <v>ja</v>
          </cell>
          <cell r="C1359" t="str">
            <v>何仙姑</v>
          </cell>
          <cell r="D1359" t="str">
            <v>Expoミク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blue</v>
          </cell>
          <cell r="I1359">
            <v>4</v>
          </cell>
          <cell r="J1359" t="str">
            <v>Drop2N</v>
          </cell>
          <cell r="K1359" t="str">
            <v>heal</v>
          </cell>
          <cell r="L1359" t="str">
            <v>回復タイプ</v>
          </cell>
          <cell r="M1359" t="str">
            <v>unknown</v>
          </cell>
        </row>
        <row r="1360">
          <cell r="A1360">
            <v>8041</v>
          </cell>
          <cell r="B1360" t="str">
            <v>ja</v>
          </cell>
          <cell r="C1360" t="str">
            <v>藍采和</v>
          </cell>
          <cell r="D1360" t="str">
            <v>Expoミク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blue</v>
          </cell>
          <cell r="I1360">
            <v>4</v>
          </cell>
          <cell r="J1360" t="str">
            <v>Drop2N</v>
          </cell>
          <cell r="K1360" t="str">
            <v>heal</v>
          </cell>
          <cell r="L1360" t="str">
            <v>回復タイプ</v>
          </cell>
          <cell r="M1360" t="str">
            <v>unknown</v>
          </cell>
        </row>
        <row r="1361">
          <cell r="A1361">
            <v>8042</v>
          </cell>
          <cell r="B1361" t="str">
            <v>ja</v>
          </cell>
          <cell r="C1361" t="str">
            <v>藍采和</v>
          </cell>
          <cell r="D1361" t="str">
            <v>Expoミク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blue</v>
          </cell>
          <cell r="I1361">
            <v>4</v>
          </cell>
          <cell r="J1361" t="str">
            <v>Drop2N</v>
          </cell>
          <cell r="K1361" t="str">
            <v>heal</v>
          </cell>
          <cell r="L1361" t="str">
            <v>回復タイプ</v>
          </cell>
          <cell r="M1361" t="str">
            <v>unknown</v>
          </cell>
        </row>
        <row r="1362">
          <cell r="A1362">
            <v>8043</v>
          </cell>
          <cell r="B1362" t="str">
            <v>ja</v>
          </cell>
          <cell r="C1362" t="str">
            <v>サンリオキャラ大集合+アザゼル</v>
          </cell>
          <cell r="D1362" t="str">
            <v>サンリオキャラ大集合+アザゼル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green</v>
          </cell>
          <cell r="I1362">
            <v>5</v>
          </cell>
          <cell r="J1362" t="str">
            <v>DropWizS</v>
          </cell>
          <cell r="K1362" t="str">
            <v>technical</v>
          </cell>
          <cell r="L1362" t="str">
            <v>テクニカルタイプ</v>
          </cell>
          <cell r="M1362" t="str">
            <v>ss</v>
          </cell>
        </row>
        <row r="1363">
          <cell r="A1363">
            <v>8044</v>
          </cell>
          <cell r="B1363" t="str">
            <v>ja</v>
          </cell>
          <cell r="C1363" t="str">
            <v>サンリオキャラ大集合+アザゼル</v>
          </cell>
          <cell r="D1363" t="str">
            <v>サンリオキャラ大集合+アザゼル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green</v>
          </cell>
          <cell r="I1363">
            <v>6</v>
          </cell>
          <cell r="J1363" t="str">
            <v>DropWizS</v>
          </cell>
          <cell r="K1363" t="str">
            <v>technical</v>
          </cell>
          <cell r="L1363" t="str">
            <v>テクニカルタイプ</v>
          </cell>
          <cell r="M1363" t="str">
            <v>ss</v>
          </cell>
        </row>
        <row r="1364">
          <cell r="A1364">
            <v>8045</v>
          </cell>
          <cell r="B1364" t="str">
            <v>ja</v>
          </cell>
          <cell r="C1364" t="str">
            <v>ニムダ_サンリオキャラ混じり</v>
          </cell>
          <cell r="D1364" t="str">
            <v>ニムダ_サンリオキャラ混じり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yellow</v>
          </cell>
          <cell r="I1364">
            <v>4</v>
          </cell>
          <cell r="J1364" t="str">
            <v>Drop2N</v>
          </cell>
          <cell r="K1364" t="str">
            <v>technical</v>
          </cell>
          <cell r="L1364" t="str">
            <v>テクニカルタイプ</v>
          </cell>
          <cell r="M1364" t="str">
            <v>ss</v>
          </cell>
        </row>
        <row r="1365">
          <cell r="A1365">
            <v>8046</v>
          </cell>
          <cell r="B1365" t="str">
            <v>ja</v>
          </cell>
          <cell r="C1365" t="str">
            <v>ニムダ_サンリオキャラ混じり</v>
          </cell>
          <cell r="D1365" t="str">
            <v>ニムダ_サンリオキャラ混じり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yellow</v>
          </cell>
          <cell r="I1365">
            <v>5</v>
          </cell>
          <cell r="J1365" t="str">
            <v>Drop2N</v>
          </cell>
          <cell r="K1365" t="str">
            <v>technical</v>
          </cell>
          <cell r="L1365" t="str">
            <v>テクニカルタイプ</v>
          </cell>
          <cell r="M1365" t="str">
            <v>ss</v>
          </cell>
        </row>
        <row r="1366">
          <cell r="A1366">
            <v>8047</v>
          </cell>
          <cell r="B1366" t="str">
            <v>ja</v>
          </cell>
          <cell r="C1366" t="str">
            <v>ハローキティ</v>
          </cell>
          <cell r="D1366" t="str">
            <v>ハローキティ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4</v>
          </cell>
          <cell r="J1366" t="str">
            <v>Drop2N</v>
          </cell>
          <cell r="K1366" t="str">
            <v>balance</v>
          </cell>
          <cell r="L1366" t="str">
            <v>バランスタイプ</v>
          </cell>
          <cell r="M1366" t="str">
            <v>ss</v>
          </cell>
        </row>
        <row r="1367">
          <cell r="A1367">
            <v>8048</v>
          </cell>
          <cell r="B1367" t="str">
            <v>ja</v>
          </cell>
          <cell r="C1367" t="str">
            <v>ハローキティ</v>
          </cell>
          <cell r="D1367" t="str">
            <v>ハローキティ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5</v>
          </cell>
          <cell r="J1367" t="str">
            <v>Drop2N</v>
          </cell>
          <cell r="K1367" t="str">
            <v>balance</v>
          </cell>
          <cell r="L1367" t="str">
            <v>バランスタイプ</v>
          </cell>
          <cell r="M1367" t="str">
            <v>ss</v>
          </cell>
        </row>
        <row r="1368">
          <cell r="A1368">
            <v>8049</v>
          </cell>
          <cell r="B1368" t="str">
            <v>ja</v>
          </cell>
          <cell r="C1368" t="str">
            <v>KIRIMIちゃん</v>
          </cell>
          <cell r="D1368" t="str">
            <v>KIRIMIちゃん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4</v>
          </cell>
          <cell r="J1368" t="str">
            <v>Drop2N</v>
          </cell>
          <cell r="K1368" t="str">
            <v>hp</v>
          </cell>
          <cell r="L1368" t="str">
            <v>体力タイプ</v>
          </cell>
          <cell r="M1368" t="str">
            <v>ss</v>
          </cell>
        </row>
        <row r="1369">
          <cell r="A1369">
            <v>8050</v>
          </cell>
          <cell r="B1369" t="str">
            <v>ja</v>
          </cell>
          <cell r="C1369" t="str">
            <v>KIRIMIちゃん</v>
          </cell>
          <cell r="D1369" t="str">
            <v>KIRIMIちゃん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5</v>
          </cell>
          <cell r="J1369" t="str">
            <v>Drop2N</v>
          </cell>
          <cell r="K1369" t="str">
            <v>hp</v>
          </cell>
          <cell r="L1369" t="str">
            <v>体力タイプ</v>
          </cell>
          <cell r="M1369" t="str">
            <v>ss</v>
          </cell>
        </row>
        <row r="1370">
          <cell r="A1370">
            <v>8051</v>
          </cell>
          <cell r="B1370" t="str">
            <v>ja</v>
          </cell>
          <cell r="C1370" t="str">
            <v>ハローキティのリボン</v>
          </cell>
          <cell r="D1370" t="str">
            <v>ハローキティのリボン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5</v>
          </cell>
          <cell r="J1370" t="str">
            <v>Drop2N</v>
          </cell>
          <cell r="K1370" t="str">
            <v>evolution</v>
          </cell>
          <cell r="L1370" t="str">
            <v>覚醒素材タイプ</v>
          </cell>
          <cell r="M1370" t="str">
            <v>ss</v>
          </cell>
        </row>
        <row r="1371">
          <cell r="A1371">
            <v>8052</v>
          </cell>
          <cell r="B1371" t="str">
            <v>ja</v>
          </cell>
          <cell r="C1371" t="str">
            <v>ママの作ったアップルパイ</v>
          </cell>
          <cell r="D1371" t="str">
            <v>ママの作ったアップルパイ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4</v>
          </cell>
          <cell r="J1371" t="str">
            <v>Drop2N</v>
          </cell>
          <cell r="K1371" t="str">
            <v>evolution</v>
          </cell>
          <cell r="L1371" t="str">
            <v>覚醒素材タイプ</v>
          </cell>
          <cell r="M1371" t="str">
            <v>ss</v>
          </cell>
        </row>
        <row r="1372">
          <cell r="A1372">
            <v>8053</v>
          </cell>
          <cell r="B1372" t="str">
            <v>ja</v>
          </cell>
          <cell r="C1372" t="str">
            <v>D.R.T.H__キティコスプレ</v>
          </cell>
          <cell r="D1372" t="str">
            <v>D.R.T.H__キティコスプレ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red</v>
          </cell>
          <cell r="I1372">
            <v>5</v>
          </cell>
          <cell r="J1372" t="str">
            <v>PremiumSS</v>
          </cell>
          <cell r="K1372" t="str">
            <v>balance</v>
          </cell>
          <cell r="L1372" t="str">
            <v>バランスタイプ</v>
          </cell>
          <cell r="M1372" t="str">
            <v>ss</v>
          </cell>
        </row>
        <row r="1373">
          <cell r="A1373">
            <v>8054</v>
          </cell>
          <cell r="B1373" t="str">
            <v>ja</v>
          </cell>
          <cell r="C1373" t="str">
            <v>D.R.T.H__キティコスプレ</v>
          </cell>
          <cell r="D1373" t="str">
            <v>D.R.T.H__キティコスプレ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red</v>
          </cell>
          <cell r="I1373">
            <v>6</v>
          </cell>
          <cell r="J1373" t="str">
            <v>PremiumSS</v>
          </cell>
          <cell r="K1373" t="str">
            <v>balance</v>
          </cell>
          <cell r="L1373" t="str">
            <v>バランスタイプ</v>
          </cell>
          <cell r="M1373" t="str">
            <v>ss</v>
          </cell>
        </row>
        <row r="1374">
          <cell r="A1374">
            <v>8055</v>
          </cell>
          <cell r="B1374" t="str">
            <v>ja</v>
          </cell>
          <cell r="C1374" t="str">
            <v>マイメロディ</v>
          </cell>
          <cell r="D1374" t="str">
            <v>マイメロディ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red</v>
          </cell>
          <cell r="I1374">
            <v>4</v>
          </cell>
          <cell r="J1374" t="str">
            <v>PremiumS</v>
          </cell>
          <cell r="K1374" t="str">
            <v>attack</v>
          </cell>
          <cell r="L1374" t="str">
            <v>攻撃タイプ</v>
          </cell>
          <cell r="M1374" t="str">
            <v>ss</v>
          </cell>
        </row>
        <row r="1375">
          <cell r="A1375">
            <v>8056</v>
          </cell>
          <cell r="B1375" t="str">
            <v>ja</v>
          </cell>
          <cell r="C1375" t="str">
            <v>マイメロディ</v>
          </cell>
          <cell r="D1375" t="str">
            <v>マイメロディ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red</v>
          </cell>
          <cell r="I1375">
            <v>5</v>
          </cell>
          <cell r="J1375" t="str">
            <v>PremiumS</v>
          </cell>
          <cell r="K1375" t="str">
            <v>attack</v>
          </cell>
          <cell r="L1375" t="str">
            <v>攻撃タイプ</v>
          </cell>
          <cell r="M1375" t="str">
            <v>ss</v>
          </cell>
        </row>
        <row r="1376">
          <cell r="A1376">
            <v>8057</v>
          </cell>
          <cell r="B1376" t="str">
            <v>ja</v>
          </cell>
          <cell r="C1376" t="str">
            <v>ニーベルゲン_シナモロールコスプレ</v>
          </cell>
          <cell r="D1376" t="str">
            <v>ニーベルゲン_シナモロールコスプレ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4</v>
          </cell>
          <cell r="J1376" t="str">
            <v>PremiumS</v>
          </cell>
          <cell r="K1376" t="str">
            <v>balance</v>
          </cell>
          <cell r="L1376" t="str">
            <v>バランスタイプ</v>
          </cell>
          <cell r="M1376" t="str">
            <v>ss</v>
          </cell>
        </row>
        <row r="1377">
          <cell r="A1377">
            <v>8058</v>
          </cell>
          <cell r="B1377" t="str">
            <v>ja</v>
          </cell>
          <cell r="C1377" t="str">
            <v>ニーベルゲン_シナモロールコスプレ</v>
          </cell>
          <cell r="D1377" t="str">
            <v>ニーベルゲン_シナモロールコスプレ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5</v>
          </cell>
          <cell r="J1377" t="str">
            <v>PremiumS</v>
          </cell>
          <cell r="K1377" t="str">
            <v>balance</v>
          </cell>
          <cell r="L1377" t="str">
            <v>バランスタイプ</v>
          </cell>
          <cell r="M1377" t="str">
            <v>ss</v>
          </cell>
        </row>
        <row r="1378">
          <cell r="A1378">
            <v>8059</v>
          </cell>
          <cell r="B1378" t="str">
            <v>ja</v>
          </cell>
          <cell r="C1378" t="str">
            <v>カカシ_マイメロディコスプレ</v>
          </cell>
          <cell r="D1378" t="str">
            <v>カカシ_マイメロディコスプレ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green</v>
          </cell>
          <cell r="I1378">
            <v>4</v>
          </cell>
          <cell r="J1378" t="str">
            <v>PremiumS</v>
          </cell>
          <cell r="K1378" t="str">
            <v>technical</v>
          </cell>
          <cell r="L1378" t="str">
            <v>テクニカルタイプ</v>
          </cell>
          <cell r="M1378" t="str">
            <v>ss</v>
          </cell>
        </row>
        <row r="1379">
          <cell r="A1379">
            <v>8060</v>
          </cell>
          <cell r="B1379" t="str">
            <v>ja</v>
          </cell>
          <cell r="C1379" t="str">
            <v>カカシ_マイメロディコスプレ</v>
          </cell>
          <cell r="D1379" t="str">
            <v>カカシ_マイメロディコスプレ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green</v>
          </cell>
          <cell r="I1379">
            <v>5</v>
          </cell>
          <cell r="J1379" t="str">
            <v>PremiumS</v>
          </cell>
          <cell r="K1379" t="str">
            <v>technical</v>
          </cell>
          <cell r="L1379" t="str">
            <v>テクニカルタイプ</v>
          </cell>
          <cell r="M1379" t="str">
            <v>ss</v>
          </cell>
        </row>
        <row r="1380">
          <cell r="A1380">
            <v>8061</v>
          </cell>
          <cell r="B1380" t="str">
            <v>ja</v>
          </cell>
          <cell r="C1380" t="str">
            <v>ケロケロけろっぴ</v>
          </cell>
          <cell r="D1380" t="str">
            <v>ケロケロけろっぴ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green</v>
          </cell>
          <cell r="I1380">
            <v>3</v>
          </cell>
          <cell r="J1380" t="str">
            <v>PremiumS</v>
          </cell>
          <cell r="K1380" t="str">
            <v>balance</v>
          </cell>
          <cell r="L1380" t="str">
            <v>バランスタイプ</v>
          </cell>
          <cell r="M1380" t="str">
            <v>ss</v>
          </cell>
        </row>
        <row r="1381">
          <cell r="A1381">
            <v>8062</v>
          </cell>
          <cell r="B1381" t="str">
            <v>ja</v>
          </cell>
          <cell r="C1381" t="str">
            <v>ケロケロけろっぴ</v>
          </cell>
          <cell r="D1381" t="str">
            <v>ケロケロけろっぴ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green</v>
          </cell>
          <cell r="I1381">
            <v>4</v>
          </cell>
          <cell r="J1381" t="str">
            <v>PremiumS</v>
          </cell>
          <cell r="K1381" t="str">
            <v>balance</v>
          </cell>
          <cell r="L1381" t="str">
            <v>バランスタイプ</v>
          </cell>
          <cell r="M1381" t="str">
            <v>ss</v>
          </cell>
        </row>
        <row r="1382">
          <cell r="A1382">
            <v>8063</v>
          </cell>
          <cell r="B1382" t="str">
            <v>ja</v>
          </cell>
          <cell r="C1382" t="str">
            <v>モルドレッド_ポムポムプリンコスプレ</v>
          </cell>
          <cell r="D1382" t="str">
            <v>モルドレッド_ポムポムプリンコスプレ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5</v>
          </cell>
          <cell r="J1382" t="str">
            <v>PremiumSS</v>
          </cell>
          <cell r="K1382" t="str">
            <v>heal</v>
          </cell>
          <cell r="L1382" t="str">
            <v>回復タイプ</v>
          </cell>
          <cell r="M1382" t="str">
            <v>ss</v>
          </cell>
        </row>
        <row r="1383">
          <cell r="A1383">
            <v>8064</v>
          </cell>
          <cell r="B1383" t="str">
            <v>ja</v>
          </cell>
          <cell r="C1383" t="str">
            <v>モルドレッド_ポムポムプリンコスプレ</v>
          </cell>
          <cell r="D1383" t="str">
            <v>モルドレッド_ポムポムプリンコスプレ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6</v>
          </cell>
          <cell r="J1383" t="str">
            <v>PremiumSS</v>
          </cell>
          <cell r="K1383" t="str">
            <v>heal</v>
          </cell>
          <cell r="L1383" t="str">
            <v>回復タイプ</v>
          </cell>
          <cell r="M1383" t="str">
            <v>ss</v>
          </cell>
        </row>
        <row r="1384">
          <cell r="A1384">
            <v>8065</v>
          </cell>
          <cell r="B1384" t="str">
            <v>ja</v>
          </cell>
          <cell r="C1384" t="str">
            <v>クロミ</v>
          </cell>
          <cell r="D1384" t="str">
            <v>クロミ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blue</v>
          </cell>
          <cell r="I1384">
            <v>3</v>
          </cell>
          <cell r="J1384" t="str">
            <v>PremiumS</v>
          </cell>
          <cell r="K1384" t="str">
            <v>technical</v>
          </cell>
          <cell r="L1384" t="str">
            <v>テクニカルタイプ</v>
          </cell>
          <cell r="M1384" t="str">
            <v>ss</v>
          </cell>
        </row>
        <row r="1385">
          <cell r="A1385">
            <v>8066</v>
          </cell>
          <cell r="B1385" t="str">
            <v>ja</v>
          </cell>
          <cell r="C1385" t="str">
            <v>クロミ</v>
          </cell>
          <cell r="D1385" t="str">
            <v>クロミ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PremiumS</v>
          </cell>
          <cell r="K1385" t="str">
            <v>technical</v>
          </cell>
          <cell r="L1385" t="str">
            <v>テクニカルタイプ</v>
          </cell>
          <cell r="M1385" t="str">
            <v>ss</v>
          </cell>
        </row>
        <row r="1386">
          <cell r="A1386">
            <v>8067</v>
          </cell>
          <cell r="B1386" t="str">
            <v>ja</v>
          </cell>
          <cell r="C1386" t="str">
            <v>バッドばつ丸</v>
          </cell>
          <cell r="D1386" t="str">
            <v>バッドばつ丸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blue</v>
          </cell>
          <cell r="I1386">
            <v>3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ss</v>
          </cell>
        </row>
        <row r="1387">
          <cell r="A1387">
            <v>8068</v>
          </cell>
          <cell r="B1387" t="str">
            <v>ja</v>
          </cell>
          <cell r="C1387" t="str">
            <v>バッドばつ丸</v>
          </cell>
          <cell r="D1387" t="str">
            <v>バッドばつ丸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blue</v>
          </cell>
          <cell r="I1387">
            <v>4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ss</v>
          </cell>
        </row>
        <row r="1388">
          <cell r="A1388">
            <v>8069</v>
          </cell>
          <cell r="B1388" t="str">
            <v>ja</v>
          </cell>
          <cell r="C1388" t="str">
            <v>シナモロール</v>
          </cell>
          <cell r="D1388" t="str">
            <v>シナモロール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yellow</v>
          </cell>
          <cell r="I1388">
            <v>4</v>
          </cell>
          <cell r="J1388" t="str">
            <v>PremiumS</v>
          </cell>
          <cell r="K1388" t="str">
            <v>heal</v>
          </cell>
          <cell r="L1388" t="str">
            <v>回復タイプ</v>
          </cell>
          <cell r="M1388" t="str">
            <v>ss</v>
          </cell>
        </row>
        <row r="1389">
          <cell r="A1389">
            <v>8070</v>
          </cell>
          <cell r="B1389" t="str">
            <v>ja</v>
          </cell>
          <cell r="C1389" t="str">
            <v>シナモロール</v>
          </cell>
          <cell r="D1389" t="str">
            <v>シナモロール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yellow</v>
          </cell>
          <cell r="I1389">
            <v>5</v>
          </cell>
          <cell r="J1389" t="str">
            <v>PremiumS</v>
          </cell>
          <cell r="K1389" t="str">
            <v>heal</v>
          </cell>
          <cell r="L1389" t="str">
            <v>回復タイプ</v>
          </cell>
          <cell r="M1389" t="str">
            <v>ss</v>
          </cell>
        </row>
        <row r="1390">
          <cell r="A1390">
            <v>8071</v>
          </cell>
          <cell r="B1390" t="str">
            <v>ja</v>
          </cell>
          <cell r="C1390" t="str">
            <v>ポムポムプリン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yellow</v>
          </cell>
          <cell r="I1390">
            <v>3</v>
          </cell>
          <cell r="J1390" t="str">
            <v>PremiumS</v>
          </cell>
          <cell r="K1390" t="str">
            <v>hp</v>
          </cell>
          <cell r="L1390" t="str">
            <v>体力タイプ</v>
          </cell>
          <cell r="M1390" t="str">
            <v>ss</v>
          </cell>
        </row>
        <row r="1391">
          <cell r="A1391">
            <v>8072</v>
          </cell>
          <cell r="B1391" t="str">
            <v>ja</v>
          </cell>
          <cell r="C1391" t="str">
            <v>ポムポムプリン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yellow</v>
          </cell>
          <cell r="I1391">
            <v>4</v>
          </cell>
          <cell r="J1391" t="str">
            <v>PremiumS</v>
          </cell>
          <cell r="K1391" t="str">
            <v>hp</v>
          </cell>
          <cell r="L1391" t="str">
            <v>体力タイプ</v>
          </cell>
          <cell r="M1391" t="str">
            <v>ss</v>
          </cell>
        </row>
        <row r="1392">
          <cell r="A1392">
            <v>8077</v>
          </cell>
          <cell r="B1392" t="str">
            <v>ja</v>
          </cell>
          <cell r="C1392" t="str">
            <v>鄭成功</v>
          </cell>
          <cell r="D1392" t="str">
            <v>ポムポムプリン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blue</v>
          </cell>
          <cell r="I1392">
            <v>5</v>
          </cell>
          <cell r="J1392" t="str">
            <v>PremiumSS</v>
          </cell>
          <cell r="K1392" t="str">
            <v>attack</v>
          </cell>
          <cell r="L1392" t="str">
            <v>攻撃タイプ</v>
          </cell>
          <cell r="M1392" t="str">
            <v>human</v>
          </cell>
        </row>
        <row r="1393">
          <cell r="A1393">
            <v>8078</v>
          </cell>
          <cell r="B1393" t="str">
            <v>ja</v>
          </cell>
          <cell r="C1393" t="str">
            <v>レア６鄭成功</v>
          </cell>
          <cell r="D1393" t="str">
            <v>ポムポムプリン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blue</v>
          </cell>
          <cell r="I1393">
            <v>6</v>
          </cell>
          <cell r="J1393" t="str">
            <v>PremiumSS</v>
          </cell>
          <cell r="K1393" t="str">
            <v>attack</v>
          </cell>
          <cell r="L1393" t="str">
            <v>攻撃タイプ</v>
          </cell>
          <cell r="M1393" t="str">
            <v>human</v>
          </cell>
        </row>
        <row r="1394">
          <cell r="A1394">
            <v>8079</v>
          </cell>
          <cell r="B1394" t="str">
            <v>ja</v>
          </cell>
          <cell r="C1394" t="str">
            <v>赤鬼</v>
          </cell>
          <cell r="D1394" t="str">
            <v>ポムポムプリン</v>
          </cell>
          <cell r="E1394" t="str">
            <v>執行者</v>
          </cell>
          <cell r="F1394" t="str">
            <v>格好いい</v>
          </cell>
          <cell r="G1394" t="str">
            <v>女性</v>
          </cell>
          <cell r="H1394" t="str">
            <v>red</v>
          </cell>
          <cell r="I1394">
            <v>5</v>
          </cell>
          <cell r="J1394" t="str">
            <v>DropWizS</v>
          </cell>
          <cell r="K1394" t="str">
            <v>hp</v>
          </cell>
          <cell r="L1394" t="str">
            <v>体力タイプ</v>
          </cell>
          <cell r="M1394" t="str">
            <v>dragon</v>
          </cell>
        </row>
        <row r="1395">
          <cell r="A1395">
            <v>8080</v>
          </cell>
          <cell r="B1395" t="str">
            <v>ja</v>
          </cell>
          <cell r="C1395" t="str">
            <v>レア６赤鬼</v>
          </cell>
          <cell r="D1395" t="str">
            <v>ポムポムプリン</v>
          </cell>
          <cell r="E1395" t="str">
            <v>執行者</v>
          </cell>
          <cell r="F1395" t="str">
            <v>格好いい</v>
          </cell>
          <cell r="G1395" t="str">
            <v>女性</v>
          </cell>
          <cell r="H1395" t="str">
            <v>red</v>
          </cell>
          <cell r="I1395">
            <v>6</v>
          </cell>
          <cell r="J1395" t="str">
            <v>DropWizS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4" t="s">
        <v>222</v>
      </c>
      <c r="K40" s="84" t="s">
        <v>196</v>
      </c>
      <c r="M40" s="84" t="s">
        <v>247</v>
      </c>
    </row>
    <row r="41" spans="1:13" x14ac:dyDescent="0.15">
      <c r="J41" s="84" t="s">
        <v>223</v>
      </c>
      <c r="K41" s="84" t="s">
        <v>224</v>
      </c>
      <c r="M41" s="66" t="s">
        <v>191</v>
      </c>
    </row>
    <row r="42" spans="1:13" x14ac:dyDescent="0.15">
      <c r="J42" s="84" t="s">
        <v>225</v>
      </c>
      <c r="K42" s="84" t="s">
        <v>226</v>
      </c>
    </row>
    <row r="43" spans="1:13" x14ac:dyDescent="0.15">
      <c r="J43" s="84" t="s">
        <v>227</v>
      </c>
      <c r="K43" s="84" t="s">
        <v>228</v>
      </c>
    </row>
    <row r="44" spans="1:13" x14ac:dyDescent="0.15">
      <c r="J44" s="84" t="s">
        <v>229</v>
      </c>
      <c r="K44" s="84" t="s">
        <v>230</v>
      </c>
    </row>
    <row r="45" spans="1:13" x14ac:dyDescent="0.15">
      <c r="J45" s="84" t="s">
        <v>231</v>
      </c>
      <c r="K45" s="84" t="s">
        <v>232</v>
      </c>
    </row>
    <row r="46" spans="1:13" x14ac:dyDescent="0.15">
      <c r="J46" s="84" t="s">
        <v>233</v>
      </c>
      <c r="K46" s="84" t="s">
        <v>234</v>
      </c>
    </row>
    <row r="47" spans="1:13" x14ac:dyDescent="0.15">
      <c r="J47" s="84" t="s">
        <v>235</v>
      </c>
      <c r="K47" s="84" t="s">
        <v>239</v>
      </c>
    </row>
    <row r="48" spans="1:13" x14ac:dyDescent="0.15">
      <c r="J48" s="84" t="s">
        <v>236</v>
      </c>
      <c r="K48" s="84" t="s">
        <v>240</v>
      </c>
    </row>
    <row r="49" spans="10:11" x14ac:dyDescent="0.15">
      <c r="J49" s="84" t="s">
        <v>237</v>
      </c>
      <c r="K49" s="84" t="s">
        <v>241</v>
      </c>
    </row>
    <row r="50" spans="10:11" x14ac:dyDescent="0.15">
      <c r="J50" s="84" t="s">
        <v>238</v>
      </c>
      <c r="K50" s="84" t="s">
        <v>242</v>
      </c>
    </row>
    <row r="51" spans="10:11" x14ac:dyDescent="0.15">
      <c r="J51" s="84" t="s">
        <v>244</v>
      </c>
      <c r="K51" s="84" t="s">
        <v>243</v>
      </c>
    </row>
    <row r="52" spans="10:11" x14ac:dyDescent="0.15">
      <c r="J52" s="84" t="s">
        <v>245</v>
      </c>
      <c r="K52" s="84" t="s">
        <v>246</v>
      </c>
    </row>
    <row r="53" spans="10:11" x14ac:dyDescent="0.15">
      <c r="J53" s="84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E43" sqref="E4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277</v>
      </c>
      <c r="B2" s="61" t="s">
        <v>116</v>
      </c>
      <c r="C2" s="50" t="str">
        <f t="shared" ref="C2" si="0">RIGHT(F2,6)</f>
        <v>442101</v>
      </c>
      <c r="D2" s="19" t="s">
        <v>46</v>
      </c>
      <c r="E2" s="17" t="str">
        <f t="shared" ref="E2" si="1">B2&amp;C2&amp;D2</f>
        <v>gacha_select_tables_442101.tmp</v>
      </c>
      <c r="F2" s="90" t="s">
        <v>287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9" t="s">
        <v>277</v>
      </c>
      <c r="B3" s="61" t="s">
        <v>116</v>
      </c>
      <c r="C3" s="50" t="str">
        <f t="shared" ref="C3:C7" si="2">RIGHT(F3,6)</f>
        <v>442103</v>
      </c>
      <c r="D3" s="19" t="s">
        <v>46</v>
      </c>
      <c r="E3" s="17" t="str">
        <f t="shared" ref="E3:E10" si="3">B3&amp;C3&amp;D3</f>
        <v>gacha_select_tables_442103.tmp</v>
      </c>
      <c r="F3" s="90" t="s">
        <v>288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9" t="s">
        <v>277</v>
      </c>
      <c r="B4" s="78" t="s">
        <v>220</v>
      </c>
      <c r="C4" s="50" t="str">
        <f t="shared" si="2"/>
        <v>442103</v>
      </c>
      <c r="D4" s="19" t="s">
        <v>46</v>
      </c>
      <c r="E4" s="17" t="str">
        <f t="shared" ref="E4:E7" si="4">B4&amp;C4&amp;D4</f>
        <v>gacha_settle_tables_442103.tmp</v>
      </c>
      <c r="F4" s="90" t="s">
        <v>289</v>
      </c>
      <c r="G4" s="49" t="s">
        <v>87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9" t="s">
        <v>277</v>
      </c>
      <c r="B5" s="61" t="s">
        <v>116</v>
      </c>
      <c r="C5" s="50" t="str">
        <f t="shared" si="2"/>
        <v>442104</v>
      </c>
      <c r="D5" s="19" t="s">
        <v>46</v>
      </c>
      <c r="E5" s="17" t="str">
        <f t="shared" si="4"/>
        <v>gacha_select_tables_442104.tmp</v>
      </c>
      <c r="F5" s="90" t="s">
        <v>290</v>
      </c>
      <c r="G5" s="49" t="s">
        <v>86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9" t="s">
        <v>277</v>
      </c>
      <c r="B6" s="61" t="s">
        <v>116</v>
      </c>
      <c r="C6" s="50" t="str">
        <f t="shared" ref="C6" si="5">RIGHT(F6,6)</f>
        <v>442105</v>
      </c>
      <c r="D6" s="19" t="s">
        <v>46</v>
      </c>
      <c r="E6" s="17" t="str">
        <f t="shared" ref="E6" si="6">B6&amp;C6&amp;D6</f>
        <v>gacha_select_tables_442105.tmp</v>
      </c>
      <c r="F6" s="90" t="s">
        <v>291</v>
      </c>
      <c r="G6" s="49" t="s">
        <v>86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9" t="s">
        <v>277</v>
      </c>
      <c r="B7" s="61" t="s">
        <v>116</v>
      </c>
      <c r="C7" s="50" t="str">
        <f t="shared" si="2"/>
        <v>442100</v>
      </c>
      <c r="D7" s="19" t="s">
        <v>46</v>
      </c>
      <c r="E7" s="17" t="str">
        <f t="shared" si="4"/>
        <v>gacha_select_tables_442100.tmp</v>
      </c>
      <c r="F7" s="90" t="s">
        <v>292</v>
      </c>
      <c r="G7" s="49" t="s">
        <v>86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277</v>
      </c>
      <c r="B8" s="27" t="s">
        <v>51</v>
      </c>
      <c r="C8" s="32">
        <v>442</v>
      </c>
      <c r="D8" s="19" t="s">
        <v>47</v>
      </c>
      <c r="E8" s="17" t="str">
        <f t="shared" si="3"/>
        <v>gacha_bonus_tables_442.tmp</v>
      </c>
      <c r="F8" s="19" t="s">
        <v>48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9" t="s">
        <v>277</v>
      </c>
      <c r="B9" s="19" t="s">
        <v>49</v>
      </c>
      <c r="C9" s="32">
        <v>442</v>
      </c>
      <c r="D9" s="19" t="s">
        <v>47</v>
      </c>
      <c r="E9" s="17" t="str">
        <f t="shared" si="3"/>
        <v>gifts_tmp_442.tmp</v>
      </c>
      <c r="F9" s="19" t="s">
        <v>48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88</v>
      </c>
      <c r="S9" s="51" t="s">
        <v>8</v>
      </c>
      <c r="T9" s="51" t="s">
        <v>89</v>
      </c>
      <c r="U9" s="51" t="s">
        <v>5</v>
      </c>
    </row>
    <row r="10" spans="1:21" x14ac:dyDescent="0.15">
      <c r="A10" s="89" t="s">
        <v>277</v>
      </c>
      <c r="B10" s="19" t="s">
        <v>50</v>
      </c>
      <c r="C10" s="32">
        <v>442</v>
      </c>
      <c r="D10" s="19" t="s">
        <v>47</v>
      </c>
      <c r="E10" s="17" t="str">
        <f t="shared" si="3"/>
        <v>gifts_i18n_442.tmp</v>
      </c>
      <c r="F10" s="19" t="s">
        <v>48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5"/>
  <sheetViews>
    <sheetView tabSelected="1" topLeftCell="A30" zoomScale="110" zoomScaleNormal="110" zoomScalePageLayoutView="110" workbookViewId="0">
      <selection activeCell="G63" sqref="G63:G64"/>
    </sheetView>
  </sheetViews>
  <sheetFormatPr baseColWidth="12" defaultRowHeight="14" x14ac:dyDescent="0.15"/>
  <cols>
    <col min="1" max="2" width="24.19921875" bestFit="1" customWidth="1"/>
    <col min="4" max="4" width="43.19921875" bestFit="1" customWidth="1"/>
    <col min="5" max="5" width="22.796875" bestFit="1" customWidth="1"/>
    <col min="6" max="6" width="21.796875" bestFit="1" customWidth="1"/>
    <col min="7" max="7" width="20.796875" bestFit="1" customWidth="1"/>
    <col min="8" max="8" width="19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442101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VLOOKUP(L3,tables_442101!B:C,2,FALSE)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VLOOKUP(L4,tables_442101!B:C,2,FALSE)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(B11-H5)*0.4/(F5-I5)</f>
        <v>4.5454545454545465E-4</v>
      </c>
      <c r="F5">
        <f>(COUNTIF(tables_442101!C:C,input_442101!A28)+COUNTIF(tables_442101!C:C,input_442101!A29))</f>
        <v>44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VLOOKUP(L5,tables_442101!B:C,2,FALSE)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0.45</v>
      </c>
      <c r="D6" t="s">
        <v>249</v>
      </c>
      <c r="E6" s="77">
        <f>(B11-H5)*0.6/(F6-I5)</f>
        <v>2.3076923076923075E-3</v>
      </c>
      <c r="F6">
        <f>(COUNTIF(tables_442101!C:C,input_442101!A43)+COUNTIF(tables_442101!C:C,input_442101!A44))</f>
        <v>13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VLOOKUP(L6,tables_442101!B:C,2,FALSE)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5.6477611940298506E-3</v>
      </c>
      <c r="F7">
        <f>(COUNTIF(tables_442101!C:C,input_442101!A25)+COUNTIF(tables_442101!C:C,input_442101!A18)+COUNTIF(tables_442101!C:C,input_442101!A20)+COUNTIF(tables_442101!C:C,input_442101!A22))</f>
        <v>67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VLOOKUP(L7,tables_442101!B:C,2,FALSE)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2.3650000000000001E-2</v>
      </c>
      <c r="F8">
        <f>(COUNTIF(tables_442101!C:C,input_442101!A40)+COUNTIF(tables_442101!C:C,input_442101!A33)+COUNTIF(tables_442101!C:C,input_442101!A35)+COUNTIF(tables_442101!C:C,input_442101!A37))</f>
        <v>24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VLOOKUP(L8,tables_442101!B:C,2,FALSE)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VLOOKUP(L9,tables_442101!B:C,2,FALSE)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0.94599999999999995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VLOOKUP(L10,tables_442101!B:C,2,FALSE)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</f>
        <v>0.05</v>
      </c>
      <c r="C11" t="s">
        <v>274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VLOOKUP(L11,tables_442101!B:C,2,FALSE)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VLOOKUP(L12,tables_442101!B:C,2,FALSE)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VLOOKUP(L13,tables_442101!B:C,2,FALSE)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VLOOKUP(L14,tables_442101!B:C,2,FALSE)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VLOOKUP(L15,tables_442101!B:C,2,FALSE)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VLOOKUP(L16,tables_442101!B:C,2,FALSE)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3">
        <f>B$5*0.4-B19-B24</f>
        <v>8.4220895522388081E-2</v>
      </c>
      <c r="C17" s="86">
        <f t="shared" ref="C17:C46" si="2">SUMIF(Q:Q,A17,N:N)</f>
        <v>0</v>
      </c>
      <c r="D17" s="75">
        <f t="shared" ref="D17:D26" si="3">B17-C17</f>
        <v>8.4220895522388081E-2</v>
      </c>
      <c r="E17">
        <f>COUNTIF(tables_442101!C:C,input_442101!A17)-COUNTIF(Q:Q,A17)</f>
        <v>15</v>
      </c>
      <c r="F17" s="43">
        <f>IFERROR(B17/E17,0)</f>
        <v>5.6147263681592058E-3</v>
      </c>
      <c r="G17">
        <f t="shared" ref="G17:G46" si="4">A$51*B17</f>
        <v>993132.80000000028</v>
      </c>
      <c r="H17">
        <f t="shared" ref="H17:H26" si="5">IFERROR(ROUND(G17/E17,5),0)</f>
        <v>66208.853329999998</v>
      </c>
      <c r="I17">
        <f t="shared" ref="I17:I31" si="6">MOD(H17,1)</f>
        <v>0.85332999999809545</v>
      </c>
      <c r="J17">
        <f t="shared" ref="J17:J26" si="7">IFERROR(1/I17,1)</f>
        <v>1.1718795776572157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VLOOKUP(L17,tables_442101!B:C,2,FALSE)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4.9552238805967985E-4</v>
      </c>
      <c r="C18" s="86">
        <f t="shared" si="2"/>
        <v>0</v>
      </c>
      <c r="D18" s="75">
        <f t="shared" si="3"/>
        <v>4.9552238805967985E-4</v>
      </c>
      <c r="E18">
        <f>COUNTIF(tables_442101!C:C,input_442101!A18)-COUNTIF(Q:Q,A18)</f>
        <v>15</v>
      </c>
      <c r="F18" s="43">
        <f>IFERROR(B18/E18,0)</f>
        <v>3.3034825870645325E-5</v>
      </c>
      <c r="G18">
        <f t="shared" si="4"/>
        <v>5843.1999999997452</v>
      </c>
      <c r="H18">
        <f t="shared" si="5"/>
        <v>389.54667000000001</v>
      </c>
      <c r="I18">
        <f t="shared" si="6"/>
        <v>0.54667000000000598</v>
      </c>
      <c r="J18">
        <f t="shared" si="7"/>
        <v>1.8292571386759637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VLOOKUP(L18,tables_442101!B:C,2,FALSE)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0.10730746268656716</v>
      </c>
      <c r="C19" s="86">
        <f t="shared" si="2"/>
        <v>0</v>
      </c>
      <c r="D19" s="75">
        <f t="shared" si="3"/>
        <v>0.10730746268656716</v>
      </c>
      <c r="E19">
        <f>COUNTIF(tables_442101!C:C,input_442101!A19)-COUNTIF(Q:Q,A19)</f>
        <v>38</v>
      </c>
      <c r="F19" s="43">
        <f t="shared" ref="F19:F31" si="8">IFERROR(B19/E19,0)</f>
        <v>2.8238805970149253E-3</v>
      </c>
      <c r="G19">
        <f t="shared" si="4"/>
        <v>1265369.5999999999</v>
      </c>
      <c r="H19">
        <f t="shared" si="5"/>
        <v>33299.199999999997</v>
      </c>
      <c r="I19">
        <f t="shared" si="6"/>
        <v>0.19999999999708962</v>
      </c>
      <c r="J19">
        <f t="shared" si="7"/>
        <v>5.0000000000727596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VLOOKUP(L19,tables_442101!B:C,2,FALSE)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3">
        <f>E$7*E20*B$6+F49-0.02+0.01-G64</f>
        <v>8.6576716413737084E-2</v>
      </c>
      <c r="C20" s="86">
        <f t="shared" si="2"/>
        <v>0</v>
      </c>
      <c r="D20" s="75">
        <f t="shared" si="3"/>
        <v>8.6576716413737084E-2</v>
      </c>
      <c r="E20">
        <f>COUNTIF(tables_442101!C:C,input_442101!A20)-COUNTIF(Q:Q,A20)</f>
        <v>38</v>
      </c>
      <c r="F20" s="43">
        <f t="shared" si="8"/>
        <v>2.2783346424667655E-3</v>
      </c>
      <c r="G20">
        <f t="shared" si="4"/>
        <v>1020912.6399507876</v>
      </c>
      <c r="H20">
        <f t="shared" si="5"/>
        <v>26866.122100000001</v>
      </c>
      <c r="I20">
        <f t="shared" si="6"/>
        <v>0.12210000000050059</v>
      </c>
      <c r="J20">
        <f t="shared" si="7"/>
        <v>8.1900081899746127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VLOOKUP(L20,tables_442101!B:C,2,FALSE)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7.307462686567158E-4</v>
      </c>
      <c r="C21" s="86">
        <f t="shared" si="2"/>
        <v>0</v>
      </c>
      <c r="D21" s="75">
        <f t="shared" si="3"/>
        <v>7.307462686567158E-4</v>
      </c>
      <c r="E21">
        <f>COUNTIF(tables_442101!C:C,input_442101!A21)-COUNTIF(Q:Q,A21)</f>
        <v>38</v>
      </c>
      <c r="F21" s="43">
        <f t="shared" si="8"/>
        <v>1.9230164964650417E-5</v>
      </c>
      <c r="G21">
        <f t="shared" si="4"/>
        <v>8616.9599999999919</v>
      </c>
      <c r="H21">
        <f t="shared" si="5"/>
        <v>226.76211000000001</v>
      </c>
      <c r="I21">
        <f t="shared" si="6"/>
        <v>0.76211000000000695</v>
      </c>
      <c r="J21">
        <f t="shared" si="7"/>
        <v>1.3121465405256338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7.9489552238806035E-2</v>
      </c>
      <c r="C22" s="86">
        <f t="shared" si="2"/>
        <v>0</v>
      </c>
      <c r="D22" s="75">
        <f t="shared" si="3"/>
        <v>7.9489552238806035E-2</v>
      </c>
      <c r="E22">
        <f>COUNTIF(tables_442101!C:C,input_442101!A22)-COUNTIF(Q:Q,A22)</f>
        <v>11</v>
      </c>
      <c r="F22" s="43">
        <f t="shared" si="8"/>
        <v>7.2263229308005489E-3</v>
      </c>
      <c r="G22">
        <f t="shared" si="4"/>
        <v>937340.80000000075</v>
      </c>
      <c r="H22">
        <f t="shared" si="5"/>
        <v>85212.800000000003</v>
      </c>
      <c r="I22">
        <f t="shared" si="6"/>
        <v>0.80000000000291038</v>
      </c>
      <c r="J22">
        <f t="shared" si="7"/>
        <v>1.2499999999954525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4.2358208955223884E-3</v>
      </c>
      <c r="C23" s="86">
        <f t="shared" si="2"/>
        <v>0</v>
      </c>
      <c r="D23" s="75">
        <f t="shared" si="3"/>
        <v>4.2358208955223884E-3</v>
      </c>
      <c r="E23">
        <f>COUNTIF(tables_442101!C:C,input_442101!A23)-COUNTIF(Q:Q,A23)</f>
        <v>15</v>
      </c>
      <c r="F23" s="43">
        <f t="shared" si="8"/>
        <v>2.8238805970149256E-4</v>
      </c>
      <c r="G23">
        <f t="shared" si="4"/>
        <v>49948.800000000003</v>
      </c>
      <c r="H23">
        <f t="shared" si="5"/>
        <v>3329.92</v>
      </c>
      <c r="I23">
        <f t="shared" si="6"/>
        <v>0.92000000000007276</v>
      </c>
      <c r="J23">
        <f t="shared" si="7"/>
        <v>1.0869565217390444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8.4716417910447768E-3</v>
      </c>
      <c r="C24" s="86">
        <f t="shared" si="2"/>
        <v>0</v>
      </c>
      <c r="D24" s="75">
        <f t="shared" si="3"/>
        <v>8.4716417910447768E-3</v>
      </c>
      <c r="E24">
        <f>COUNTIF(tables_442101!C:C,input_442101!A24)-COUNTIF(Q:Q,A24)</f>
        <v>3</v>
      </c>
      <c r="F24" s="43">
        <f t="shared" si="8"/>
        <v>2.8238805970149257E-3</v>
      </c>
      <c r="G24">
        <f t="shared" si="4"/>
        <v>99897.600000000006</v>
      </c>
      <c r="H24">
        <f t="shared" si="5"/>
        <v>33299.199999999997</v>
      </c>
      <c r="I24">
        <f t="shared" si="6"/>
        <v>0.19999999999708962</v>
      </c>
      <c r="J24">
        <f t="shared" si="7"/>
        <v>5.0000000000727596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7.6244776119402981E-3</v>
      </c>
      <c r="C25" s="86">
        <f t="shared" si="2"/>
        <v>0</v>
      </c>
      <c r="D25" s="75">
        <f t="shared" si="3"/>
        <v>7.6244776119402981E-3</v>
      </c>
      <c r="E25">
        <f>COUNTIF(tables_442101!C:C,input_442101!A25)-COUNTIF(Q:Q,A25)</f>
        <v>3</v>
      </c>
      <c r="F25" s="43">
        <f t="shared" si="8"/>
        <v>2.5414925373134327E-3</v>
      </c>
      <c r="G25">
        <f t="shared" si="4"/>
        <v>89907.839999999997</v>
      </c>
      <c r="H25">
        <f t="shared" si="5"/>
        <v>29969.279999999999</v>
      </c>
      <c r="I25">
        <f t="shared" si="6"/>
        <v>0.27999999999883585</v>
      </c>
      <c r="J25">
        <f t="shared" si="7"/>
        <v>3.5714285714434202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57" t="s">
        <v>201</v>
      </c>
      <c r="B26" s="56">
        <f>E$7*B$7*E26</f>
        <v>8.4716417910447764E-4</v>
      </c>
      <c r="C26" s="86">
        <f t="shared" si="2"/>
        <v>0</v>
      </c>
      <c r="D26" s="75">
        <f t="shared" si="3"/>
        <v>8.4716417910447764E-4</v>
      </c>
      <c r="E26">
        <f>COUNTIF(tables_442101!C:C,input_442101!A26)-COUNTIF(Q:Q,A26)</f>
        <v>3</v>
      </c>
      <c r="F26" s="43">
        <f t="shared" si="8"/>
        <v>2.8238805970149256E-4</v>
      </c>
      <c r="G26">
        <f t="shared" si="4"/>
        <v>9989.76</v>
      </c>
      <c r="H26">
        <f t="shared" si="5"/>
        <v>3329.92</v>
      </c>
      <c r="I26">
        <f t="shared" si="6"/>
        <v>0.92000000000007276</v>
      </c>
      <c r="J26">
        <f t="shared" si="7"/>
        <v>1.0869565217390444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57" t="s">
        <v>109</v>
      </c>
      <c r="B27" s="56">
        <f>E$5*E27*(B$5+B$6)+G64</f>
        <v>1.0496192597032907E-2</v>
      </c>
      <c r="C27" s="86">
        <f t="shared" si="2"/>
        <v>0</v>
      </c>
      <c r="D27" s="75">
        <f t="shared" ref="D27:D29" si="9">B27-C27</f>
        <v>1.0496192597032907E-2</v>
      </c>
      <c r="E27">
        <f>COUNTIF(tables_442101!C:C,input_442101!A27)-COUNTIF(Q:Q,A27)</f>
        <v>22</v>
      </c>
      <c r="F27" s="43">
        <f>IFERROR(B27/E27,0)</f>
        <v>4.770996635014958E-4</v>
      </c>
      <c r="G27">
        <f t="shared" si="4"/>
        <v>123771.10310421204</v>
      </c>
      <c r="H27">
        <f t="shared" ref="H27:H29" si="10">IFERROR(ROUND(G27/E27,5),0)</f>
        <v>5625.9592300000004</v>
      </c>
      <c r="I27">
        <f t="shared" si="6"/>
        <v>0.95923000000038883</v>
      </c>
      <c r="J27">
        <f t="shared" ref="J27:J29" si="11">IFERROR(1/I27,1)</f>
        <v>1.0425028408198187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57" t="s">
        <v>110</v>
      </c>
      <c r="B28" s="56">
        <f>E$5*E28*B$7</f>
        <v>5.0000000000000012E-4</v>
      </c>
      <c r="C28" s="86">
        <f t="shared" si="2"/>
        <v>0</v>
      </c>
      <c r="D28" s="75">
        <f t="shared" si="9"/>
        <v>5.0000000000000012E-4</v>
      </c>
      <c r="E28">
        <f>COUNTIF(tables_442101!C:C,input_442101!A28)-COUNTIF(Q:Q,A28)</f>
        <v>22</v>
      </c>
      <c r="F28" s="43">
        <f t="shared" si="8"/>
        <v>2.2727272727272733E-5</v>
      </c>
      <c r="G28">
        <f t="shared" si="4"/>
        <v>5896.0000000000018</v>
      </c>
      <c r="H28">
        <f t="shared" si="10"/>
        <v>268</v>
      </c>
      <c r="I28">
        <f t="shared" si="6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57" t="s">
        <v>280</v>
      </c>
      <c r="B29" s="56">
        <f>E$5*E29-F49</f>
        <v>9.0038074071404524E-3</v>
      </c>
      <c r="C29" s="86">
        <f t="shared" si="2"/>
        <v>0</v>
      </c>
      <c r="D29" s="75">
        <f t="shared" si="9"/>
        <v>9.0038074071404524E-3</v>
      </c>
      <c r="E29">
        <f>COUNTIF(tables_442101!C:C,input_442101!A29)-COUNTIF(Q:Q,A29)</f>
        <v>22</v>
      </c>
      <c r="F29" s="43">
        <f t="shared" si="8"/>
        <v>4.0926397305183874E-4</v>
      </c>
      <c r="G29">
        <f t="shared" si="4"/>
        <v>106172.89694500022</v>
      </c>
      <c r="H29">
        <f t="shared" si="10"/>
        <v>4826.0407699999996</v>
      </c>
      <c r="I29">
        <f t="shared" si="6"/>
        <v>4.0769999999611173E-2</v>
      </c>
      <c r="J29">
        <f t="shared" si="11"/>
        <v>24.527839097609444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57" t="s">
        <v>266</v>
      </c>
      <c r="B30" s="56">
        <v>0</v>
      </c>
      <c r="C30" s="86">
        <f t="shared" si="2"/>
        <v>0</v>
      </c>
      <c r="D30" s="75">
        <f t="shared" ref="D30:D44" si="12">B30-C30</f>
        <v>0</v>
      </c>
      <c r="E30">
        <f>COUNTIF(tables_442101!C:C,input_442101!A30)-COUNTIF(Q:Q,A30)</f>
        <v>0</v>
      </c>
      <c r="F30" s="43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57" t="s">
        <v>267</v>
      </c>
      <c r="B31" s="56">
        <v>0</v>
      </c>
      <c r="C31" s="86">
        <f t="shared" si="2"/>
        <v>0</v>
      </c>
      <c r="D31" s="75">
        <f t="shared" si="12"/>
        <v>0</v>
      </c>
      <c r="E31">
        <f>COUNTIF(tables_442101!C:C,input_442101!A31)-COUNTIF(Q:Q,A31)</f>
        <v>0</v>
      </c>
      <c r="F31" s="43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57" t="s">
        <v>252</v>
      </c>
      <c r="B32" s="93">
        <f>B$5*0.6-B34-B39</f>
        <v>0.12262499999999998</v>
      </c>
      <c r="C32" s="86">
        <f t="shared" si="2"/>
        <v>0</v>
      </c>
      <c r="D32" s="75">
        <f t="shared" si="12"/>
        <v>0.12262499999999998</v>
      </c>
      <c r="E32">
        <f>COUNTIF(tables_442101!C:C,input_442101!A32)-COUNTIF(Q:Q,A32)</f>
        <v>5</v>
      </c>
      <c r="F32" s="43">
        <f>IFERROR(B32/E32,0)</f>
        <v>2.4524999999999998E-2</v>
      </c>
      <c r="G32">
        <f t="shared" si="4"/>
        <v>1445993.9999999998</v>
      </c>
      <c r="H32">
        <f t="shared" si="13"/>
        <v>289198.8</v>
      </c>
      <c r="I32">
        <f t="shared" ref="I32:I46" si="15">MOD(H32,1)</f>
        <v>0.79999999998835847</v>
      </c>
      <c r="J32">
        <f t="shared" si="14"/>
        <v>1.2500000000181899</v>
      </c>
      <c r="M32" s="37"/>
      <c r="N32" s="63"/>
      <c r="O32" s="37"/>
      <c r="P32" s="37"/>
      <c r="Q32" s="37"/>
      <c r="R32" s="62"/>
    </row>
    <row r="33" spans="1:18" x14ac:dyDescent="0.15">
      <c r="A33" s="57" t="s">
        <v>253</v>
      </c>
      <c r="B33" s="56">
        <f>E$8*E33-B32+0.02</f>
        <v>1.5625000000000024E-2</v>
      </c>
      <c r="C33" s="86">
        <f t="shared" si="2"/>
        <v>0</v>
      </c>
      <c r="D33" s="75">
        <f t="shared" si="12"/>
        <v>1.5625000000000024E-2</v>
      </c>
      <c r="E33">
        <f>COUNTIF(tables_442101!C:C,input_442101!A33)-COUNTIF(Q:Q,A33)</f>
        <v>5</v>
      </c>
      <c r="F33" s="43">
        <f>IFERROR(B33/E33,0)</f>
        <v>3.1250000000000049E-3</v>
      </c>
      <c r="G33">
        <f t="shared" si="4"/>
        <v>184250.00000000029</v>
      </c>
      <c r="H33">
        <f t="shared" si="13"/>
        <v>36850</v>
      </c>
      <c r="I33">
        <f t="shared" si="15"/>
        <v>0</v>
      </c>
      <c r="J33">
        <f t="shared" si="14"/>
        <v>1</v>
      </c>
      <c r="M33" s="37"/>
      <c r="N33" s="63"/>
      <c r="O33" s="37"/>
      <c r="P33" s="37"/>
      <c r="Q33" s="37"/>
      <c r="R33" s="62"/>
    </row>
    <row r="34" spans="1:18" x14ac:dyDescent="0.15">
      <c r="A34" s="57" t="s">
        <v>254</v>
      </c>
      <c r="B34" s="83">
        <f>E$8*E34*B$5</f>
        <v>0.16555</v>
      </c>
      <c r="C34" s="86">
        <f t="shared" si="2"/>
        <v>0</v>
      </c>
      <c r="D34" s="75">
        <f t="shared" si="12"/>
        <v>0.16555</v>
      </c>
      <c r="E34">
        <f>COUNTIF(tables_442101!C:C,input_442101!A34)-COUNTIF(Q:Q,A34)</f>
        <v>14</v>
      </c>
      <c r="F34" s="43">
        <f t="shared" ref="F34:F41" si="16">IFERROR(B34/E34,0)</f>
        <v>1.1825E-2</v>
      </c>
      <c r="G34">
        <f t="shared" si="4"/>
        <v>1952165.6</v>
      </c>
      <c r="H34">
        <f t="shared" si="13"/>
        <v>139440.4</v>
      </c>
      <c r="I34">
        <f t="shared" si="15"/>
        <v>0.39999999999417923</v>
      </c>
      <c r="J34">
        <f t="shared" si="14"/>
        <v>2.5000000000363798</v>
      </c>
      <c r="M34" s="37"/>
      <c r="N34" s="63"/>
      <c r="O34" s="37"/>
      <c r="P34" s="37"/>
      <c r="Q34" s="37"/>
      <c r="R34" s="62"/>
    </row>
    <row r="35" spans="1:18" x14ac:dyDescent="0.15">
      <c r="A35" s="57" t="s">
        <v>251</v>
      </c>
      <c r="B35" s="56">
        <f>E$8*E35*B$6+E49</f>
        <v>0.15999119259285957</v>
      </c>
      <c r="C35" s="86">
        <f t="shared" si="2"/>
        <v>0</v>
      </c>
      <c r="D35" s="75">
        <f t="shared" si="12"/>
        <v>0.15999119259285957</v>
      </c>
      <c r="E35">
        <f>COUNTIF(tables_442101!C:C,input_442101!A35)-COUNTIF(Q:Q,A35)</f>
        <v>14</v>
      </c>
      <c r="F35" s="43">
        <f t="shared" si="16"/>
        <v>1.1427942328061397E-2</v>
      </c>
      <c r="G35">
        <f t="shared" si="4"/>
        <v>1886616.1430550001</v>
      </c>
      <c r="H35">
        <f t="shared" si="13"/>
        <v>134758.29592999999</v>
      </c>
      <c r="I35">
        <f t="shared" si="15"/>
        <v>0.29592999999294989</v>
      </c>
      <c r="J35">
        <f t="shared" si="14"/>
        <v>3.3791775082750095</v>
      </c>
      <c r="M35" s="37"/>
      <c r="N35" s="63"/>
      <c r="O35" s="37"/>
      <c r="P35" s="37"/>
      <c r="Q35" s="37"/>
      <c r="R35" s="62"/>
    </row>
    <row r="36" spans="1:18" x14ac:dyDescent="0.15">
      <c r="A36" s="57" t="s">
        <v>255</v>
      </c>
      <c r="B36" s="56">
        <f>E$8*E36*B$7-E49</f>
        <v>5.5588074071404505E-3</v>
      </c>
      <c r="C36" s="86">
        <f t="shared" si="2"/>
        <v>0</v>
      </c>
      <c r="D36" s="75">
        <f t="shared" si="12"/>
        <v>5.5588074071404505E-3</v>
      </c>
      <c r="E36">
        <f>COUNTIF(tables_442101!C:C,input_442101!A36)-COUNTIF(Q:Q,A36)</f>
        <v>14</v>
      </c>
      <c r="F36" s="43">
        <f t="shared" si="16"/>
        <v>3.9705767193860358E-4</v>
      </c>
      <c r="G36">
        <f t="shared" si="4"/>
        <v>65549.456945000187</v>
      </c>
      <c r="H36">
        <f t="shared" si="13"/>
        <v>4682.1040700000003</v>
      </c>
      <c r="I36">
        <f t="shared" si="15"/>
        <v>0.10407000000031985</v>
      </c>
      <c r="J36">
        <f t="shared" si="14"/>
        <v>9.6089170750161106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57" t="s">
        <v>256</v>
      </c>
      <c r="B37" s="76">
        <f>E$8*E37-B38-C50</f>
        <v>6.5904999999999936E-2</v>
      </c>
      <c r="C37" s="86">
        <f t="shared" si="2"/>
        <v>0</v>
      </c>
      <c r="D37" s="75">
        <f t="shared" si="12"/>
        <v>6.5904999999999936E-2</v>
      </c>
      <c r="E37">
        <f>COUNTIF(tables_442101!C:C,input_442101!A37)-COUNTIF(Q:Q,A37)</f>
        <v>4</v>
      </c>
      <c r="F37" s="43">
        <f t="shared" si="16"/>
        <v>1.6476249999999984E-2</v>
      </c>
      <c r="G37">
        <f t="shared" si="4"/>
        <v>777151.75999999919</v>
      </c>
      <c r="H37">
        <f t="shared" si="13"/>
        <v>194287.94</v>
      </c>
      <c r="I37">
        <f t="shared" si="15"/>
        <v>0.94000000000232831</v>
      </c>
      <c r="J37">
        <f t="shared" si="14"/>
        <v>1.0638297872314075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57" t="s">
        <v>257</v>
      </c>
      <c r="B38" s="70">
        <f>E38*E8*B7</f>
        <v>7.0950000000000006E-3</v>
      </c>
      <c r="C38" s="86">
        <f t="shared" si="2"/>
        <v>0</v>
      </c>
      <c r="D38" s="75">
        <f t="shared" si="12"/>
        <v>7.0950000000000006E-3</v>
      </c>
      <c r="E38">
        <f>COUNTIF(tables_442101!C:C,input_442101!A38)-COUNTIF(Q:Q,A38)</f>
        <v>6</v>
      </c>
      <c r="F38" s="43">
        <f t="shared" si="16"/>
        <v>1.1825000000000002E-3</v>
      </c>
      <c r="G38">
        <f t="shared" si="4"/>
        <v>83664.240000000005</v>
      </c>
      <c r="H38">
        <f t="shared" si="13"/>
        <v>13944.04</v>
      </c>
      <c r="I38">
        <f t="shared" si="15"/>
        <v>4.0000000000873115E-2</v>
      </c>
      <c r="J38">
        <f t="shared" si="14"/>
        <v>24.999999999454303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57" t="s">
        <v>258</v>
      </c>
      <c r="B39" s="56">
        <f>E$8*E39*B$5</f>
        <v>1.1825E-2</v>
      </c>
      <c r="C39" s="86">
        <f t="shared" si="2"/>
        <v>0</v>
      </c>
      <c r="D39" s="75">
        <f t="shared" si="12"/>
        <v>1.1825E-2</v>
      </c>
      <c r="E39">
        <f>COUNTIF(tables_442101!C:C,input_442101!A39)-COUNTIF(Q:Q,A39)</f>
        <v>1</v>
      </c>
      <c r="F39" s="43">
        <f t="shared" si="16"/>
        <v>1.1825E-2</v>
      </c>
      <c r="G39">
        <f t="shared" si="4"/>
        <v>139440.4</v>
      </c>
      <c r="H39">
        <f t="shared" si="13"/>
        <v>139440.4</v>
      </c>
      <c r="I39">
        <f t="shared" si="15"/>
        <v>0.39999999999417923</v>
      </c>
      <c r="J39">
        <f t="shared" si="14"/>
        <v>2.5000000000363798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57" t="s">
        <v>259</v>
      </c>
      <c r="B40" s="56">
        <f>E$8*B$6*E40</f>
        <v>1.0642500000000001E-2</v>
      </c>
      <c r="C40" s="86">
        <f t="shared" si="2"/>
        <v>0</v>
      </c>
      <c r="D40" s="75">
        <f t="shared" si="12"/>
        <v>1.0642500000000001E-2</v>
      </c>
      <c r="E40">
        <f>COUNTIF(tables_442101!C:C,input_442101!A40)-COUNTIF(Q:Q,A40)</f>
        <v>1</v>
      </c>
      <c r="F40" s="43">
        <f t="shared" si="16"/>
        <v>1.0642500000000001E-2</v>
      </c>
      <c r="G40">
        <f t="shared" si="4"/>
        <v>125496.36000000002</v>
      </c>
      <c r="H40">
        <f t="shared" si="13"/>
        <v>125496.36</v>
      </c>
      <c r="I40">
        <f t="shared" si="15"/>
        <v>0.36000000000058208</v>
      </c>
      <c r="J40">
        <f t="shared" si="14"/>
        <v>2.7777777777732866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57" t="s">
        <v>260</v>
      </c>
      <c r="B41" s="56">
        <f>E$8*B$7*E41</f>
        <v>1.1825000000000002E-3</v>
      </c>
      <c r="C41" s="86">
        <f t="shared" si="2"/>
        <v>0</v>
      </c>
      <c r="D41" s="75">
        <f t="shared" si="12"/>
        <v>1.1825000000000002E-3</v>
      </c>
      <c r="E41">
        <f>COUNTIF(tables_442101!C:C,input_442101!A41)-COUNTIF(Q:Q,A41)</f>
        <v>1</v>
      </c>
      <c r="F41" s="43">
        <f t="shared" si="16"/>
        <v>1.1825000000000002E-3</v>
      </c>
      <c r="G41">
        <f t="shared" si="4"/>
        <v>13944.040000000003</v>
      </c>
      <c r="H41">
        <f t="shared" si="13"/>
        <v>13944.04</v>
      </c>
      <c r="I41">
        <f t="shared" si="15"/>
        <v>4.0000000000873115E-2</v>
      </c>
      <c r="J41">
        <f t="shared" si="14"/>
        <v>24.999999999454303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57" t="s">
        <v>261</v>
      </c>
      <c r="B42" s="56">
        <f>E$6*E42*(B$5+B$6)</f>
        <v>1.3153846153846151E-2</v>
      </c>
      <c r="C42" s="86">
        <f t="shared" si="2"/>
        <v>0</v>
      </c>
      <c r="D42" s="75">
        <f t="shared" si="12"/>
        <v>1.3153846153846151E-2</v>
      </c>
      <c r="E42">
        <f>COUNTIF(tables_442101!C:C,input_442101!A42)-COUNTIF(Q:Q,A42)</f>
        <v>6</v>
      </c>
      <c r="F42" s="43">
        <f>IFERROR(B42/E42,0)</f>
        <v>2.1923076923076918E-3</v>
      </c>
      <c r="G42">
        <f t="shared" si="4"/>
        <v>155110.15384615381</v>
      </c>
      <c r="H42">
        <f t="shared" si="13"/>
        <v>25851.692309999999</v>
      </c>
      <c r="I42">
        <f t="shared" si="15"/>
        <v>0.69230999999854248</v>
      </c>
      <c r="J42">
        <f t="shared" si="14"/>
        <v>1.4444396296487199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57" t="s">
        <v>262</v>
      </c>
      <c r="B43" s="56">
        <f>E$6*E43*B$7</f>
        <v>6.9230769230769226E-4</v>
      </c>
      <c r="C43" s="86">
        <f t="shared" si="2"/>
        <v>0</v>
      </c>
      <c r="D43" s="75">
        <f t="shared" si="12"/>
        <v>6.9230769230769226E-4</v>
      </c>
      <c r="E43">
        <f>COUNTIF(tables_442101!C:C,input_442101!A43)-COUNTIF(Q:Q,A43)</f>
        <v>6</v>
      </c>
      <c r="F43" s="43">
        <f t="shared" ref="F43:F46" si="17">IFERROR(B43/E43,0)</f>
        <v>1.1538461538461538E-4</v>
      </c>
      <c r="G43">
        <f t="shared" si="4"/>
        <v>8163.6923076923076</v>
      </c>
      <c r="H43">
        <f t="shared" si="13"/>
        <v>1360.61538</v>
      </c>
      <c r="I43">
        <f t="shared" si="15"/>
        <v>0.61537999999995918</v>
      </c>
      <c r="J43">
        <f t="shared" si="14"/>
        <v>1.6250121875915147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57" t="s">
        <v>263</v>
      </c>
      <c r="B44" s="56">
        <f>E$6*E44</f>
        <v>1.6153846153846151E-2</v>
      </c>
      <c r="C44" s="86">
        <f t="shared" si="2"/>
        <v>0</v>
      </c>
      <c r="D44" s="75">
        <f t="shared" si="12"/>
        <v>1.6153846153846151E-2</v>
      </c>
      <c r="E44">
        <f>COUNTIF(tables_442101!C:C,input_442101!A44)-COUNTIF(Q:Q,A44)</f>
        <v>7</v>
      </c>
      <c r="F44" s="43">
        <f t="shared" si="17"/>
        <v>2.307692307692307E-3</v>
      </c>
      <c r="G44">
        <f t="shared" si="4"/>
        <v>190486.15384615381</v>
      </c>
      <c r="H44">
        <f t="shared" si="13"/>
        <v>27212.307690000001</v>
      </c>
      <c r="I44">
        <f t="shared" si="15"/>
        <v>0.30769000000145752</v>
      </c>
      <c r="J44">
        <f t="shared" si="14"/>
        <v>3.2500243751674187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57" t="s">
        <v>264</v>
      </c>
      <c r="B45" s="56">
        <v>0</v>
      </c>
      <c r="C45" s="86">
        <f t="shared" si="2"/>
        <v>0</v>
      </c>
      <c r="D45" s="75">
        <f t="shared" ref="D45:D46" si="18">B45-C45</f>
        <v>0</v>
      </c>
      <c r="E45">
        <f>COUNTIF(tables_442101!C:C,input_442101!A45)-COUNTIF(Q:Q,A45)</f>
        <v>0</v>
      </c>
      <c r="F45" s="43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4.0000000000000001E-3</v>
      </c>
      <c r="C46" s="86">
        <f t="shared" si="2"/>
        <v>0</v>
      </c>
      <c r="D46" s="75">
        <f t="shared" si="18"/>
        <v>4.0000000000000001E-3</v>
      </c>
      <c r="E46">
        <f>COUNTIF(tables_442101!C:C,input_442101!A46)-COUNTIF(Q:Q,A46)</f>
        <v>1</v>
      </c>
      <c r="F46" s="43">
        <f t="shared" si="17"/>
        <v>4.0000000000000001E-3</v>
      </c>
      <c r="G46">
        <f t="shared" si="4"/>
        <v>47168</v>
      </c>
      <c r="H46">
        <f t="shared" si="19"/>
        <v>47168</v>
      </c>
      <c r="I46">
        <f t="shared" si="15"/>
        <v>0</v>
      </c>
      <c r="J46">
        <f t="shared" si="20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ref="D47" si="21">B47-C47</f>
        <v>0.99999999999999989</v>
      </c>
      <c r="L47" s="57"/>
      <c r="M47" s="57"/>
      <c r="N47" s="57"/>
      <c r="O47" s="57"/>
      <c r="P47" s="57"/>
      <c r="Q47" s="57"/>
      <c r="R47" s="59"/>
    </row>
    <row r="48" spans="1:18" x14ac:dyDescent="0.15">
      <c r="E48" s="97"/>
      <c r="F48" s="105"/>
      <c r="G48" s="107"/>
    </row>
    <row r="49" spans="1:8" x14ac:dyDescent="0.15">
      <c r="B49" t="s">
        <v>53</v>
      </c>
      <c r="C49" s="92">
        <f>SUM(B32:B46)</f>
        <v>0.6</v>
      </c>
      <c r="E49" s="97">
        <f>0.0219923851857191*0.5</f>
        <v>1.099619259285955E-2</v>
      </c>
      <c r="F49" s="107">
        <f>E49-0.01</f>
        <v>9.9619259285954956E-4</v>
      </c>
      <c r="G49" s="108">
        <f ca="1">G57-0.05</f>
        <v>1.7808705898847421E-11</v>
      </c>
    </row>
    <row r="50" spans="1:8" x14ac:dyDescent="0.15">
      <c r="A50" t="s">
        <v>74</v>
      </c>
      <c r="C50" s="92">
        <v>2.1600000000000064E-2</v>
      </c>
      <c r="D50" s="96"/>
      <c r="E50" s="97"/>
      <c r="F50" s="105"/>
      <c r="G50" s="108"/>
      <c r="H50" s="103"/>
    </row>
    <row r="51" spans="1:8" x14ac:dyDescent="0.15">
      <c r="A51" s="31">
        <f>LCM(F5-I5,F7-I6)*1000*2*2</f>
        <v>11792000</v>
      </c>
      <c r="C51" s="92"/>
      <c r="D51" s="94"/>
      <c r="E51" s="97"/>
      <c r="F51" s="97"/>
      <c r="G51" s="102"/>
      <c r="H51" s="103"/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214</v>
      </c>
      <c r="G54" t="s">
        <v>64</v>
      </c>
      <c r="H54" s="104" t="s">
        <v>286</v>
      </c>
    </row>
    <row r="55" spans="1:8" x14ac:dyDescent="0.15">
      <c r="A55" s="33" t="s">
        <v>106</v>
      </c>
      <c r="B55">
        <f ca="1">SUMIF(tables_442101!C:C,input_442101!A55,tables_442101!O:O)</f>
        <v>1265369.5999999992</v>
      </c>
      <c r="C55" s="54">
        <f t="shared" ref="C55:C61" ca="1" si="22">B55/B$62</f>
        <v>0.52189523479454358</v>
      </c>
      <c r="E55">
        <v>3</v>
      </c>
      <c r="F55">
        <f ca="1">SUMIF(tables_442101!J:J,input_442101!E55,tables_442101!O:O)</f>
        <v>5895999.9999500103</v>
      </c>
      <c r="G55" s="95">
        <f ca="1">F55/A51</f>
        <v>0.49999999999576072</v>
      </c>
      <c r="H55" s="55">
        <f>B17+B19+B24+B32+B34+B39</f>
        <v>0.5</v>
      </c>
    </row>
    <row r="56" spans="1:8" x14ac:dyDescent="0.15">
      <c r="A56" s="33" t="s">
        <v>107</v>
      </c>
      <c r="B56">
        <f ca="1">SUMIF(tables_442101!C:C,input_442101!A56,tables_442101!O:O)</f>
        <v>1020912.6398000005</v>
      </c>
      <c r="C56" s="54">
        <f t="shared" ca="1" si="22"/>
        <v>0.42107020893590213</v>
      </c>
      <c r="E56">
        <v>4</v>
      </c>
      <c r="F56">
        <f ca="1">SUMIF(tables_442101!J:J,input_442101!E56,tables_442101!O:O)</f>
        <v>5306399.9997899989</v>
      </c>
      <c r="G56" s="95">
        <f ca="1">F56/A51</f>
        <v>0.4499999999821912</v>
      </c>
      <c r="H56" s="55">
        <f>B18+B20+B22+B25+B27+B30+B33+B35+B37+B40+B42+B45</f>
        <v>0.44999999999628171</v>
      </c>
    </row>
    <row r="57" spans="1:8" x14ac:dyDescent="0.15">
      <c r="A57" s="33" t="s">
        <v>112</v>
      </c>
      <c r="B57">
        <f ca="1">SUMIF(tables_442101!C:C,input_442101!A57,tables_442101!O:O)</f>
        <v>123771.10306000008</v>
      </c>
      <c r="C57" s="54">
        <f t="shared" ca="1" si="22"/>
        <v>5.1048759897723513E-2</v>
      </c>
      <c r="E57">
        <v>5</v>
      </c>
      <c r="F57">
        <f ca="1">SUMIF(tables_442101!J:J,input_442101!E57,tables_442101!O:O)</f>
        <v>589600.00021000032</v>
      </c>
      <c r="G57" s="95">
        <f ca="1">F57/A51</f>
        <v>5.0000000017808709E-2</v>
      </c>
      <c r="H57" s="55">
        <f>B21+B23+B26+B28+B29+B31+B36+B38+B41+B43+B44+B46</f>
        <v>5.0000000003718334E-2</v>
      </c>
    </row>
    <row r="58" spans="1:8" x14ac:dyDescent="0.15">
      <c r="A58" s="33" t="s">
        <v>113</v>
      </c>
      <c r="B58">
        <f>SUMIF(tables_442101!C:C,input_442101!A58,tables_442101!O:O)</f>
        <v>0</v>
      </c>
      <c r="C58" s="54">
        <f t="shared" ca="1" si="22"/>
        <v>0</v>
      </c>
      <c r="F58" s="55"/>
    </row>
    <row r="59" spans="1:8" x14ac:dyDescent="0.15">
      <c r="A59" s="33" t="s">
        <v>108</v>
      </c>
      <c r="B59">
        <f ca="1">SUMIF(tables_442101!C:C,input_442101!A59,tables_442101!O:O)</f>
        <v>8616.9601799999964</v>
      </c>
      <c r="C59" s="54">
        <f t="shared" ca="1" si="22"/>
        <v>3.5540212569958483E-3</v>
      </c>
      <c r="E59" t="s">
        <v>104</v>
      </c>
      <c r="F59" s="55"/>
    </row>
    <row r="60" spans="1:8" x14ac:dyDescent="0.15">
      <c r="A60" s="33" t="s">
        <v>114</v>
      </c>
      <c r="B60">
        <f ca="1">SUMIF(tables_442101!C:C,input_442101!A60,tables_442101!O:O)</f>
        <v>5896</v>
      </c>
      <c r="C60" s="54">
        <f t="shared" ca="1" si="22"/>
        <v>2.4317751148349312E-3</v>
      </c>
      <c r="E60" t="s">
        <v>210</v>
      </c>
      <c r="F60" s="55">
        <f ca="1">SUMIF(tables_442101!I:I,input_442101!E60,tables_442101!P:P)</f>
        <v>0.22646097015021394</v>
      </c>
    </row>
    <row r="61" spans="1:8" x14ac:dyDescent="0.15">
      <c r="A61" s="33" t="s">
        <v>115</v>
      </c>
      <c r="B61">
        <f>SUMIF(tables_442101!C:C,input_442101!A61,tables_442101!O:O)</f>
        <v>0</v>
      </c>
      <c r="C61" s="54">
        <f t="shared" ca="1" si="22"/>
        <v>0</v>
      </c>
      <c r="E61" t="s">
        <v>211</v>
      </c>
      <c r="F61" s="55">
        <f ca="1">SUMIF(tables_442101!I:I,input_442101!E61,tables_442101!P:P)</f>
        <v>0.19612431264754115</v>
      </c>
    </row>
    <row r="62" spans="1:8" x14ac:dyDescent="0.15">
      <c r="A62" s="39" t="s">
        <v>60</v>
      </c>
      <c r="B62">
        <f ca="1">SUM(B55:B61)</f>
        <v>2424566.3030399997</v>
      </c>
      <c r="C62" s="55">
        <f ca="1">SUM(C55:C61)</f>
        <v>1</v>
      </c>
      <c r="E62" t="s">
        <v>212</v>
      </c>
      <c r="F62" s="55">
        <f ca="1">SUMIF(tables_442101!I:I,input_442101!E62,tables_442101!P:P)</f>
        <v>0.52341471720455968</v>
      </c>
    </row>
    <row r="63" spans="1:8" x14ac:dyDescent="0.15">
      <c r="E63" t="s">
        <v>213</v>
      </c>
      <c r="F63" s="98">
        <f ca="1">SUMIF(tables_442101!I:I,input_442101!E63,tables_442101!P:P)</f>
        <v>4.646451577105859E-2</v>
      </c>
      <c r="G63" s="98">
        <f ca="1">0.05-F63-F64</f>
        <v>2.332121475101534E-12</v>
      </c>
    </row>
    <row r="64" spans="1:8" x14ac:dyDescent="0.15">
      <c r="E64" t="s">
        <v>279</v>
      </c>
      <c r="F64" s="98">
        <f ca="1">SUMIF(tables_442101!I:I,input_442101!E64,tables_442101!P:P)</f>
        <v>3.5354842266092914E-3</v>
      </c>
      <c r="G64">
        <v>9.9619259703290523E-4</v>
      </c>
    </row>
    <row r="65" spans="5:6" x14ac:dyDescent="0.15">
      <c r="E65" t="s">
        <v>278</v>
      </c>
      <c r="F65" s="98">
        <f ca="1">SUMIF(tables_442101!I:I,input_442101!E65,tables_442101!P:P)</f>
        <v>4.0000000000169587E-3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31"/>
  <sheetViews>
    <sheetView showGridLines="0" workbookViewId="0">
      <pane ySplit="1" topLeftCell="A2" activePane="bottomLeft" state="frozen"/>
      <selection activeCell="H10" sqref="H10"/>
      <selection pane="bottomLeft" activeCell="O159" sqref="O15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5.3984375" style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input_442101!A$2</f>
        <v>442101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IFERROR(VLOOKUP(B2,input_442101!L:R,7,FALSE),VLOOKUP(tables_442101!C2,input_442101!A:H,8,FALSE))</f>
        <v>66208.853329999998</v>
      </c>
      <c r="P2" s="46">
        <f t="shared" ref="P2:P65" ca="1" si="1">O2/SUM(O:O)</f>
        <v>5.6147263679003313E-3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input_442101!A$2</f>
        <v>442101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IF(K3="blue","color","")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IFERROR(VLOOKUP(B3,input_442101!L:R,7,FALSE),VLOOKUP(tables_442101!C3,input_442101!A:H,8,FALSE))</f>
        <v>389.54667000000001</v>
      </c>
      <c r="P3" s="46">
        <f t="shared" ca="1" si="1"/>
        <v>3.3034826153464347E-5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input_442101!A$2</f>
        <v>442101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IFERROR(VLOOKUP(B4,input_442101!L:R,7,FALSE),VLOOKUP(tables_442101!C4,input_442101!A:H,8,FALSE))</f>
        <v>66208.853329999998</v>
      </c>
      <c r="P4" s="46">
        <f t="shared" ca="1" si="1"/>
        <v>5.6147263679003313E-3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input_442101!A$2</f>
        <v>442101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IFERROR(VLOOKUP(B5,input_442101!L:R,7,FALSE),VLOOKUP(tables_442101!C5,input_442101!A:H,8,FALSE))</f>
        <v>389.54667000000001</v>
      </c>
      <c r="P5" s="46">
        <f t="shared" ca="1" si="1"/>
        <v>3.3034826153464347E-5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input_442101!A$2</f>
        <v>442101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IFERROR(VLOOKUP(B6,input_442101!L:R,7,FALSE),VLOOKUP(tables_442101!C6,input_442101!A:H,8,FALSE))</f>
        <v>289198.8</v>
      </c>
      <c r="P6" s="46">
        <f t="shared" ca="1" si="1"/>
        <v>2.4525000000103978E-2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input_442101!A$2</f>
        <v>442101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IFERROR(VLOOKUP(B7,input_442101!L:R,7,FALSE),VLOOKUP(tables_442101!C7,input_442101!A:H,8,FALSE))</f>
        <v>36850</v>
      </c>
      <c r="P7" s="46">
        <f t="shared" ca="1" si="1"/>
        <v>3.1250000000132491E-3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input_442101!A$2</f>
        <v>442101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IFERROR(VLOOKUP(B8,input_442101!L:R,7,FALSE),VLOOKUP(tables_442101!C8,input_442101!A:H,8,FALSE))</f>
        <v>66208.853329999998</v>
      </c>
      <c r="P8" s="46">
        <f t="shared" ca="1" si="1"/>
        <v>5.6147263679003313E-3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input_442101!A$2</f>
        <v>442101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IFERROR(VLOOKUP(B9,input_442101!L:R,7,FALSE),VLOOKUP(tables_442101!C9,input_442101!A:H,8,FALSE))</f>
        <v>389.54667000000001</v>
      </c>
      <c r="P9" s="46">
        <f t="shared" ca="1" si="1"/>
        <v>3.3034826153464347E-5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input_442101!A$2</f>
        <v>442101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IFERROR(VLOOKUP(B10,input_442101!L:R,7,FALSE),VLOOKUP(tables_442101!C10,input_442101!A:H,8,FALSE))</f>
        <v>66208.853329999998</v>
      </c>
      <c r="P10" s="46">
        <f t="shared" ca="1" si="1"/>
        <v>5.6147263679003313E-3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input_442101!A$2</f>
        <v>442101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IFERROR(VLOOKUP(B11,input_442101!L:R,7,FALSE),VLOOKUP(tables_442101!C11,input_442101!A:H,8,FALSE))</f>
        <v>389.54667000000001</v>
      </c>
      <c r="P11" s="46">
        <f t="shared" ca="1" si="1"/>
        <v>3.3034826153464347E-5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input_442101!A$2</f>
        <v>442101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IFERROR(VLOOKUP(B12,input_442101!L:R,7,FALSE),VLOOKUP(tables_442101!C12,input_442101!A:H,8,FALSE))</f>
        <v>66208.853329999998</v>
      </c>
      <c r="P12" s="46">
        <f t="shared" ca="1" si="1"/>
        <v>5.6147263679003313E-3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input_442101!A$2</f>
        <v>442101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IFERROR(VLOOKUP(B13,input_442101!L:R,7,FALSE),VLOOKUP(tables_442101!C13,input_442101!A:H,8,FALSE))</f>
        <v>389.54667000000001</v>
      </c>
      <c r="P13" s="46">
        <f t="shared" ca="1" si="1"/>
        <v>3.3034826153464347E-5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input_442101!A$2</f>
        <v>442101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IFERROR(VLOOKUP(B14,input_442101!L:R,7,FALSE),VLOOKUP(tables_442101!C14,input_442101!A:H,8,FALSE))</f>
        <v>289198.8</v>
      </c>
      <c r="P14" s="46">
        <f t="shared" ca="1" si="1"/>
        <v>2.4525000000103978E-2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input_442101!A$2</f>
        <v>442101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IFERROR(VLOOKUP(B15,input_442101!L:R,7,FALSE),VLOOKUP(tables_442101!C15,input_442101!A:H,8,FALSE))</f>
        <v>36850</v>
      </c>
      <c r="P15" s="46">
        <f t="shared" ca="1" si="1"/>
        <v>3.1250000000132491E-3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input_442101!A$2</f>
        <v>442101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IFERROR(VLOOKUP(B16,input_442101!L:R,7,FALSE),VLOOKUP(tables_442101!C16,input_442101!A:H,8,FALSE))</f>
        <v>66208.853329999998</v>
      </c>
      <c r="P16" s="46">
        <f t="shared" ca="1" si="1"/>
        <v>5.6147263679003313E-3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input_442101!A$2</f>
        <v>442101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IFERROR(VLOOKUP(B17,input_442101!L:R,7,FALSE),VLOOKUP(tables_442101!C17,input_442101!A:H,8,FALSE))</f>
        <v>389.54667000000001</v>
      </c>
      <c r="P17" s="46">
        <f t="shared" ca="1" si="1"/>
        <v>3.3034826153464347E-5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input_442101!A$2</f>
        <v>442101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IFERROR(VLOOKUP(B18,input_442101!L:R,7,FALSE),VLOOKUP(tables_442101!C18,input_442101!A:H,8,FALSE))</f>
        <v>66208.853329999998</v>
      </c>
      <c r="P18" s="46">
        <f t="shared" ca="1" si="1"/>
        <v>5.6147263679003313E-3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input_442101!A$2</f>
        <v>442101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IFERROR(VLOOKUP(B19,input_442101!L:R,7,FALSE),VLOOKUP(tables_442101!C19,input_442101!A:H,8,FALSE))</f>
        <v>389.54667000000001</v>
      </c>
      <c r="P19" s="46">
        <f t="shared" ca="1" si="1"/>
        <v>3.3034826153464347E-5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input_442101!A$2</f>
        <v>442101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IFERROR(VLOOKUP(B20,input_442101!L:R,7,FALSE),VLOOKUP(tables_442101!C20,input_442101!A:H,8,FALSE))</f>
        <v>66208.853329999998</v>
      </c>
      <c r="P20" s="46">
        <f t="shared" ca="1" si="1"/>
        <v>5.6147263679003313E-3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input_442101!A$2</f>
        <v>442101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IFERROR(VLOOKUP(B21,input_442101!L:R,7,FALSE),VLOOKUP(tables_442101!C21,input_442101!A:H,8,FALSE))</f>
        <v>389.54667000000001</v>
      </c>
      <c r="P21" s="46">
        <f t="shared" ca="1" si="1"/>
        <v>3.3034826153464347E-5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input_442101!A$2</f>
        <v>442101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IFERROR(VLOOKUP(B22,input_442101!L:R,7,FALSE),VLOOKUP(tables_442101!C22,input_442101!A:H,8,FALSE))</f>
        <v>289198.8</v>
      </c>
      <c r="P22" s="46">
        <f t="shared" ca="1" si="1"/>
        <v>2.4525000000103978E-2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input_442101!A$2</f>
        <v>442101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IFERROR(VLOOKUP(B23,input_442101!L:R,7,FALSE),VLOOKUP(tables_442101!C23,input_442101!A:H,8,FALSE))</f>
        <v>36850</v>
      </c>
      <c r="P23" s="46">
        <f t="shared" ca="1" si="1"/>
        <v>3.1250000000132491E-3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input_442101!A$2</f>
        <v>442101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IFERROR(VLOOKUP(B24,input_442101!L:R,7,FALSE),VLOOKUP(tables_442101!C24,input_442101!A:H,8,FALSE))</f>
        <v>66208.853329999998</v>
      </c>
      <c r="P24" s="46">
        <f t="shared" ca="1" si="1"/>
        <v>5.6147263679003313E-3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input_442101!A$2</f>
        <v>442101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IFERROR(VLOOKUP(B25,input_442101!L:R,7,FALSE),VLOOKUP(tables_442101!C25,input_442101!A:H,8,FALSE))</f>
        <v>389.54667000000001</v>
      </c>
      <c r="P25" s="46">
        <f t="shared" ca="1" si="1"/>
        <v>3.3034826153464347E-5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input_442101!A$2</f>
        <v>442101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IFERROR(VLOOKUP(B26,input_442101!L:R,7,FALSE),VLOOKUP(tables_442101!C26,input_442101!A:H,8,FALSE))</f>
        <v>66208.853329999998</v>
      </c>
      <c r="P26" s="46">
        <f t="shared" ca="1" si="1"/>
        <v>5.6147263679003313E-3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input_442101!A$2</f>
        <v>442101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IFERROR(VLOOKUP(B27,input_442101!L:R,7,FALSE),VLOOKUP(tables_442101!C27,input_442101!A:H,8,FALSE))</f>
        <v>389.54667000000001</v>
      </c>
      <c r="P27" s="46">
        <f t="shared" ca="1" si="1"/>
        <v>3.3034826153464347E-5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input_442101!A$2</f>
        <v>442101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IFERROR(VLOOKUP(B28,input_442101!L:R,7,FALSE),VLOOKUP(tables_442101!C28,input_442101!A:H,8,FALSE))</f>
        <v>66208.853329999998</v>
      </c>
      <c r="P28" s="46">
        <f t="shared" ca="1" si="1"/>
        <v>5.6147263679003313E-3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input_442101!A$2</f>
        <v>442101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IFERROR(VLOOKUP(B29,input_442101!L:R,7,FALSE),VLOOKUP(tables_442101!C29,input_442101!A:H,8,FALSE))</f>
        <v>389.54667000000001</v>
      </c>
      <c r="P29" s="46">
        <f t="shared" ca="1" si="1"/>
        <v>3.3034826153464347E-5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input_442101!A$2</f>
        <v>442101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IFERROR(VLOOKUP(B30,input_442101!L:R,7,FALSE),VLOOKUP(tables_442101!C30,input_442101!A:H,8,FALSE))</f>
        <v>289198.8</v>
      </c>
      <c r="P30" s="46">
        <f t="shared" ca="1" si="1"/>
        <v>2.4525000000103978E-2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input_442101!A$2</f>
        <v>442101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IFERROR(VLOOKUP(B31,input_442101!L:R,7,FALSE),VLOOKUP(tables_442101!C31,input_442101!A:H,8,FALSE))</f>
        <v>36850</v>
      </c>
      <c r="P31" s="46">
        <f t="shared" ca="1" si="1"/>
        <v>3.1250000000132491E-3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input_442101!A$2</f>
        <v>442101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IFERROR(VLOOKUP(B32,input_442101!L:R,7,FALSE),VLOOKUP(tables_442101!C32,input_442101!A:H,8,FALSE))</f>
        <v>66208.853329999998</v>
      </c>
      <c r="P32" s="46">
        <f t="shared" ca="1" si="1"/>
        <v>5.6147263679003313E-3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input_442101!A$2</f>
        <v>442101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IFERROR(VLOOKUP(B33,input_442101!L:R,7,FALSE),VLOOKUP(tables_442101!C33,input_442101!A:H,8,FALSE))</f>
        <v>389.54667000000001</v>
      </c>
      <c r="P33" s="46">
        <f t="shared" ca="1" si="1"/>
        <v>3.3034826153464347E-5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input_442101!A$2</f>
        <v>442101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IFERROR(VLOOKUP(B34,input_442101!L:R,7,FALSE),VLOOKUP(tables_442101!C34,input_442101!A:H,8,FALSE))</f>
        <v>66208.853329999998</v>
      </c>
      <c r="P34" s="46">
        <f t="shared" ca="1" si="1"/>
        <v>5.6147263679003313E-3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input_442101!A$2</f>
        <v>442101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IFERROR(VLOOKUP(B35,input_442101!L:R,7,FALSE),VLOOKUP(tables_442101!C35,input_442101!A:H,8,FALSE))</f>
        <v>389.54667000000001</v>
      </c>
      <c r="P35" s="46">
        <f t="shared" ca="1" si="1"/>
        <v>3.3034826153464347E-5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input_442101!A$2</f>
        <v>442101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IFERROR(VLOOKUP(B36,input_442101!L:R,7,FALSE),VLOOKUP(tables_442101!C36,input_442101!A:H,8,FALSE))</f>
        <v>66208.853329999998</v>
      </c>
      <c r="P36" s="46">
        <f t="shared" ca="1" si="1"/>
        <v>5.6147263679003313E-3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input_442101!A$2</f>
        <v>442101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IFERROR(VLOOKUP(B37,input_442101!L:R,7,FALSE),VLOOKUP(tables_442101!C37,input_442101!A:H,8,FALSE))</f>
        <v>389.54667000000001</v>
      </c>
      <c r="P37" s="46">
        <f t="shared" ca="1" si="1"/>
        <v>3.3034826153464347E-5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input_442101!A$2</f>
        <v>442101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IFERROR(VLOOKUP(B38,input_442101!L:R,7,FALSE),VLOOKUP(tables_442101!C38,input_442101!A:H,8,FALSE))</f>
        <v>289198.8</v>
      </c>
      <c r="P38" s="46">
        <f t="shared" ca="1" si="1"/>
        <v>2.4525000000103978E-2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input_442101!A$2</f>
        <v>442101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IFERROR(VLOOKUP(B39,input_442101!L:R,7,FALSE),VLOOKUP(tables_442101!C39,input_442101!A:H,8,FALSE))</f>
        <v>36850</v>
      </c>
      <c r="P39" s="46">
        <f t="shared" ca="1" si="1"/>
        <v>3.1250000000132491E-3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input_442101!A$2</f>
        <v>442101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IFERROR(VLOOKUP(B40,input_442101!L:R,7,FALSE),VLOOKUP(tables_442101!C40,input_442101!A:H,8,FALSE))</f>
        <v>66208.853329999998</v>
      </c>
      <c r="P40" s="46">
        <f t="shared" ca="1" si="1"/>
        <v>5.6147263679003313E-3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input_442101!A$2</f>
        <v>442101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IFERROR(VLOOKUP(B41,input_442101!L:R,7,FALSE),VLOOKUP(tables_442101!C41,input_442101!A:H,8,FALSE))</f>
        <v>389.54667000000001</v>
      </c>
      <c r="P41" s="46">
        <f t="shared" ca="1" si="1"/>
        <v>3.3034826153464347E-5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input_442101!A$2</f>
        <v>442101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IFERROR(VLOOKUP(B42,input_442101!L:R,7,FALSE),VLOOKUP(tables_442101!C42,input_442101!A:H,8,FALSE))</f>
        <v>33299.199999999997</v>
      </c>
      <c r="P42" s="46">
        <f t="shared" ca="1" si="1"/>
        <v>2.8238805970268975E-3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input_442101!A$2</f>
        <v>442101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IFERROR(VLOOKUP(B43,input_442101!L:R,7,FALSE),VLOOKUP(tables_442101!C43,input_442101!A:H,8,FALSE))</f>
        <v>29969.279999999999</v>
      </c>
      <c r="P43" s="46">
        <f t="shared" ca="1" si="1"/>
        <v>2.5414925373242079E-3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input_442101!A$2</f>
        <v>442101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IFERROR(VLOOKUP(B44,input_442101!L:R,7,FALSE),VLOOKUP(tables_442101!C44,input_442101!A:H,8,FALSE))</f>
        <v>3329.92</v>
      </c>
      <c r="P44" s="46">
        <f t="shared" ca="1" si="1"/>
        <v>2.8238805970268979E-4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input_442101!A$2</f>
        <v>442101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IFERROR(VLOOKUP(B45,input_442101!L:R,7,FALSE),VLOOKUP(tables_442101!C45,input_442101!A:H,8,FALSE))</f>
        <v>33299.199999999997</v>
      </c>
      <c r="P45" s="46">
        <f t="shared" ca="1" si="1"/>
        <v>2.8238805970268975E-3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input_442101!A$2</f>
        <v>442101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IFERROR(VLOOKUP(B46,input_442101!L:R,7,FALSE),VLOOKUP(tables_442101!C46,input_442101!A:H,8,FALSE))</f>
        <v>29969.279999999999</v>
      </c>
      <c r="P46" s="46">
        <f t="shared" ca="1" si="1"/>
        <v>2.5414925373242079E-3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input_442101!A$2</f>
        <v>442101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IFERROR(VLOOKUP(B47,input_442101!L:R,7,FALSE),VLOOKUP(tables_442101!C47,input_442101!A:H,8,FALSE))</f>
        <v>3329.92</v>
      </c>
      <c r="P47" s="46">
        <f t="shared" ca="1" si="1"/>
        <v>2.8238805970268979E-4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input_442101!A$2</f>
        <v>442101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IFERROR(VLOOKUP(B48,input_442101!L:R,7,FALSE),VLOOKUP(tables_442101!C48,input_442101!A:H,8,FALSE))</f>
        <v>139440.4</v>
      </c>
      <c r="P48" s="46">
        <f t="shared" ca="1" si="1"/>
        <v>1.1825000000050134E-2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input_442101!A$2</f>
        <v>442101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IFERROR(VLOOKUP(B49,input_442101!L:R,7,FALSE),VLOOKUP(tables_442101!C49,input_442101!A:H,8,FALSE))</f>
        <v>125496.36</v>
      </c>
      <c r="P49" s="46">
        <f t="shared" ca="1" si="1"/>
        <v>1.0642500000045121E-2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input_442101!A$2</f>
        <v>442101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IFERROR(VLOOKUP(B50,input_442101!L:R,7,FALSE),VLOOKUP(tables_442101!C50,input_442101!A:H,8,FALSE))</f>
        <v>13944.04</v>
      </c>
      <c r="P50" s="46">
        <f t="shared" ca="1" si="1"/>
        <v>1.1825000000050135E-3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input_442101!A$2</f>
        <v>442101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IFERROR(VLOOKUP(B51,input_442101!L:R,7,FALSE),VLOOKUP(tables_442101!C51,input_442101!A:H,8,FALSE))</f>
        <v>33299.199999999997</v>
      </c>
      <c r="P51" s="46">
        <f t="shared" ca="1" si="1"/>
        <v>2.8238805970268975E-3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input_442101!A$2</f>
        <v>442101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IFERROR(VLOOKUP(B52,input_442101!L:R,7,FALSE),VLOOKUP(tables_442101!C52,input_442101!A:H,8,FALSE))</f>
        <v>26866.122100000001</v>
      </c>
      <c r="P52" s="46">
        <f t="shared" ca="1" si="1"/>
        <v>2.2783346421399175E-3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input_442101!A$2</f>
        <v>442101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IFERROR(VLOOKUP(B53,input_442101!L:R,7,FALSE),VLOOKUP(tables_442101!C53,input_442101!A:H,8,FALSE))</f>
        <v>226.76211000000001</v>
      </c>
      <c r="P53" s="46">
        <f t="shared" ca="1" si="1"/>
        <v>1.9230165366431598E-5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input_442101!A$2</f>
        <v>442101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IFERROR(VLOOKUP(B54,input_442101!L:R,7,FALSE),VLOOKUP(tables_442101!C54,input_442101!A:H,8,FALSE))</f>
        <v>33299.199999999997</v>
      </c>
      <c r="P54" s="46">
        <f t="shared" ca="1" si="1"/>
        <v>2.8238805970268975E-3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input_442101!A$2</f>
        <v>442101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IFERROR(VLOOKUP(B55,input_442101!L:R,7,FALSE),VLOOKUP(tables_442101!C55,input_442101!A:H,8,FALSE))</f>
        <v>26866.122100000001</v>
      </c>
      <c r="P55" s="46">
        <f t="shared" ca="1" si="1"/>
        <v>2.2783346421399175E-3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input_442101!A$2</f>
        <v>442101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IFERROR(VLOOKUP(B56,input_442101!L:R,7,FALSE),VLOOKUP(tables_442101!C56,input_442101!A:H,8,FALSE))</f>
        <v>226.76211000000001</v>
      </c>
      <c r="P56" s="46">
        <f t="shared" ca="1" si="1"/>
        <v>1.9230165366431598E-5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input_442101!A$2</f>
        <v>442101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IFERROR(VLOOKUP(B57,input_442101!L:R,7,FALSE),VLOOKUP(tables_442101!C57,input_442101!A:H,8,FALSE))</f>
        <v>33299.199999999997</v>
      </c>
      <c r="P57" s="46">
        <f t="shared" ca="1" si="1"/>
        <v>2.8238805970268975E-3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input_442101!A$2</f>
        <v>442101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IFERROR(VLOOKUP(B58,input_442101!L:R,7,FALSE),VLOOKUP(tables_442101!C58,input_442101!A:H,8,FALSE))</f>
        <v>26866.122100000001</v>
      </c>
      <c r="P58" s="46">
        <f t="shared" ca="1" si="1"/>
        <v>2.2783346421399175E-3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input_442101!A$2</f>
        <v>442101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IFERROR(VLOOKUP(B59,input_442101!L:R,7,FALSE),VLOOKUP(tables_442101!C59,input_442101!A:H,8,FALSE))</f>
        <v>226.76211000000001</v>
      </c>
      <c r="P59" s="46">
        <f t="shared" ca="1" si="1"/>
        <v>1.9230165366431598E-5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input_442101!A$2</f>
        <v>442101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IFERROR(VLOOKUP(B60,input_442101!L:R,7,FALSE),VLOOKUP(tables_442101!C60,input_442101!A:H,8,FALSE))</f>
        <v>139440.4</v>
      </c>
      <c r="P60" s="46">
        <f t="shared" ca="1" si="1"/>
        <v>1.1825000000050134E-2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input_442101!A$2</f>
        <v>442101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IFERROR(VLOOKUP(B61,input_442101!L:R,7,FALSE),VLOOKUP(tables_442101!C61,input_442101!A:H,8,FALSE))</f>
        <v>134758.29592999999</v>
      </c>
      <c r="P61" s="46">
        <f t="shared" ca="1" si="1"/>
        <v>1.1427942327897841E-2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input_442101!A$2</f>
        <v>442101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IFERROR(VLOOKUP(B62,input_442101!L:R,7,FALSE),VLOOKUP(tables_442101!C62,input_442101!A:H,8,FALSE))</f>
        <v>4682.1040700000003</v>
      </c>
      <c r="P62" s="46">
        <f t="shared" ca="1" si="1"/>
        <v>3.9705767215229403E-4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input_442101!A$2</f>
        <v>442101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IFERROR(VLOOKUP(B63,input_442101!L:R,7,FALSE),VLOOKUP(tables_442101!C63,input_442101!A:H,8,FALSE))</f>
        <v>33299.199999999997</v>
      </c>
      <c r="P63" s="46">
        <f t="shared" ca="1" si="1"/>
        <v>2.8238805970268975E-3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input_442101!A$2</f>
        <v>442101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IFERROR(VLOOKUP(B64,input_442101!L:R,7,FALSE),VLOOKUP(tables_442101!C64,input_442101!A:H,8,FALSE))</f>
        <v>26866.122100000001</v>
      </c>
      <c r="P64" s="46">
        <f t="shared" ca="1" si="1"/>
        <v>2.2783346421399175E-3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input_442101!A$2</f>
        <v>442101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IFERROR(VLOOKUP(B65,input_442101!L:R,7,FALSE),VLOOKUP(tables_442101!C65,input_442101!A:H,8,FALSE))</f>
        <v>226.76211000000001</v>
      </c>
      <c r="P65" s="46">
        <f t="shared" ca="1" si="1"/>
        <v>1.9230165366431598E-5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input_442101!A$2</f>
        <v>442101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IFERROR(VLOOKUP(B66,input_442101!L:R,7,FALSE),VLOOKUP(tables_442101!C66,input_442101!A:H,8,FALSE))</f>
        <v>33299.199999999997</v>
      </c>
      <c r="P66" s="46">
        <f t="shared" ref="P66:P129" ca="1" si="5">O66/SUM(O:O)</f>
        <v>2.8238805970268975E-3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input_442101!A$2</f>
        <v>442101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IF(K67="blue","color","")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IFERROR(VLOOKUP(B67,input_442101!L:R,7,FALSE),VLOOKUP(tables_442101!C67,input_442101!A:H,8,FALSE))</f>
        <v>26866.122100000001</v>
      </c>
      <c r="P67" s="46">
        <f t="shared" ca="1" si="5"/>
        <v>2.2783346421399175E-3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input_442101!A$2</f>
        <v>442101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IFERROR(VLOOKUP(B68,input_442101!L:R,7,FALSE),VLOOKUP(tables_442101!C68,input_442101!A:H,8,FALSE))</f>
        <v>226.76211000000001</v>
      </c>
      <c r="P68" s="46">
        <f t="shared" ca="1" si="5"/>
        <v>1.9230165366431598E-5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input_442101!A$2</f>
        <v>442101</v>
      </c>
      <c r="B69" s="10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IFERROR(VLOOKUP(B69,input_442101!L:R,7,FALSE),VLOOKUP(tables_442101!C69,input_442101!A:H,8,FALSE))</f>
        <v>33299.199999999997</v>
      </c>
      <c r="P69" s="46">
        <f t="shared" ca="1" si="5"/>
        <v>2.8238805970268975E-3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input_442101!A$2</f>
        <v>442101</v>
      </c>
      <c r="B70" s="6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IFERROR(VLOOKUP(B70,input_442101!L:R,7,FALSE),VLOOKUP(tables_442101!C70,input_442101!A:H,8,FALSE))</f>
        <v>26866.122100000001</v>
      </c>
      <c r="P70" s="46">
        <f t="shared" ca="1" si="5"/>
        <v>2.2783346421399175E-3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input_442101!A$2</f>
        <v>442101</v>
      </c>
      <c r="B71" s="10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IFERROR(VLOOKUP(B71,input_442101!L:R,7,FALSE),VLOOKUP(tables_442101!C71,input_442101!A:H,8,FALSE))</f>
        <v>226.76211000000001</v>
      </c>
      <c r="P71" s="46">
        <f t="shared" ca="1" si="5"/>
        <v>1.9230165366431598E-5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input_442101!A$2</f>
        <v>442101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IFERROR(VLOOKUP(B72,input_442101!L:R,7,FALSE),VLOOKUP(tables_442101!C72,input_442101!A:H,8,FALSE))</f>
        <v>33299.199999999997</v>
      </c>
      <c r="P72" s="46">
        <f t="shared" ca="1" si="5"/>
        <v>2.8238805970268975E-3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input_442101!A$2</f>
        <v>442101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IFERROR(VLOOKUP(B73,input_442101!L:R,7,FALSE),VLOOKUP(tables_442101!C73,input_442101!A:H,8,FALSE))</f>
        <v>26866.122100000001</v>
      </c>
      <c r="P73" s="46">
        <f t="shared" ca="1" si="5"/>
        <v>2.2783346421399175E-3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input_442101!A$2</f>
        <v>442101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IFERROR(VLOOKUP(B74,input_442101!L:R,7,FALSE),VLOOKUP(tables_442101!C74,input_442101!A:H,8,FALSE))</f>
        <v>226.76211000000001</v>
      </c>
      <c r="P74" s="46">
        <f t="shared" ca="1" si="5"/>
        <v>1.9230165366431598E-5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input_442101!A$2</f>
        <v>442101</v>
      </c>
      <c r="B75" s="6">
        <v>199</v>
      </c>
      <c r="C75" s="7" t="str">
        <f t="shared" si="4"/>
        <v>Premium3color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IFERROR(VLOOKUP(B75,input_442101!L:R,7,FALSE),VLOOKUP(tables_442101!C75,input_442101!A:H,8,FALSE))</f>
        <v>139440.4</v>
      </c>
      <c r="P75" s="46">
        <f t="shared" ca="1" si="5"/>
        <v>1.1825000000050134E-2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input_442101!A$2</f>
        <v>442101</v>
      </c>
      <c r="B76" s="5">
        <v>200</v>
      </c>
      <c r="C76" s="7" t="str">
        <f t="shared" si="4"/>
        <v>Premium4color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IFERROR(VLOOKUP(B76,input_442101!L:R,7,FALSE),VLOOKUP(tables_442101!C76,input_442101!A:H,8,FALSE))</f>
        <v>134758.29592999999</v>
      </c>
      <c r="P76" s="46">
        <f t="shared" ca="1" si="5"/>
        <v>1.1427942327897841E-2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input_442101!A$2</f>
        <v>442101</v>
      </c>
      <c r="B77" s="5">
        <v>201</v>
      </c>
      <c r="C77" s="7" t="str">
        <f t="shared" si="4"/>
        <v>Premium5color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IFERROR(VLOOKUP(B77,input_442101!L:R,7,FALSE),VLOOKUP(tables_442101!C77,input_442101!A:H,8,FALSE))</f>
        <v>4682.1040700000003</v>
      </c>
      <c r="P77" s="46">
        <f t="shared" ca="1" si="5"/>
        <v>3.9705767215229403E-4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input_442101!A$2</f>
        <v>442101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IFERROR(VLOOKUP(B78,input_442101!L:R,7,FALSE),VLOOKUP(tables_442101!C78,input_442101!A:H,8,FALSE))</f>
        <v>33299.199999999997</v>
      </c>
      <c r="P78" s="46">
        <f t="shared" ca="1" si="5"/>
        <v>2.8238805970268975E-3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input_442101!A$2</f>
        <v>442101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IFERROR(VLOOKUP(B79,input_442101!L:R,7,FALSE),VLOOKUP(tables_442101!C79,input_442101!A:H,8,FALSE))</f>
        <v>26866.122100000001</v>
      </c>
      <c r="P79" s="46">
        <f t="shared" ca="1" si="5"/>
        <v>2.2783346421399175E-3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input_442101!A$2</f>
        <v>442101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IFERROR(VLOOKUP(B80,input_442101!L:R,7,FALSE),VLOOKUP(tables_442101!C80,input_442101!A:H,8,FALSE))</f>
        <v>226.76211000000001</v>
      </c>
      <c r="P80" s="46">
        <f t="shared" ca="1" si="5"/>
        <v>1.9230165366431598E-5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input_442101!A$2</f>
        <v>442101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IFERROR(VLOOKUP(B81,input_442101!L:R,7,FALSE),VLOOKUP(tables_442101!C81,input_442101!A:H,8,FALSE))</f>
        <v>33299.199999999997</v>
      </c>
      <c r="P81" s="46">
        <f t="shared" ca="1" si="5"/>
        <v>2.8238805970268975E-3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input_442101!A$2</f>
        <v>442101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IFERROR(VLOOKUP(B82,input_442101!L:R,7,FALSE),VLOOKUP(tables_442101!C82,input_442101!A:H,8,FALSE))</f>
        <v>26866.122100000001</v>
      </c>
      <c r="P82" s="46">
        <f t="shared" ca="1" si="5"/>
        <v>2.2783346421399175E-3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input_442101!A$2</f>
        <v>442101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IFERROR(VLOOKUP(B83,input_442101!L:R,7,FALSE),VLOOKUP(tables_442101!C83,input_442101!A:H,8,FALSE))</f>
        <v>226.76211000000001</v>
      </c>
      <c r="P83" s="46">
        <f t="shared" ca="1" si="5"/>
        <v>1.9230165366431598E-5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input_442101!A$2</f>
        <v>442101</v>
      </c>
      <c r="B84" s="5">
        <v>208</v>
      </c>
      <c r="C84" s="7" t="str">
        <f t="shared" si="4"/>
        <v>Premium3color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IFERROR(VLOOKUP(B84,input_442101!L:R,7,FALSE),VLOOKUP(tables_442101!C84,input_442101!A:H,8,FALSE))</f>
        <v>139440.4</v>
      </c>
      <c r="P84" s="46">
        <f t="shared" ca="1" si="5"/>
        <v>1.1825000000050134E-2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input_442101!A$2</f>
        <v>442101</v>
      </c>
      <c r="B85" s="5">
        <v>209</v>
      </c>
      <c r="C85" s="7" t="str">
        <f t="shared" si="4"/>
        <v>Premium4color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IFERROR(VLOOKUP(B85,input_442101!L:R,7,FALSE),VLOOKUP(tables_442101!C85,input_442101!A:H,8,FALSE))</f>
        <v>134758.29592999999</v>
      </c>
      <c r="P85" s="46">
        <f t="shared" ca="1" si="5"/>
        <v>1.1427942327897841E-2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input_442101!A$2</f>
        <v>442101</v>
      </c>
      <c r="B86" s="5">
        <v>210</v>
      </c>
      <c r="C86" s="7" t="str">
        <f t="shared" si="4"/>
        <v>Premium5color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IFERROR(VLOOKUP(B86,input_442101!L:R,7,FALSE),VLOOKUP(tables_442101!C86,input_442101!A:H,8,FALSE))</f>
        <v>4682.1040700000003</v>
      </c>
      <c r="P86" s="46">
        <f t="shared" ca="1" si="5"/>
        <v>3.9705767215229403E-4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input_442101!A$2</f>
        <v>442101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IFERROR(VLOOKUP(B87,input_442101!L:R,7,FALSE),VLOOKUP(tables_442101!C87,input_442101!A:H,8,FALSE))</f>
        <v>33299.199999999997</v>
      </c>
      <c r="P87" s="46">
        <f t="shared" ca="1" si="5"/>
        <v>2.8238805970268975E-3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input_442101!A$2</f>
        <v>442101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IFERROR(VLOOKUP(B88,input_442101!L:R,7,FALSE),VLOOKUP(tables_442101!C88,input_442101!A:H,8,FALSE))</f>
        <v>26866.122100000001</v>
      </c>
      <c r="P88" s="46">
        <f t="shared" ca="1" si="5"/>
        <v>2.2783346421399175E-3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input_442101!A$2</f>
        <v>442101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IFERROR(VLOOKUP(B89,input_442101!L:R,7,FALSE),VLOOKUP(tables_442101!C89,input_442101!A:H,8,FALSE))</f>
        <v>226.76211000000001</v>
      </c>
      <c r="P89" s="46">
        <f t="shared" ca="1" si="5"/>
        <v>1.9230165366431598E-5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input_442101!A$2</f>
        <v>442101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IFERROR(VLOOKUP(B90,input_442101!L:R,7,FALSE),VLOOKUP(tables_442101!C90,input_442101!A:H,8,FALSE))</f>
        <v>33299.199999999997</v>
      </c>
      <c r="P90" s="46">
        <f t="shared" ca="1" si="5"/>
        <v>2.8238805970268975E-3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input_442101!A$2</f>
        <v>442101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IFERROR(VLOOKUP(B91,input_442101!L:R,7,FALSE),VLOOKUP(tables_442101!C91,input_442101!A:H,8,FALSE))</f>
        <v>26866.122100000001</v>
      </c>
      <c r="P91" s="46">
        <f t="shared" ca="1" si="5"/>
        <v>2.2783346421399175E-3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input_442101!A$2</f>
        <v>442101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IFERROR(VLOOKUP(B92,input_442101!L:R,7,FALSE),VLOOKUP(tables_442101!C92,input_442101!A:H,8,FALSE))</f>
        <v>226.76211000000001</v>
      </c>
      <c r="P92" s="46">
        <f t="shared" ca="1" si="5"/>
        <v>1.9230165366431598E-5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input_442101!A$2</f>
        <v>442101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IFERROR(VLOOKUP(B93,input_442101!L:R,7,FALSE),VLOOKUP(tables_442101!C93,input_442101!A:H,8,FALSE))</f>
        <v>33299.199999999997</v>
      </c>
      <c r="P93" s="46">
        <f t="shared" ca="1" si="5"/>
        <v>2.8238805970268975E-3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input_442101!A$2</f>
        <v>442101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IFERROR(VLOOKUP(B94,input_442101!L:R,7,FALSE),VLOOKUP(tables_442101!C94,input_442101!A:H,8,FALSE))</f>
        <v>26866.122100000001</v>
      </c>
      <c r="P94" s="46">
        <f t="shared" ca="1" si="5"/>
        <v>2.2783346421399175E-3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input_442101!A$2</f>
        <v>442101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IFERROR(VLOOKUP(B95,input_442101!L:R,7,FALSE),VLOOKUP(tables_442101!C95,input_442101!A:H,8,FALSE))</f>
        <v>226.76211000000001</v>
      </c>
      <c r="P95" s="46">
        <f t="shared" ca="1" si="5"/>
        <v>1.9230165366431598E-5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input_442101!A$2</f>
        <v>442101</v>
      </c>
      <c r="B96" s="5">
        <v>220</v>
      </c>
      <c r="C96" s="7" t="str">
        <f t="shared" si="4"/>
        <v>Premium3color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IFERROR(VLOOKUP(B96,input_442101!L:R,7,FALSE),VLOOKUP(tables_442101!C96,input_442101!A:H,8,FALSE))</f>
        <v>139440.4</v>
      </c>
      <c r="P96" s="46">
        <f t="shared" ca="1" si="5"/>
        <v>1.1825000000050134E-2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input_442101!A$2</f>
        <v>442101</v>
      </c>
      <c r="B97" s="5">
        <v>221</v>
      </c>
      <c r="C97" s="7" t="str">
        <f t="shared" si="4"/>
        <v>Premium4color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IFERROR(VLOOKUP(B97,input_442101!L:R,7,FALSE),VLOOKUP(tables_442101!C97,input_442101!A:H,8,FALSE))</f>
        <v>134758.29592999999</v>
      </c>
      <c r="P97" s="46">
        <f t="shared" ca="1" si="5"/>
        <v>1.1427942327897841E-2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input_442101!A$2</f>
        <v>442101</v>
      </c>
      <c r="B98" s="5">
        <v>222</v>
      </c>
      <c r="C98" s="7" t="str">
        <f t="shared" si="4"/>
        <v>Premium5color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IFERROR(VLOOKUP(B98,input_442101!L:R,7,FALSE),VLOOKUP(tables_442101!C98,input_442101!A:H,8,FALSE))</f>
        <v>4682.1040700000003</v>
      </c>
      <c r="P98" s="46">
        <f t="shared" ca="1" si="5"/>
        <v>3.9705767215229403E-4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input_442101!A$2</f>
        <v>442101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IFERROR(VLOOKUP(B99,input_442101!L:R,7,FALSE),VLOOKUP(tables_442101!C99,input_442101!A:H,8,FALSE))</f>
        <v>33299.199999999997</v>
      </c>
      <c r="P99" s="46">
        <f t="shared" ca="1" si="5"/>
        <v>2.8238805970268975E-3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input_442101!A$2</f>
        <v>442101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IFERROR(VLOOKUP(B100,input_442101!L:R,7,FALSE),VLOOKUP(tables_442101!C100,input_442101!A:H,8,FALSE))</f>
        <v>26866.122100000001</v>
      </c>
      <c r="P100" s="46">
        <f t="shared" ca="1" si="5"/>
        <v>2.2783346421399175E-3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input_442101!A$2</f>
        <v>442101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IFERROR(VLOOKUP(B101,input_442101!L:R,7,FALSE),VLOOKUP(tables_442101!C101,input_442101!A:H,8,FALSE))</f>
        <v>226.76211000000001</v>
      </c>
      <c r="P101" s="46">
        <f t="shared" ca="1" si="5"/>
        <v>1.9230165366431598E-5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input_442101!A$2</f>
        <v>442101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IFERROR(VLOOKUP(B102,input_442101!L:R,7,FALSE),VLOOKUP(tables_442101!C102,input_442101!A:H,8,FALSE))</f>
        <v>33299.199999999997</v>
      </c>
      <c r="P102" s="46">
        <f t="shared" ca="1" si="5"/>
        <v>2.8238805970268975E-3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input_442101!A$2</f>
        <v>442101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IFERROR(VLOOKUP(B103,input_442101!L:R,7,FALSE),VLOOKUP(tables_442101!C103,input_442101!A:H,8,FALSE))</f>
        <v>26866.122100000001</v>
      </c>
      <c r="P103" s="46">
        <f t="shared" ca="1" si="5"/>
        <v>2.2783346421399175E-3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input_442101!A$2</f>
        <v>442101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IFERROR(VLOOKUP(B104,input_442101!L:R,7,FALSE),VLOOKUP(tables_442101!C104,input_442101!A:H,8,FALSE))</f>
        <v>226.76211000000001</v>
      </c>
      <c r="P104" s="46">
        <f t="shared" ca="1" si="5"/>
        <v>1.9230165366431598E-5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input_442101!A$2</f>
        <v>442101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IFERROR(VLOOKUP(B105,input_442101!L:R,7,FALSE),VLOOKUP(tables_442101!C105,input_442101!A:H,8,FALSE))</f>
        <v>33299.199999999997</v>
      </c>
      <c r="P105" s="46">
        <f t="shared" ca="1" si="5"/>
        <v>2.8238805970268975E-3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input_442101!A$2</f>
        <v>442101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IFERROR(VLOOKUP(B106,input_442101!L:R,7,FALSE),VLOOKUP(tables_442101!C106,input_442101!A:H,8,FALSE))</f>
        <v>26866.122100000001</v>
      </c>
      <c r="P106" s="46">
        <f t="shared" ca="1" si="5"/>
        <v>2.2783346421399175E-3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input_442101!A$2</f>
        <v>442101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IFERROR(VLOOKUP(B107,input_442101!L:R,7,FALSE),VLOOKUP(tables_442101!C107,input_442101!A:H,8,FALSE))</f>
        <v>226.76211000000001</v>
      </c>
      <c r="P107" s="46">
        <f t="shared" ca="1" si="5"/>
        <v>1.9230165366431598E-5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input_442101!A$2</f>
        <v>442101</v>
      </c>
      <c r="B108" s="5">
        <v>232</v>
      </c>
      <c r="C108" s="7" t="str">
        <f t="shared" si="4"/>
        <v>Premium3color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IFERROR(VLOOKUP(B108,input_442101!L:R,7,FALSE),VLOOKUP(tables_442101!C108,input_442101!A:H,8,FALSE))</f>
        <v>139440.4</v>
      </c>
      <c r="P108" s="46">
        <f t="shared" ca="1" si="5"/>
        <v>1.1825000000050134E-2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input_442101!A$2</f>
        <v>442101</v>
      </c>
      <c r="B109" s="5">
        <v>233</v>
      </c>
      <c r="C109" s="7" t="str">
        <f t="shared" si="4"/>
        <v>Premium4color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IFERROR(VLOOKUP(B109,input_442101!L:R,7,FALSE),VLOOKUP(tables_442101!C109,input_442101!A:H,8,FALSE))</f>
        <v>134758.29592999999</v>
      </c>
      <c r="P109" s="46">
        <f t="shared" ca="1" si="5"/>
        <v>1.1427942327897841E-2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input_442101!A$2</f>
        <v>442101</v>
      </c>
      <c r="B110" s="5">
        <v>234</v>
      </c>
      <c r="C110" s="7" t="str">
        <f t="shared" si="4"/>
        <v>Premium5color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IFERROR(VLOOKUP(B110,input_442101!L:R,7,FALSE),VLOOKUP(tables_442101!C110,input_442101!A:H,8,FALSE))</f>
        <v>4682.1040700000003</v>
      </c>
      <c r="P110" s="46">
        <f t="shared" ca="1" si="5"/>
        <v>3.9705767215229403E-4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input_442101!A$2</f>
        <v>442101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IFERROR(VLOOKUP(B111,input_442101!L:R,7,FALSE),VLOOKUP(tables_442101!C111,input_442101!A:H,8,FALSE))</f>
        <v>33299.199999999997</v>
      </c>
      <c r="P111" s="46">
        <f t="shared" ca="1" si="5"/>
        <v>2.8238805970268975E-3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input_442101!A$2</f>
        <v>442101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IFERROR(VLOOKUP(B112,input_442101!L:R,7,FALSE),VLOOKUP(tables_442101!C112,input_442101!A:H,8,FALSE))</f>
        <v>29969.279999999999</v>
      </c>
      <c r="P112" s="46">
        <f t="shared" ca="1" si="5"/>
        <v>2.5414925373242079E-3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input_442101!A$2</f>
        <v>442101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IFERROR(VLOOKUP(B113,input_442101!L:R,7,FALSE),VLOOKUP(tables_442101!C113,input_442101!A:H,8,FALSE))</f>
        <v>3329.92</v>
      </c>
      <c r="P113" s="46">
        <f t="shared" ca="1" si="5"/>
        <v>2.8238805970268979E-4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input_442101!A$2</f>
        <v>442101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IFERROR(VLOOKUP(B114,input_442101!L:R,7,FALSE),VLOOKUP(tables_442101!C114,input_442101!A:H,8,FALSE))</f>
        <v>33299.199999999997</v>
      </c>
      <c r="P114" s="46">
        <f t="shared" ca="1" si="5"/>
        <v>2.8238805970268975E-3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input_442101!A$2</f>
        <v>442101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IFERROR(VLOOKUP(B115,input_442101!L:R,7,FALSE),VLOOKUP(tables_442101!C115,input_442101!A:H,8,FALSE))</f>
        <v>26866.122100000001</v>
      </c>
      <c r="P115" s="46">
        <f t="shared" ca="1" si="5"/>
        <v>2.2783346421399175E-3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input_442101!A$2</f>
        <v>442101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IFERROR(VLOOKUP(B116,input_442101!L:R,7,FALSE),VLOOKUP(tables_442101!C116,input_442101!A:H,8,FALSE))</f>
        <v>226.76211000000001</v>
      </c>
      <c r="P116" s="46">
        <f t="shared" ca="1" si="5"/>
        <v>1.9230165366431598E-5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input_442101!A$2</f>
        <v>442101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IFERROR(VLOOKUP(B117,input_442101!L:R,7,FALSE),VLOOKUP(tables_442101!C117,input_442101!A:H,8,FALSE))</f>
        <v>33299.199999999997</v>
      </c>
      <c r="P117" s="46">
        <f t="shared" ca="1" si="5"/>
        <v>2.8238805970268975E-3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input_442101!A$2</f>
        <v>442101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IFERROR(VLOOKUP(B118,input_442101!L:R,7,FALSE),VLOOKUP(tables_442101!C118,input_442101!A:H,8,FALSE))</f>
        <v>26866.122100000001</v>
      </c>
      <c r="P118" s="46">
        <f t="shared" ca="1" si="5"/>
        <v>2.2783346421399175E-3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input_442101!A$2</f>
        <v>442101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IFERROR(VLOOKUP(B119,input_442101!L:R,7,FALSE),VLOOKUP(tables_442101!C119,input_442101!A:H,8,FALSE))</f>
        <v>226.76211000000001</v>
      </c>
      <c r="P119" s="46">
        <f t="shared" ca="1" si="5"/>
        <v>1.9230165366431598E-5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input_442101!A$2</f>
        <v>442101</v>
      </c>
      <c r="B120" s="5">
        <v>244</v>
      </c>
      <c r="C120" s="7" t="str">
        <f t="shared" si="4"/>
        <v>Premium3color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IFERROR(VLOOKUP(B120,input_442101!L:R,7,FALSE),VLOOKUP(tables_442101!C120,input_442101!A:H,8,FALSE))</f>
        <v>139440.4</v>
      </c>
      <c r="P120" s="46">
        <f t="shared" ca="1" si="5"/>
        <v>1.1825000000050134E-2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input_442101!A$2</f>
        <v>442101</v>
      </c>
      <c r="B121" s="5">
        <v>245</v>
      </c>
      <c r="C121" s="7" t="str">
        <f t="shared" si="4"/>
        <v>Premium4color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IFERROR(VLOOKUP(B121,input_442101!L:R,7,FALSE),VLOOKUP(tables_442101!C121,input_442101!A:H,8,FALSE))</f>
        <v>134758.29592999999</v>
      </c>
      <c r="P121" s="46">
        <f t="shared" ca="1" si="5"/>
        <v>1.1427942327897841E-2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input_442101!A$2</f>
        <v>442101</v>
      </c>
      <c r="B122" s="5">
        <v>246</v>
      </c>
      <c r="C122" s="7" t="str">
        <f t="shared" si="4"/>
        <v>Premium5color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IFERROR(VLOOKUP(B122,input_442101!L:R,7,FALSE),VLOOKUP(tables_442101!C122,input_442101!A:H,8,FALSE))</f>
        <v>4682.1040700000003</v>
      </c>
      <c r="P122" s="46">
        <f t="shared" ca="1" si="5"/>
        <v>3.9705767215229403E-4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input_442101!A$2</f>
        <v>442101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IFERROR(VLOOKUP(B123,input_442101!L:R,7,FALSE),VLOOKUP(tables_442101!C123,input_442101!A:H,8,FALSE))</f>
        <v>33299.199999999997</v>
      </c>
      <c r="P123" s="46">
        <f t="shared" ca="1" si="5"/>
        <v>2.8238805970268975E-3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input_442101!A$2</f>
        <v>442101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IFERROR(VLOOKUP(B124,input_442101!L:R,7,FALSE),VLOOKUP(tables_442101!C124,input_442101!A:H,8,FALSE))</f>
        <v>26866.122100000001</v>
      </c>
      <c r="P124" s="46">
        <f t="shared" ca="1" si="5"/>
        <v>2.2783346421399175E-3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input_442101!A$2</f>
        <v>442101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IFERROR(VLOOKUP(B125,input_442101!L:R,7,FALSE),VLOOKUP(tables_442101!C125,input_442101!A:H,8,FALSE))</f>
        <v>226.76211000000001</v>
      </c>
      <c r="P125" s="46">
        <f t="shared" ca="1" si="5"/>
        <v>1.9230165366431598E-5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input_442101!A$2</f>
        <v>442101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IFERROR(VLOOKUP(B126,input_442101!L:R,7,FALSE),VLOOKUP(tables_442101!C126,input_442101!A:H,8,FALSE))</f>
        <v>33299.199999999997</v>
      </c>
      <c r="P126" s="46">
        <f t="shared" ca="1" si="5"/>
        <v>2.8238805970268975E-3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input_442101!A$2</f>
        <v>442101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IFERROR(VLOOKUP(B127,input_442101!L:R,7,FALSE),VLOOKUP(tables_442101!C127,input_442101!A:H,8,FALSE))</f>
        <v>26866.122100000001</v>
      </c>
      <c r="P127" s="46">
        <f t="shared" ca="1" si="5"/>
        <v>2.2783346421399175E-3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input_442101!A$2</f>
        <v>442101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IFERROR(VLOOKUP(B128,input_442101!L:R,7,FALSE),VLOOKUP(tables_442101!C128,input_442101!A:H,8,FALSE))</f>
        <v>226.76211000000001</v>
      </c>
      <c r="P128" s="46">
        <f t="shared" ca="1" si="5"/>
        <v>1.9230165366431598E-5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input_442101!A$2</f>
        <v>442101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IFERROR(VLOOKUP(B129,input_442101!L:R,7,FALSE),VLOOKUP(tables_442101!C129,input_442101!A:H,8,FALSE))</f>
        <v>33299.199999999997</v>
      </c>
      <c r="P129" s="46">
        <f t="shared" ca="1" si="5"/>
        <v>2.8238805970268975E-3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input_442101!A$2</f>
        <v>442101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IFERROR(VLOOKUP(B130,input_442101!L:R,7,FALSE),VLOOKUP(tables_442101!C130,input_442101!A:H,8,FALSE))</f>
        <v>26866.122100000001</v>
      </c>
      <c r="P130" s="46">
        <f t="shared" ref="P130:P193" ca="1" si="9">O130/SUM(O:O)</f>
        <v>2.2783346421399175E-3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input_442101!A$2</f>
        <v>442101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IF(K131="blue","color","")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IFERROR(VLOOKUP(B131,input_442101!L:R,7,FALSE),VLOOKUP(tables_442101!C131,input_442101!A:H,8,FALSE))</f>
        <v>226.76211000000001</v>
      </c>
      <c r="P131" s="46">
        <f t="shared" ca="1" si="9"/>
        <v>1.9230165366431598E-5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input_442101!A$2</f>
        <v>442101</v>
      </c>
      <c r="B132" s="6">
        <v>256</v>
      </c>
      <c r="C132" s="7" t="str">
        <f t="shared" si="8"/>
        <v>Premium3color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IFERROR(VLOOKUP(B132,input_442101!L:R,7,FALSE),VLOOKUP(tables_442101!C132,input_442101!A:H,8,FALSE))</f>
        <v>139440.4</v>
      </c>
      <c r="P132" s="46">
        <f t="shared" ca="1" si="9"/>
        <v>1.1825000000050134E-2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input_442101!A$2</f>
        <v>442101</v>
      </c>
      <c r="B133" s="6">
        <v>257</v>
      </c>
      <c r="C133" s="7" t="str">
        <f t="shared" si="8"/>
        <v>Premium4color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IFERROR(VLOOKUP(B133,input_442101!L:R,7,FALSE),VLOOKUP(tables_442101!C133,input_442101!A:H,8,FALSE))</f>
        <v>134758.29592999999</v>
      </c>
      <c r="P133" s="46">
        <f t="shared" ca="1" si="9"/>
        <v>1.1427942327897841E-2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input_442101!A$2</f>
        <v>442101</v>
      </c>
      <c r="B134" s="6">
        <v>258</v>
      </c>
      <c r="C134" s="7" t="str">
        <f t="shared" si="8"/>
        <v>Premium5color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IFERROR(VLOOKUP(B134,input_442101!L:R,7,FALSE),VLOOKUP(tables_442101!C134,input_442101!A:H,8,FALSE))</f>
        <v>4682.1040700000003</v>
      </c>
      <c r="P134" s="46">
        <f t="shared" ca="1" si="9"/>
        <v>3.9705767215229403E-4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input_442101!A$2</f>
        <v>442101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IFERROR(VLOOKUP(B135,input_442101!L:R,7,FALSE),VLOOKUP(tables_442101!C135,input_442101!A:H,8,FALSE))</f>
        <v>33299.199999999997</v>
      </c>
      <c r="P135" s="46">
        <f t="shared" ca="1" si="9"/>
        <v>2.8238805970268975E-3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input_442101!A$2</f>
        <v>442101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IFERROR(VLOOKUP(B136,input_442101!L:R,7,FALSE),VLOOKUP(tables_442101!C136,input_442101!A:H,8,FALSE))</f>
        <v>26866.122100000001</v>
      </c>
      <c r="P136" s="46">
        <f t="shared" ca="1" si="9"/>
        <v>2.2783346421399175E-3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input_442101!A$2</f>
        <v>442101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IFERROR(VLOOKUP(B137,input_442101!L:R,7,FALSE),VLOOKUP(tables_442101!C137,input_442101!A:H,8,FALSE))</f>
        <v>226.76211000000001</v>
      </c>
      <c r="P137" s="46">
        <f t="shared" ca="1" si="9"/>
        <v>1.9230165366431598E-5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input_442101!A$2</f>
        <v>442101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IFERROR(VLOOKUP(B138,input_442101!L:R,7,FALSE),VLOOKUP(tables_442101!C138,input_442101!A:H,8,FALSE))</f>
        <v>5625.9592300000004</v>
      </c>
      <c r="P138" s="46">
        <f t="shared" ca="1" si="9"/>
        <v>4.7709966333309476E-4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input_442101!A$2</f>
        <v>442101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IFERROR(VLOOKUP(B139,input_442101!L:R,7,FALSE),VLOOKUP(tables_442101!C139,input_442101!A:H,8,FALSE))</f>
        <v>268</v>
      </c>
      <c r="P139" s="46">
        <f t="shared" ca="1" si="9"/>
        <v>2.2727272727369084E-5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input_442101!A$2</f>
        <v>442101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IFERROR(VLOOKUP(B140,input_442101!L:R,7,FALSE),VLOOKUP(tables_442101!C140,input_442101!A:H,8,FALSE))</f>
        <v>5625.9592300000004</v>
      </c>
      <c r="P140" s="46">
        <f t="shared" ca="1" si="9"/>
        <v>4.7709966333309476E-4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input_442101!A$2</f>
        <v>442101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IFERROR(VLOOKUP(B141,input_442101!L:R,7,FALSE),VLOOKUP(tables_442101!C141,input_442101!A:H,8,FALSE))</f>
        <v>268</v>
      </c>
      <c r="P141" s="46">
        <f t="shared" ca="1" si="9"/>
        <v>2.2727272727369084E-5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input_442101!A$2</f>
        <v>442101</v>
      </c>
      <c r="B142" s="6">
        <v>324</v>
      </c>
      <c r="C142" s="7" t="str">
        <f t="shared" si="8"/>
        <v>PremiumSS4color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IFERROR(VLOOKUP(B142,input_442101!L:R,7,FALSE),VLOOKUP(tables_442101!C142,input_442101!A:H,8,FALSE))</f>
        <v>25851.692309999999</v>
      </c>
      <c r="P142" s="46">
        <f t="shared" ca="1" si="9"/>
        <v>2.1923076925126871E-3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input_442101!A$2</f>
        <v>442101</v>
      </c>
      <c r="B143" s="6">
        <v>325</v>
      </c>
      <c r="C143" s="7" t="str">
        <f t="shared" si="8"/>
        <v>PremiumSS5color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IFERROR(VLOOKUP(B143,input_442101!L:R,7,FALSE),VLOOKUP(tables_442101!C143,input_442101!A:H,8,FALSE))</f>
        <v>1360.61538</v>
      </c>
      <c r="P143" s="46">
        <f t="shared" ca="1" si="9"/>
        <v>1.1538461499370493E-4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input_442101!A$2</f>
        <v>442101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IFERROR(VLOOKUP(B144,input_442101!L:R,7,FALSE),VLOOKUP(tables_442101!C144,input_442101!A:H,8,FALSE))</f>
        <v>5625.9592300000004</v>
      </c>
      <c r="P144" s="46">
        <f t="shared" ca="1" si="9"/>
        <v>4.7709966333309476E-4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input_442101!A$2</f>
        <v>442101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IFERROR(VLOOKUP(B145,input_442101!L:R,7,FALSE),VLOOKUP(tables_442101!C145,input_442101!A:H,8,FALSE))</f>
        <v>268</v>
      </c>
      <c r="P145" s="46">
        <f t="shared" ca="1" si="9"/>
        <v>2.2727272727369084E-5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input_442101!A$2</f>
        <v>442101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IFERROR(VLOOKUP(B146,input_442101!L:R,7,FALSE),VLOOKUP(tables_442101!C146,input_442101!A:H,8,FALSE))</f>
        <v>33299.199999999997</v>
      </c>
      <c r="P146" s="46">
        <f t="shared" ca="1" si="9"/>
        <v>2.8238805970268975E-3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input_442101!A$2</f>
        <v>442101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IFERROR(VLOOKUP(B147,input_442101!L:R,7,FALSE),VLOOKUP(tables_442101!C147,input_442101!A:H,8,FALSE))</f>
        <v>26866.122100000001</v>
      </c>
      <c r="P147" s="46">
        <f t="shared" ca="1" si="9"/>
        <v>2.2783346421399175E-3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input_442101!A$2</f>
        <v>442101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IFERROR(VLOOKUP(B148,input_442101!L:R,7,FALSE),VLOOKUP(tables_442101!C148,input_442101!A:H,8,FALSE))</f>
        <v>226.76211000000001</v>
      </c>
      <c r="P148" s="46">
        <f t="shared" ca="1" si="9"/>
        <v>1.9230165366431598E-5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input_442101!A$2</f>
        <v>442101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IFERROR(VLOOKUP(B149,input_442101!L:R,7,FALSE),VLOOKUP(tables_442101!C149,input_442101!A:H,8,FALSE))</f>
        <v>5625.9592300000004</v>
      </c>
      <c r="P149" s="46">
        <f t="shared" ca="1" si="9"/>
        <v>4.7709966333309476E-4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input_442101!A$2</f>
        <v>442101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IFERROR(VLOOKUP(B150,input_442101!L:R,7,FALSE),VLOOKUP(tables_442101!C150,input_442101!A:H,8,FALSE))</f>
        <v>268</v>
      </c>
      <c r="P150" s="46">
        <f t="shared" ca="1" si="9"/>
        <v>2.2727272727369084E-5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input_442101!A$2</f>
        <v>442101</v>
      </c>
      <c r="B151" s="6">
        <v>385</v>
      </c>
      <c r="C151" s="7" t="str">
        <f t="shared" si="8"/>
        <v>PremiumSS4color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IFERROR(VLOOKUP(B151,input_442101!L:R,7,FALSE),VLOOKUP(tables_442101!C151,input_442101!A:H,8,FALSE))</f>
        <v>25851.692309999999</v>
      </c>
      <c r="P151" s="46">
        <f t="shared" ca="1" si="9"/>
        <v>2.1923076925126871E-3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input_442101!A$2</f>
        <v>442101</v>
      </c>
      <c r="B152" s="6">
        <v>386</v>
      </c>
      <c r="C152" s="7" t="str">
        <f t="shared" si="8"/>
        <v>PremiumSS5color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IFERROR(VLOOKUP(B152,input_442101!L:R,7,FALSE),VLOOKUP(tables_442101!C152,input_442101!A:H,8,FALSE))</f>
        <v>1360.61538</v>
      </c>
      <c r="P152" s="46">
        <f t="shared" ca="1" si="9"/>
        <v>1.1538461499370493E-4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input_442101!A$2</f>
        <v>442101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IFERROR(VLOOKUP(B153,input_442101!L:R,7,FALSE),VLOOKUP(tables_442101!C153,input_442101!A:H,8,FALSE))</f>
        <v>33299.199999999997</v>
      </c>
      <c r="P153" s="46">
        <f t="shared" ca="1" si="9"/>
        <v>2.8238805970268975E-3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input_442101!A$2</f>
        <v>442101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IFERROR(VLOOKUP(B154,input_442101!L:R,7,FALSE),VLOOKUP(tables_442101!C154,input_442101!A:H,8,FALSE))</f>
        <v>26866.122100000001</v>
      </c>
      <c r="P154" s="46">
        <f t="shared" ca="1" si="9"/>
        <v>2.2783346421399175E-3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input_442101!A$2</f>
        <v>442101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IFERROR(VLOOKUP(B155,input_442101!L:R,7,FALSE),VLOOKUP(tables_442101!C155,input_442101!A:H,8,FALSE))</f>
        <v>226.76211000000001</v>
      </c>
      <c r="P155" s="46">
        <f t="shared" ca="1" si="9"/>
        <v>1.9230165366431598E-5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input_442101!A$2</f>
        <v>442101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IFERROR(VLOOKUP(B156,input_442101!L:R,7,FALSE),VLOOKUP(tables_442101!C156,input_442101!A:H,8,FALSE))</f>
        <v>5625.9592300000004</v>
      </c>
      <c r="P156" s="46">
        <f t="shared" ca="1" si="9"/>
        <v>4.7709966333309476E-4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input_442101!A$2</f>
        <v>442101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IFERROR(VLOOKUP(B157,input_442101!L:R,7,FALSE),VLOOKUP(tables_442101!C157,input_442101!A:H,8,FALSE))</f>
        <v>268</v>
      </c>
      <c r="P157" s="46">
        <f t="shared" ca="1" si="9"/>
        <v>2.2727272727369084E-5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input_442101!A$2</f>
        <v>442101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IFERROR(VLOOKUP(B158,input_442101!L:R,7,FALSE),VLOOKUP(tables_442101!C158,input_442101!A:H,8,FALSE))</f>
        <v>33299.199999999997</v>
      </c>
      <c r="P158" s="46">
        <f t="shared" ca="1" si="9"/>
        <v>2.8238805970268975E-3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input_442101!A$2</f>
        <v>442101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IFERROR(VLOOKUP(B159,input_442101!L:R,7,FALSE),VLOOKUP(tables_442101!C159,input_442101!A:H,8,FALSE))</f>
        <v>26866.122100000001</v>
      </c>
      <c r="P159" s="46">
        <f t="shared" ca="1" si="9"/>
        <v>2.2783346421399175E-3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input_442101!A$2</f>
        <v>442101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IFERROR(VLOOKUP(B160,input_442101!L:R,7,FALSE),VLOOKUP(tables_442101!C160,input_442101!A:H,8,FALSE))</f>
        <v>226.76211000000001</v>
      </c>
      <c r="P160" s="46">
        <f t="shared" ca="1" si="9"/>
        <v>1.9230165366431598E-5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input_442101!A$2</f>
        <v>442101</v>
      </c>
      <c r="B161" s="6">
        <v>395</v>
      </c>
      <c r="C161" s="7" t="str">
        <f t="shared" si="8"/>
        <v>Premium3color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IFERROR(VLOOKUP(B161,input_442101!L:R,7,FALSE),VLOOKUP(tables_442101!C161,input_442101!A:H,8,FALSE))</f>
        <v>139440.4</v>
      </c>
      <c r="P161" s="46">
        <f t="shared" ca="1" si="9"/>
        <v>1.1825000000050134E-2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input_442101!A$2</f>
        <v>442101</v>
      </c>
      <c r="B162" s="6">
        <v>396</v>
      </c>
      <c r="C162" s="7" t="str">
        <f t="shared" si="8"/>
        <v>Premium4color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IFERROR(VLOOKUP(B162,input_442101!L:R,7,FALSE),VLOOKUP(tables_442101!C162,input_442101!A:H,8,FALSE))</f>
        <v>134758.29592999999</v>
      </c>
      <c r="P162" s="46">
        <f t="shared" ca="1" si="9"/>
        <v>1.1427942327897841E-2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input_442101!A$2</f>
        <v>442101</v>
      </c>
      <c r="B163" s="6">
        <v>397</v>
      </c>
      <c r="C163" s="7" t="str">
        <f t="shared" si="8"/>
        <v>Premium5color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IFERROR(VLOOKUP(B163,input_442101!L:R,7,FALSE),VLOOKUP(tables_442101!C163,input_442101!A:H,8,FALSE))</f>
        <v>4682.1040700000003</v>
      </c>
      <c r="P163" s="46">
        <f t="shared" ca="1" si="9"/>
        <v>3.9705767215229403E-4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input_442101!A$2</f>
        <v>442101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IFERROR(VLOOKUP(B164,input_442101!L:R,7,FALSE),VLOOKUP(tables_442101!C164,input_442101!A:H,8,FALSE))</f>
        <v>5625.9592300000004</v>
      </c>
      <c r="P164" s="46">
        <f t="shared" ca="1" si="9"/>
        <v>4.7709966333309476E-4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input_442101!A$2</f>
        <v>442101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IFERROR(VLOOKUP(B165,input_442101!L:R,7,FALSE),VLOOKUP(tables_442101!C165,input_442101!A:H,8,FALSE))</f>
        <v>268</v>
      </c>
      <c r="P165" s="46">
        <f t="shared" ca="1" si="9"/>
        <v>2.2727272727369084E-5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input_442101!A$2</f>
        <v>442101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IFERROR(VLOOKUP(B166,input_442101!L:R,7,FALSE),VLOOKUP(tables_442101!C166,input_442101!A:H,8,FALSE))</f>
        <v>33299.199999999997</v>
      </c>
      <c r="P166" s="46">
        <f t="shared" ca="1" si="9"/>
        <v>2.8238805970268975E-3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input_442101!A$2</f>
        <v>442101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IFERROR(VLOOKUP(B167,input_442101!L:R,7,FALSE),VLOOKUP(tables_442101!C167,input_442101!A:H,8,FALSE))</f>
        <v>26866.122100000001</v>
      </c>
      <c r="P167" s="46">
        <f t="shared" ca="1" si="9"/>
        <v>2.2783346421399175E-3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input_442101!A$2</f>
        <v>442101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IFERROR(VLOOKUP(B168,input_442101!L:R,7,FALSE),VLOOKUP(tables_442101!C168,input_442101!A:H,8,FALSE))</f>
        <v>226.76211000000001</v>
      </c>
      <c r="P168" s="46">
        <f t="shared" ca="1" si="9"/>
        <v>1.9230165366431598E-5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input_442101!A$2</f>
        <v>442101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IFERROR(VLOOKUP(B169,input_442101!L:R,7,FALSE),VLOOKUP(tables_442101!C169,input_442101!A:H,8,FALSE))</f>
        <v>5625.9592300000004</v>
      </c>
      <c r="P169" s="46">
        <f t="shared" ca="1" si="9"/>
        <v>4.7709966333309476E-4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input_442101!A$2</f>
        <v>442101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IFERROR(VLOOKUP(B170,input_442101!L:R,7,FALSE),VLOOKUP(tables_442101!C170,input_442101!A:H,8,FALSE))</f>
        <v>268</v>
      </c>
      <c r="P170" s="46">
        <f t="shared" ca="1" si="9"/>
        <v>2.2727272727369084E-5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input_442101!A$2</f>
        <v>442101</v>
      </c>
      <c r="B171" s="6">
        <v>405</v>
      </c>
      <c r="C171" s="7" t="str">
        <f t="shared" si="8"/>
        <v>Premium3color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IFERROR(VLOOKUP(B171,input_442101!L:R,7,FALSE),VLOOKUP(tables_442101!C171,input_442101!A:H,8,FALSE))</f>
        <v>139440.4</v>
      </c>
      <c r="P171" s="46">
        <f t="shared" ca="1" si="9"/>
        <v>1.1825000000050134E-2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input_442101!A$2</f>
        <v>442101</v>
      </c>
      <c r="B172" s="6">
        <v>406</v>
      </c>
      <c r="C172" s="7" t="str">
        <f t="shared" si="8"/>
        <v>Premium4color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IFERROR(VLOOKUP(B172,input_442101!L:R,7,FALSE),VLOOKUP(tables_442101!C172,input_442101!A:H,8,FALSE))</f>
        <v>134758.29592999999</v>
      </c>
      <c r="P172" s="46">
        <f t="shared" ca="1" si="9"/>
        <v>1.1427942327897841E-2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input_442101!A$2</f>
        <v>442101</v>
      </c>
      <c r="B173" s="6">
        <v>407</v>
      </c>
      <c r="C173" s="7" t="str">
        <f t="shared" si="8"/>
        <v>Premium5color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IFERROR(VLOOKUP(B173,input_442101!L:R,7,FALSE),VLOOKUP(tables_442101!C173,input_442101!A:H,8,FALSE))</f>
        <v>4682.1040700000003</v>
      </c>
      <c r="P173" s="46">
        <f t="shared" ca="1" si="9"/>
        <v>3.9705767215229403E-4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input_442101!A$2</f>
        <v>442101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IFERROR(VLOOKUP(B174,input_442101!L:R,7,FALSE),VLOOKUP(tables_442101!C174,input_442101!A:H,8,FALSE))</f>
        <v>5625.9592300000004</v>
      </c>
      <c r="P174" s="46">
        <f t="shared" ca="1" si="9"/>
        <v>4.7709966333309476E-4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input_442101!A$2</f>
        <v>442101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IFERROR(VLOOKUP(B175,input_442101!L:R,7,FALSE),VLOOKUP(tables_442101!C175,input_442101!A:H,8,FALSE))</f>
        <v>268</v>
      </c>
      <c r="P175" s="46">
        <f t="shared" ca="1" si="9"/>
        <v>2.2727272727369084E-5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input_442101!A$2</f>
        <v>442101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IFERROR(VLOOKUP(B176,input_442101!L:R,7,FALSE),VLOOKUP(tables_442101!C176,input_442101!A:H,8,FALSE))</f>
        <v>5625.9592300000004</v>
      </c>
      <c r="P176" s="46">
        <f t="shared" ca="1" si="9"/>
        <v>4.7709966333309476E-4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input_442101!A$2</f>
        <v>442101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IFERROR(VLOOKUP(B177,input_442101!L:R,7,FALSE),VLOOKUP(tables_442101!C177,input_442101!A:H,8,FALSE))</f>
        <v>268</v>
      </c>
      <c r="P177" s="46">
        <f t="shared" ca="1" si="9"/>
        <v>2.2727272727369084E-5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input_442101!A$2</f>
        <v>442101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IFERROR(VLOOKUP(B178,input_442101!L:R,7,FALSE),VLOOKUP(tables_442101!C178,input_442101!A:H,8,FALSE))</f>
        <v>33299.199999999997</v>
      </c>
      <c r="P178" s="46">
        <f t="shared" ca="1" si="9"/>
        <v>2.8238805970268975E-3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input_442101!A$2</f>
        <v>442101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IFERROR(VLOOKUP(B179,input_442101!L:R,7,FALSE),VLOOKUP(tables_442101!C179,input_442101!A:H,8,FALSE))</f>
        <v>26866.122100000001</v>
      </c>
      <c r="P179" s="46">
        <f t="shared" ca="1" si="9"/>
        <v>2.2783346421399175E-3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input_442101!A$2</f>
        <v>442101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IFERROR(VLOOKUP(B180,input_442101!L:R,7,FALSE),VLOOKUP(tables_442101!C180,input_442101!A:H,8,FALSE))</f>
        <v>226.76211000000001</v>
      </c>
      <c r="P180" s="46">
        <f t="shared" ca="1" si="9"/>
        <v>1.9230165366431598E-5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input_442101!A$2</f>
        <v>442101</v>
      </c>
      <c r="B181" s="6">
        <v>439</v>
      </c>
      <c r="C181" s="7" t="str">
        <f t="shared" si="8"/>
        <v>Premium3color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IFERROR(VLOOKUP(B181,input_442101!L:R,7,FALSE),VLOOKUP(tables_442101!C181,input_442101!A:H,8,FALSE))</f>
        <v>139440.4</v>
      </c>
      <c r="P181" s="46">
        <f t="shared" ca="1" si="9"/>
        <v>1.1825000000050134E-2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input_442101!A$2</f>
        <v>442101</v>
      </c>
      <c r="B182" s="6">
        <v>440</v>
      </c>
      <c r="C182" s="7" t="str">
        <f t="shared" si="8"/>
        <v>Premium4color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IFERROR(VLOOKUP(B182,input_442101!L:R,7,FALSE),VLOOKUP(tables_442101!C182,input_442101!A:H,8,FALSE))</f>
        <v>134758.29592999999</v>
      </c>
      <c r="P182" s="46">
        <f t="shared" ca="1" si="9"/>
        <v>1.1427942327897841E-2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input_442101!A$2</f>
        <v>442101</v>
      </c>
      <c r="B183" s="6">
        <v>441</v>
      </c>
      <c r="C183" s="7" t="str">
        <f t="shared" si="8"/>
        <v>Premium5color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IFERROR(VLOOKUP(B183,input_442101!L:R,7,FALSE),VLOOKUP(tables_442101!C183,input_442101!A:H,8,FALSE))</f>
        <v>4682.1040700000003</v>
      </c>
      <c r="P183" s="46">
        <f t="shared" ca="1" si="9"/>
        <v>3.9705767215229403E-4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input_442101!A$2</f>
        <v>442101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IFERROR(VLOOKUP(B184,input_442101!L:R,7,FALSE),VLOOKUP(tables_442101!C184,input_442101!A:H,8,FALSE))</f>
        <v>5625.9592300000004</v>
      </c>
      <c r="P184" s="46">
        <f t="shared" ca="1" si="9"/>
        <v>4.7709966333309476E-4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input_442101!A$2</f>
        <v>442101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IFERROR(VLOOKUP(B185,input_442101!L:R,7,FALSE),VLOOKUP(tables_442101!C185,input_442101!A:H,8,FALSE))</f>
        <v>268</v>
      </c>
      <c r="P185" s="46">
        <f t="shared" ca="1" si="9"/>
        <v>2.2727272727369084E-5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input_442101!A$2</f>
        <v>442101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IFERROR(VLOOKUP(B186,input_442101!L:R,7,FALSE),VLOOKUP(tables_442101!C186,input_442101!A:H,8,FALSE))</f>
        <v>33299.199999999997</v>
      </c>
      <c r="P186" s="46">
        <f t="shared" ca="1" si="9"/>
        <v>2.8238805970268975E-3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input_442101!A$2</f>
        <v>442101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IFERROR(VLOOKUP(B187,input_442101!L:R,7,FALSE),VLOOKUP(tables_442101!C187,input_442101!A:H,8,FALSE))</f>
        <v>26866.122100000001</v>
      </c>
      <c r="P187" s="46">
        <f t="shared" ca="1" si="9"/>
        <v>2.2783346421399175E-3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input_442101!A$2</f>
        <v>442101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IFERROR(VLOOKUP(B188,input_442101!L:R,7,FALSE),VLOOKUP(tables_442101!C188,input_442101!A:H,8,FALSE))</f>
        <v>226.76211000000001</v>
      </c>
      <c r="P188" s="46">
        <f t="shared" ca="1" si="9"/>
        <v>1.9230165366431598E-5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input_442101!A$2</f>
        <v>442101</v>
      </c>
      <c r="B189" s="6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IFERROR(VLOOKUP(B189,input_442101!L:R,7,FALSE),VLOOKUP(tables_442101!C189,input_442101!A:H,8,FALSE))</f>
        <v>5625.9592300000004</v>
      </c>
      <c r="P189" s="46">
        <f t="shared" ca="1" si="9"/>
        <v>4.7709966333309476E-4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input_442101!A$2</f>
        <v>442101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IFERROR(VLOOKUP(B190,input_442101!L:R,7,FALSE),VLOOKUP(tables_442101!C190,input_442101!A:H,8,FALSE))</f>
        <v>268</v>
      </c>
      <c r="P190" s="46">
        <f t="shared" ca="1" si="9"/>
        <v>2.2727272727369084E-5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input_442101!A$2</f>
        <v>442101</v>
      </c>
      <c r="B191" s="6">
        <v>467</v>
      </c>
      <c r="C191" s="7" t="str">
        <f t="shared" si="8"/>
        <v>PremiumSS4color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IFERROR(VLOOKUP(B191,input_442101!L:R,7,FALSE),VLOOKUP(tables_442101!C191,input_442101!A:H,8,FALSE))</f>
        <v>25851.692309999999</v>
      </c>
      <c r="P191" s="46">
        <f t="shared" ca="1" si="9"/>
        <v>2.1923076925126871E-3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input_442101!A$2</f>
        <v>442101</v>
      </c>
      <c r="B192" s="6">
        <v>468</v>
      </c>
      <c r="C192" s="7" t="str">
        <f t="shared" si="8"/>
        <v>PremiumSS5color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IFERROR(VLOOKUP(B192,input_442101!L:R,7,FALSE),VLOOKUP(tables_442101!C192,input_442101!A:H,8,FALSE))</f>
        <v>1360.61538</v>
      </c>
      <c r="P192" s="46">
        <f t="shared" ca="1" si="9"/>
        <v>1.1538461499370493E-4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input_442101!A$2</f>
        <v>442101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IFERROR(VLOOKUP(B193,input_442101!L:R,7,FALSE),VLOOKUP(tables_442101!C193,input_442101!A:H,8,FALSE))</f>
        <v>33299.199999999997</v>
      </c>
      <c r="P193" s="46">
        <f t="shared" ca="1" si="9"/>
        <v>2.8238805970268975E-3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input_442101!A$2</f>
        <v>442101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IFERROR(VLOOKUP(B194,input_442101!L:R,7,FALSE),VLOOKUP(tables_442101!C194,input_442101!A:H,8,FALSE))</f>
        <v>26866.122100000001</v>
      </c>
      <c r="P194" s="46">
        <f t="shared" ref="P194:P257" ca="1" si="13">O194/SUM(O:O)</f>
        <v>2.2783346421399175E-3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input_442101!A$2</f>
        <v>442101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IF(K195="blue","color","")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IFERROR(VLOOKUP(B195,input_442101!L:R,7,FALSE),VLOOKUP(tables_442101!C195,input_442101!A:H,8,FALSE))</f>
        <v>226.76211000000001</v>
      </c>
      <c r="P195" s="46">
        <f t="shared" ca="1" si="13"/>
        <v>1.9230165366431598E-5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input_442101!A$2</f>
        <v>442101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IFERROR(VLOOKUP(B196,input_442101!L:R,7,FALSE),VLOOKUP(tables_442101!C196,input_442101!A:H,8,FALSE))</f>
        <v>5625.9592300000004</v>
      </c>
      <c r="P196" s="46">
        <f t="shared" ca="1" si="13"/>
        <v>4.7709966333309476E-4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input_442101!A$2</f>
        <v>442101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IFERROR(VLOOKUP(B197,input_442101!L:R,7,FALSE),VLOOKUP(tables_442101!C197,input_442101!A:H,8,FALSE))</f>
        <v>268</v>
      </c>
      <c r="P197" s="46">
        <f t="shared" ca="1" si="13"/>
        <v>2.2727272727369084E-5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input_442101!A$2</f>
        <v>442101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IFERROR(VLOOKUP(B198,input_442101!L:R,7,FALSE),VLOOKUP(tables_442101!C198,input_442101!A:H,8,FALSE))</f>
        <v>33299.199999999997</v>
      </c>
      <c r="P198" s="46">
        <f t="shared" ca="1" si="13"/>
        <v>2.8238805970268975E-3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input_442101!A$2</f>
        <v>442101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IFERROR(VLOOKUP(B199,input_442101!L:R,7,FALSE),VLOOKUP(tables_442101!C199,input_442101!A:H,8,FALSE))</f>
        <v>26866.122100000001</v>
      </c>
      <c r="P199" s="46">
        <f t="shared" ca="1" si="13"/>
        <v>2.2783346421399175E-3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input_442101!A$2</f>
        <v>442101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IFERROR(VLOOKUP(B200,input_442101!L:R,7,FALSE),VLOOKUP(tables_442101!C200,input_442101!A:H,8,FALSE))</f>
        <v>226.76211000000001</v>
      </c>
      <c r="P200" s="46">
        <f t="shared" ca="1" si="13"/>
        <v>1.9230165366431598E-5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input_442101!A$2</f>
        <v>442101</v>
      </c>
      <c r="B201" s="6">
        <v>479</v>
      </c>
      <c r="C201" s="7" t="str">
        <f t="shared" si="12"/>
        <v>PremiumSS4color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IFERROR(VLOOKUP(B201,input_442101!L:R,7,FALSE),VLOOKUP(tables_442101!C201,input_442101!A:H,8,FALSE))</f>
        <v>25851.692309999999</v>
      </c>
      <c r="P201" s="46">
        <f t="shared" ca="1" si="13"/>
        <v>2.1923076925126871E-3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input_442101!A$2</f>
        <v>442101</v>
      </c>
      <c r="B202" s="6">
        <v>480</v>
      </c>
      <c r="C202" s="7" t="str">
        <f t="shared" si="12"/>
        <v>PremiumSS5color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IFERROR(VLOOKUP(B202,input_442101!L:R,7,FALSE),VLOOKUP(tables_442101!C202,input_442101!A:H,8,FALSE))</f>
        <v>1360.61538</v>
      </c>
      <c r="P202" s="46">
        <f t="shared" ca="1" si="13"/>
        <v>1.1538461499370493E-4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input_442101!A$2</f>
        <v>442101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IFERROR(VLOOKUP(B203,input_442101!L:R,7,FALSE),VLOOKUP(tables_442101!C203,input_442101!A:H,8,FALSE))</f>
        <v>33299.199999999997</v>
      </c>
      <c r="P203" s="46">
        <f t="shared" ca="1" si="13"/>
        <v>2.8238805970268975E-3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input_442101!A$2</f>
        <v>442101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IFERROR(VLOOKUP(B204,input_442101!L:R,7,FALSE),VLOOKUP(tables_442101!C204,input_442101!A:H,8,FALSE))</f>
        <v>26866.122100000001</v>
      </c>
      <c r="P204" s="46">
        <f t="shared" ca="1" si="13"/>
        <v>2.2783346421399175E-3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input_442101!A$2</f>
        <v>442101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IFERROR(VLOOKUP(B205,input_442101!L:R,7,FALSE),VLOOKUP(tables_442101!C205,input_442101!A:H,8,FALSE))</f>
        <v>226.76211000000001</v>
      </c>
      <c r="P205" s="46">
        <f t="shared" ca="1" si="13"/>
        <v>1.9230165366431598E-5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input_442101!A$2</f>
        <v>442101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IFERROR(VLOOKUP(B206,input_442101!L:R,7,FALSE),VLOOKUP(tables_442101!C206,input_442101!A:H,8,FALSE))</f>
        <v>5625.9592300000004</v>
      </c>
      <c r="P206" s="46">
        <f t="shared" ca="1" si="13"/>
        <v>4.7709966333309476E-4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input_442101!A$2</f>
        <v>442101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IFERROR(VLOOKUP(B207,input_442101!L:R,7,FALSE),VLOOKUP(tables_442101!C207,input_442101!A:H,8,FALSE))</f>
        <v>268</v>
      </c>
      <c r="P207" s="46">
        <f t="shared" ca="1" si="13"/>
        <v>2.2727272727369084E-5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input_442101!A$2</f>
        <v>442101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IFERROR(VLOOKUP(B208,input_442101!L:R,7,FALSE),VLOOKUP(tables_442101!C208,input_442101!A:H,8,FALSE))</f>
        <v>5625.9592300000004</v>
      </c>
      <c r="P208" s="46">
        <f t="shared" ca="1" si="13"/>
        <v>4.7709966333309476E-4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input_442101!A$2</f>
        <v>442101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IFERROR(VLOOKUP(B209,input_442101!L:R,7,FALSE),VLOOKUP(tables_442101!C209,input_442101!A:H,8,FALSE))</f>
        <v>268</v>
      </c>
      <c r="P209" s="46">
        <f t="shared" ca="1" si="13"/>
        <v>2.2727272727369084E-5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input_442101!A$2</f>
        <v>442101</v>
      </c>
      <c r="B210" s="6">
        <v>496</v>
      </c>
      <c r="C210" s="7" t="str">
        <f t="shared" si="12"/>
        <v>Premium3color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IFERROR(VLOOKUP(B210,input_442101!L:R,7,FALSE),VLOOKUP(tables_442101!C210,input_442101!A:H,8,FALSE))</f>
        <v>139440.4</v>
      </c>
      <c r="P210" s="46">
        <f t="shared" ca="1" si="13"/>
        <v>1.1825000000050134E-2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input_442101!A$2</f>
        <v>442101</v>
      </c>
      <c r="B211" s="6">
        <v>497</v>
      </c>
      <c r="C211" s="7" t="str">
        <f t="shared" si="12"/>
        <v>Premium4color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IFERROR(VLOOKUP(B211,input_442101!L:R,7,FALSE),VLOOKUP(tables_442101!C211,input_442101!A:H,8,FALSE))</f>
        <v>134758.29592999999</v>
      </c>
      <c r="P211" s="46">
        <f t="shared" ca="1" si="13"/>
        <v>1.1427942327897841E-2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input_442101!A$2</f>
        <v>442101</v>
      </c>
      <c r="B212" s="6">
        <v>498</v>
      </c>
      <c r="C212" s="7" t="str">
        <f t="shared" si="12"/>
        <v>Premium5color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IFERROR(VLOOKUP(B212,input_442101!L:R,7,FALSE),VLOOKUP(tables_442101!C212,input_442101!A:H,8,FALSE))</f>
        <v>4682.1040700000003</v>
      </c>
      <c r="P212" s="46">
        <f t="shared" ca="1" si="13"/>
        <v>3.9705767215229403E-4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input_442101!A$2</f>
        <v>442101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IFERROR(VLOOKUP(B213,input_442101!L:R,7,FALSE),VLOOKUP(tables_442101!C213,input_442101!A:H,8,FALSE))</f>
        <v>5625.9592300000004</v>
      </c>
      <c r="P213" s="46">
        <f t="shared" ca="1" si="13"/>
        <v>4.7709966333309476E-4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input_442101!A$2</f>
        <v>442101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IFERROR(VLOOKUP(B214,input_442101!L:R,7,FALSE),VLOOKUP(tables_442101!C214,input_442101!A:H,8,FALSE))</f>
        <v>268</v>
      </c>
      <c r="P214" s="46">
        <f t="shared" ca="1" si="13"/>
        <v>2.2727272727369084E-5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input_442101!A$2</f>
        <v>442101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IFERROR(VLOOKUP(B215,input_442101!L:R,7,FALSE),VLOOKUP(tables_442101!C215,input_442101!A:H,8,FALSE))</f>
        <v>3329.92</v>
      </c>
      <c r="P215" s="46">
        <f t="shared" ca="1" si="13"/>
        <v>2.8238805970268979E-4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input_442101!A$2</f>
        <v>442101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IFERROR(VLOOKUP(B216,input_442101!L:R,7,FALSE),VLOOKUP(tables_442101!C216,input_442101!A:H,8,FALSE))</f>
        <v>3329.92</v>
      </c>
      <c r="P216" s="46">
        <f t="shared" ca="1" si="13"/>
        <v>2.8238805970268979E-4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input_442101!A$2</f>
        <v>442101</v>
      </c>
      <c r="B217" s="6">
        <v>562</v>
      </c>
      <c r="C217" s="7" t="str">
        <f t="shared" si="12"/>
        <v>premium5R3lesscolor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>color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IFERROR(VLOOKUP(B217,input_442101!L:R,7,FALSE),VLOOKUP(tables_442101!C217,input_442101!A:H,8,FALSE))</f>
        <v>13944.04</v>
      </c>
      <c r="P217" s="46">
        <f t="shared" ca="1" si="13"/>
        <v>1.1825000000050135E-3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input_442101!A$2</f>
        <v>442101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IFERROR(VLOOKUP(B218,input_442101!L:R,7,FALSE),VLOOKUP(tables_442101!C218,input_442101!A:H,8,FALSE))</f>
        <v>3329.92</v>
      </c>
      <c r="P218" s="46">
        <f t="shared" ca="1" si="13"/>
        <v>2.8238805970268979E-4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input_442101!A$2</f>
        <v>442101</v>
      </c>
      <c r="B219" s="6">
        <v>566</v>
      </c>
      <c r="C219" s="7" t="str">
        <f t="shared" si="12"/>
        <v>premium5R3lesscolor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>color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IFERROR(VLOOKUP(B219,input_442101!L:R,7,FALSE),VLOOKUP(tables_442101!C219,input_442101!A:H,8,FALSE))</f>
        <v>13944.04</v>
      </c>
      <c r="P219" s="46">
        <f t="shared" ca="1" si="13"/>
        <v>1.1825000000050135E-3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input_442101!A$2</f>
        <v>442101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IFERROR(VLOOKUP(B220,input_442101!L:R,7,FALSE),VLOOKUP(tables_442101!C220,input_442101!A:H,8,FALSE))</f>
        <v>3329.92</v>
      </c>
      <c r="P220" s="46">
        <f t="shared" ca="1" si="13"/>
        <v>2.8238805970268979E-4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input_442101!A$2</f>
        <v>442101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IFERROR(VLOOKUP(B221,input_442101!L:R,7,FALSE),VLOOKUP(tables_442101!C221,input_442101!A:H,8,FALSE))</f>
        <v>5625.9592300000004</v>
      </c>
      <c r="P221" s="46">
        <f t="shared" ca="1" si="13"/>
        <v>4.7709966333309476E-4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input_442101!A$2</f>
        <v>442101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IFERROR(VLOOKUP(B222,input_442101!L:R,7,FALSE),VLOOKUP(tables_442101!C222,input_442101!A:H,8,FALSE))</f>
        <v>268</v>
      </c>
      <c r="P222" s="46">
        <f t="shared" ca="1" si="13"/>
        <v>2.2727272727369084E-5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input_442101!A$2</f>
        <v>442101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IFERROR(VLOOKUP(B223,input_442101!L:R,7,FALSE),VLOOKUP(tables_442101!C223,input_442101!A:H,8,FALSE))</f>
        <v>33299.199999999997</v>
      </c>
      <c r="P223" s="46">
        <f t="shared" ca="1" si="13"/>
        <v>2.8238805970268975E-3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input_442101!A$2</f>
        <v>442101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IFERROR(VLOOKUP(B224,input_442101!L:R,7,FALSE),VLOOKUP(tables_442101!C224,input_442101!A:H,8,FALSE))</f>
        <v>26866.122100000001</v>
      </c>
      <c r="P224" s="46">
        <f t="shared" ca="1" si="13"/>
        <v>2.2783346421399175E-3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input_442101!A$2</f>
        <v>442101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IFERROR(VLOOKUP(B225,input_442101!L:R,7,FALSE),VLOOKUP(tables_442101!C225,input_442101!A:H,8,FALSE))</f>
        <v>226.76211000000001</v>
      </c>
      <c r="P225" s="46">
        <f t="shared" ca="1" si="13"/>
        <v>1.9230165366431598E-5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input_442101!A$2</f>
        <v>442101</v>
      </c>
      <c r="B226" s="6">
        <v>591</v>
      </c>
      <c r="C226" s="7" t="str">
        <f t="shared" si="12"/>
        <v>Premium3color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>color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IFERROR(VLOOKUP(B226,input_442101!L:R,7,FALSE),VLOOKUP(tables_442101!C226,input_442101!A:H,8,FALSE))</f>
        <v>139440.4</v>
      </c>
      <c r="P226" s="46">
        <f t="shared" ca="1" si="13"/>
        <v>1.1825000000050134E-2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input_442101!A$2</f>
        <v>442101</v>
      </c>
      <c r="B227" s="6">
        <v>592</v>
      </c>
      <c r="C227" s="7" t="str">
        <f t="shared" si="12"/>
        <v>Premium4color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>color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IFERROR(VLOOKUP(B227,input_442101!L:R,7,FALSE),VLOOKUP(tables_442101!C227,input_442101!A:H,8,FALSE))</f>
        <v>134758.29592999999</v>
      </c>
      <c r="P227" s="46">
        <f t="shared" ca="1" si="13"/>
        <v>1.1427942327897841E-2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input_442101!A$2</f>
        <v>442101</v>
      </c>
      <c r="B228" s="6">
        <v>593</v>
      </c>
      <c r="C228" s="7" t="str">
        <f t="shared" si="12"/>
        <v>Premium5color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>color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IFERROR(VLOOKUP(B228,input_442101!L:R,7,FALSE),VLOOKUP(tables_442101!C228,input_442101!A:H,8,FALSE))</f>
        <v>4682.1040700000003</v>
      </c>
      <c r="P228" s="46">
        <f t="shared" ca="1" si="13"/>
        <v>3.9705767215229403E-4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input_442101!A$2</f>
        <v>442101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IFERROR(VLOOKUP(B229,input_442101!L:R,7,FALSE),VLOOKUP(tables_442101!C229,input_442101!A:H,8,FALSE))</f>
        <v>5625.9592300000004</v>
      </c>
      <c r="P229" s="46">
        <f t="shared" ca="1" si="13"/>
        <v>4.7709966333309476E-4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input_442101!A$2</f>
        <v>442101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IFERROR(VLOOKUP(B230,input_442101!L:R,7,FALSE),VLOOKUP(tables_442101!C230,input_442101!A:H,8,FALSE))</f>
        <v>268</v>
      </c>
      <c r="P230" s="46">
        <f t="shared" ca="1" si="13"/>
        <v>2.2727272727369084E-5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input_442101!A$2</f>
        <v>442101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IFERROR(VLOOKUP(B231,input_442101!L:R,7,FALSE),VLOOKUP(tables_442101!C231,input_442101!A:H,8,FALSE))</f>
        <v>33299.199999999997</v>
      </c>
      <c r="P231" s="46">
        <f t="shared" ca="1" si="13"/>
        <v>2.8238805970268975E-3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input_442101!A$2</f>
        <v>442101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IFERROR(VLOOKUP(B232,input_442101!L:R,7,FALSE),VLOOKUP(tables_442101!C232,input_442101!A:H,8,FALSE))</f>
        <v>26866.122100000001</v>
      </c>
      <c r="P232" s="46">
        <f t="shared" ca="1" si="13"/>
        <v>2.2783346421399175E-3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input_442101!A$2</f>
        <v>442101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IFERROR(VLOOKUP(B233,input_442101!L:R,7,FALSE),VLOOKUP(tables_442101!C233,input_442101!A:H,8,FALSE))</f>
        <v>226.76211000000001</v>
      </c>
      <c r="P233" s="46">
        <f t="shared" ca="1" si="13"/>
        <v>1.9230165366431598E-5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input_442101!A$2</f>
        <v>442101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IFERROR(VLOOKUP(B234,input_442101!L:R,7,FALSE),VLOOKUP(tables_442101!C234,input_442101!A:H,8,FALSE))</f>
        <v>33299.199999999997</v>
      </c>
      <c r="P234" s="46">
        <f t="shared" ca="1" si="13"/>
        <v>2.8238805970268975E-3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input_442101!A$2</f>
        <v>442101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IFERROR(VLOOKUP(B235,input_442101!L:R,7,FALSE),VLOOKUP(tables_442101!C235,input_442101!A:H,8,FALSE))</f>
        <v>26866.122100000001</v>
      </c>
      <c r="P235" s="46">
        <f t="shared" ca="1" si="13"/>
        <v>2.2783346421399175E-3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input_442101!A$2</f>
        <v>442101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IFERROR(VLOOKUP(B236,input_442101!L:R,7,FALSE),VLOOKUP(tables_442101!C236,input_442101!A:H,8,FALSE))</f>
        <v>226.76211000000001</v>
      </c>
      <c r="P236" s="46">
        <f t="shared" ca="1" si="13"/>
        <v>1.9230165366431598E-5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input_442101!A$2</f>
        <v>442101</v>
      </c>
      <c r="B237" s="6">
        <v>602</v>
      </c>
      <c r="C237" s="7" t="str">
        <f t="shared" si="12"/>
        <v>PremiumSS4color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>color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IFERROR(VLOOKUP(B237,input_442101!L:R,7,FALSE),VLOOKUP(tables_442101!C237,input_442101!A:H,8,FALSE))</f>
        <v>25851.692309999999</v>
      </c>
      <c r="P237" s="46">
        <f t="shared" ca="1" si="13"/>
        <v>2.1923076925126871E-3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input_442101!A$2</f>
        <v>442101</v>
      </c>
      <c r="B238" s="6">
        <v>603</v>
      </c>
      <c r="C238" s="7" t="str">
        <f t="shared" si="12"/>
        <v>PremiumSS5color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>color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IFERROR(VLOOKUP(B238,input_442101!L:R,7,FALSE),VLOOKUP(tables_442101!C238,input_442101!A:H,8,FALSE))</f>
        <v>1360.61538</v>
      </c>
      <c r="P238" s="46">
        <f t="shared" ca="1" si="13"/>
        <v>1.1538461499370493E-4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input_442101!A$2</f>
        <v>442101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IFERROR(VLOOKUP(B239,input_442101!L:R,7,FALSE),VLOOKUP(tables_442101!C239,input_442101!A:H,8,FALSE))</f>
        <v>33299.199999999997</v>
      </c>
      <c r="P239" s="46">
        <f t="shared" ca="1" si="13"/>
        <v>2.8238805970268975E-3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input_442101!A$2</f>
        <v>442101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IFERROR(VLOOKUP(B240,input_442101!L:R,7,FALSE),VLOOKUP(tables_442101!C240,input_442101!A:H,8,FALSE))</f>
        <v>26866.122100000001</v>
      </c>
      <c r="P240" s="46">
        <f t="shared" ca="1" si="13"/>
        <v>2.2783346421399175E-3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input_442101!A$2</f>
        <v>442101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IFERROR(VLOOKUP(B241,input_442101!L:R,7,FALSE),VLOOKUP(tables_442101!C241,input_442101!A:H,8,FALSE))</f>
        <v>226.76211000000001</v>
      </c>
      <c r="P241" s="46">
        <f t="shared" ca="1" si="13"/>
        <v>1.9230165366431598E-5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input_442101!A$2</f>
        <v>442101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IFERROR(VLOOKUP(B242,input_442101!L:R,7,FALSE),VLOOKUP(tables_442101!C242,input_442101!A:H,8,FALSE))</f>
        <v>5625.9592300000004</v>
      </c>
      <c r="P242" s="46">
        <f t="shared" ca="1" si="13"/>
        <v>4.7709966333309476E-4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input_442101!A$2</f>
        <v>442101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IFERROR(VLOOKUP(B243,input_442101!L:R,7,FALSE),VLOOKUP(tables_442101!C243,input_442101!A:H,8,FALSE))</f>
        <v>268</v>
      </c>
      <c r="P243" s="46">
        <f t="shared" ca="1" si="13"/>
        <v>2.2727272727369084E-5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input_442101!A$2</f>
        <v>442101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IFERROR(VLOOKUP(B244,input_442101!L:R,7,FALSE),VLOOKUP(tables_442101!C244,input_442101!A:H,8,FALSE))</f>
        <v>5625.9592300000004</v>
      </c>
      <c r="P244" s="46">
        <f t="shared" ca="1" si="13"/>
        <v>4.7709966333309476E-4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input_442101!A$2</f>
        <v>442101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IFERROR(VLOOKUP(B245,input_442101!L:R,7,FALSE),VLOOKUP(tables_442101!C245,input_442101!A:H,8,FALSE))</f>
        <v>268</v>
      </c>
      <c r="P245" s="46">
        <f t="shared" ca="1" si="13"/>
        <v>2.2727272727369084E-5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input_442101!A$2</f>
        <v>442101</v>
      </c>
      <c r="B246" s="60">
        <v>662</v>
      </c>
      <c r="C246" s="7" t="str">
        <f t="shared" si="12"/>
        <v>Premium3color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>color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IFERROR(VLOOKUP(B246,input_442101!L:R,7,FALSE),VLOOKUP(tables_442101!C246,input_442101!A:H,8,FALSE))</f>
        <v>139440.4</v>
      </c>
      <c r="P246" s="46">
        <f t="shared" ca="1" si="13"/>
        <v>1.1825000000050134E-2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input_442101!A$2</f>
        <v>442101</v>
      </c>
      <c r="B247" s="60">
        <v>663</v>
      </c>
      <c r="C247" s="7" t="str">
        <f t="shared" si="12"/>
        <v>Premium4color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>color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IFERROR(VLOOKUP(B247,input_442101!L:R,7,FALSE),VLOOKUP(tables_442101!C247,input_442101!A:H,8,FALSE))</f>
        <v>134758.29592999999</v>
      </c>
      <c r="P247" s="46">
        <f t="shared" ca="1" si="13"/>
        <v>1.1427942327897841E-2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input_442101!A$2</f>
        <v>442101</v>
      </c>
      <c r="B248" s="60">
        <v>664</v>
      </c>
      <c r="C248" s="7" t="str">
        <f t="shared" si="12"/>
        <v>Premium5color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>color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IFERROR(VLOOKUP(B248,input_442101!L:R,7,FALSE),VLOOKUP(tables_442101!C248,input_442101!A:H,8,FALSE))</f>
        <v>4682.1040700000003</v>
      </c>
      <c r="P248" s="46">
        <f t="shared" ca="1" si="13"/>
        <v>3.9705767215229403E-4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input_442101!A$2</f>
        <v>442101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IFERROR(VLOOKUP(B249,input_442101!L:R,7,FALSE),VLOOKUP(tables_442101!C249,input_442101!A:H,8,FALSE))</f>
        <v>33299.199999999997</v>
      </c>
      <c r="P249" s="46">
        <f t="shared" ca="1" si="13"/>
        <v>2.8238805970268975E-3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input_442101!A$2</f>
        <v>442101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IFERROR(VLOOKUP(B250,input_442101!L:R,7,FALSE),VLOOKUP(tables_442101!C250,input_442101!A:H,8,FALSE))</f>
        <v>26866.122100000001</v>
      </c>
      <c r="P250" s="46">
        <f t="shared" ca="1" si="13"/>
        <v>2.2783346421399175E-3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input_442101!A$2</f>
        <v>442101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IFERROR(VLOOKUP(B251,input_442101!L:R,7,FALSE),VLOOKUP(tables_442101!C251,input_442101!A:H,8,FALSE))</f>
        <v>226.76211000000001</v>
      </c>
      <c r="P251" s="46">
        <f t="shared" ca="1" si="13"/>
        <v>1.9230165366431598E-5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input_442101!A$2</f>
        <v>442101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IFERROR(VLOOKUP(B252,input_442101!L:R,7,FALSE),VLOOKUP(tables_442101!C252,input_442101!A:H,8,FALSE))</f>
        <v>33299.199999999997</v>
      </c>
      <c r="P252" s="46">
        <f t="shared" ca="1" si="13"/>
        <v>2.8238805970268975E-3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input_442101!A$2</f>
        <v>442101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IFERROR(VLOOKUP(B253,input_442101!L:R,7,FALSE),VLOOKUP(tables_442101!C253,input_442101!A:H,8,FALSE))</f>
        <v>26866.122100000001</v>
      </c>
      <c r="P253" s="46">
        <f t="shared" ca="1" si="13"/>
        <v>2.2783346421399175E-3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input_442101!A$2</f>
        <v>442101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IFERROR(VLOOKUP(B254,input_442101!L:R,7,FALSE),VLOOKUP(tables_442101!C254,input_442101!A:H,8,FALSE))</f>
        <v>226.76211000000001</v>
      </c>
      <c r="P254" s="46">
        <f t="shared" ca="1" si="13"/>
        <v>1.9230165366431598E-5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input_442101!A$2</f>
        <v>442101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IFERROR(VLOOKUP(B255,input_442101!L:R,7,FALSE),VLOOKUP(tables_442101!C255,input_442101!A:H,8,FALSE))</f>
        <v>33299.199999999997</v>
      </c>
      <c r="P255" s="46">
        <f t="shared" ca="1" si="13"/>
        <v>2.8238805970268975E-3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input_442101!A$2</f>
        <v>442101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IFERROR(VLOOKUP(B256,input_442101!L:R,7,FALSE),VLOOKUP(tables_442101!C256,input_442101!A:H,8,FALSE))</f>
        <v>26866.122100000001</v>
      </c>
      <c r="P256" s="46">
        <f t="shared" ca="1" si="13"/>
        <v>2.2783346421399175E-3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input_442101!A$2</f>
        <v>442101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IFERROR(VLOOKUP(B257,input_442101!L:R,7,FALSE),VLOOKUP(tables_442101!C257,input_442101!A:H,8,FALSE))</f>
        <v>226.76211000000001</v>
      </c>
      <c r="P257" s="46">
        <f t="shared" ca="1" si="13"/>
        <v>1.9230165366431598E-5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input_442101!A$2</f>
        <v>442101</v>
      </c>
      <c r="B258" s="60">
        <v>674</v>
      </c>
      <c r="C258" s="7" t="str">
        <f t="shared" ref="C258:C321" si="16">D258&amp;J258&amp;E258&amp;F258&amp;G258</f>
        <v>PremiumSS4color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>color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IFERROR(VLOOKUP(B258,input_442101!L:R,7,FALSE),VLOOKUP(tables_442101!C258,input_442101!A:H,8,FALSE))</f>
        <v>25851.692309999999</v>
      </c>
      <c r="P258" s="46">
        <f t="shared" ref="P258:P318" ca="1" si="17">O258/SUM(O:O)</f>
        <v>2.1923076925126871E-3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input_442101!A$2</f>
        <v>442101</v>
      </c>
      <c r="B259" s="60">
        <v>675</v>
      </c>
      <c r="C259" s="7" t="str">
        <f t="shared" si="16"/>
        <v>PremiumSS5color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IF(K259="blue","color","")</f>
        <v>color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IFERROR(VLOOKUP(B259,input_442101!L:R,7,FALSE),VLOOKUP(tables_442101!C259,input_442101!A:H,8,FALSE))</f>
        <v>1360.61538</v>
      </c>
      <c r="P259" s="46">
        <f t="shared" ca="1" si="17"/>
        <v>1.1538461499370493E-4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input_442101!A$2</f>
        <v>442101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IFERROR(VLOOKUP(B260,input_442101!L:R,7,FALSE),VLOOKUP(tables_442101!C260,input_442101!A:H,8,FALSE))</f>
        <v>5625.9592300000004</v>
      </c>
      <c r="P260" s="46">
        <f t="shared" ca="1" si="17"/>
        <v>4.7709966333309476E-4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input_442101!A$2</f>
        <v>442101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IFERROR(VLOOKUP(B261,input_442101!L:R,7,FALSE),VLOOKUP(tables_442101!C261,input_442101!A:H,8,FALSE))</f>
        <v>268</v>
      </c>
      <c r="P261" s="46">
        <f t="shared" ca="1" si="17"/>
        <v>2.2727272727369084E-5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input_442101!A$2</f>
        <v>442101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IFERROR(VLOOKUP(B262,input_442101!L:R,7,FALSE),VLOOKUP(tables_442101!C262,input_442101!A:H,8,FALSE))</f>
        <v>85212.800000000003</v>
      </c>
      <c r="P262" s="46">
        <f t="shared" ca="1" si="17"/>
        <v>7.2263229308311807E-3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input_442101!A$2</f>
        <v>442101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IFERROR(VLOOKUP(B263,input_442101!L:R,7,FALSE),VLOOKUP(tables_442101!C263,input_442101!A:H,8,FALSE))</f>
        <v>3329.92</v>
      </c>
      <c r="P263" s="46">
        <f t="shared" ca="1" si="17"/>
        <v>2.8238805970268979E-4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input_442101!A$2</f>
        <v>442101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IFERROR(VLOOKUP(B264,input_442101!L:R,7,FALSE),VLOOKUP(tables_442101!C264,input_442101!A:H,8,FALSE))</f>
        <v>85212.800000000003</v>
      </c>
      <c r="P264" s="46">
        <f t="shared" ca="1" si="17"/>
        <v>7.2263229308311807E-3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input_442101!A$2</f>
        <v>442101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IFERROR(VLOOKUP(B265,input_442101!L:R,7,FALSE),VLOOKUP(tables_442101!C265,input_442101!A:H,8,FALSE))</f>
        <v>3329.92</v>
      </c>
      <c r="P265" s="46">
        <f t="shared" ca="1" si="17"/>
        <v>2.8238805970268979E-4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input_442101!A$2</f>
        <v>442101</v>
      </c>
      <c r="B266" s="60">
        <v>732</v>
      </c>
      <c r="C266" s="7" t="str">
        <f t="shared" si="16"/>
        <v>PremiumSS5R5onlycolor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>color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IFERROR(VLOOKUP(B266,input_442101!L:R,7,FALSE),VLOOKUP(tables_442101!C266,input_442101!A:H,8,FALSE))</f>
        <v>27212.307690000001</v>
      </c>
      <c r="P266" s="46">
        <f t="shared" ca="1" si="17"/>
        <v>2.307692307506392E-3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input_442101!A$2</f>
        <v>442101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IFERROR(VLOOKUP(B267,input_442101!L:R,7,FALSE),VLOOKUP(tables_442101!C267,input_442101!A:H,8,FALSE))</f>
        <v>4826.0407699999996</v>
      </c>
      <c r="P267" s="46">
        <f t="shared" ca="1" si="17"/>
        <v>4.0926397303429961E-4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input_442101!A$2</f>
        <v>442101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IFERROR(VLOOKUP(B268,input_442101!L:R,7,FALSE),VLOOKUP(tables_442101!C268,input_442101!A:H,8,FALSE))</f>
        <v>4826.0407699999996</v>
      </c>
      <c r="P268" s="46">
        <f t="shared" ca="1" si="17"/>
        <v>4.0926397303429961E-4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input_442101!A$2</f>
        <v>442101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IFERROR(VLOOKUP(B269,input_442101!L:R,7,FALSE),VLOOKUP(tables_442101!C269,input_442101!A:H,8,FALSE))</f>
        <v>4826.0407699999996</v>
      </c>
      <c r="P269" s="46">
        <f t="shared" ca="1" si="17"/>
        <v>4.0926397303429961E-4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input_442101!A$2</f>
        <v>442101</v>
      </c>
      <c r="B270" s="60">
        <v>746</v>
      </c>
      <c r="C270" s="7" t="str">
        <f t="shared" si="16"/>
        <v>Premium4R3lesscolor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>color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IFERROR(VLOOKUP(B270,input_442101!L:R,7,FALSE),VLOOKUP(tables_442101!C270,input_442101!A:H,8,FALSE))</f>
        <v>194287.94</v>
      </c>
      <c r="P270" s="46">
        <f t="shared" ca="1" si="17"/>
        <v>1.6476250000069855E-2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input_442101!A$2</f>
        <v>442101</v>
      </c>
      <c r="B271" s="82">
        <v>747</v>
      </c>
      <c r="C271" s="7" t="str">
        <f t="shared" si="16"/>
        <v>Premium5R3lesscolor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>color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IFERROR(VLOOKUP(B271,input_442101!L:R,7,FALSE),VLOOKUP(tables_442101!C271,input_442101!A:H,8,FALSE))</f>
        <v>13944.04</v>
      </c>
      <c r="P271" s="46">
        <f t="shared" ca="1" si="17"/>
        <v>1.1825000000050135E-3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input_442101!A$2</f>
        <v>442101</v>
      </c>
      <c r="B272" s="8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IFERROR(VLOOKUP(B272,input_442101!L:R,7,FALSE),VLOOKUP(tables_442101!C272,input_442101!A:H,8,FALSE))</f>
        <v>85212.800000000003</v>
      </c>
      <c r="P272" s="46">
        <f t="shared" ca="1" si="17"/>
        <v>7.2263229308311807E-3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input_442101!A$2</f>
        <v>442101</v>
      </c>
      <c r="B273" s="8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IFERROR(VLOOKUP(B273,input_442101!L:R,7,FALSE),VLOOKUP(tables_442101!C273,input_442101!A:H,8,FALSE))</f>
        <v>3329.92</v>
      </c>
      <c r="P273" s="46">
        <f t="shared" ca="1" si="17"/>
        <v>2.8238805970268979E-4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input_442101!A$2</f>
        <v>442101</v>
      </c>
      <c r="B274" s="82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IFERROR(VLOOKUP(B274,input_442101!L:R,7,FALSE),VLOOKUP(tables_442101!C274,input_442101!A:H,8,FALSE))</f>
        <v>5625.9592300000004</v>
      </c>
      <c r="P274" s="46">
        <f t="shared" ca="1" si="17"/>
        <v>4.7709966333309476E-4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input_442101!A$2</f>
        <v>442101</v>
      </c>
      <c r="B275" s="82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IFERROR(VLOOKUP(B275,input_442101!L:R,7,FALSE),VLOOKUP(tables_442101!C275,input_442101!A:H,8,FALSE))</f>
        <v>268</v>
      </c>
      <c r="P275" s="46">
        <f t="shared" ca="1" si="17"/>
        <v>2.2727272727369084E-5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input_442101!A$2</f>
        <v>442101</v>
      </c>
      <c r="B276" s="82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IFERROR(VLOOKUP(B276,input_442101!L:R,7,FALSE),VLOOKUP(tables_442101!C276,input_442101!A:H,8,FALSE))</f>
        <v>5625.9592300000004</v>
      </c>
      <c r="P276" s="46">
        <f t="shared" ca="1" si="17"/>
        <v>4.7709966333309476E-4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input_442101!A$2</f>
        <v>442101</v>
      </c>
      <c r="B277" s="82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IFERROR(VLOOKUP(B277,input_442101!L:R,7,FALSE),VLOOKUP(tables_442101!C277,input_442101!A:H,8,FALSE))</f>
        <v>268</v>
      </c>
      <c r="P277" s="46">
        <f t="shared" ca="1" si="17"/>
        <v>2.2727272727369084E-5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input_442101!A$2</f>
        <v>442101</v>
      </c>
      <c r="B278" s="82">
        <v>774</v>
      </c>
      <c r="C278" s="7" t="str">
        <f t="shared" si="16"/>
        <v>Premium3color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>color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IFERROR(VLOOKUP(B278,input_442101!L:R,7,FALSE),VLOOKUP(tables_442101!C278,input_442101!A:H,8,FALSE))</f>
        <v>139440.4</v>
      </c>
      <c r="P278" s="46">
        <f t="shared" ca="1" si="17"/>
        <v>1.1825000000050134E-2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input_442101!A$2</f>
        <v>442101</v>
      </c>
      <c r="B279" s="82">
        <v>775</v>
      </c>
      <c r="C279" s="7" t="str">
        <f t="shared" si="16"/>
        <v>Premium4color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>color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IFERROR(VLOOKUP(B279,input_442101!L:R,7,FALSE),VLOOKUP(tables_442101!C279,input_442101!A:H,8,FALSE))</f>
        <v>134758.29592999999</v>
      </c>
      <c r="P279" s="46">
        <f t="shared" ca="1" si="17"/>
        <v>1.1427942327897841E-2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input_442101!A$2</f>
        <v>442101</v>
      </c>
      <c r="B280" s="82">
        <v>776</v>
      </c>
      <c r="C280" s="7" t="str">
        <f t="shared" si="16"/>
        <v>Premium5color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>color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IFERROR(VLOOKUP(B280,input_442101!L:R,7,FALSE),VLOOKUP(tables_442101!C280,input_442101!A:H,8,FALSE))</f>
        <v>4682.1040700000003</v>
      </c>
      <c r="P280" s="46">
        <f t="shared" ca="1" si="17"/>
        <v>3.9705767215229403E-4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input_442101!A$2</f>
        <v>442101</v>
      </c>
      <c r="B281" s="8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IFERROR(VLOOKUP(B281,input_442101!L:R,7,FALSE),VLOOKUP(tables_442101!C281,input_442101!A:H,8,FALSE))</f>
        <v>33299.199999999997</v>
      </c>
      <c r="P281" s="46">
        <f t="shared" ca="1" si="17"/>
        <v>2.8238805970268975E-3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input_442101!A$2</f>
        <v>442101</v>
      </c>
      <c r="B282" s="8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IFERROR(VLOOKUP(B282,input_442101!L:R,7,FALSE),VLOOKUP(tables_442101!C282,input_442101!A:H,8,FALSE))</f>
        <v>26866.122100000001</v>
      </c>
      <c r="P282" s="46">
        <f t="shared" ca="1" si="17"/>
        <v>2.2783346421399175E-3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input_442101!A$2</f>
        <v>442101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IFERROR(VLOOKUP(B283,input_442101!L:R,7,FALSE),VLOOKUP(tables_442101!C283,input_442101!A:H,8,FALSE))</f>
        <v>226.76211000000001</v>
      </c>
      <c r="P283" s="46">
        <f t="shared" ca="1" si="17"/>
        <v>1.9230165366431598E-5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input_442101!A$2</f>
        <v>442101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IFERROR(VLOOKUP(B284,input_442101!L:R,7,FALSE),VLOOKUP(tables_442101!C284,input_442101!A:H,8,FALSE))</f>
        <v>4826.0407699999996</v>
      </c>
      <c r="P284" s="46">
        <f t="shared" ca="1" si="17"/>
        <v>4.0926397303429961E-4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input_442101!A$2</f>
        <v>442101</v>
      </c>
      <c r="B285" s="5">
        <v>850</v>
      </c>
      <c r="C285" s="7" t="str">
        <f t="shared" si="16"/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IFERROR(VLOOKUP(B285,input_442101!L:R,7,FALSE),VLOOKUP(tables_442101!C285,input_442101!A:H,8,FALSE))</f>
        <v>4826.0407699999996</v>
      </c>
      <c r="P285" s="46">
        <f t="shared" ca="1" si="17"/>
        <v>4.0926397303429961E-4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input_442101!A$2</f>
        <v>442101</v>
      </c>
      <c r="B286" s="5">
        <v>852</v>
      </c>
      <c r="C286" s="7" t="str">
        <f t="shared" si="16"/>
        <v>Premium4R3lesscolor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>color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IFERROR(VLOOKUP(B286,input_442101!L:R,7,FALSE),VLOOKUP(tables_442101!C286,input_442101!A:H,8,FALSE))</f>
        <v>194287.94</v>
      </c>
      <c r="P286" s="46">
        <f t="shared" ca="1" si="17"/>
        <v>1.6476250000069855E-2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input_442101!A$2</f>
        <v>442101</v>
      </c>
      <c r="B287" s="5">
        <v>853</v>
      </c>
      <c r="C287" s="7" t="str">
        <f t="shared" si="16"/>
        <v>Premium5R3lesscolor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>color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IFERROR(VLOOKUP(B287,input_442101!L:R,7,FALSE),VLOOKUP(tables_442101!C287,input_442101!A:H,8,FALSE))</f>
        <v>13944.04</v>
      </c>
      <c r="P287" s="46">
        <f t="shared" ca="1" si="17"/>
        <v>1.1825000000050135E-3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input_442101!A$2</f>
        <v>442101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IFERROR(VLOOKUP(B288,input_442101!L:R,7,FALSE),VLOOKUP(tables_442101!C288,input_442101!A:H,8,FALSE))</f>
        <v>85212.800000000003</v>
      </c>
      <c r="P288" s="46">
        <f t="shared" ca="1" si="17"/>
        <v>7.2263229308311807E-3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input_442101!A$2</f>
        <v>442101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IFERROR(VLOOKUP(B289,input_442101!L:R,7,FALSE),VLOOKUP(tables_442101!C289,input_442101!A:H,8,FALSE))</f>
        <v>3329.92</v>
      </c>
      <c r="P289" s="46">
        <f t="shared" ca="1" si="17"/>
        <v>2.8238805970268979E-4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input_442101!A$2</f>
        <v>442101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IFERROR(VLOOKUP(B290,input_442101!L:R,7,FALSE),VLOOKUP(tables_442101!C290,input_442101!A:H,8,FALSE))</f>
        <v>85212.800000000003</v>
      </c>
      <c r="P290" s="46">
        <f t="shared" ca="1" si="17"/>
        <v>7.2263229308311807E-3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input_442101!A$2</f>
        <v>442101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IFERROR(VLOOKUP(B291,input_442101!L:R,7,FALSE),VLOOKUP(tables_442101!C291,input_442101!A:H,8,FALSE))</f>
        <v>3329.92</v>
      </c>
      <c r="P291" s="46">
        <f t="shared" ca="1" si="17"/>
        <v>2.8238805970268979E-4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input_442101!A$2</f>
        <v>442101</v>
      </c>
      <c r="B292" s="5">
        <v>864</v>
      </c>
      <c r="C292" s="7" t="str">
        <f t="shared" si="16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IFERROR(VLOOKUP(B292,input_442101!L:R,7,FALSE),VLOOKUP(tables_442101!C292,input_442101!A:H,8,FALSE))</f>
        <v>85212.800000000003</v>
      </c>
      <c r="P292" s="46">
        <f t="shared" ca="1" si="17"/>
        <v>7.2263229308311807E-3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input_442101!A$2</f>
        <v>442101</v>
      </c>
      <c r="B293" s="5">
        <v>865</v>
      </c>
      <c r="C293" s="7" t="str">
        <f t="shared" si="16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IFERROR(VLOOKUP(B293,input_442101!L:R,7,FALSE),VLOOKUP(tables_442101!C293,input_442101!A:H,8,FALSE))</f>
        <v>3329.92</v>
      </c>
      <c r="P293" s="46">
        <f t="shared" ca="1" si="17"/>
        <v>2.8238805970268979E-4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input_442101!A$2</f>
        <v>442101</v>
      </c>
      <c r="B294" s="5">
        <v>866</v>
      </c>
      <c r="C294" s="7" t="str">
        <f t="shared" si="16"/>
        <v>PremiumSS5R5onlycolor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>color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IFERROR(VLOOKUP(B294,input_442101!L:R,7,FALSE),VLOOKUP(tables_442101!C294,input_442101!A:H,8,FALSE))</f>
        <v>27212.307690000001</v>
      </c>
      <c r="P294" s="46">
        <f t="shared" ca="1" si="17"/>
        <v>2.307692307506392E-3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input_442101!A$2</f>
        <v>442101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IFERROR(VLOOKUP(B295,input_442101!L:R,7,FALSE),VLOOKUP(tables_442101!C295,input_442101!A:H,8,FALSE))</f>
        <v>4826.0407699999996</v>
      </c>
      <c r="P295" s="46">
        <f t="shared" ca="1" si="17"/>
        <v>4.0926397303429961E-4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input_442101!A$2</f>
        <v>442101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IFERROR(VLOOKUP(B296,input_442101!L:R,7,FALSE),VLOOKUP(tables_442101!C296,input_442101!A:H,8,FALSE))</f>
        <v>4826.0407699999996</v>
      </c>
      <c r="P296" s="46">
        <f t="shared" ca="1" si="17"/>
        <v>4.0926397303429961E-4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input_442101!A$2</f>
        <v>442101</v>
      </c>
      <c r="B297" s="5">
        <v>939</v>
      </c>
      <c r="C297" s="7" t="str">
        <f t="shared" si="16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IFERROR(VLOOKUP(B297,input_442101!L:R,7,FALSE),VLOOKUP(tables_442101!C297,input_442101!A:H,8,FALSE))</f>
        <v>85212.800000000003</v>
      </c>
      <c r="P297" s="46">
        <f t="shared" ca="1" si="17"/>
        <v>7.2263229308311807E-3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input_442101!A$2</f>
        <v>442101</v>
      </c>
      <c r="B298" s="5">
        <v>940</v>
      </c>
      <c r="C298" s="7" t="str">
        <f t="shared" si="16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IFERROR(VLOOKUP(B298,input_442101!L:R,7,FALSE),VLOOKUP(tables_442101!C298,input_442101!A:H,8,FALSE))</f>
        <v>3329.92</v>
      </c>
      <c r="P298" s="46">
        <f t="shared" ca="1" si="17"/>
        <v>2.8238805970268979E-4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input_442101!A$2</f>
        <v>442101</v>
      </c>
      <c r="B299" s="5">
        <v>941</v>
      </c>
      <c r="C299" s="7" t="str">
        <f t="shared" si="16"/>
        <v>PremiumSS5R5onlycolor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>color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IFERROR(VLOOKUP(B299,input_442101!L:R,7,FALSE),VLOOKUP(tables_442101!C299,input_442101!A:H,8,FALSE))</f>
        <v>27212.307690000001</v>
      </c>
      <c r="P299" s="46">
        <f t="shared" ca="1" si="17"/>
        <v>2.307692307506392E-3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input_442101!A$2</f>
        <v>442101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IFERROR(VLOOKUP(B300,input_442101!L:R,7,FALSE),VLOOKUP(tables_442101!C300,input_442101!A:H,8,FALSE))</f>
        <v>4826.0407699999996</v>
      </c>
      <c r="P300" s="46">
        <f t="shared" ca="1" si="17"/>
        <v>4.0926397303429961E-4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input_442101!A$2</f>
        <v>442101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IFERROR(VLOOKUP(B301,input_442101!L:R,7,FALSE),VLOOKUP(tables_442101!C301,input_442101!A:H,8,FALSE))</f>
        <v>4826.0407699999996</v>
      </c>
      <c r="P301" s="46">
        <f t="shared" ca="1" si="17"/>
        <v>4.0926397303429961E-4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input_442101!A$2</f>
        <v>442101</v>
      </c>
      <c r="B302" s="5">
        <v>1014</v>
      </c>
      <c r="C302" s="7" t="str">
        <f t="shared" si="1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IFERROR(VLOOKUP(B302,input_442101!L:R,7,FALSE),VLOOKUP(tables_442101!C302,input_442101!A:H,8,FALSE))</f>
        <v>4826.0407699999996</v>
      </c>
      <c r="P302" s="46">
        <f t="shared" ca="1" si="17"/>
        <v>4.0926397303429961E-4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input_442101!A$2</f>
        <v>442101</v>
      </c>
      <c r="B303" s="5">
        <v>1016</v>
      </c>
      <c r="C303" s="7" t="str">
        <f t="shared" si="16"/>
        <v>Premium4R3lesscolor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>color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IFERROR(VLOOKUP(B303,input_442101!L:R,7,FALSE),VLOOKUP(tables_442101!C303,input_442101!A:H,8,FALSE))</f>
        <v>194287.94</v>
      </c>
      <c r="P303" s="46">
        <f t="shared" ca="1" si="17"/>
        <v>1.6476250000069855E-2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input_442101!A$2</f>
        <v>442101</v>
      </c>
      <c r="B304" s="5">
        <v>1017</v>
      </c>
      <c r="C304" s="7" t="str">
        <f t="shared" si="16"/>
        <v>Premium5R3lesscolor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>color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IFERROR(VLOOKUP(B304,input_442101!L:R,7,FALSE),VLOOKUP(tables_442101!C304,input_442101!A:H,8,FALSE))</f>
        <v>13944.04</v>
      </c>
      <c r="P304" s="46">
        <f t="shared" ca="1" si="17"/>
        <v>1.1825000000050135E-3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input_442101!A$2</f>
        <v>442101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IFERROR(VLOOKUP(B305,input_442101!L:R,7,FALSE),VLOOKUP(tables_442101!C305,input_442101!A:H,8,FALSE))</f>
        <v>4826.0407699999996</v>
      </c>
      <c r="P305" s="46">
        <f t="shared" ca="1" si="17"/>
        <v>4.0926397303429961E-4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input_442101!A$2</f>
        <v>442101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IFERROR(VLOOKUP(B306,input_442101!L:R,7,FALSE),VLOOKUP(tables_442101!C306,input_442101!A:H,8,FALSE))</f>
        <v>85212.800000000003</v>
      </c>
      <c r="P306" s="46">
        <f t="shared" ca="1" si="17"/>
        <v>7.2263229308311807E-3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input_442101!A$2</f>
        <v>442101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IFERROR(VLOOKUP(B307,input_442101!L:R,7,FALSE),VLOOKUP(tables_442101!C307,input_442101!A:H,8,FALSE))</f>
        <v>3329.92</v>
      </c>
      <c r="P307" s="46">
        <f t="shared" ca="1" si="17"/>
        <v>2.8238805970268979E-4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input_442101!A$2</f>
        <v>442101</v>
      </c>
      <c r="B308" s="5">
        <v>1028</v>
      </c>
      <c r="C308" s="7" t="str">
        <f t="shared" si="16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IFERROR(VLOOKUP(B308,input_442101!L:R,7,FALSE),VLOOKUP(tables_442101!C308,input_442101!A:H,8,FALSE))</f>
        <v>4826.0407699999996</v>
      </c>
      <c r="P308" s="46">
        <f t="shared" ca="1" si="17"/>
        <v>4.0926397303429961E-4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input_442101!A$2</f>
        <v>442101</v>
      </c>
      <c r="B309" s="5">
        <v>1031</v>
      </c>
      <c r="C309" s="7" t="str">
        <f t="shared" si="16"/>
        <v>PremiumSS5R5onlycolor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>color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IFERROR(VLOOKUP(B309,input_442101!L:R,7,FALSE),VLOOKUP(tables_442101!C309,input_442101!A:H,8,FALSE))</f>
        <v>27212.307690000001</v>
      </c>
      <c r="P309" s="46">
        <f t="shared" ca="1" si="17"/>
        <v>2.307692307506392E-3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input_442101!A$2</f>
        <v>442101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IFERROR(VLOOKUP(B310,input_442101!L:R,7,FALSE),VLOOKUP(tables_442101!C310,input_442101!A:H,8,FALSE))</f>
        <v>4826.0407699999996</v>
      </c>
      <c r="P310" s="46">
        <f t="shared" ca="1" si="17"/>
        <v>4.0926397303429961E-4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input_442101!A$2</f>
        <v>442101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IFERROR(VLOOKUP(B311,input_442101!L:R,7,FALSE),VLOOKUP(tables_442101!C311,input_442101!A:H,8,FALSE))</f>
        <v>85212.800000000003</v>
      </c>
      <c r="P311" s="46">
        <f t="shared" ca="1" si="17"/>
        <v>7.2263229308311807E-3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input_442101!A$2</f>
        <v>442101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IFERROR(VLOOKUP(B312,input_442101!L:R,7,FALSE),VLOOKUP(tables_442101!C312,input_442101!A:H,8,FALSE))</f>
        <v>3329.92</v>
      </c>
      <c r="P312" s="46">
        <f t="shared" ca="1" si="17"/>
        <v>2.8238805970268979E-4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input_442101!A$2</f>
        <v>442101</v>
      </c>
      <c r="B313" s="5">
        <v>1069</v>
      </c>
      <c r="C313" s="7" t="str">
        <f t="shared" si="16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IFERROR(VLOOKUP(B313,input_442101!L:R,7,FALSE),VLOOKUP(tables_442101!C313,input_442101!A:H,8,FALSE))</f>
        <v>4826.0407699999996</v>
      </c>
      <c r="P313" s="46">
        <f t="shared" ca="1" si="17"/>
        <v>4.0926397303429961E-4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input_442101!A$2</f>
        <v>442101</v>
      </c>
      <c r="B314" s="5">
        <v>1072</v>
      </c>
      <c r="C314" s="7" t="str">
        <f t="shared" si="16"/>
        <v>PremiumSS5R5onlycolor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>color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IFERROR(VLOOKUP(B314,input_442101!L:R,7,FALSE),VLOOKUP(tables_442101!C314,input_442101!A:H,8,FALSE))</f>
        <v>27212.307690000001</v>
      </c>
      <c r="P314" s="46">
        <f t="shared" ca="1" si="17"/>
        <v>2.307692307506392E-3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input_442101!A$2</f>
        <v>442101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IFERROR(VLOOKUP(B315,input_442101!L:R,7,FALSE),VLOOKUP(tables_442101!C315,input_442101!A:H,8,FALSE))</f>
        <v>4826.0407699999996</v>
      </c>
      <c r="P315" s="46">
        <f t="shared" ca="1" si="17"/>
        <v>4.0926397303429961E-4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input_442101!A$2</f>
        <v>442101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IFERROR(VLOOKUP(B316,input_442101!L:R,7,FALSE),VLOOKUP(tables_442101!C316,input_442101!A:H,8,FALSE))</f>
        <v>4826.0407699999996</v>
      </c>
      <c r="P316" s="46">
        <f t="shared" ca="1" si="17"/>
        <v>4.0926397303429961E-4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input_442101!A$2</f>
        <v>442101</v>
      </c>
      <c r="B317" s="5">
        <v>1102</v>
      </c>
      <c r="C317" s="7" t="str">
        <f t="shared" si="16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IFERROR(VLOOKUP(B317,input_442101!L:R,7,FALSE),VLOOKUP(tables_442101!C317,input_442101!A:H,8,FALSE))</f>
        <v>4826.0407699999996</v>
      </c>
      <c r="P317" s="46">
        <f t="shared" ca="1" si="17"/>
        <v>4.0926397303429961E-4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input_442101!A$2</f>
        <v>442101</v>
      </c>
      <c r="B318" s="5">
        <v>1104</v>
      </c>
      <c r="C318" s="7" t="str">
        <f t="shared" si="16"/>
        <v>Premium4R3lesscolor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>color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IFERROR(VLOOKUP(B318,input_442101!L:R,7,FALSE),VLOOKUP(tables_442101!C318,input_442101!A:H,8,FALSE))</f>
        <v>194287.94</v>
      </c>
      <c r="P318" s="46">
        <f t="shared" ca="1" si="17"/>
        <v>1.6476250000069855E-2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input_442101!A$2</f>
        <v>442101</v>
      </c>
      <c r="B319" s="5">
        <v>1105</v>
      </c>
      <c r="C319" s="7" t="str">
        <f t="shared" si="16"/>
        <v>Premium5R3lesscolor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>color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IFERROR(VLOOKUP(B319,input_442101!L:R,7,FALSE),VLOOKUP(tables_442101!C319,input_442101!A:H,8,FALSE))</f>
        <v>13944.04</v>
      </c>
      <c r="P319" s="46">
        <f t="shared" ref="P319:P324" ca="1" si="20">O319/SUM(O:O)</f>
        <v>1.1825000000050135E-3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input_442101!A$2</f>
        <v>442101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IFERROR(VLOOKUP(B320,input_442101!L:R,7,FALSE),VLOOKUP(tables_442101!C320,input_442101!A:H,8,FALSE))</f>
        <v>4826.0407699999996</v>
      </c>
      <c r="P320" s="46">
        <f t="shared" ca="1" si="20"/>
        <v>4.0926397303429961E-4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input_442101!A$2</f>
        <v>442101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IFERROR(VLOOKUP(B321,input_442101!L:R,7,FALSE),VLOOKUP(tables_442101!C321,input_442101!A:H,8,FALSE))</f>
        <v>4826.0407699999996</v>
      </c>
      <c r="P321" s="46">
        <f t="shared" ca="1" si="20"/>
        <v>4.0926397303429961E-4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input_442101!A$2</f>
        <v>442101</v>
      </c>
      <c r="B322" s="5">
        <v>1139</v>
      </c>
      <c r="C322" s="7" t="str">
        <f t="shared" ref="C322:C324" si="21">D322&amp;J322&amp;E322&amp;F322&amp;G322</f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IFERROR(VLOOKUP(B322,input_442101!L:R,7,FALSE),VLOOKUP(tables_442101!C322,input_442101!A:H,8,FALSE))</f>
        <v>4826.0407699999996</v>
      </c>
      <c r="P322" s="46">
        <f t="shared" ca="1" si="20"/>
        <v>4.0926397303429961E-4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input_442101!A$2</f>
        <v>442101</v>
      </c>
      <c r="B323" s="5">
        <v>1141</v>
      </c>
      <c r="C323" s="7" t="str">
        <f t="shared" si="21"/>
        <v>PremiumSS5R5onlycolor</v>
      </c>
      <c r="D323" s="7" t="str">
        <f t="shared" ref="D323:D324" si="22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24" si="23">IF(K323="blue","color","")</f>
        <v>color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IFERROR(VLOOKUP(B323,input_442101!L:R,7,FALSE),VLOOKUP(tables_442101!C323,input_442101!A:H,8,FALSE))</f>
        <v>27212.307690000001</v>
      </c>
      <c r="P323" s="46">
        <f t="shared" ca="1" si="20"/>
        <v>2.307692307506392E-3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input_442101!A$2</f>
        <v>442101</v>
      </c>
      <c r="B324" s="2">
        <v>1143</v>
      </c>
      <c r="C324" s="100" t="str">
        <f t="shared" si="21"/>
        <v>Premium4R3less</v>
      </c>
      <c r="D324" s="7" t="str">
        <f t="shared" si="22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3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IFERROR(VLOOKUP(B324,input_442101!L:R,7,FALSE),VLOOKUP(tables_442101!C324,input_442101!A:H,8,FALSE))</f>
        <v>85212.800000000003</v>
      </c>
      <c r="P324" s="46">
        <f t="shared" ca="1" si="20"/>
        <v>7.2263229308311807E-3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input_442101!A$2</f>
        <v>442101</v>
      </c>
      <c r="B325" s="2">
        <v>1144</v>
      </c>
      <c r="C325" s="100" t="str">
        <f t="shared" ref="C325:C331" si="24">D325&amp;J325&amp;E325&amp;F325&amp;G325</f>
        <v>Premium5R3less</v>
      </c>
      <c r="D325" s="7" t="str">
        <f t="shared" ref="D325:D331" si="25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ref="G325:G331" si="26">IF(K325="blue","color","")</f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IFERROR(VLOOKUP(B325,input_442101!L:R,7,FALSE),VLOOKUP(tables_442101!C325,input_442101!A:H,8,FALSE))</f>
        <v>3329.92</v>
      </c>
      <c r="P325" s="46">
        <f t="shared" ref="P325:P331" ca="1" si="27">O325/SUM(O:O)</f>
        <v>2.8238805970268979E-4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input_442101!A$2</f>
        <v>442101</v>
      </c>
      <c r="B326" s="2">
        <v>1151</v>
      </c>
      <c r="C326" s="100" t="str">
        <f t="shared" si="24"/>
        <v>Premium4R3less</v>
      </c>
      <c r="D326" s="7" t="str">
        <f t="shared" si="25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6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IFERROR(VLOOKUP(B326,input_442101!L:R,7,FALSE),VLOOKUP(tables_442101!C326,input_442101!A:H,8,FALSE))</f>
        <v>85212.800000000003</v>
      </c>
      <c r="P326" s="46">
        <f t="shared" ca="1" si="27"/>
        <v>7.2263229308311807E-3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input_442101!A$2</f>
        <v>442101</v>
      </c>
      <c r="B327" s="2">
        <v>1152</v>
      </c>
      <c r="C327" s="100" t="str">
        <f t="shared" si="24"/>
        <v>Premium5R3less</v>
      </c>
      <c r="D327" s="7" t="str">
        <f t="shared" si="25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6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IFERROR(VLOOKUP(B327,input_442101!L:R,7,FALSE),VLOOKUP(tables_442101!C327,input_442101!A:H,8,FALSE))</f>
        <v>3329.92</v>
      </c>
      <c r="P327" s="46">
        <f t="shared" ca="1" si="27"/>
        <v>2.8238805970268979E-4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input_442101!A$2</f>
        <v>442101</v>
      </c>
      <c r="B328" s="2">
        <v>1153</v>
      </c>
      <c r="C328" s="100" t="str">
        <f t="shared" si="24"/>
        <v>PremiumSS5R5only</v>
      </c>
      <c r="D328" s="7" t="str">
        <f t="shared" si="25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6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IFERROR(VLOOKUP(B328,input_442101!L:R,7,FALSE),VLOOKUP(tables_442101!C328,input_442101!A:H,8,FALSE))</f>
        <v>4826.0407699999996</v>
      </c>
      <c r="P328" s="46">
        <f t="shared" ca="1" si="27"/>
        <v>4.0926397303429961E-4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input_442101!A$2</f>
        <v>442101</v>
      </c>
      <c r="B329" s="2">
        <v>1155</v>
      </c>
      <c r="C329" s="100" t="str">
        <f t="shared" si="24"/>
        <v>PremiumSS5R5onlycolor</v>
      </c>
      <c r="D329" s="7" t="str">
        <f t="shared" si="25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6"/>
        <v>color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IFERROR(VLOOKUP(B329,input_442101!L:R,7,FALSE),VLOOKUP(tables_442101!C329,input_442101!A:H,8,FALSE))</f>
        <v>27212.307690000001</v>
      </c>
      <c r="P329" s="46">
        <f t="shared" ca="1" si="27"/>
        <v>2.307692307506392E-3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input_442101!A$2</f>
        <v>442101</v>
      </c>
      <c r="B330" s="2">
        <v>1157</v>
      </c>
      <c r="C330" s="100" t="str">
        <f t="shared" si="24"/>
        <v>PremiumSS5R5only</v>
      </c>
      <c r="D330" s="7" t="str">
        <f t="shared" si="25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6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IFERROR(VLOOKUP(B330,input_442101!L:R,7,FALSE),VLOOKUP(tables_442101!C330,input_442101!A:H,8,FALSE))</f>
        <v>4826.0407699999996</v>
      </c>
      <c r="P330" s="46">
        <f t="shared" ca="1" si="27"/>
        <v>4.0926397303429961E-4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input_442101!A$2</f>
        <v>442101</v>
      </c>
      <c r="B331" s="2">
        <v>1111</v>
      </c>
      <c r="C331" s="100" t="str">
        <f t="shared" si="24"/>
        <v>PremiumSSS5R3lesscolor</v>
      </c>
      <c r="D331" s="7" t="str">
        <f t="shared" si="25"/>
        <v>PremiumSSS</v>
      </c>
      <c r="E331" s="7" t="str">
        <f>IF(COUNTIF('R6追加前'!A:A,B331)=0,IF(OR(I331="PremiumSS",I331="PremiumSSw"),"R5only","R3less"),"")</f>
        <v>R3less</v>
      </c>
      <c r="F331" s="7" t="str">
        <f>IF(COUNTIF('R6開放'!A:A,B331)&gt;0,"R6release","")</f>
        <v/>
      </c>
      <c r="G331" s="7" t="str">
        <f t="shared" si="26"/>
        <v>color</v>
      </c>
      <c r="H331" s="7" t="str">
        <f>VLOOKUP(B331,[1]characters!$A:$C,3,FALSE)</f>
        <v>ウィグナー</v>
      </c>
      <c r="I331" s="7" t="str">
        <f>VLOOKUP(B331,[1]characters!$A:$J,10,FALSE)</f>
        <v>PremiumSSS</v>
      </c>
      <c r="J331" s="7">
        <f>VLOOKUP(B331,[1]characters!$A:$I,9,FALSE)</f>
        <v>5</v>
      </c>
      <c r="K331" s="7" t="str">
        <f>VLOOKUP(B331,[1]characters!$A:$H,8,FALSE)</f>
        <v>blue</v>
      </c>
      <c r="L331" s="7" t="str">
        <f>VLOOKUP(B331,[1]characters!$A:$K,11,FALSE)</f>
        <v>attack</v>
      </c>
      <c r="M331" s="7" t="str">
        <f>VLOOKUP(B331,[1]characters!$A:$M,13,FALSE)</f>
        <v>academia</v>
      </c>
      <c r="N331" s="7" t="str">
        <f>VLOOKUP(B331,[1]characters!$A:$G,7,FALSE)</f>
        <v>不明</v>
      </c>
      <c r="O331" s="45">
        <f ca="1">IFERROR(VLOOKUP(B331,input_442101!L:R,7,FALSE),VLOOKUP(tables_442101!C331,input_442101!A:H,8,FALSE))</f>
        <v>47168</v>
      </c>
      <c r="P331" s="46">
        <f t="shared" ca="1" si="27"/>
        <v>4.0000000000169587E-3</v>
      </c>
      <c r="Q331" s="88">
        <v>80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</sheetData>
  <autoFilter ref="A1:V1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5"/>
  <sheetViews>
    <sheetView topLeftCell="A10" zoomScale="110" zoomScaleNormal="110" zoomScalePageLayoutView="110" workbookViewId="0">
      <selection activeCell="G63" sqref="G63:G6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442103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VLOOKUP(L3,tables_442103!B:C,2,FALSE)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VLOOKUP(L4,tables_442103!B:C,2,FALSE)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4.5454545454545465E-4</v>
      </c>
      <c r="F5">
        <f>(COUNTIF(tables_442103!C:C,input_442103!A28)+COUNTIF(tables_442103!C:C,input_442103!A29))</f>
        <v>44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VLOOKUP(L5,tables_442103!B:C,2,FALSE)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2.3076923076923075E-3</v>
      </c>
      <c r="F6">
        <f>(COUNTIF(tables_442103!C:C,input_442103!A43)+COUNTIF(tables_442103!C:C,input_442103!A44))</f>
        <v>13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VLOOKUP(L6,tables_442103!B:C,2,FALSE)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5.6477611940298506E-3</v>
      </c>
      <c r="F7">
        <f>(COUNTIF(tables_442103!C:C,input_442103!A25)+COUNTIF(tables_442103!C:C,input_442103!A18)+COUNTIF(tables_442103!C:C,input_442103!A20)+COUNTIF(tables_442103!C:C,input_442103!A22))</f>
        <v>67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VLOOKUP(L7,tables_442103!B:C,2,FALSE)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2.3650000000000001E-2</v>
      </c>
      <c r="F8">
        <f>(COUNTIF(tables_442103!C:C,input_442103!A40)+COUNTIF(tables_442103!C:C,input_442103!A33)+COUNTIF(tables_442103!C:C,input_442103!A35)+COUNTIF(tables_442103!C:C,input_442103!A37))</f>
        <v>24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VLOOKUP(L8,tables_442103!B:C,2,FALSE)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VLOOKUP(L9,tables_442103!B:C,2,FALSE)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0.94599999999999995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VLOOKUP(L10,tables_442103!B:C,2,FALSE)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v>0.05</v>
      </c>
      <c r="C11" t="s">
        <v>274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VLOOKUP(L11,tables_442103!B:C,2,FALSE)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VLOOKUP(L12,tables_442103!B:C,2,FALSE)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VLOOKUP(L13,tables_442103!B:C,2,FALSE)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VLOOKUP(L14,tables_442103!B:C,2,FALSE)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VLOOKUP(L15,tables_442103!B:C,2,FALSE)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VLOOKUP(L16,tables_442103!B:C,2,FALSE)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COUNTIF(tables_442103!C:C,input_442103!A17)-COUNTIF(Q:Q,A17)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VLOOKUP(L17,tables_442103!B:C,2,FALSE)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8.4716417910447761E-2</v>
      </c>
      <c r="C18" s="86">
        <f t="shared" si="2"/>
        <v>0</v>
      </c>
      <c r="D18" s="75">
        <f t="shared" si="3"/>
        <v>8.4716417910447761E-2</v>
      </c>
      <c r="E18">
        <f>COUNTIF(tables_442103!C:C,input_442103!A18)-COUNTIF(Q:Q,A18)</f>
        <v>15</v>
      </c>
      <c r="F18" s="43">
        <f>IFERROR(B18/E18,0)</f>
        <v>5.6477611940298506E-3</v>
      </c>
      <c r="G18">
        <f t="shared" si="4"/>
        <v>998976</v>
      </c>
      <c r="H18">
        <f t="shared" si="5"/>
        <v>66598.399999999994</v>
      </c>
      <c r="I18">
        <f t="shared" si="6"/>
        <v>0.39999999999417923</v>
      </c>
      <c r="J18">
        <f t="shared" si="7"/>
        <v>2.5000000000363798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VLOOKUP(L18,tables_442103!B:C,2,FALSE)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COUNTIF(tables_442103!C:C,input_442103!A19)-COUNTIF(Q:Q,A19)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VLOOKUP(L19,tables_442103!B:C,2,FALSE)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3">
        <f>E$7*E20*B$6+F49-0.02+0.01-G64</f>
        <v>0.19388417910030425</v>
      </c>
      <c r="C20" s="86">
        <f t="shared" si="2"/>
        <v>0</v>
      </c>
      <c r="D20" s="75">
        <f t="shared" si="3"/>
        <v>0.19388417910030425</v>
      </c>
      <c r="E20">
        <f>COUNTIF(tables_442103!C:C,input_442103!A20)-COUNTIF(Q:Q,A20)</f>
        <v>38</v>
      </c>
      <c r="F20" s="43">
        <f t="shared" si="8"/>
        <v>5.1022152394816908E-3</v>
      </c>
      <c r="G20">
        <f t="shared" si="4"/>
        <v>2286282.2399507877</v>
      </c>
      <c r="H20">
        <f t="shared" si="5"/>
        <v>60165.322099999998</v>
      </c>
      <c r="I20">
        <f t="shared" si="6"/>
        <v>0.3220999999975902</v>
      </c>
      <c r="J20">
        <f t="shared" si="7"/>
        <v>3.1046258926031713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VLOOKUP(L20,tables_442103!B:C,2,FALSE)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7.307462686567158E-4</v>
      </c>
      <c r="C21" s="86">
        <f t="shared" si="2"/>
        <v>0</v>
      </c>
      <c r="D21" s="75">
        <f t="shared" si="3"/>
        <v>7.307462686567158E-4</v>
      </c>
      <c r="E21">
        <f>COUNTIF(tables_442103!C:C,input_442103!A21)-COUNTIF(Q:Q,A21)</f>
        <v>38</v>
      </c>
      <c r="F21" s="43">
        <f t="shared" si="8"/>
        <v>1.9230164964650417E-5</v>
      </c>
      <c r="G21">
        <f t="shared" si="4"/>
        <v>8616.9599999999919</v>
      </c>
      <c r="H21">
        <f t="shared" si="5"/>
        <v>226.76211000000001</v>
      </c>
      <c r="I21">
        <f t="shared" si="6"/>
        <v>0.76211000000000695</v>
      </c>
      <c r="J21">
        <f t="shared" si="7"/>
        <v>1.3121465405256338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7.9489552238806035E-2</v>
      </c>
      <c r="C22" s="86">
        <f t="shared" si="2"/>
        <v>0</v>
      </c>
      <c r="D22" s="75">
        <f t="shared" si="3"/>
        <v>7.9489552238806035E-2</v>
      </c>
      <c r="E22">
        <f>COUNTIF(tables_442103!C:C,input_442103!A22)-COUNTIF(Q:Q,A22)</f>
        <v>11</v>
      </c>
      <c r="F22" s="43">
        <f t="shared" si="8"/>
        <v>7.2263229308005489E-3</v>
      </c>
      <c r="G22">
        <f t="shared" si="4"/>
        <v>937340.80000000075</v>
      </c>
      <c r="H22">
        <f t="shared" si="5"/>
        <v>85212.800000000003</v>
      </c>
      <c r="I22">
        <f t="shared" si="6"/>
        <v>0.80000000000291038</v>
      </c>
      <c r="J22">
        <f t="shared" si="7"/>
        <v>1.2499999999954525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4.2358208955223884E-3</v>
      </c>
      <c r="C23" s="86">
        <f t="shared" si="2"/>
        <v>0</v>
      </c>
      <c r="D23" s="75">
        <f t="shared" si="3"/>
        <v>4.2358208955223884E-3</v>
      </c>
      <c r="E23">
        <f>COUNTIF(tables_442103!C:C,input_442103!A23)-COUNTIF(Q:Q,A23)</f>
        <v>15</v>
      </c>
      <c r="F23" s="43">
        <f t="shared" si="8"/>
        <v>2.8238805970149256E-4</v>
      </c>
      <c r="G23">
        <f t="shared" si="4"/>
        <v>49948.800000000003</v>
      </c>
      <c r="H23">
        <f t="shared" si="5"/>
        <v>3329.92</v>
      </c>
      <c r="I23">
        <f t="shared" si="6"/>
        <v>0.92000000000007276</v>
      </c>
      <c r="J23">
        <f t="shared" si="7"/>
        <v>1.0869565217390444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COUNTIF(tables_442103!C:C,input_442103!A24)-COUNTIF(Q:Q,A24)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1.6096119402985075E-2</v>
      </c>
      <c r="C25" s="86">
        <f t="shared" si="2"/>
        <v>0</v>
      </c>
      <c r="D25" s="75">
        <f t="shared" si="3"/>
        <v>1.6096119402985075E-2</v>
      </c>
      <c r="E25">
        <f>COUNTIF(tables_442103!C:C,input_442103!A25)-COUNTIF(Q:Q,A25)</f>
        <v>3</v>
      </c>
      <c r="F25" s="43">
        <f t="shared" si="8"/>
        <v>5.365373134328358E-3</v>
      </c>
      <c r="G25">
        <f t="shared" si="4"/>
        <v>189805.44</v>
      </c>
      <c r="H25">
        <f t="shared" si="5"/>
        <v>63268.480000000003</v>
      </c>
      <c r="I25">
        <f t="shared" si="6"/>
        <v>0.48000000000320142</v>
      </c>
      <c r="J25">
        <f t="shared" si="7"/>
        <v>2.0833333333194384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8.4716417910447764E-4</v>
      </c>
      <c r="C26" s="86">
        <f t="shared" si="2"/>
        <v>0</v>
      </c>
      <c r="D26" s="75">
        <f t="shared" si="3"/>
        <v>8.4716417910447764E-4</v>
      </c>
      <c r="E26">
        <f>COUNTIF(tables_442103!C:C,input_442103!A26)-COUNTIF(Q:Q,A26)</f>
        <v>3</v>
      </c>
      <c r="F26" s="43">
        <f t="shared" si="8"/>
        <v>2.8238805970149256E-4</v>
      </c>
      <c r="G26">
        <f t="shared" si="4"/>
        <v>9989.76</v>
      </c>
      <c r="H26">
        <f t="shared" si="5"/>
        <v>3329.92</v>
      </c>
      <c r="I26">
        <f t="shared" si="6"/>
        <v>0.92000000000007276</v>
      </c>
      <c r="J26">
        <f t="shared" si="7"/>
        <v>1.0869565217390444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E$5*E27*(B$5+B$6)+G64</f>
        <v>1.0496192597032907E-2</v>
      </c>
      <c r="C27" s="86">
        <f t="shared" si="2"/>
        <v>0</v>
      </c>
      <c r="D27" s="75">
        <f t="shared" si="3"/>
        <v>1.0496192597032907E-2</v>
      </c>
      <c r="E27">
        <f>COUNTIF(tables_442103!C:C,input_442103!A27)-COUNTIF(Q:Q,A27)</f>
        <v>22</v>
      </c>
      <c r="F27" s="43">
        <f>IFERROR(B27/E27,0)</f>
        <v>4.770996635014958E-4</v>
      </c>
      <c r="G27">
        <f t="shared" si="4"/>
        <v>123771.10310421204</v>
      </c>
      <c r="H27">
        <f t="shared" si="5"/>
        <v>5625.9592300000004</v>
      </c>
      <c r="I27">
        <f t="shared" si="6"/>
        <v>0.95923000000038883</v>
      </c>
      <c r="J27">
        <f t="shared" si="7"/>
        <v>1.0425028408198187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5.0000000000000012E-4</v>
      </c>
      <c r="C28" s="86">
        <f t="shared" si="2"/>
        <v>0</v>
      </c>
      <c r="D28" s="75">
        <f t="shared" si="3"/>
        <v>5.0000000000000012E-4</v>
      </c>
      <c r="E28">
        <f>COUNTIF(tables_442103!C:C,input_442103!A28)-COUNTIF(Q:Q,A28)</f>
        <v>22</v>
      </c>
      <c r="F28" s="43">
        <f t="shared" si="8"/>
        <v>2.2727272727272733E-5</v>
      </c>
      <c r="G28">
        <f t="shared" si="4"/>
        <v>5896.0000000000018</v>
      </c>
      <c r="H28">
        <f t="shared" si="5"/>
        <v>268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E$5*E29-F49</f>
        <v>9.0038074071404524E-3</v>
      </c>
      <c r="C29" s="86">
        <f t="shared" si="2"/>
        <v>0</v>
      </c>
      <c r="D29" s="75">
        <f t="shared" si="3"/>
        <v>9.0038074071404524E-3</v>
      </c>
      <c r="E29">
        <f>COUNTIF(tables_442103!C:C,input_442103!A29)-COUNTIF(Q:Q,A29)</f>
        <v>22</v>
      </c>
      <c r="F29" s="43">
        <f t="shared" si="8"/>
        <v>4.0926397305183874E-4</v>
      </c>
      <c r="G29">
        <f t="shared" si="4"/>
        <v>106172.89694500022</v>
      </c>
      <c r="H29">
        <f t="shared" si="5"/>
        <v>4826.0407699999996</v>
      </c>
      <c r="I29">
        <f t="shared" si="6"/>
        <v>4.0769999999611173E-2</v>
      </c>
      <c r="J29">
        <f t="shared" si="7"/>
        <v>24.527839097609444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COUNTIF(tables_442103!C:C,input_442103!A30)-COUNTIF(Q:Q,A30)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COUNTIF(tables_442103!C:C,input_442103!A31)-COUNTIF(Q:Q,A31)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3">
        <f>B$5*0.6-B34-B39</f>
        <v>0</v>
      </c>
      <c r="C32" s="86">
        <f t="shared" si="2"/>
        <v>0</v>
      </c>
      <c r="D32" s="75">
        <f t="shared" si="3"/>
        <v>0</v>
      </c>
      <c r="E32">
        <f>COUNTIF(tables_442103!C:C,input_442103!A32)-COUNTIF(Q:Q,A32)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0.13825000000000001</v>
      </c>
      <c r="C33" s="86">
        <f t="shared" si="2"/>
        <v>0</v>
      </c>
      <c r="D33" s="75">
        <f t="shared" si="3"/>
        <v>0.13825000000000001</v>
      </c>
      <c r="E33">
        <f>COUNTIF(tables_442103!C:C,input_442103!A33)-COUNTIF(Q:Q,A33)</f>
        <v>5</v>
      </c>
      <c r="F33" s="43">
        <f>IFERROR(B33/E33,0)</f>
        <v>2.7650000000000001E-2</v>
      </c>
      <c r="G33">
        <f t="shared" si="4"/>
        <v>1630244.0000000002</v>
      </c>
      <c r="H33">
        <f t="shared" si="5"/>
        <v>326048.8</v>
      </c>
      <c r="I33">
        <f t="shared" si="6"/>
        <v>0.79999999998835847</v>
      </c>
      <c r="J33">
        <f t="shared" si="7"/>
        <v>1.2500000000181899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COUNTIF(tables_442103!C:C,input_442103!A34)-COUNTIF(Q:Q,A34)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0.32554119259285952</v>
      </c>
      <c r="C35" s="86">
        <f t="shared" si="2"/>
        <v>0</v>
      </c>
      <c r="D35" s="75">
        <f t="shared" si="3"/>
        <v>0.32554119259285952</v>
      </c>
      <c r="E35">
        <f>COUNTIF(tables_442103!C:C,input_442103!A35)-COUNTIF(Q:Q,A35)</f>
        <v>14</v>
      </c>
      <c r="F35" s="43">
        <f t="shared" si="9"/>
        <v>2.3252942328061393E-2</v>
      </c>
      <c r="G35">
        <f t="shared" si="4"/>
        <v>3838781.7430549995</v>
      </c>
      <c r="H35">
        <f t="shared" si="5"/>
        <v>274198.69592999999</v>
      </c>
      <c r="I35">
        <f t="shared" si="6"/>
        <v>0.69592999998712912</v>
      </c>
      <c r="J35">
        <f t="shared" si="7"/>
        <v>1.4369261276543539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</f>
        <v>5.5588074071404505E-3</v>
      </c>
      <c r="C36" s="86">
        <f t="shared" si="2"/>
        <v>0</v>
      </c>
      <c r="D36" s="75">
        <f t="shared" si="3"/>
        <v>5.5588074071404505E-3</v>
      </c>
      <c r="E36">
        <f>COUNTIF(tables_442103!C:C,input_442103!A36)-COUNTIF(Q:Q,A36)</f>
        <v>14</v>
      </c>
      <c r="F36" s="43">
        <f t="shared" si="9"/>
        <v>3.9705767193860358E-4</v>
      </c>
      <c r="G36">
        <f t="shared" si="4"/>
        <v>65549.456945000187</v>
      </c>
      <c r="H36">
        <f t="shared" si="5"/>
        <v>4682.1040700000003</v>
      </c>
      <c r="I36">
        <f t="shared" si="6"/>
        <v>0.10407000000031985</v>
      </c>
      <c r="J36">
        <f t="shared" si="7"/>
        <v>9.6089170750161106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</f>
        <v>6.5904999999999936E-2</v>
      </c>
      <c r="C37" s="86">
        <f t="shared" si="2"/>
        <v>0</v>
      </c>
      <c r="D37" s="75">
        <f t="shared" si="3"/>
        <v>6.5904999999999936E-2</v>
      </c>
      <c r="E37">
        <f>COUNTIF(tables_442103!C:C,input_442103!A37)-COUNTIF(Q:Q,A37)</f>
        <v>4</v>
      </c>
      <c r="F37" s="43">
        <f t="shared" si="9"/>
        <v>1.6476249999999984E-2</v>
      </c>
      <c r="G37">
        <f t="shared" si="4"/>
        <v>777151.75999999919</v>
      </c>
      <c r="H37">
        <f t="shared" si="5"/>
        <v>194287.94</v>
      </c>
      <c r="I37">
        <f t="shared" si="6"/>
        <v>0.94000000000232831</v>
      </c>
      <c r="J37">
        <f t="shared" si="7"/>
        <v>1.0638297872314075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7.0950000000000006E-3</v>
      </c>
      <c r="C38" s="86">
        <f t="shared" si="2"/>
        <v>0</v>
      </c>
      <c r="D38" s="75">
        <f t="shared" si="3"/>
        <v>7.0950000000000006E-3</v>
      </c>
      <c r="E38">
        <f>COUNTIF(tables_442103!C:C,input_442103!A38)-COUNTIF(Q:Q,A38)</f>
        <v>6</v>
      </c>
      <c r="F38" s="43">
        <f t="shared" si="9"/>
        <v>1.1825000000000002E-3</v>
      </c>
      <c r="G38">
        <f t="shared" si="4"/>
        <v>83664.240000000005</v>
      </c>
      <c r="H38">
        <f t="shared" si="5"/>
        <v>13944.04</v>
      </c>
      <c r="I38">
        <f t="shared" si="6"/>
        <v>4.0000000000873115E-2</v>
      </c>
      <c r="J38">
        <f t="shared" si="7"/>
        <v>24.999999999454303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COUNTIF(tables_442103!C:C,input_442103!A39)-COUNTIF(Q:Q,A39)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2.2467500000000001E-2</v>
      </c>
      <c r="C40" s="86">
        <f t="shared" si="2"/>
        <v>0</v>
      </c>
      <c r="D40" s="75">
        <f t="shared" si="3"/>
        <v>2.2467500000000001E-2</v>
      </c>
      <c r="E40">
        <f>COUNTIF(tables_442103!C:C,input_442103!A40)-COUNTIF(Q:Q,A40)</f>
        <v>1</v>
      </c>
      <c r="F40" s="43">
        <f t="shared" si="9"/>
        <v>2.2467500000000001E-2</v>
      </c>
      <c r="G40">
        <f t="shared" si="4"/>
        <v>264936.76</v>
      </c>
      <c r="H40">
        <f t="shared" si="5"/>
        <v>264936.76</v>
      </c>
      <c r="I40">
        <f t="shared" si="6"/>
        <v>0.76000000000931323</v>
      </c>
      <c r="J40">
        <f t="shared" si="7"/>
        <v>1.3157894736680866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1.1825000000000002E-3</v>
      </c>
      <c r="C41" s="86">
        <f t="shared" si="2"/>
        <v>0</v>
      </c>
      <c r="D41" s="75">
        <f t="shared" si="3"/>
        <v>1.1825000000000002E-3</v>
      </c>
      <c r="E41">
        <f>COUNTIF(tables_442103!C:C,input_442103!A41)-COUNTIF(Q:Q,A41)</f>
        <v>1</v>
      </c>
      <c r="F41" s="43">
        <f t="shared" si="9"/>
        <v>1.1825000000000002E-3</v>
      </c>
      <c r="G41">
        <f t="shared" si="4"/>
        <v>13944.040000000003</v>
      </c>
      <c r="H41">
        <f t="shared" si="5"/>
        <v>13944.04</v>
      </c>
      <c r="I41">
        <f t="shared" si="6"/>
        <v>4.0000000000873115E-2</v>
      </c>
      <c r="J41">
        <f t="shared" si="7"/>
        <v>24.999999999454303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1.3153846153846151E-2</v>
      </c>
      <c r="C42" s="86">
        <f t="shared" si="2"/>
        <v>0</v>
      </c>
      <c r="D42" s="75">
        <f t="shared" si="3"/>
        <v>1.3153846153846151E-2</v>
      </c>
      <c r="E42">
        <f>COUNTIF(tables_442103!C:C,input_442103!A42)-COUNTIF(Q:Q,A42)</f>
        <v>6</v>
      </c>
      <c r="F42" s="43">
        <f>IFERROR(B42/E42,0)</f>
        <v>2.1923076923076918E-3</v>
      </c>
      <c r="G42">
        <f t="shared" si="4"/>
        <v>155110.15384615381</v>
      </c>
      <c r="H42">
        <f t="shared" si="5"/>
        <v>25851.692309999999</v>
      </c>
      <c r="I42">
        <f t="shared" si="6"/>
        <v>0.69230999999854248</v>
      </c>
      <c r="J42">
        <f t="shared" si="7"/>
        <v>1.4444396296487199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6.9230769230769226E-4</v>
      </c>
      <c r="C43" s="86">
        <f t="shared" si="2"/>
        <v>0</v>
      </c>
      <c r="D43" s="75">
        <f t="shared" si="3"/>
        <v>6.9230769230769226E-4</v>
      </c>
      <c r="E43">
        <f>COUNTIF(tables_442103!C:C,input_442103!A43)-COUNTIF(Q:Q,A43)</f>
        <v>6</v>
      </c>
      <c r="F43" s="43">
        <f t="shared" ref="F43:F46" si="10">IFERROR(B43/E43,0)</f>
        <v>1.1538461538461538E-4</v>
      </c>
      <c r="G43">
        <f t="shared" si="4"/>
        <v>8163.6923076923076</v>
      </c>
      <c r="H43">
        <f t="shared" si="5"/>
        <v>1360.61538</v>
      </c>
      <c r="I43">
        <f t="shared" si="6"/>
        <v>0.61537999999995918</v>
      </c>
      <c r="J43">
        <f t="shared" si="7"/>
        <v>1.6250121875915147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1.6153846153846151E-2</v>
      </c>
      <c r="C44" s="86">
        <f t="shared" si="2"/>
        <v>0</v>
      </c>
      <c r="D44" s="75">
        <f t="shared" si="3"/>
        <v>1.6153846153846151E-2</v>
      </c>
      <c r="E44">
        <f>COUNTIF(tables_442103!C:C,input_442103!A44)-COUNTIF(Q:Q,A44)</f>
        <v>7</v>
      </c>
      <c r="F44" s="43">
        <f t="shared" si="10"/>
        <v>2.307692307692307E-3</v>
      </c>
      <c r="G44">
        <f t="shared" si="4"/>
        <v>190486.15384615381</v>
      </c>
      <c r="H44">
        <f t="shared" si="5"/>
        <v>27212.307690000001</v>
      </c>
      <c r="I44">
        <f t="shared" si="6"/>
        <v>0.30769000000145752</v>
      </c>
      <c r="J44">
        <f t="shared" si="7"/>
        <v>3.2500243751674187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COUNTIF(tables_442103!C:C,input_442103!A45)-COUNTIF(Q:Q,A45)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4.0000000000000001E-3</v>
      </c>
      <c r="C46" s="86">
        <f t="shared" si="2"/>
        <v>0</v>
      </c>
      <c r="D46" s="75">
        <f t="shared" si="3"/>
        <v>4.0000000000000001E-3</v>
      </c>
      <c r="E46">
        <f>COUNTIF(tables_442103!C:C,input_442103!A46)-COUNTIF(Q:Q,A46)</f>
        <v>1</v>
      </c>
      <c r="F46" s="43">
        <f t="shared" si="10"/>
        <v>4.0000000000000001E-3</v>
      </c>
      <c r="G46">
        <f t="shared" si="4"/>
        <v>47168</v>
      </c>
      <c r="H46">
        <f t="shared" si="5"/>
        <v>47168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si="3"/>
        <v>0.99999999999999989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2">
        <f>SUM(B32:B46)</f>
        <v>0.59999999999999976</v>
      </c>
      <c r="E49" s="97">
        <f>0.0219923851857191*0.5</f>
        <v>1.099619259285955E-2</v>
      </c>
      <c r="F49" s="107">
        <f>E49-0.01</f>
        <v>9.9619259285954956E-4</v>
      </c>
      <c r="G49" s="108">
        <f ca="1">G57-0.05</f>
        <v>1.7808705898847421E-11</v>
      </c>
    </row>
    <row r="50" spans="1:8" x14ac:dyDescent="0.15">
      <c r="A50" t="s">
        <v>74</v>
      </c>
      <c r="C50" s="92">
        <v>2.1600000000000064E-2</v>
      </c>
      <c r="D50" s="96"/>
      <c r="E50" s="97"/>
      <c r="F50" s="105"/>
      <c r="G50" s="108"/>
    </row>
    <row r="51" spans="1:8" x14ac:dyDescent="0.15">
      <c r="A51" s="31">
        <f>LCM(F5-I5,F7-I6)*1000*2*2</f>
        <v>11792000</v>
      </c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4" t="s">
        <v>286</v>
      </c>
    </row>
    <row r="55" spans="1:8" x14ac:dyDescent="0.15">
      <c r="A55" s="33" t="s">
        <v>106</v>
      </c>
      <c r="B55">
        <f ca="1">SUMIF(tables_442103!C:C,input_442103!A55,tables_442103!O:O)</f>
        <v>0</v>
      </c>
      <c r="C55" s="54">
        <f t="shared" ref="C55:C61" ca="1" si="11">B55/B$62</f>
        <v>0</v>
      </c>
      <c r="E55">
        <v>3</v>
      </c>
      <c r="F55">
        <f ca="1">SUMIF(tables_442103!J:J,input_442103!E55,tables_442103!O:O)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SUMIF(tables_442103!C:C,input_442103!A56,tables_442103!O:O)</f>
        <v>2286282.2398000001</v>
      </c>
      <c r="C56" s="54">
        <f t="shared" ca="1" si="11"/>
        <v>0.94296544373044577</v>
      </c>
      <c r="E56">
        <v>4</v>
      </c>
      <c r="F56">
        <f ca="1">SUMIF(tables_442103!J:J,input_442103!E56,tables_442103!O:O)</f>
        <v>11202399.999740025</v>
      </c>
      <c r="G56">
        <f ca="1">F56/A51</f>
        <v>0.94999999997795326</v>
      </c>
      <c r="H56" s="55">
        <f>B18+B20+B22+B25+B27+B30+B33+B35+B37+B40+B42+B45</f>
        <v>0.9499999999962816</v>
      </c>
    </row>
    <row r="57" spans="1:8" x14ac:dyDescent="0.15">
      <c r="A57" s="33" t="s">
        <v>109</v>
      </c>
      <c r="B57">
        <f ca="1">SUMIF(tables_442103!C:C,input_442103!A57,tables_442103!O:O)</f>
        <v>123771.10306000008</v>
      </c>
      <c r="C57" s="54">
        <f t="shared" ca="1" si="11"/>
        <v>5.1048759897723499E-2</v>
      </c>
      <c r="E57">
        <v>5</v>
      </c>
      <c r="F57">
        <f ca="1">SUMIF(tables_442103!J:J,input_442103!E57,tables_442103!O:O)</f>
        <v>589600.00021000032</v>
      </c>
      <c r="G57">
        <f ca="1">F57/A51</f>
        <v>5.0000000017808709E-2</v>
      </c>
      <c r="H57" s="55">
        <f>B21+B23+B26+B28+B29+B31+B36+B38+B41+B43+B44+B46</f>
        <v>5.0000000003718334E-2</v>
      </c>
    </row>
    <row r="58" spans="1:8" x14ac:dyDescent="0.15">
      <c r="A58" s="33" t="s">
        <v>113</v>
      </c>
      <c r="B58">
        <f>SUMIF(tables_442103!C:C,input_442103!A58,tables_442103!O:O)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SUMIF(tables_442103!C:C,input_442103!A59,tables_442103!O:O)</f>
        <v>8616.9601799999964</v>
      </c>
      <c r="C59" s="54">
        <f t="shared" ca="1" si="11"/>
        <v>3.5540212569958474E-3</v>
      </c>
      <c r="E59" t="s">
        <v>55</v>
      </c>
      <c r="F59" s="55"/>
    </row>
    <row r="60" spans="1:8" x14ac:dyDescent="0.15">
      <c r="A60" s="33" t="s">
        <v>110</v>
      </c>
      <c r="B60">
        <f ca="1">SUMIF(tables_442103!C:C,input_442103!A60,tables_442103!O:O)</f>
        <v>5896</v>
      </c>
      <c r="C60" s="54">
        <f t="shared" ca="1" si="11"/>
        <v>2.4317751148349308E-3</v>
      </c>
      <c r="E60" t="s">
        <v>210</v>
      </c>
      <c r="F60" s="55">
        <f ca="1">SUMIF(tables_442103!I:I,input_442103!E60,tables_442103!P:P)</f>
        <v>0.22646097015021363</v>
      </c>
    </row>
    <row r="61" spans="1:8" x14ac:dyDescent="0.15">
      <c r="A61" s="33" t="s">
        <v>111</v>
      </c>
      <c r="B61">
        <f>SUMIF(tables_442103!C:C,input_442103!A61,tables_442103!O:O)</f>
        <v>0</v>
      </c>
      <c r="C61" s="54">
        <f t="shared" ca="1" si="11"/>
        <v>0</v>
      </c>
      <c r="E61" t="s">
        <v>211</v>
      </c>
      <c r="F61" s="55">
        <f ca="1">SUMIF(tables_442103!I:I,input_442103!E61,tables_442103!P:P)</f>
        <v>0.19612431264754093</v>
      </c>
    </row>
    <row r="62" spans="1:8" x14ac:dyDescent="0.15">
      <c r="A62" s="39" t="s">
        <v>60</v>
      </c>
      <c r="B62">
        <f ca="1">SUM(B55:B61)</f>
        <v>2424566.3030400001</v>
      </c>
      <c r="C62" s="55">
        <f ca="1">SUM(C55:C61)</f>
        <v>1</v>
      </c>
      <c r="E62" t="s">
        <v>212</v>
      </c>
      <c r="F62" s="55">
        <f ca="1">SUMIF(tables_442103!I:I,input_442103!E62,tables_442103!P:P)</f>
        <v>0.52341471720455968</v>
      </c>
    </row>
    <row r="63" spans="1:8" x14ac:dyDescent="0.15">
      <c r="E63" t="s">
        <v>213</v>
      </c>
      <c r="F63" s="55">
        <f ca="1">SUMIF(tables_442103!I:I,input_442103!E63,tables_442103!P:P)</f>
        <v>4.6464515771058541E-2</v>
      </c>
      <c r="G63" s="98">
        <f ca="1">0.05-F63-F64</f>
        <v>2.3321752515292893E-12</v>
      </c>
    </row>
    <row r="64" spans="1:8" x14ac:dyDescent="0.15">
      <c r="E64" t="s">
        <v>282</v>
      </c>
      <c r="F64" s="55">
        <f ca="1">SUMIF(tables_442103!I:I,input_442103!E64,tables_442103!P:P)</f>
        <v>3.5354842266092862E-3</v>
      </c>
      <c r="G64">
        <v>9.9619259703290523E-4</v>
      </c>
    </row>
    <row r="65" spans="5:6" x14ac:dyDescent="0.15">
      <c r="E65" t="s">
        <v>281</v>
      </c>
      <c r="F65" s="55">
        <f ca="1">SUMIF(tables_442103!I:I,input_442103!E65,tables_442103!P:P)</f>
        <v>4.0000000000169544E-3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31"/>
  <sheetViews>
    <sheetView showGridLines="0" workbookViewId="0">
      <pane ySplit="1" topLeftCell="A295" activePane="bottomLeft" state="frozen"/>
      <selection activeCell="L296" sqref="L296"/>
      <selection pane="bottomLeft" activeCell="B1" sqref="B1:V33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input_442103!A$2</f>
        <v>442103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IFERROR(VLOOKUP(B2,input_442103!L:R,7,FALSE),VLOOKUP(tables_442103!C2,input_442103!A:H,8,FALSE))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input_442103!A$2</f>
        <v>442103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IF(K3="blue","color","")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IFERROR(VLOOKUP(B3,input_442103!L:R,7,FALSE),VLOOKUP(tables_442103!C3,input_442103!A:H,8,FALSE))</f>
        <v>66598.399999999994</v>
      </c>
      <c r="P3" s="46">
        <f t="shared" ca="1" si="1"/>
        <v>5.6477611940537889E-3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input_442103!A$2</f>
        <v>442103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IFERROR(VLOOKUP(B4,input_442103!L:R,7,FALSE),VLOOKUP(tables_442103!C4,input_442103!A:H,8,FALSE))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input_442103!A$2</f>
        <v>442103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IFERROR(VLOOKUP(B5,input_442103!L:R,7,FALSE),VLOOKUP(tables_442103!C5,input_442103!A:H,8,FALSE))</f>
        <v>66598.399999999994</v>
      </c>
      <c r="P5" s="46">
        <f t="shared" ca="1" si="1"/>
        <v>5.6477611940537889E-3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input_442103!A$2</f>
        <v>442103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IFERROR(VLOOKUP(B6,input_442103!L:R,7,FALSE),VLOOKUP(tables_442103!C6,input_442103!A:H,8,FALSE))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input_442103!A$2</f>
        <v>442103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IFERROR(VLOOKUP(B7,input_442103!L:R,7,FALSE),VLOOKUP(tables_442103!C7,input_442103!A:H,8,FALSE))</f>
        <v>326048.8</v>
      </c>
      <c r="P7" s="46">
        <f t="shared" ca="1" si="1"/>
        <v>2.7650000000117199E-2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input_442103!A$2</f>
        <v>442103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IFERROR(VLOOKUP(B8,input_442103!L:R,7,FALSE),VLOOKUP(tables_442103!C8,input_442103!A:H,8,FALSE))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input_442103!A$2</f>
        <v>442103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IFERROR(VLOOKUP(B9,input_442103!L:R,7,FALSE),VLOOKUP(tables_442103!C9,input_442103!A:H,8,FALSE))</f>
        <v>66598.399999999994</v>
      </c>
      <c r="P9" s="46">
        <f t="shared" ca="1" si="1"/>
        <v>5.6477611940537889E-3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input_442103!A$2</f>
        <v>442103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IFERROR(VLOOKUP(B10,input_442103!L:R,7,FALSE),VLOOKUP(tables_442103!C10,input_442103!A:H,8,FALSE))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input_442103!A$2</f>
        <v>442103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IFERROR(VLOOKUP(B11,input_442103!L:R,7,FALSE),VLOOKUP(tables_442103!C11,input_442103!A:H,8,FALSE))</f>
        <v>66598.399999999994</v>
      </c>
      <c r="P11" s="46">
        <f t="shared" ca="1" si="1"/>
        <v>5.6477611940537889E-3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input_442103!A$2</f>
        <v>442103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IFERROR(VLOOKUP(B12,input_442103!L:R,7,FALSE),VLOOKUP(tables_442103!C12,input_442103!A:H,8,FALSE))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input_442103!A$2</f>
        <v>442103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IFERROR(VLOOKUP(B13,input_442103!L:R,7,FALSE),VLOOKUP(tables_442103!C13,input_442103!A:H,8,FALSE))</f>
        <v>66598.399999999994</v>
      </c>
      <c r="P13" s="46">
        <f t="shared" ca="1" si="1"/>
        <v>5.6477611940537889E-3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input_442103!A$2</f>
        <v>442103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IFERROR(VLOOKUP(B14,input_442103!L:R,7,FALSE),VLOOKUP(tables_442103!C14,input_442103!A:H,8,FALSE))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input_442103!A$2</f>
        <v>442103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IFERROR(VLOOKUP(B15,input_442103!L:R,7,FALSE),VLOOKUP(tables_442103!C15,input_442103!A:H,8,FALSE))</f>
        <v>326048.8</v>
      </c>
      <c r="P15" s="46">
        <f t="shared" ca="1" si="1"/>
        <v>2.7650000000117199E-2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input_442103!A$2</f>
        <v>442103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IFERROR(VLOOKUP(B16,input_442103!L:R,7,FALSE),VLOOKUP(tables_442103!C16,input_442103!A:H,8,FALSE))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input_442103!A$2</f>
        <v>442103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IFERROR(VLOOKUP(B17,input_442103!L:R,7,FALSE),VLOOKUP(tables_442103!C17,input_442103!A:H,8,FALSE))</f>
        <v>66598.399999999994</v>
      </c>
      <c r="P17" s="46">
        <f t="shared" ca="1" si="1"/>
        <v>5.6477611940537889E-3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input_442103!A$2</f>
        <v>442103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IFERROR(VLOOKUP(B18,input_442103!L:R,7,FALSE),VLOOKUP(tables_442103!C18,input_442103!A:H,8,FALSE))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input_442103!A$2</f>
        <v>442103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IFERROR(VLOOKUP(B19,input_442103!L:R,7,FALSE),VLOOKUP(tables_442103!C19,input_442103!A:H,8,FALSE))</f>
        <v>66598.399999999994</v>
      </c>
      <c r="P19" s="46">
        <f t="shared" ca="1" si="1"/>
        <v>5.6477611940537889E-3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input_442103!A$2</f>
        <v>442103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IFERROR(VLOOKUP(B20,input_442103!L:R,7,FALSE),VLOOKUP(tables_442103!C20,input_442103!A:H,8,FALSE))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input_442103!A$2</f>
        <v>442103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IFERROR(VLOOKUP(B21,input_442103!L:R,7,FALSE),VLOOKUP(tables_442103!C21,input_442103!A:H,8,FALSE))</f>
        <v>66598.399999999994</v>
      </c>
      <c r="P21" s="46">
        <f t="shared" ca="1" si="1"/>
        <v>5.6477611940537889E-3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input_442103!A$2</f>
        <v>442103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IFERROR(VLOOKUP(B22,input_442103!L:R,7,FALSE),VLOOKUP(tables_442103!C22,input_442103!A:H,8,FALSE))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input_442103!A$2</f>
        <v>442103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IFERROR(VLOOKUP(B23,input_442103!L:R,7,FALSE),VLOOKUP(tables_442103!C23,input_442103!A:H,8,FALSE))</f>
        <v>326048.8</v>
      </c>
      <c r="P23" s="46">
        <f t="shared" ca="1" si="1"/>
        <v>2.7650000000117199E-2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input_442103!A$2</f>
        <v>442103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IFERROR(VLOOKUP(B24,input_442103!L:R,7,FALSE),VLOOKUP(tables_442103!C24,input_442103!A:H,8,FALSE))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input_442103!A$2</f>
        <v>442103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IFERROR(VLOOKUP(B25,input_442103!L:R,7,FALSE),VLOOKUP(tables_442103!C25,input_442103!A:H,8,FALSE))</f>
        <v>66598.399999999994</v>
      </c>
      <c r="P25" s="46">
        <f t="shared" ca="1" si="1"/>
        <v>5.6477611940537889E-3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input_442103!A$2</f>
        <v>442103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IFERROR(VLOOKUP(B26,input_442103!L:R,7,FALSE),VLOOKUP(tables_442103!C26,input_442103!A:H,8,FALSE))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input_442103!A$2</f>
        <v>442103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IFERROR(VLOOKUP(B27,input_442103!L:R,7,FALSE),VLOOKUP(tables_442103!C27,input_442103!A:H,8,FALSE))</f>
        <v>66598.399999999994</v>
      </c>
      <c r="P27" s="46">
        <f t="shared" ca="1" si="1"/>
        <v>5.6477611940537889E-3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input_442103!A$2</f>
        <v>442103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IFERROR(VLOOKUP(B28,input_442103!L:R,7,FALSE),VLOOKUP(tables_442103!C28,input_442103!A:H,8,FALSE))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input_442103!A$2</f>
        <v>442103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IFERROR(VLOOKUP(B29,input_442103!L:R,7,FALSE),VLOOKUP(tables_442103!C29,input_442103!A:H,8,FALSE))</f>
        <v>66598.399999999994</v>
      </c>
      <c r="P29" s="46">
        <f t="shared" ca="1" si="1"/>
        <v>5.6477611940537889E-3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input_442103!A$2</f>
        <v>442103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IFERROR(VLOOKUP(B30,input_442103!L:R,7,FALSE),VLOOKUP(tables_442103!C30,input_442103!A:H,8,FALSE))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input_442103!A$2</f>
        <v>442103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IFERROR(VLOOKUP(B31,input_442103!L:R,7,FALSE),VLOOKUP(tables_442103!C31,input_442103!A:H,8,FALSE))</f>
        <v>326048.8</v>
      </c>
      <c r="P31" s="46">
        <f t="shared" ca="1" si="1"/>
        <v>2.7650000000117199E-2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input_442103!A$2</f>
        <v>442103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IFERROR(VLOOKUP(B32,input_442103!L:R,7,FALSE),VLOOKUP(tables_442103!C32,input_442103!A:H,8,FALSE))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input_442103!A$2</f>
        <v>442103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IFERROR(VLOOKUP(B33,input_442103!L:R,7,FALSE),VLOOKUP(tables_442103!C33,input_442103!A:H,8,FALSE))</f>
        <v>66598.399999999994</v>
      </c>
      <c r="P33" s="46">
        <f t="shared" ca="1" si="1"/>
        <v>5.6477611940537889E-3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input_442103!A$2</f>
        <v>442103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IFERROR(VLOOKUP(B34,input_442103!L:R,7,FALSE),VLOOKUP(tables_442103!C34,input_442103!A:H,8,FALSE))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input_442103!A$2</f>
        <v>442103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IFERROR(VLOOKUP(B35,input_442103!L:R,7,FALSE),VLOOKUP(tables_442103!C35,input_442103!A:H,8,FALSE))</f>
        <v>66598.399999999994</v>
      </c>
      <c r="P35" s="46">
        <f t="shared" ca="1" si="1"/>
        <v>5.6477611940537889E-3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input_442103!A$2</f>
        <v>442103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IFERROR(VLOOKUP(B36,input_442103!L:R,7,FALSE),VLOOKUP(tables_442103!C36,input_442103!A:H,8,FALSE))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input_442103!A$2</f>
        <v>442103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IFERROR(VLOOKUP(B37,input_442103!L:R,7,FALSE),VLOOKUP(tables_442103!C37,input_442103!A:H,8,FALSE))</f>
        <v>66598.399999999994</v>
      </c>
      <c r="P37" s="46">
        <f t="shared" ca="1" si="1"/>
        <v>5.6477611940537889E-3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input_442103!A$2</f>
        <v>442103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IFERROR(VLOOKUP(B38,input_442103!L:R,7,FALSE),VLOOKUP(tables_442103!C38,input_442103!A:H,8,FALSE))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input_442103!A$2</f>
        <v>442103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IFERROR(VLOOKUP(B39,input_442103!L:R,7,FALSE),VLOOKUP(tables_442103!C39,input_442103!A:H,8,FALSE))</f>
        <v>326048.8</v>
      </c>
      <c r="P39" s="46">
        <f t="shared" ca="1" si="1"/>
        <v>2.7650000000117199E-2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input_442103!A$2</f>
        <v>442103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IFERROR(VLOOKUP(B40,input_442103!L:R,7,FALSE),VLOOKUP(tables_442103!C40,input_442103!A:H,8,FALSE))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input_442103!A$2</f>
        <v>442103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IFERROR(VLOOKUP(B41,input_442103!L:R,7,FALSE),VLOOKUP(tables_442103!C41,input_442103!A:H,8,FALSE))</f>
        <v>66598.399999999994</v>
      </c>
      <c r="P41" s="46">
        <f t="shared" ca="1" si="1"/>
        <v>5.6477611940537889E-3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input_442103!A$2</f>
        <v>442103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IFERROR(VLOOKUP(B42,input_442103!L:R,7,FALSE),VLOOKUP(tables_442103!C42,input_442103!A:H,8,FALSE))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input_442103!A$2</f>
        <v>442103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IFERROR(VLOOKUP(B43,input_442103!L:R,7,FALSE),VLOOKUP(tables_442103!C43,input_442103!A:H,8,FALSE))</f>
        <v>63268.480000000003</v>
      </c>
      <c r="P43" s="46">
        <f t="shared" ca="1" si="1"/>
        <v>5.3653731343511002E-3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input_442103!A$2</f>
        <v>442103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IFERROR(VLOOKUP(B44,input_442103!L:R,7,FALSE),VLOOKUP(tables_442103!C44,input_442103!A:H,8,FALSE))</f>
        <v>3329.92</v>
      </c>
      <c r="P44" s="46">
        <f t="shared" ca="1" si="1"/>
        <v>2.8238805970268947E-4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input_442103!A$2</f>
        <v>442103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IFERROR(VLOOKUP(B45,input_442103!L:R,7,FALSE),VLOOKUP(tables_442103!C45,input_442103!A:H,8,FALSE))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input_442103!A$2</f>
        <v>442103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IFERROR(VLOOKUP(B46,input_442103!L:R,7,FALSE),VLOOKUP(tables_442103!C46,input_442103!A:H,8,FALSE))</f>
        <v>63268.480000000003</v>
      </c>
      <c r="P46" s="46">
        <f t="shared" ca="1" si="1"/>
        <v>5.3653731343511002E-3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input_442103!A$2</f>
        <v>442103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IFERROR(VLOOKUP(B47,input_442103!L:R,7,FALSE),VLOOKUP(tables_442103!C47,input_442103!A:H,8,FALSE))</f>
        <v>3329.92</v>
      </c>
      <c r="P47" s="46">
        <f t="shared" ca="1" si="1"/>
        <v>2.8238805970268947E-4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input_442103!A$2</f>
        <v>442103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IFERROR(VLOOKUP(B48,input_442103!L:R,7,FALSE),VLOOKUP(tables_442103!C48,input_442103!A:H,8,FALSE))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input_442103!A$2</f>
        <v>442103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IFERROR(VLOOKUP(B49,input_442103!L:R,7,FALSE),VLOOKUP(tables_442103!C49,input_442103!A:H,8,FALSE))</f>
        <v>264936.76</v>
      </c>
      <c r="P49" s="46">
        <f t="shared" ca="1" si="1"/>
        <v>2.2467500000095234E-2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input_442103!A$2</f>
        <v>442103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IFERROR(VLOOKUP(B50,input_442103!L:R,7,FALSE),VLOOKUP(tables_442103!C50,input_442103!A:H,8,FALSE))</f>
        <v>13944.04</v>
      </c>
      <c r="P50" s="46">
        <f t="shared" ca="1" si="1"/>
        <v>1.1825000000050122E-3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input_442103!A$2</f>
        <v>442103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IFERROR(VLOOKUP(B51,input_442103!L:R,7,FALSE),VLOOKUP(tables_442103!C51,input_442103!A:H,8,FALSE))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input_442103!A$2</f>
        <v>442103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IFERROR(VLOOKUP(B52,input_442103!L:R,7,FALSE),VLOOKUP(tables_442103!C52,input_442103!A:H,8,FALSE))</f>
        <v>60165.322099999998</v>
      </c>
      <c r="P52" s="46">
        <f t="shared" ca="1" si="1"/>
        <v>5.1022152391668098E-3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input_442103!A$2</f>
        <v>442103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IFERROR(VLOOKUP(B53,input_442103!L:R,7,FALSE),VLOOKUP(tables_442103!C53,input_442103!A:H,8,FALSE))</f>
        <v>226.76211000000001</v>
      </c>
      <c r="P53" s="46">
        <f t="shared" ca="1" si="1"/>
        <v>1.9230165366431578E-5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input_442103!A$2</f>
        <v>442103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IFERROR(VLOOKUP(B54,input_442103!L:R,7,FALSE),VLOOKUP(tables_442103!C54,input_442103!A:H,8,FALSE))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input_442103!A$2</f>
        <v>442103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IFERROR(VLOOKUP(B55,input_442103!L:R,7,FALSE),VLOOKUP(tables_442103!C55,input_442103!A:H,8,FALSE))</f>
        <v>60165.322099999998</v>
      </c>
      <c r="P55" s="46">
        <f t="shared" ca="1" si="1"/>
        <v>5.1022152391668098E-3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input_442103!A$2</f>
        <v>442103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IFERROR(VLOOKUP(B56,input_442103!L:R,7,FALSE),VLOOKUP(tables_442103!C56,input_442103!A:H,8,FALSE))</f>
        <v>226.76211000000001</v>
      </c>
      <c r="P56" s="46">
        <f t="shared" ca="1" si="1"/>
        <v>1.9230165366431578E-5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input_442103!A$2</f>
        <v>442103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IFERROR(VLOOKUP(B57,input_442103!L:R,7,FALSE),VLOOKUP(tables_442103!C57,input_442103!A:H,8,FALSE))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input_442103!A$2</f>
        <v>442103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IFERROR(VLOOKUP(B58,input_442103!L:R,7,FALSE),VLOOKUP(tables_442103!C58,input_442103!A:H,8,FALSE))</f>
        <v>60165.322099999998</v>
      </c>
      <c r="P58" s="46">
        <f t="shared" ca="1" si="1"/>
        <v>5.1022152391668098E-3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input_442103!A$2</f>
        <v>442103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IFERROR(VLOOKUP(B59,input_442103!L:R,7,FALSE),VLOOKUP(tables_442103!C59,input_442103!A:H,8,FALSE))</f>
        <v>226.76211000000001</v>
      </c>
      <c r="P59" s="46">
        <f t="shared" ca="1" si="1"/>
        <v>1.9230165366431578E-5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input_442103!A$2</f>
        <v>442103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IFERROR(VLOOKUP(B60,input_442103!L:R,7,FALSE),VLOOKUP(tables_442103!C60,input_442103!A:H,8,FALSE))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input_442103!A$2</f>
        <v>442103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IFERROR(VLOOKUP(B61,input_442103!L:R,7,FALSE),VLOOKUP(tables_442103!C61,input_442103!A:H,8,FALSE))</f>
        <v>274198.69592999999</v>
      </c>
      <c r="P61" s="46">
        <f t="shared" ca="1" si="1"/>
        <v>2.3252942327947949E-2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input_442103!A$2</f>
        <v>442103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IFERROR(VLOOKUP(B62,input_442103!L:R,7,FALSE),VLOOKUP(tables_442103!C62,input_442103!A:H,8,FALSE))</f>
        <v>4682.1040700000003</v>
      </c>
      <c r="P62" s="46">
        <f t="shared" ca="1" si="1"/>
        <v>3.970576721522936E-4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input_442103!A$2</f>
        <v>442103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IFERROR(VLOOKUP(B63,input_442103!L:R,7,FALSE),VLOOKUP(tables_442103!C63,input_442103!A:H,8,FALSE))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input_442103!A$2</f>
        <v>442103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IFERROR(VLOOKUP(B64,input_442103!L:R,7,FALSE),VLOOKUP(tables_442103!C64,input_442103!A:H,8,FALSE))</f>
        <v>60165.322099999998</v>
      </c>
      <c r="P64" s="46">
        <f t="shared" ca="1" si="1"/>
        <v>5.1022152391668098E-3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input_442103!A$2</f>
        <v>442103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IFERROR(VLOOKUP(B65,input_442103!L:R,7,FALSE),VLOOKUP(tables_442103!C65,input_442103!A:H,8,FALSE))</f>
        <v>226.76211000000001</v>
      </c>
      <c r="P65" s="46">
        <f t="shared" ca="1" si="1"/>
        <v>1.9230165366431578E-5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input_442103!A$2</f>
        <v>442103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IFERROR(VLOOKUP(B66,input_442103!L:R,7,FALSE),VLOOKUP(tables_442103!C66,input_442103!A:H,8,FALSE))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input_442103!A$2</f>
        <v>442103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IF(K67="blue","color","")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IFERROR(VLOOKUP(B67,input_442103!L:R,7,FALSE),VLOOKUP(tables_442103!C67,input_442103!A:H,8,FALSE))</f>
        <v>60165.322099999998</v>
      </c>
      <c r="P67" s="46">
        <f t="shared" ca="1" si="5"/>
        <v>5.1022152391668098E-3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input_442103!A$2</f>
        <v>442103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IFERROR(VLOOKUP(B68,input_442103!L:R,7,FALSE),VLOOKUP(tables_442103!C68,input_442103!A:H,8,FALSE))</f>
        <v>226.76211000000001</v>
      </c>
      <c r="P68" s="46">
        <f t="shared" ca="1" si="5"/>
        <v>1.9230165366431578E-5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input_442103!A$2</f>
        <v>442103</v>
      </c>
      <c r="B69" s="10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IFERROR(VLOOKUP(B69,input_442103!L:R,7,FALSE),VLOOKUP(tables_442103!C69,input_442103!A:H,8,FALSE))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input_442103!A$2</f>
        <v>442103</v>
      </c>
      <c r="B70" s="6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IFERROR(VLOOKUP(B70,input_442103!L:R,7,FALSE),VLOOKUP(tables_442103!C70,input_442103!A:H,8,FALSE))</f>
        <v>60165.322099999998</v>
      </c>
      <c r="P70" s="46">
        <f t="shared" ca="1" si="5"/>
        <v>5.1022152391668098E-3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input_442103!A$2</f>
        <v>442103</v>
      </c>
      <c r="B71" s="10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IFERROR(VLOOKUP(B71,input_442103!L:R,7,FALSE),VLOOKUP(tables_442103!C71,input_442103!A:H,8,FALSE))</f>
        <v>226.76211000000001</v>
      </c>
      <c r="P71" s="46">
        <f t="shared" ca="1" si="5"/>
        <v>1.9230165366431578E-5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input_442103!A$2</f>
        <v>442103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IFERROR(VLOOKUP(B72,input_442103!L:R,7,FALSE),VLOOKUP(tables_442103!C72,input_442103!A:H,8,FALSE))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input_442103!A$2</f>
        <v>442103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IFERROR(VLOOKUP(B73,input_442103!L:R,7,FALSE),VLOOKUP(tables_442103!C73,input_442103!A:H,8,FALSE))</f>
        <v>60165.322099999998</v>
      </c>
      <c r="P73" s="46">
        <f t="shared" ca="1" si="5"/>
        <v>5.1022152391668098E-3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input_442103!A$2</f>
        <v>442103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IFERROR(VLOOKUP(B74,input_442103!L:R,7,FALSE),VLOOKUP(tables_442103!C74,input_442103!A:H,8,FALSE))</f>
        <v>226.76211000000001</v>
      </c>
      <c r="P74" s="46">
        <f t="shared" ca="1" si="5"/>
        <v>1.9230165366431578E-5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input_442103!A$2</f>
        <v>442103</v>
      </c>
      <c r="B75" s="6">
        <v>199</v>
      </c>
      <c r="C75" s="7" t="str">
        <f t="shared" si="4"/>
        <v>Premium3color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IFERROR(VLOOKUP(B75,input_442103!L:R,7,FALSE),VLOOKUP(tables_442103!C75,input_442103!A:H,8,FALSE))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input_442103!A$2</f>
        <v>442103</v>
      </c>
      <c r="B76" s="5">
        <v>200</v>
      </c>
      <c r="C76" s="7" t="str">
        <f t="shared" si="4"/>
        <v>Premium4color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IFERROR(VLOOKUP(B76,input_442103!L:R,7,FALSE),VLOOKUP(tables_442103!C76,input_442103!A:H,8,FALSE))</f>
        <v>274198.69592999999</v>
      </c>
      <c r="P76" s="46">
        <f t="shared" ca="1" si="5"/>
        <v>2.3252942327947949E-2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input_442103!A$2</f>
        <v>442103</v>
      </c>
      <c r="B77" s="5">
        <v>201</v>
      </c>
      <c r="C77" s="7" t="str">
        <f t="shared" si="4"/>
        <v>Premium5color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IFERROR(VLOOKUP(B77,input_442103!L:R,7,FALSE),VLOOKUP(tables_442103!C77,input_442103!A:H,8,FALSE))</f>
        <v>4682.1040700000003</v>
      </c>
      <c r="P77" s="46">
        <f t="shared" ca="1" si="5"/>
        <v>3.970576721522936E-4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input_442103!A$2</f>
        <v>442103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IFERROR(VLOOKUP(B78,input_442103!L:R,7,FALSE),VLOOKUP(tables_442103!C78,input_442103!A:H,8,FALSE))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input_442103!A$2</f>
        <v>442103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IFERROR(VLOOKUP(B79,input_442103!L:R,7,FALSE),VLOOKUP(tables_442103!C79,input_442103!A:H,8,FALSE))</f>
        <v>60165.322099999998</v>
      </c>
      <c r="P79" s="46">
        <f t="shared" ca="1" si="5"/>
        <v>5.1022152391668098E-3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input_442103!A$2</f>
        <v>442103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IFERROR(VLOOKUP(B80,input_442103!L:R,7,FALSE),VLOOKUP(tables_442103!C80,input_442103!A:H,8,FALSE))</f>
        <v>226.76211000000001</v>
      </c>
      <c r="P80" s="46">
        <f t="shared" ca="1" si="5"/>
        <v>1.9230165366431578E-5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input_442103!A$2</f>
        <v>442103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IFERROR(VLOOKUP(B81,input_442103!L:R,7,FALSE),VLOOKUP(tables_442103!C81,input_442103!A:H,8,FALSE))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input_442103!A$2</f>
        <v>442103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IFERROR(VLOOKUP(B82,input_442103!L:R,7,FALSE),VLOOKUP(tables_442103!C82,input_442103!A:H,8,FALSE))</f>
        <v>60165.322099999998</v>
      </c>
      <c r="P82" s="46">
        <f t="shared" ca="1" si="5"/>
        <v>5.1022152391668098E-3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input_442103!A$2</f>
        <v>442103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IFERROR(VLOOKUP(B83,input_442103!L:R,7,FALSE),VLOOKUP(tables_442103!C83,input_442103!A:H,8,FALSE))</f>
        <v>226.76211000000001</v>
      </c>
      <c r="P83" s="46">
        <f t="shared" ca="1" si="5"/>
        <v>1.9230165366431578E-5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input_442103!A$2</f>
        <v>442103</v>
      </c>
      <c r="B84" s="5">
        <v>208</v>
      </c>
      <c r="C84" s="7" t="str">
        <f t="shared" si="4"/>
        <v>Premium3color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IFERROR(VLOOKUP(B84,input_442103!L:R,7,FALSE),VLOOKUP(tables_442103!C84,input_442103!A:H,8,FALSE))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input_442103!A$2</f>
        <v>442103</v>
      </c>
      <c r="B85" s="5">
        <v>209</v>
      </c>
      <c r="C85" s="7" t="str">
        <f t="shared" si="4"/>
        <v>Premium4color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IFERROR(VLOOKUP(B85,input_442103!L:R,7,FALSE),VLOOKUP(tables_442103!C85,input_442103!A:H,8,FALSE))</f>
        <v>274198.69592999999</v>
      </c>
      <c r="P85" s="46">
        <f t="shared" ca="1" si="5"/>
        <v>2.3252942327947949E-2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input_442103!A$2</f>
        <v>442103</v>
      </c>
      <c r="B86" s="5">
        <v>210</v>
      </c>
      <c r="C86" s="7" t="str">
        <f t="shared" si="4"/>
        <v>Premium5color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IFERROR(VLOOKUP(B86,input_442103!L:R,7,FALSE),VLOOKUP(tables_442103!C86,input_442103!A:H,8,FALSE))</f>
        <v>4682.1040700000003</v>
      </c>
      <c r="P86" s="46">
        <f t="shared" ca="1" si="5"/>
        <v>3.970576721522936E-4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input_442103!A$2</f>
        <v>442103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IFERROR(VLOOKUP(B87,input_442103!L:R,7,FALSE),VLOOKUP(tables_442103!C87,input_442103!A:H,8,FALSE))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input_442103!A$2</f>
        <v>442103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IFERROR(VLOOKUP(B88,input_442103!L:R,7,FALSE),VLOOKUP(tables_442103!C88,input_442103!A:H,8,FALSE))</f>
        <v>60165.322099999998</v>
      </c>
      <c r="P88" s="46">
        <f t="shared" ca="1" si="5"/>
        <v>5.1022152391668098E-3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input_442103!A$2</f>
        <v>442103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IFERROR(VLOOKUP(B89,input_442103!L:R,7,FALSE),VLOOKUP(tables_442103!C89,input_442103!A:H,8,FALSE))</f>
        <v>226.76211000000001</v>
      </c>
      <c r="P89" s="46">
        <f t="shared" ca="1" si="5"/>
        <v>1.9230165366431578E-5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input_442103!A$2</f>
        <v>442103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IFERROR(VLOOKUP(B90,input_442103!L:R,7,FALSE),VLOOKUP(tables_442103!C90,input_442103!A:H,8,FALSE))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input_442103!A$2</f>
        <v>442103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IFERROR(VLOOKUP(B91,input_442103!L:R,7,FALSE),VLOOKUP(tables_442103!C91,input_442103!A:H,8,FALSE))</f>
        <v>60165.322099999998</v>
      </c>
      <c r="P91" s="46">
        <f t="shared" ca="1" si="5"/>
        <v>5.1022152391668098E-3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input_442103!A$2</f>
        <v>442103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IFERROR(VLOOKUP(B92,input_442103!L:R,7,FALSE),VLOOKUP(tables_442103!C92,input_442103!A:H,8,FALSE))</f>
        <v>226.76211000000001</v>
      </c>
      <c r="P92" s="46">
        <f t="shared" ca="1" si="5"/>
        <v>1.9230165366431578E-5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input_442103!A$2</f>
        <v>442103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IFERROR(VLOOKUP(B93,input_442103!L:R,7,FALSE),VLOOKUP(tables_442103!C93,input_442103!A:H,8,FALSE))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input_442103!A$2</f>
        <v>442103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IFERROR(VLOOKUP(B94,input_442103!L:R,7,FALSE),VLOOKUP(tables_442103!C94,input_442103!A:H,8,FALSE))</f>
        <v>60165.322099999998</v>
      </c>
      <c r="P94" s="46">
        <f t="shared" ca="1" si="5"/>
        <v>5.1022152391668098E-3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input_442103!A$2</f>
        <v>442103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IFERROR(VLOOKUP(B95,input_442103!L:R,7,FALSE),VLOOKUP(tables_442103!C95,input_442103!A:H,8,FALSE))</f>
        <v>226.76211000000001</v>
      </c>
      <c r="P95" s="46">
        <f t="shared" ca="1" si="5"/>
        <v>1.9230165366431578E-5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input_442103!A$2</f>
        <v>442103</v>
      </c>
      <c r="B96" s="5">
        <v>220</v>
      </c>
      <c r="C96" s="7" t="str">
        <f t="shared" si="4"/>
        <v>Premium3color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IFERROR(VLOOKUP(B96,input_442103!L:R,7,FALSE),VLOOKUP(tables_442103!C96,input_442103!A:H,8,FALSE))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input_442103!A$2</f>
        <v>442103</v>
      </c>
      <c r="B97" s="5">
        <v>221</v>
      </c>
      <c r="C97" s="7" t="str">
        <f t="shared" si="4"/>
        <v>Premium4color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IFERROR(VLOOKUP(B97,input_442103!L:R,7,FALSE),VLOOKUP(tables_442103!C97,input_442103!A:H,8,FALSE))</f>
        <v>274198.69592999999</v>
      </c>
      <c r="P97" s="46">
        <f t="shared" ca="1" si="5"/>
        <v>2.3252942327947949E-2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input_442103!A$2</f>
        <v>442103</v>
      </c>
      <c r="B98" s="5">
        <v>222</v>
      </c>
      <c r="C98" s="7" t="str">
        <f t="shared" si="4"/>
        <v>Premium5color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IFERROR(VLOOKUP(B98,input_442103!L:R,7,FALSE),VLOOKUP(tables_442103!C98,input_442103!A:H,8,FALSE))</f>
        <v>4682.1040700000003</v>
      </c>
      <c r="P98" s="46">
        <f t="shared" ca="1" si="5"/>
        <v>3.970576721522936E-4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input_442103!A$2</f>
        <v>442103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IFERROR(VLOOKUP(B99,input_442103!L:R,7,FALSE),VLOOKUP(tables_442103!C99,input_442103!A:H,8,FALSE))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input_442103!A$2</f>
        <v>442103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IFERROR(VLOOKUP(B100,input_442103!L:R,7,FALSE),VLOOKUP(tables_442103!C100,input_442103!A:H,8,FALSE))</f>
        <v>60165.322099999998</v>
      </c>
      <c r="P100" s="46">
        <f t="shared" ca="1" si="5"/>
        <v>5.1022152391668098E-3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input_442103!A$2</f>
        <v>442103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IFERROR(VLOOKUP(B101,input_442103!L:R,7,FALSE),VLOOKUP(tables_442103!C101,input_442103!A:H,8,FALSE))</f>
        <v>226.76211000000001</v>
      </c>
      <c r="P101" s="46">
        <f t="shared" ca="1" si="5"/>
        <v>1.9230165366431578E-5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input_442103!A$2</f>
        <v>442103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IFERROR(VLOOKUP(B102,input_442103!L:R,7,FALSE),VLOOKUP(tables_442103!C102,input_442103!A:H,8,FALSE))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input_442103!A$2</f>
        <v>442103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IFERROR(VLOOKUP(B103,input_442103!L:R,7,FALSE),VLOOKUP(tables_442103!C103,input_442103!A:H,8,FALSE))</f>
        <v>60165.322099999998</v>
      </c>
      <c r="P103" s="46">
        <f t="shared" ca="1" si="5"/>
        <v>5.1022152391668098E-3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input_442103!A$2</f>
        <v>442103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IFERROR(VLOOKUP(B104,input_442103!L:R,7,FALSE),VLOOKUP(tables_442103!C104,input_442103!A:H,8,FALSE))</f>
        <v>226.76211000000001</v>
      </c>
      <c r="P104" s="46">
        <f t="shared" ca="1" si="5"/>
        <v>1.9230165366431578E-5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input_442103!A$2</f>
        <v>442103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IFERROR(VLOOKUP(B105,input_442103!L:R,7,FALSE),VLOOKUP(tables_442103!C105,input_442103!A:H,8,FALSE))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input_442103!A$2</f>
        <v>442103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IFERROR(VLOOKUP(B106,input_442103!L:R,7,FALSE),VLOOKUP(tables_442103!C106,input_442103!A:H,8,FALSE))</f>
        <v>60165.322099999998</v>
      </c>
      <c r="P106" s="46">
        <f t="shared" ca="1" si="5"/>
        <v>5.1022152391668098E-3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input_442103!A$2</f>
        <v>442103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IFERROR(VLOOKUP(B107,input_442103!L:R,7,FALSE),VLOOKUP(tables_442103!C107,input_442103!A:H,8,FALSE))</f>
        <v>226.76211000000001</v>
      </c>
      <c r="P107" s="46">
        <f t="shared" ca="1" si="5"/>
        <v>1.9230165366431578E-5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input_442103!A$2</f>
        <v>442103</v>
      </c>
      <c r="B108" s="5">
        <v>232</v>
      </c>
      <c r="C108" s="7" t="str">
        <f t="shared" si="4"/>
        <v>Premium3color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IFERROR(VLOOKUP(B108,input_442103!L:R,7,FALSE),VLOOKUP(tables_442103!C108,input_442103!A:H,8,FALSE))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input_442103!A$2</f>
        <v>442103</v>
      </c>
      <c r="B109" s="5">
        <v>233</v>
      </c>
      <c r="C109" s="7" t="str">
        <f t="shared" si="4"/>
        <v>Premium4color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IFERROR(VLOOKUP(B109,input_442103!L:R,7,FALSE),VLOOKUP(tables_442103!C109,input_442103!A:H,8,FALSE))</f>
        <v>274198.69592999999</v>
      </c>
      <c r="P109" s="46">
        <f t="shared" ca="1" si="5"/>
        <v>2.3252942327947949E-2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input_442103!A$2</f>
        <v>442103</v>
      </c>
      <c r="B110" s="5">
        <v>234</v>
      </c>
      <c r="C110" s="7" t="str">
        <f t="shared" si="4"/>
        <v>Premium5color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IFERROR(VLOOKUP(B110,input_442103!L:R,7,FALSE),VLOOKUP(tables_442103!C110,input_442103!A:H,8,FALSE))</f>
        <v>4682.1040700000003</v>
      </c>
      <c r="P110" s="46">
        <f t="shared" ca="1" si="5"/>
        <v>3.970576721522936E-4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input_442103!A$2</f>
        <v>442103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IFERROR(VLOOKUP(B111,input_442103!L:R,7,FALSE),VLOOKUP(tables_442103!C111,input_442103!A:H,8,FALSE))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input_442103!A$2</f>
        <v>442103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IFERROR(VLOOKUP(B112,input_442103!L:R,7,FALSE),VLOOKUP(tables_442103!C112,input_442103!A:H,8,FALSE))</f>
        <v>63268.480000000003</v>
      </c>
      <c r="P112" s="46">
        <f t="shared" ca="1" si="5"/>
        <v>5.3653731343511002E-3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input_442103!A$2</f>
        <v>442103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IFERROR(VLOOKUP(B113,input_442103!L:R,7,FALSE),VLOOKUP(tables_442103!C113,input_442103!A:H,8,FALSE))</f>
        <v>3329.92</v>
      </c>
      <c r="P113" s="46">
        <f t="shared" ca="1" si="5"/>
        <v>2.8238805970268947E-4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input_442103!A$2</f>
        <v>442103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IFERROR(VLOOKUP(B114,input_442103!L:R,7,FALSE),VLOOKUP(tables_442103!C114,input_442103!A:H,8,FALSE))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input_442103!A$2</f>
        <v>442103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IFERROR(VLOOKUP(B115,input_442103!L:R,7,FALSE),VLOOKUP(tables_442103!C115,input_442103!A:H,8,FALSE))</f>
        <v>60165.322099999998</v>
      </c>
      <c r="P115" s="46">
        <f t="shared" ca="1" si="5"/>
        <v>5.1022152391668098E-3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input_442103!A$2</f>
        <v>442103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IFERROR(VLOOKUP(B116,input_442103!L:R,7,FALSE),VLOOKUP(tables_442103!C116,input_442103!A:H,8,FALSE))</f>
        <v>226.76211000000001</v>
      </c>
      <c r="P116" s="46">
        <f t="shared" ca="1" si="5"/>
        <v>1.9230165366431578E-5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input_442103!A$2</f>
        <v>442103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IFERROR(VLOOKUP(B117,input_442103!L:R,7,FALSE),VLOOKUP(tables_442103!C117,input_442103!A:H,8,FALSE))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input_442103!A$2</f>
        <v>442103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IFERROR(VLOOKUP(B118,input_442103!L:R,7,FALSE),VLOOKUP(tables_442103!C118,input_442103!A:H,8,FALSE))</f>
        <v>60165.322099999998</v>
      </c>
      <c r="P118" s="46">
        <f t="shared" ca="1" si="5"/>
        <v>5.1022152391668098E-3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input_442103!A$2</f>
        <v>442103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IFERROR(VLOOKUP(B119,input_442103!L:R,7,FALSE),VLOOKUP(tables_442103!C119,input_442103!A:H,8,FALSE))</f>
        <v>226.76211000000001</v>
      </c>
      <c r="P119" s="46">
        <f t="shared" ca="1" si="5"/>
        <v>1.9230165366431578E-5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input_442103!A$2</f>
        <v>442103</v>
      </c>
      <c r="B120" s="5">
        <v>244</v>
      </c>
      <c r="C120" s="7" t="str">
        <f t="shared" si="4"/>
        <v>Premium3color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IFERROR(VLOOKUP(B120,input_442103!L:R,7,FALSE),VLOOKUP(tables_442103!C120,input_442103!A:H,8,FALSE))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input_442103!A$2</f>
        <v>442103</v>
      </c>
      <c r="B121" s="5">
        <v>245</v>
      </c>
      <c r="C121" s="7" t="str">
        <f t="shared" si="4"/>
        <v>Premium4color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IFERROR(VLOOKUP(B121,input_442103!L:R,7,FALSE),VLOOKUP(tables_442103!C121,input_442103!A:H,8,FALSE))</f>
        <v>274198.69592999999</v>
      </c>
      <c r="P121" s="46">
        <f t="shared" ca="1" si="5"/>
        <v>2.3252942327947949E-2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input_442103!A$2</f>
        <v>442103</v>
      </c>
      <c r="B122" s="5">
        <v>246</v>
      </c>
      <c r="C122" s="7" t="str">
        <f t="shared" si="4"/>
        <v>Premium5color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IFERROR(VLOOKUP(B122,input_442103!L:R,7,FALSE),VLOOKUP(tables_442103!C122,input_442103!A:H,8,FALSE))</f>
        <v>4682.1040700000003</v>
      </c>
      <c r="P122" s="46">
        <f t="shared" ca="1" si="5"/>
        <v>3.970576721522936E-4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input_442103!A$2</f>
        <v>442103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IFERROR(VLOOKUP(B123,input_442103!L:R,7,FALSE),VLOOKUP(tables_442103!C123,input_442103!A:H,8,FALSE))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input_442103!A$2</f>
        <v>442103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IFERROR(VLOOKUP(B124,input_442103!L:R,7,FALSE),VLOOKUP(tables_442103!C124,input_442103!A:H,8,FALSE))</f>
        <v>60165.322099999998</v>
      </c>
      <c r="P124" s="46">
        <f t="shared" ca="1" si="5"/>
        <v>5.1022152391668098E-3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input_442103!A$2</f>
        <v>442103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IFERROR(VLOOKUP(B125,input_442103!L:R,7,FALSE),VLOOKUP(tables_442103!C125,input_442103!A:H,8,FALSE))</f>
        <v>226.76211000000001</v>
      </c>
      <c r="P125" s="46">
        <f t="shared" ca="1" si="5"/>
        <v>1.9230165366431578E-5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input_442103!A$2</f>
        <v>442103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IFERROR(VLOOKUP(B126,input_442103!L:R,7,FALSE),VLOOKUP(tables_442103!C126,input_442103!A:H,8,FALSE))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input_442103!A$2</f>
        <v>442103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IFERROR(VLOOKUP(B127,input_442103!L:R,7,FALSE),VLOOKUP(tables_442103!C127,input_442103!A:H,8,FALSE))</f>
        <v>60165.322099999998</v>
      </c>
      <c r="P127" s="46">
        <f t="shared" ca="1" si="5"/>
        <v>5.1022152391668098E-3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input_442103!A$2</f>
        <v>442103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IFERROR(VLOOKUP(B128,input_442103!L:R,7,FALSE),VLOOKUP(tables_442103!C128,input_442103!A:H,8,FALSE))</f>
        <v>226.76211000000001</v>
      </c>
      <c r="P128" s="46">
        <f t="shared" ca="1" si="5"/>
        <v>1.9230165366431578E-5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input_442103!A$2</f>
        <v>442103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IFERROR(VLOOKUP(B129,input_442103!L:R,7,FALSE),VLOOKUP(tables_442103!C129,input_442103!A:H,8,FALSE))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input_442103!A$2</f>
        <v>442103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IFERROR(VLOOKUP(B130,input_442103!L:R,7,FALSE),VLOOKUP(tables_442103!C130,input_442103!A:H,8,FALSE))</f>
        <v>60165.322099999998</v>
      </c>
      <c r="P130" s="46">
        <f t="shared" ref="P130:P193" ca="1" si="9">O130/SUM(O:O)</f>
        <v>5.1022152391668098E-3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input_442103!A$2</f>
        <v>442103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IF(K131="blue","color","")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IFERROR(VLOOKUP(B131,input_442103!L:R,7,FALSE),VLOOKUP(tables_442103!C131,input_442103!A:H,8,FALSE))</f>
        <v>226.76211000000001</v>
      </c>
      <c r="P131" s="46">
        <f t="shared" ca="1" si="9"/>
        <v>1.9230165366431578E-5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input_442103!A$2</f>
        <v>442103</v>
      </c>
      <c r="B132" s="6">
        <v>256</v>
      </c>
      <c r="C132" s="7" t="str">
        <f t="shared" si="8"/>
        <v>Premium3color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IFERROR(VLOOKUP(B132,input_442103!L:R,7,FALSE),VLOOKUP(tables_442103!C132,input_442103!A:H,8,FALSE))</f>
        <v>0</v>
      </c>
      <c r="P132" s="46">
        <f t="shared" ca="1" si="9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input_442103!A$2</f>
        <v>442103</v>
      </c>
      <c r="B133" s="6">
        <v>257</v>
      </c>
      <c r="C133" s="7" t="str">
        <f t="shared" si="8"/>
        <v>Premium4color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IFERROR(VLOOKUP(B133,input_442103!L:R,7,FALSE),VLOOKUP(tables_442103!C133,input_442103!A:H,8,FALSE))</f>
        <v>274198.69592999999</v>
      </c>
      <c r="P133" s="46">
        <f t="shared" ca="1" si="9"/>
        <v>2.3252942327947949E-2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input_442103!A$2</f>
        <v>442103</v>
      </c>
      <c r="B134" s="6">
        <v>258</v>
      </c>
      <c r="C134" s="7" t="str">
        <f t="shared" si="8"/>
        <v>Premium5color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IFERROR(VLOOKUP(B134,input_442103!L:R,7,FALSE),VLOOKUP(tables_442103!C134,input_442103!A:H,8,FALSE))</f>
        <v>4682.1040700000003</v>
      </c>
      <c r="P134" s="46">
        <f t="shared" ca="1" si="9"/>
        <v>3.970576721522936E-4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input_442103!A$2</f>
        <v>442103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IFERROR(VLOOKUP(B135,input_442103!L:R,7,FALSE),VLOOKUP(tables_442103!C135,input_442103!A:H,8,FALSE))</f>
        <v>0</v>
      </c>
      <c r="P135" s="46">
        <f t="shared" ca="1" si="9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input_442103!A$2</f>
        <v>442103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IFERROR(VLOOKUP(B136,input_442103!L:R,7,FALSE),VLOOKUP(tables_442103!C136,input_442103!A:H,8,FALSE))</f>
        <v>60165.322099999998</v>
      </c>
      <c r="P136" s="46">
        <f t="shared" ca="1" si="9"/>
        <v>5.1022152391668098E-3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input_442103!A$2</f>
        <v>442103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IFERROR(VLOOKUP(B137,input_442103!L:R,7,FALSE),VLOOKUP(tables_442103!C137,input_442103!A:H,8,FALSE))</f>
        <v>226.76211000000001</v>
      </c>
      <c r="P137" s="46">
        <f t="shared" ca="1" si="9"/>
        <v>1.9230165366431578E-5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input_442103!A$2</f>
        <v>442103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IFERROR(VLOOKUP(B138,input_442103!L:R,7,FALSE),VLOOKUP(tables_442103!C138,input_442103!A:H,8,FALSE))</f>
        <v>5625.9592300000004</v>
      </c>
      <c r="P138" s="46">
        <f t="shared" ca="1" si="9"/>
        <v>4.7709966333309422E-4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input_442103!A$2</f>
        <v>442103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IFERROR(VLOOKUP(B139,input_442103!L:R,7,FALSE),VLOOKUP(tables_442103!C139,input_442103!A:H,8,FALSE))</f>
        <v>268</v>
      </c>
      <c r="P139" s="46">
        <f t="shared" ca="1" si="9"/>
        <v>2.2727272727369061E-5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input_442103!A$2</f>
        <v>442103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IFERROR(VLOOKUP(B140,input_442103!L:R,7,FALSE),VLOOKUP(tables_442103!C140,input_442103!A:H,8,FALSE))</f>
        <v>5625.9592300000004</v>
      </c>
      <c r="P140" s="46">
        <f t="shared" ca="1" si="9"/>
        <v>4.7709966333309422E-4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input_442103!A$2</f>
        <v>442103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IFERROR(VLOOKUP(B141,input_442103!L:R,7,FALSE),VLOOKUP(tables_442103!C141,input_442103!A:H,8,FALSE))</f>
        <v>268</v>
      </c>
      <c r="P141" s="46">
        <f t="shared" ca="1" si="9"/>
        <v>2.2727272727369061E-5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input_442103!A$2</f>
        <v>442103</v>
      </c>
      <c r="B142" s="6">
        <v>324</v>
      </c>
      <c r="C142" s="7" t="str">
        <f t="shared" si="8"/>
        <v>PremiumSS4color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IFERROR(VLOOKUP(B142,input_442103!L:R,7,FALSE),VLOOKUP(tables_442103!C142,input_442103!A:H,8,FALSE))</f>
        <v>25851.692309999999</v>
      </c>
      <c r="P142" s="46">
        <f t="shared" ca="1" si="9"/>
        <v>2.1923076925126845E-3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input_442103!A$2</f>
        <v>442103</v>
      </c>
      <c r="B143" s="6">
        <v>325</v>
      </c>
      <c r="C143" s="7" t="str">
        <f t="shared" si="8"/>
        <v>PremiumSS5color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IFERROR(VLOOKUP(B143,input_442103!L:R,7,FALSE),VLOOKUP(tables_442103!C143,input_442103!A:H,8,FALSE))</f>
        <v>1360.61538</v>
      </c>
      <c r="P143" s="46">
        <f t="shared" ca="1" si="9"/>
        <v>1.1538461499370481E-4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input_442103!A$2</f>
        <v>442103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IFERROR(VLOOKUP(B144,input_442103!L:R,7,FALSE),VLOOKUP(tables_442103!C144,input_442103!A:H,8,FALSE))</f>
        <v>5625.9592300000004</v>
      </c>
      <c r="P144" s="46">
        <f t="shared" ca="1" si="9"/>
        <v>4.7709966333309422E-4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input_442103!A$2</f>
        <v>442103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IFERROR(VLOOKUP(B145,input_442103!L:R,7,FALSE),VLOOKUP(tables_442103!C145,input_442103!A:H,8,FALSE))</f>
        <v>268</v>
      </c>
      <c r="P145" s="46">
        <f t="shared" ca="1" si="9"/>
        <v>2.2727272727369061E-5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input_442103!A$2</f>
        <v>442103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IFERROR(VLOOKUP(B146,input_442103!L:R,7,FALSE),VLOOKUP(tables_442103!C146,input_442103!A:H,8,FALSE))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input_442103!A$2</f>
        <v>442103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IFERROR(VLOOKUP(B147,input_442103!L:R,7,FALSE),VLOOKUP(tables_442103!C147,input_442103!A:H,8,FALSE))</f>
        <v>60165.322099999998</v>
      </c>
      <c r="P147" s="46">
        <f t="shared" ca="1" si="9"/>
        <v>5.1022152391668098E-3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input_442103!A$2</f>
        <v>442103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IFERROR(VLOOKUP(B148,input_442103!L:R,7,FALSE),VLOOKUP(tables_442103!C148,input_442103!A:H,8,FALSE))</f>
        <v>226.76211000000001</v>
      </c>
      <c r="P148" s="46">
        <f t="shared" ca="1" si="9"/>
        <v>1.9230165366431578E-5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input_442103!A$2</f>
        <v>442103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IFERROR(VLOOKUP(B149,input_442103!L:R,7,FALSE),VLOOKUP(tables_442103!C149,input_442103!A:H,8,FALSE))</f>
        <v>5625.9592300000004</v>
      </c>
      <c r="P149" s="46">
        <f t="shared" ca="1" si="9"/>
        <v>4.7709966333309422E-4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input_442103!A$2</f>
        <v>442103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IFERROR(VLOOKUP(B150,input_442103!L:R,7,FALSE),VLOOKUP(tables_442103!C150,input_442103!A:H,8,FALSE))</f>
        <v>268</v>
      </c>
      <c r="P150" s="46">
        <f t="shared" ca="1" si="9"/>
        <v>2.2727272727369061E-5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input_442103!A$2</f>
        <v>442103</v>
      </c>
      <c r="B151" s="6">
        <v>385</v>
      </c>
      <c r="C151" s="7" t="str">
        <f t="shared" si="8"/>
        <v>PremiumSS4color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IFERROR(VLOOKUP(B151,input_442103!L:R,7,FALSE),VLOOKUP(tables_442103!C151,input_442103!A:H,8,FALSE))</f>
        <v>25851.692309999999</v>
      </c>
      <c r="P151" s="46">
        <f t="shared" ca="1" si="9"/>
        <v>2.1923076925126845E-3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input_442103!A$2</f>
        <v>442103</v>
      </c>
      <c r="B152" s="6">
        <v>386</v>
      </c>
      <c r="C152" s="7" t="str">
        <f t="shared" si="8"/>
        <v>PremiumSS5color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IFERROR(VLOOKUP(B152,input_442103!L:R,7,FALSE),VLOOKUP(tables_442103!C152,input_442103!A:H,8,FALSE))</f>
        <v>1360.61538</v>
      </c>
      <c r="P152" s="46">
        <f t="shared" ca="1" si="9"/>
        <v>1.1538461499370481E-4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input_442103!A$2</f>
        <v>442103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IFERROR(VLOOKUP(B153,input_442103!L:R,7,FALSE),VLOOKUP(tables_442103!C153,input_442103!A:H,8,FALSE))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input_442103!A$2</f>
        <v>442103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IFERROR(VLOOKUP(B154,input_442103!L:R,7,FALSE),VLOOKUP(tables_442103!C154,input_442103!A:H,8,FALSE))</f>
        <v>60165.322099999998</v>
      </c>
      <c r="P154" s="46">
        <f t="shared" ca="1" si="9"/>
        <v>5.1022152391668098E-3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input_442103!A$2</f>
        <v>442103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IFERROR(VLOOKUP(B155,input_442103!L:R,7,FALSE),VLOOKUP(tables_442103!C155,input_442103!A:H,8,FALSE))</f>
        <v>226.76211000000001</v>
      </c>
      <c r="P155" s="46">
        <f t="shared" ca="1" si="9"/>
        <v>1.9230165366431578E-5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input_442103!A$2</f>
        <v>442103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IFERROR(VLOOKUP(B156,input_442103!L:R,7,FALSE),VLOOKUP(tables_442103!C156,input_442103!A:H,8,FALSE))</f>
        <v>5625.9592300000004</v>
      </c>
      <c r="P156" s="46">
        <f t="shared" ca="1" si="9"/>
        <v>4.7709966333309422E-4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input_442103!A$2</f>
        <v>442103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IFERROR(VLOOKUP(B157,input_442103!L:R,7,FALSE),VLOOKUP(tables_442103!C157,input_442103!A:H,8,FALSE))</f>
        <v>268</v>
      </c>
      <c r="P157" s="46">
        <f t="shared" ca="1" si="9"/>
        <v>2.2727272727369061E-5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input_442103!A$2</f>
        <v>442103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IFERROR(VLOOKUP(B158,input_442103!L:R,7,FALSE),VLOOKUP(tables_442103!C158,input_442103!A:H,8,FALSE))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input_442103!A$2</f>
        <v>442103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IFERROR(VLOOKUP(B159,input_442103!L:R,7,FALSE),VLOOKUP(tables_442103!C159,input_442103!A:H,8,FALSE))</f>
        <v>60165.322099999998</v>
      </c>
      <c r="P159" s="46">
        <f t="shared" ca="1" si="9"/>
        <v>5.1022152391668098E-3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input_442103!A$2</f>
        <v>442103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IFERROR(VLOOKUP(B160,input_442103!L:R,7,FALSE),VLOOKUP(tables_442103!C160,input_442103!A:H,8,FALSE))</f>
        <v>226.76211000000001</v>
      </c>
      <c r="P160" s="46">
        <f t="shared" ca="1" si="9"/>
        <v>1.9230165366431578E-5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input_442103!A$2</f>
        <v>442103</v>
      </c>
      <c r="B161" s="6">
        <v>395</v>
      </c>
      <c r="C161" s="7" t="str">
        <f t="shared" si="8"/>
        <v>Premium3color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IFERROR(VLOOKUP(B161,input_442103!L:R,7,FALSE),VLOOKUP(tables_442103!C161,input_442103!A:H,8,FALSE))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input_442103!A$2</f>
        <v>442103</v>
      </c>
      <c r="B162" s="6">
        <v>396</v>
      </c>
      <c r="C162" s="7" t="str">
        <f t="shared" si="8"/>
        <v>Premium4color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IFERROR(VLOOKUP(B162,input_442103!L:R,7,FALSE),VLOOKUP(tables_442103!C162,input_442103!A:H,8,FALSE))</f>
        <v>274198.69592999999</v>
      </c>
      <c r="P162" s="46">
        <f t="shared" ca="1" si="9"/>
        <v>2.3252942327947949E-2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input_442103!A$2</f>
        <v>442103</v>
      </c>
      <c r="B163" s="6">
        <v>397</v>
      </c>
      <c r="C163" s="7" t="str">
        <f t="shared" si="8"/>
        <v>Premium5color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IFERROR(VLOOKUP(B163,input_442103!L:R,7,FALSE),VLOOKUP(tables_442103!C163,input_442103!A:H,8,FALSE))</f>
        <v>4682.1040700000003</v>
      </c>
      <c r="P163" s="46">
        <f t="shared" ca="1" si="9"/>
        <v>3.970576721522936E-4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input_442103!A$2</f>
        <v>442103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IFERROR(VLOOKUP(B164,input_442103!L:R,7,FALSE),VLOOKUP(tables_442103!C164,input_442103!A:H,8,FALSE))</f>
        <v>5625.9592300000004</v>
      </c>
      <c r="P164" s="46">
        <f t="shared" ca="1" si="9"/>
        <v>4.7709966333309422E-4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input_442103!A$2</f>
        <v>442103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IFERROR(VLOOKUP(B165,input_442103!L:R,7,FALSE),VLOOKUP(tables_442103!C165,input_442103!A:H,8,FALSE))</f>
        <v>268</v>
      </c>
      <c r="P165" s="46">
        <f t="shared" ca="1" si="9"/>
        <v>2.2727272727369061E-5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input_442103!A$2</f>
        <v>442103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IFERROR(VLOOKUP(B166,input_442103!L:R,7,FALSE),VLOOKUP(tables_442103!C166,input_442103!A:H,8,FALSE))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input_442103!A$2</f>
        <v>442103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IFERROR(VLOOKUP(B167,input_442103!L:R,7,FALSE),VLOOKUP(tables_442103!C167,input_442103!A:H,8,FALSE))</f>
        <v>60165.322099999998</v>
      </c>
      <c r="P167" s="46">
        <f t="shared" ca="1" si="9"/>
        <v>5.1022152391668098E-3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input_442103!A$2</f>
        <v>442103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IFERROR(VLOOKUP(B168,input_442103!L:R,7,FALSE),VLOOKUP(tables_442103!C168,input_442103!A:H,8,FALSE))</f>
        <v>226.76211000000001</v>
      </c>
      <c r="P168" s="46">
        <f t="shared" ca="1" si="9"/>
        <v>1.9230165366431578E-5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input_442103!A$2</f>
        <v>442103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IFERROR(VLOOKUP(B169,input_442103!L:R,7,FALSE),VLOOKUP(tables_442103!C169,input_442103!A:H,8,FALSE))</f>
        <v>5625.9592300000004</v>
      </c>
      <c r="P169" s="46">
        <f t="shared" ca="1" si="9"/>
        <v>4.7709966333309422E-4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input_442103!A$2</f>
        <v>442103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IFERROR(VLOOKUP(B170,input_442103!L:R,7,FALSE),VLOOKUP(tables_442103!C170,input_442103!A:H,8,FALSE))</f>
        <v>268</v>
      </c>
      <c r="P170" s="46">
        <f t="shared" ca="1" si="9"/>
        <v>2.2727272727369061E-5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input_442103!A$2</f>
        <v>442103</v>
      </c>
      <c r="B171" s="6">
        <v>405</v>
      </c>
      <c r="C171" s="7" t="str">
        <f t="shared" si="8"/>
        <v>Premium3color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IFERROR(VLOOKUP(B171,input_442103!L:R,7,FALSE),VLOOKUP(tables_442103!C171,input_442103!A:H,8,FALSE))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input_442103!A$2</f>
        <v>442103</v>
      </c>
      <c r="B172" s="6">
        <v>406</v>
      </c>
      <c r="C172" s="7" t="str">
        <f t="shared" si="8"/>
        <v>Premium4color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IFERROR(VLOOKUP(B172,input_442103!L:R,7,FALSE),VLOOKUP(tables_442103!C172,input_442103!A:H,8,FALSE))</f>
        <v>274198.69592999999</v>
      </c>
      <c r="P172" s="46">
        <f t="shared" ca="1" si="9"/>
        <v>2.3252942327947949E-2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input_442103!A$2</f>
        <v>442103</v>
      </c>
      <c r="B173" s="6">
        <v>407</v>
      </c>
      <c r="C173" s="7" t="str">
        <f t="shared" si="8"/>
        <v>Premium5color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IFERROR(VLOOKUP(B173,input_442103!L:R,7,FALSE),VLOOKUP(tables_442103!C173,input_442103!A:H,8,FALSE))</f>
        <v>4682.1040700000003</v>
      </c>
      <c r="P173" s="46">
        <f t="shared" ca="1" si="9"/>
        <v>3.970576721522936E-4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input_442103!A$2</f>
        <v>442103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IFERROR(VLOOKUP(B174,input_442103!L:R,7,FALSE),VLOOKUP(tables_442103!C174,input_442103!A:H,8,FALSE))</f>
        <v>5625.9592300000004</v>
      </c>
      <c r="P174" s="46">
        <f t="shared" ca="1" si="9"/>
        <v>4.7709966333309422E-4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input_442103!A$2</f>
        <v>442103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IFERROR(VLOOKUP(B175,input_442103!L:R,7,FALSE),VLOOKUP(tables_442103!C175,input_442103!A:H,8,FALSE))</f>
        <v>268</v>
      </c>
      <c r="P175" s="46">
        <f t="shared" ca="1" si="9"/>
        <v>2.2727272727369061E-5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input_442103!A$2</f>
        <v>442103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IFERROR(VLOOKUP(B176,input_442103!L:R,7,FALSE),VLOOKUP(tables_442103!C176,input_442103!A:H,8,FALSE))</f>
        <v>5625.9592300000004</v>
      </c>
      <c r="P176" s="46">
        <f t="shared" ca="1" si="9"/>
        <v>4.7709966333309422E-4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input_442103!A$2</f>
        <v>442103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IFERROR(VLOOKUP(B177,input_442103!L:R,7,FALSE),VLOOKUP(tables_442103!C177,input_442103!A:H,8,FALSE))</f>
        <v>268</v>
      </c>
      <c r="P177" s="46">
        <f t="shared" ca="1" si="9"/>
        <v>2.2727272727369061E-5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input_442103!A$2</f>
        <v>442103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IFERROR(VLOOKUP(B178,input_442103!L:R,7,FALSE),VLOOKUP(tables_442103!C178,input_442103!A:H,8,FALSE))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input_442103!A$2</f>
        <v>442103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IFERROR(VLOOKUP(B179,input_442103!L:R,7,FALSE),VLOOKUP(tables_442103!C179,input_442103!A:H,8,FALSE))</f>
        <v>60165.322099999998</v>
      </c>
      <c r="P179" s="46">
        <f t="shared" ca="1" si="9"/>
        <v>5.1022152391668098E-3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input_442103!A$2</f>
        <v>442103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IFERROR(VLOOKUP(B180,input_442103!L:R,7,FALSE),VLOOKUP(tables_442103!C180,input_442103!A:H,8,FALSE))</f>
        <v>226.76211000000001</v>
      </c>
      <c r="P180" s="46">
        <f t="shared" ca="1" si="9"/>
        <v>1.9230165366431578E-5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input_442103!A$2</f>
        <v>442103</v>
      </c>
      <c r="B181" s="6">
        <v>439</v>
      </c>
      <c r="C181" s="7" t="str">
        <f t="shared" si="8"/>
        <v>Premium3color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IFERROR(VLOOKUP(B181,input_442103!L:R,7,FALSE),VLOOKUP(tables_442103!C181,input_442103!A:H,8,FALSE))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input_442103!A$2</f>
        <v>442103</v>
      </c>
      <c r="B182" s="6">
        <v>440</v>
      </c>
      <c r="C182" s="7" t="str">
        <f t="shared" si="8"/>
        <v>Premium4color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IFERROR(VLOOKUP(B182,input_442103!L:R,7,FALSE),VLOOKUP(tables_442103!C182,input_442103!A:H,8,FALSE))</f>
        <v>274198.69592999999</v>
      </c>
      <c r="P182" s="46">
        <f t="shared" ca="1" si="9"/>
        <v>2.3252942327947949E-2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input_442103!A$2</f>
        <v>442103</v>
      </c>
      <c r="B183" s="6">
        <v>441</v>
      </c>
      <c r="C183" s="7" t="str">
        <f t="shared" si="8"/>
        <v>Premium5color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IFERROR(VLOOKUP(B183,input_442103!L:R,7,FALSE),VLOOKUP(tables_442103!C183,input_442103!A:H,8,FALSE))</f>
        <v>4682.1040700000003</v>
      </c>
      <c r="P183" s="46">
        <f t="shared" ca="1" si="9"/>
        <v>3.970576721522936E-4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input_442103!A$2</f>
        <v>442103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IFERROR(VLOOKUP(B184,input_442103!L:R,7,FALSE),VLOOKUP(tables_442103!C184,input_442103!A:H,8,FALSE))</f>
        <v>5625.9592300000004</v>
      </c>
      <c r="P184" s="46">
        <f t="shared" ca="1" si="9"/>
        <v>4.7709966333309422E-4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input_442103!A$2</f>
        <v>442103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IFERROR(VLOOKUP(B185,input_442103!L:R,7,FALSE),VLOOKUP(tables_442103!C185,input_442103!A:H,8,FALSE))</f>
        <v>268</v>
      </c>
      <c r="P185" s="46">
        <f t="shared" ca="1" si="9"/>
        <v>2.2727272727369061E-5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input_442103!A$2</f>
        <v>442103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IFERROR(VLOOKUP(B186,input_442103!L:R,7,FALSE),VLOOKUP(tables_442103!C186,input_442103!A:H,8,FALSE))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input_442103!A$2</f>
        <v>442103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IFERROR(VLOOKUP(B187,input_442103!L:R,7,FALSE),VLOOKUP(tables_442103!C187,input_442103!A:H,8,FALSE))</f>
        <v>60165.322099999998</v>
      </c>
      <c r="P187" s="46">
        <f t="shared" ca="1" si="9"/>
        <v>5.1022152391668098E-3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input_442103!A$2</f>
        <v>442103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IFERROR(VLOOKUP(B188,input_442103!L:R,7,FALSE),VLOOKUP(tables_442103!C188,input_442103!A:H,8,FALSE))</f>
        <v>226.76211000000001</v>
      </c>
      <c r="P188" s="46">
        <f t="shared" ca="1" si="9"/>
        <v>1.9230165366431578E-5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input_442103!A$2</f>
        <v>442103</v>
      </c>
      <c r="B189" s="6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IFERROR(VLOOKUP(B189,input_442103!L:R,7,FALSE),VLOOKUP(tables_442103!C189,input_442103!A:H,8,FALSE))</f>
        <v>5625.9592300000004</v>
      </c>
      <c r="P189" s="46">
        <f t="shared" ca="1" si="9"/>
        <v>4.7709966333309422E-4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input_442103!A$2</f>
        <v>442103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IFERROR(VLOOKUP(B190,input_442103!L:R,7,FALSE),VLOOKUP(tables_442103!C190,input_442103!A:H,8,FALSE))</f>
        <v>268</v>
      </c>
      <c r="P190" s="46">
        <f t="shared" ca="1" si="9"/>
        <v>2.2727272727369061E-5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input_442103!A$2</f>
        <v>442103</v>
      </c>
      <c r="B191" s="6">
        <v>467</v>
      </c>
      <c r="C191" s="7" t="str">
        <f t="shared" si="8"/>
        <v>PremiumSS4color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IFERROR(VLOOKUP(B191,input_442103!L:R,7,FALSE),VLOOKUP(tables_442103!C191,input_442103!A:H,8,FALSE))</f>
        <v>25851.692309999999</v>
      </c>
      <c r="P191" s="46">
        <f t="shared" ca="1" si="9"/>
        <v>2.1923076925126845E-3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input_442103!A$2</f>
        <v>442103</v>
      </c>
      <c r="B192" s="6">
        <v>468</v>
      </c>
      <c r="C192" s="7" t="str">
        <f t="shared" si="8"/>
        <v>PremiumSS5color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IFERROR(VLOOKUP(B192,input_442103!L:R,7,FALSE),VLOOKUP(tables_442103!C192,input_442103!A:H,8,FALSE))</f>
        <v>1360.61538</v>
      </c>
      <c r="P192" s="46">
        <f t="shared" ca="1" si="9"/>
        <v>1.1538461499370481E-4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input_442103!A$2</f>
        <v>442103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IFERROR(VLOOKUP(B193,input_442103!L:R,7,FALSE),VLOOKUP(tables_442103!C193,input_442103!A:H,8,FALSE))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input_442103!A$2</f>
        <v>442103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IFERROR(VLOOKUP(B194,input_442103!L:R,7,FALSE),VLOOKUP(tables_442103!C194,input_442103!A:H,8,FALSE))</f>
        <v>60165.322099999998</v>
      </c>
      <c r="P194" s="46">
        <f t="shared" ref="P194:P257" ca="1" si="13">O194/SUM(O:O)</f>
        <v>5.1022152391668098E-3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input_442103!A$2</f>
        <v>442103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IF(K195="blue","color","")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IFERROR(VLOOKUP(B195,input_442103!L:R,7,FALSE),VLOOKUP(tables_442103!C195,input_442103!A:H,8,FALSE))</f>
        <v>226.76211000000001</v>
      </c>
      <c r="P195" s="46">
        <f t="shared" ca="1" si="13"/>
        <v>1.9230165366431578E-5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input_442103!A$2</f>
        <v>442103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IFERROR(VLOOKUP(B196,input_442103!L:R,7,FALSE),VLOOKUP(tables_442103!C196,input_442103!A:H,8,FALSE))</f>
        <v>5625.9592300000004</v>
      </c>
      <c r="P196" s="46">
        <f t="shared" ca="1" si="13"/>
        <v>4.7709966333309422E-4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input_442103!A$2</f>
        <v>442103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IFERROR(VLOOKUP(B197,input_442103!L:R,7,FALSE),VLOOKUP(tables_442103!C197,input_442103!A:H,8,FALSE))</f>
        <v>268</v>
      </c>
      <c r="P197" s="46">
        <f t="shared" ca="1" si="13"/>
        <v>2.2727272727369061E-5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input_442103!A$2</f>
        <v>442103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IFERROR(VLOOKUP(B198,input_442103!L:R,7,FALSE),VLOOKUP(tables_442103!C198,input_442103!A:H,8,FALSE))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input_442103!A$2</f>
        <v>442103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IFERROR(VLOOKUP(B199,input_442103!L:R,7,FALSE),VLOOKUP(tables_442103!C199,input_442103!A:H,8,FALSE))</f>
        <v>60165.322099999998</v>
      </c>
      <c r="P199" s="46">
        <f t="shared" ca="1" si="13"/>
        <v>5.1022152391668098E-3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input_442103!A$2</f>
        <v>442103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IFERROR(VLOOKUP(B200,input_442103!L:R,7,FALSE),VLOOKUP(tables_442103!C200,input_442103!A:H,8,FALSE))</f>
        <v>226.76211000000001</v>
      </c>
      <c r="P200" s="46">
        <f t="shared" ca="1" si="13"/>
        <v>1.9230165366431578E-5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input_442103!A$2</f>
        <v>442103</v>
      </c>
      <c r="B201" s="6">
        <v>479</v>
      </c>
      <c r="C201" s="7" t="str">
        <f t="shared" si="12"/>
        <v>PremiumSS4color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IFERROR(VLOOKUP(B201,input_442103!L:R,7,FALSE),VLOOKUP(tables_442103!C201,input_442103!A:H,8,FALSE))</f>
        <v>25851.692309999999</v>
      </c>
      <c r="P201" s="46">
        <f t="shared" ca="1" si="13"/>
        <v>2.1923076925126845E-3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input_442103!A$2</f>
        <v>442103</v>
      </c>
      <c r="B202" s="6">
        <v>480</v>
      </c>
      <c r="C202" s="7" t="str">
        <f t="shared" si="12"/>
        <v>PremiumSS5color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IFERROR(VLOOKUP(B202,input_442103!L:R,7,FALSE),VLOOKUP(tables_442103!C202,input_442103!A:H,8,FALSE))</f>
        <v>1360.61538</v>
      </c>
      <c r="P202" s="46">
        <f t="shared" ca="1" si="13"/>
        <v>1.1538461499370481E-4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input_442103!A$2</f>
        <v>442103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IFERROR(VLOOKUP(B203,input_442103!L:R,7,FALSE),VLOOKUP(tables_442103!C203,input_442103!A:H,8,FALSE))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input_442103!A$2</f>
        <v>442103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IFERROR(VLOOKUP(B204,input_442103!L:R,7,FALSE),VLOOKUP(tables_442103!C204,input_442103!A:H,8,FALSE))</f>
        <v>60165.322099999998</v>
      </c>
      <c r="P204" s="46">
        <f t="shared" ca="1" si="13"/>
        <v>5.1022152391668098E-3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input_442103!A$2</f>
        <v>442103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IFERROR(VLOOKUP(B205,input_442103!L:R,7,FALSE),VLOOKUP(tables_442103!C205,input_442103!A:H,8,FALSE))</f>
        <v>226.76211000000001</v>
      </c>
      <c r="P205" s="46">
        <f t="shared" ca="1" si="13"/>
        <v>1.9230165366431578E-5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input_442103!A$2</f>
        <v>442103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IFERROR(VLOOKUP(B206,input_442103!L:R,7,FALSE),VLOOKUP(tables_442103!C206,input_442103!A:H,8,FALSE))</f>
        <v>5625.9592300000004</v>
      </c>
      <c r="P206" s="46">
        <f t="shared" ca="1" si="13"/>
        <v>4.7709966333309422E-4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input_442103!A$2</f>
        <v>442103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IFERROR(VLOOKUP(B207,input_442103!L:R,7,FALSE),VLOOKUP(tables_442103!C207,input_442103!A:H,8,FALSE))</f>
        <v>268</v>
      </c>
      <c r="P207" s="46">
        <f t="shared" ca="1" si="13"/>
        <v>2.2727272727369061E-5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input_442103!A$2</f>
        <v>442103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IFERROR(VLOOKUP(B208,input_442103!L:R,7,FALSE),VLOOKUP(tables_442103!C208,input_442103!A:H,8,FALSE))</f>
        <v>5625.9592300000004</v>
      </c>
      <c r="P208" s="46">
        <f t="shared" ca="1" si="13"/>
        <v>4.7709966333309422E-4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input_442103!A$2</f>
        <v>442103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IFERROR(VLOOKUP(B209,input_442103!L:R,7,FALSE),VLOOKUP(tables_442103!C209,input_442103!A:H,8,FALSE))</f>
        <v>268</v>
      </c>
      <c r="P209" s="46">
        <f t="shared" ca="1" si="13"/>
        <v>2.2727272727369061E-5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input_442103!A$2</f>
        <v>442103</v>
      </c>
      <c r="B210" s="6">
        <v>496</v>
      </c>
      <c r="C210" s="7" t="str">
        <f t="shared" si="12"/>
        <v>Premium3color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IFERROR(VLOOKUP(B210,input_442103!L:R,7,FALSE),VLOOKUP(tables_442103!C210,input_442103!A:H,8,FALSE))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input_442103!A$2</f>
        <v>442103</v>
      </c>
      <c r="B211" s="6">
        <v>497</v>
      </c>
      <c r="C211" s="7" t="str">
        <f t="shared" si="12"/>
        <v>Premium4color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IFERROR(VLOOKUP(B211,input_442103!L:R,7,FALSE),VLOOKUP(tables_442103!C211,input_442103!A:H,8,FALSE))</f>
        <v>274198.69592999999</v>
      </c>
      <c r="P211" s="46">
        <f t="shared" ca="1" si="13"/>
        <v>2.3252942327947949E-2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input_442103!A$2</f>
        <v>442103</v>
      </c>
      <c r="B212" s="6">
        <v>498</v>
      </c>
      <c r="C212" s="7" t="str">
        <f t="shared" si="12"/>
        <v>Premium5color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IFERROR(VLOOKUP(B212,input_442103!L:R,7,FALSE),VLOOKUP(tables_442103!C212,input_442103!A:H,8,FALSE))</f>
        <v>4682.1040700000003</v>
      </c>
      <c r="P212" s="46">
        <f t="shared" ca="1" si="13"/>
        <v>3.970576721522936E-4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input_442103!A$2</f>
        <v>442103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IFERROR(VLOOKUP(B213,input_442103!L:R,7,FALSE),VLOOKUP(tables_442103!C213,input_442103!A:H,8,FALSE))</f>
        <v>5625.9592300000004</v>
      </c>
      <c r="P213" s="46">
        <f t="shared" ca="1" si="13"/>
        <v>4.7709966333309422E-4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input_442103!A$2</f>
        <v>442103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IFERROR(VLOOKUP(B214,input_442103!L:R,7,FALSE),VLOOKUP(tables_442103!C214,input_442103!A:H,8,FALSE))</f>
        <v>268</v>
      </c>
      <c r="P214" s="46">
        <f t="shared" ca="1" si="13"/>
        <v>2.2727272727369061E-5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input_442103!A$2</f>
        <v>442103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IFERROR(VLOOKUP(B215,input_442103!L:R,7,FALSE),VLOOKUP(tables_442103!C215,input_442103!A:H,8,FALSE))</f>
        <v>3329.92</v>
      </c>
      <c r="P215" s="46">
        <f t="shared" ca="1" si="13"/>
        <v>2.8238805970268947E-4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input_442103!A$2</f>
        <v>442103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IFERROR(VLOOKUP(B216,input_442103!L:R,7,FALSE),VLOOKUP(tables_442103!C216,input_442103!A:H,8,FALSE))</f>
        <v>3329.92</v>
      </c>
      <c r="P216" s="46">
        <f t="shared" ca="1" si="13"/>
        <v>2.8238805970268947E-4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input_442103!A$2</f>
        <v>442103</v>
      </c>
      <c r="B217" s="6">
        <v>562</v>
      </c>
      <c r="C217" s="7" t="str">
        <f t="shared" si="12"/>
        <v>premium5R3lesscolor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>color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IFERROR(VLOOKUP(B217,input_442103!L:R,7,FALSE),VLOOKUP(tables_442103!C217,input_442103!A:H,8,FALSE))</f>
        <v>13944.04</v>
      </c>
      <c r="P217" s="46">
        <f t="shared" ca="1" si="13"/>
        <v>1.1825000000050122E-3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input_442103!A$2</f>
        <v>442103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IFERROR(VLOOKUP(B218,input_442103!L:R,7,FALSE),VLOOKUP(tables_442103!C218,input_442103!A:H,8,FALSE))</f>
        <v>3329.92</v>
      </c>
      <c r="P218" s="46">
        <f t="shared" ca="1" si="13"/>
        <v>2.8238805970268947E-4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input_442103!A$2</f>
        <v>442103</v>
      </c>
      <c r="B219" s="6">
        <v>566</v>
      </c>
      <c r="C219" s="7" t="str">
        <f t="shared" si="12"/>
        <v>premium5R3lesscolor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>color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IFERROR(VLOOKUP(B219,input_442103!L:R,7,FALSE),VLOOKUP(tables_442103!C219,input_442103!A:H,8,FALSE))</f>
        <v>13944.04</v>
      </c>
      <c r="P219" s="46">
        <f t="shared" ca="1" si="13"/>
        <v>1.1825000000050122E-3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input_442103!A$2</f>
        <v>442103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IFERROR(VLOOKUP(B220,input_442103!L:R,7,FALSE),VLOOKUP(tables_442103!C220,input_442103!A:H,8,FALSE))</f>
        <v>3329.92</v>
      </c>
      <c r="P220" s="46">
        <f t="shared" ca="1" si="13"/>
        <v>2.8238805970268947E-4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input_442103!A$2</f>
        <v>442103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IFERROR(VLOOKUP(B221,input_442103!L:R,7,FALSE),VLOOKUP(tables_442103!C221,input_442103!A:H,8,FALSE))</f>
        <v>5625.9592300000004</v>
      </c>
      <c r="P221" s="46">
        <f t="shared" ca="1" si="13"/>
        <v>4.7709966333309422E-4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input_442103!A$2</f>
        <v>442103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IFERROR(VLOOKUP(B222,input_442103!L:R,7,FALSE),VLOOKUP(tables_442103!C222,input_442103!A:H,8,FALSE))</f>
        <v>268</v>
      </c>
      <c r="P222" s="46">
        <f t="shared" ca="1" si="13"/>
        <v>2.2727272727369061E-5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input_442103!A$2</f>
        <v>442103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IFERROR(VLOOKUP(B223,input_442103!L:R,7,FALSE),VLOOKUP(tables_442103!C223,input_442103!A:H,8,FALSE))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input_442103!A$2</f>
        <v>442103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IFERROR(VLOOKUP(B224,input_442103!L:R,7,FALSE),VLOOKUP(tables_442103!C224,input_442103!A:H,8,FALSE))</f>
        <v>60165.322099999998</v>
      </c>
      <c r="P224" s="46">
        <f t="shared" ca="1" si="13"/>
        <v>5.1022152391668098E-3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input_442103!A$2</f>
        <v>442103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IFERROR(VLOOKUP(B225,input_442103!L:R,7,FALSE),VLOOKUP(tables_442103!C225,input_442103!A:H,8,FALSE))</f>
        <v>226.76211000000001</v>
      </c>
      <c r="P225" s="46">
        <f t="shared" ca="1" si="13"/>
        <v>1.9230165366431578E-5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input_442103!A$2</f>
        <v>442103</v>
      </c>
      <c r="B226" s="6">
        <v>591</v>
      </c>
      <c r="C226" s="7" t="str">
        <f t="shared" si="12"/>
        <v>Premium3color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>color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IFERROR(VLOOKUP(B226,input_442103!L:R,7,FALSE),VLOOKUP(tables_442103!C226,input_442103!A:H,8,FALSE))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input_442103!A$2</f>
        <v>442103</v>
      </c>
      <c r="B227" s="6">
        <v>592</v>
      </c>
      <c r="C227" s="7" t="str">
        <f t="shared" si="12"/>
        <v>Premium4color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>color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IFERROR(VLOOKUP(B227,input_442103!L:R,7,FALSE),VLOOKUP(tables_442103!C227,input_442103!A:H,8,FALSE))</f>
        <v>274198.69592999999</v>
      </c>
      <c r="P227" s="46">
        <f t="shared" ca="1" si="13"/>
        <v>2.3252942327947949E-2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input_442103!A$2</f>
        <v>442103</v>
      </c>
      <c r="B228" s="6">
        <v>593</v>
      </c>
      <c r="C228" s="7" t="str">
        <f t="shared" si="12"/>
        <v>Premium5color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>color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IFERROR(VLOOKUP(B228,input_442103!L:R,7,FALSE),VLOOKUP(tables_442103!C228,input_442103!A:H,8,FALSE))</f>
        <v>4682.1040700000003</v>
      </c>
      <c r="P228" s="46">
        <f t="shared" ca="1" si="13"/>
        <v>3.970576721522936E-4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input_442103!A$2</f>
        <v>442103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IFERROR(VLOOKUP(B229,input_442103!L:R,7,FALSE),VLOOKUP(tables_442103!C229,input_442103!A:H,8,FALSE))</f>
        <v>5625.9592300000004</v>
      </c>
      <c r="P229" s="46">
        <f t="shared" ca="1" si="13"/>
        <v>4.7709966333309422E-4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input_442103!A$2</f>
        <v>442103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IFERROR(VLOOKUP(B230,input_442103!L:R,7,FALSE),VLOOKUP(tables_442103!C230,input_442103!A:H,8,FALSE))</f>
        <v>268</v>
      </c>
      <c r="P230" s="46">
        <f t="shared" ca="1" si="13"/>
        <v>2.2727272727369061E-5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input_442103!A$2</f>
        <v>442103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IFERROR(VLOOKUP(B231,input_442103!L:R,7,FALSE),VLOOKUP(tables_442103!C231,input_442103!A:H,8,FALSE))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input_442103!A$2</f>
        <v>442103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IFERROR(VLOOKUP(B232,input_442103!L:R,7,FALSE),VLOOKUP(tables_442103!C232,input_442103!A:H,8,FALSE))</f>
        <v>60165.322099999998</v>
      </c>
      <c r="P232" s="46">
        <f t="shared" ca="1" si="13"/>
        <v>5.1022152391668098E-3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input_442103!A$2</f>
        <v>442103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IFERROR(VLOOKUP(B233,input_442103!L:R,7,FALSE),VLOOKUP(tables_442103!C233,input_442103!A:H,8,FALSE))</f>
        <v>226.76211000000001</v>
      </c>
      <c r="P233" s="46">
        <f t="shared" ca="1" si="13"/>
        <v>1.9230165366431578E-5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input_442103!A$2</f>
        <v>442103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IFERROR(VLOOKUP(B234,input_442103!L:R,7,FALSE),VLOOKUP(tables_442103!C234,input_442103!A:H,8,FALSE))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input_442103!A$2</f>
        <v>442103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IFERROR(VLOOKUP(B235,input_442103!L:R,7,FALSE),VLOOKUP(tables_442103!C235,input_442103!A:H,8,FALSE))</f>
        <v>60165.322099999998</v>
      </c>
      <c r="P235" s="46">
        <f t="shared" ca="1" si="13"/>
        <v>5.1022152391668098E-3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input_442103!A$2</f>
        <v>442103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IFERROR(VLOOKUP(B236,input_442103!L:R,7,FALSE),VLOOKUP(tables_442103!C236,input_442103!A:H,8,FALSE))</f>
        <v>226.76211000000001</v>
      </c>
      <c r="P236" s="46">
        <f t="shared" ca="1" si="13"/>
        <v>1.9230165366431578E-5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input_442103!A$2</f>
        <v>442103</v>
      </c>
      <c r="B237" s="6">
        <v>602</v>
      </c>
      <c r="C237" s="7" t="str">
        <f t="shared" si="12"/>
        <v>PremiumSS4color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>color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IFERROR(VLOOKUP(B237,input_442103!L:R,7,FALSE),VLOOKUP(tables_442103!C237,input_442103!A:H,8,FALSE))</f>
        <v>25851.692309999999</v>
      </c>
      <c r="P237" s="46">
        <f t="shared" ca="1" si="13"/>
        <v>2.1923076925126845E-3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input_442103!A$2</f>
        <v>442103</v>
      </c>
      <c r="B238" s="6">
        <v>603</v>
      </c>
      <c r="C238" s="7" t="str">
        <f t="shared" si="12"/>
        <v>PremiumSS5color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>color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IFERROR(VLOOKUP(B238,input_442103!L:R,7,FALSE),VLOOKUP(tables_442103!C238,input_442103!A:H,8,FALSE))</f>
        <v>1360.61538</v>
      </c>
      <c r="P238" s="46">
        <f t="shared" ca="1" si="13"/>
        <v>1.1538461499370481E-4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input_442103!A$2</f>
        <v>442103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IFERROR(VLOOKUP(B239,input_442103!L:R,7,FALSE),VLOOKUP(tables_442103!C239,input_442103!A:H,8,FALSE))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input_442103!A$2</f>
        <v>442103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IFERROR(VLOOKUP(B240,input_442103!L:R,7,FALSE),VLOOKUP(tables_442103!C240,input_442103!A:H,8,FALSE))</f>
        <v>60165.322099999998</v>
      </c>
      <c r="P240" s="46">
        <f t="shared" ca="1" si="13"/>
        <v>5.1022152391668098E-3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input_442103!A$2</f>
        <v>442103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IFERROR(VLOOKUP(B241,input_442103!L:R,7,FALSE),VLOOKUP(tables_442103!C241,input_442103!A:H,8,FALSE))</f>
        <v>226.76211000000001</v>
      </c>
      <c r="P241" s="46">
        <f t="shared" ca="1" si="13"/>
        <v>1.9230165366431578E-5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input_442103!A$2</f>
        <v>442103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IFERROR(VLOOKUP(B242,input_442103!L:R,7,FALSE),VLOOKUP(tables_442103!C242,input_442103!A:H,8,FALSE))</f>
        <v>5625.9592300000004</v>
      </c>
      <c r="P242" s="46">
        <f t="shared" ca="1" si="13"/>
        <v>4.7709966333309422E-4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input_442103!A$2</f>
        <v>442103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IFERROR(VLOOKUP(B243,input_442103!L:R,7,FALSE),VLOOKUP(tables_442103!C243,input_442103!A:H,8,FALSE))</f>
        <v>268</v>
      </c>
      <c r="P243" s="46">
        <f t="shared" ca="1" si="13"/>
        <v>2.2727272727369061E-5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input_442103!A$2</f>
        <v>442103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IFERROR(VLOOKUP(B244,input_442103!L:R,7,FALSE),VLOOKUP(tables_442103!C244,input_442103!A:H,8,FALSE))</f>
        <v>5625.9592300000004</v>
      </c>
      <c r="P244" s="46">
        <f t="shared" ca="1" si="13"/>
        <v>4.7709966333309422E-4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input_442103!A$2</f>
        <v>442103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IFERROR(VLOOKUP(B245,input_442103!L:R,7,FALSE),VLOOKUP(tables_442103!C245,input_442103!A:H,8,FALSE))</f>
        <v>268</v>
      </c>
      <c r="P245" s="46">
        <f t="shared" ca="1" si="13"/>
        <v>2.2727272727369061E-5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input_442103!A$2</f>
        <v>442103</v>
      </c>
      <c r="B246" s="60">
        <v>662</v>
      </c>
      <c r="C246" s="7" t="str">
        <f t="shared" si="12"/>
        <v>Premium3color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>color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IFERROR(VLOOKUP(B246,input_442103!L:R,7,FALSE),VLOOKUP(tables_442103!C246,input_442103!A:H,8,FALSE))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input_442103!A$2</f>
        <v>442103</v>
      </c>
      <c r="B247" s="60">
        <v>663</v>
      </c>
      <c r="C247" s="7" t="str">
        <f t="shared" si="12"/>
        <v>Premium4color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>color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IFERROR(VLOOKUP(B247,input_442103!L:R,7,FALSE),VLOOKUP(tables_442103!C247,input_442103!A:H,8,FALSE))</f>
        <v>274198.69592999999</v>
      </c>
      <c r="P247" s="46">
        <f t="shared" ca="1" si="13"/>
        <v>2.3252942327947949E-2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input_442103!A$2</f>
        <v>442103</v>
      </c>
      <c r="B248" s="60">
        <v>664</v>
      </c>
      <c r="C248" s="7" t="str">
        <f t="shared" si="12"/>
        <v>Premium5color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>color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IFERROR(VLOOKUP(B248,input_442103!L:R,7,FALSE),VLOOKUP(tables_442103!C248,input_442103!A:H,8,FALSE))</f>
        <v>4682.1040700000003</v>
      </c>
      <c r="P248" s="46">
        <f t="shared" ca="1" si="13"/>
        <v>3.970576721522936E-4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input_442103!A$2</f>
        <v>442103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IFERROR(VLOOKUP(B249,input_442103!L:R,7,FALSE),VLOOKUP(tables_442103!C249,input_442103!A:H,8,FALSE))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input_442103!A$2</f>
        <v>442103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IFERROR(VLOOKUP(B250,input_442103!L:R,7,FALSE),VLOOKUP(tables_442103!C250,input_442103!A:H,8,FALSE))</f>
        <v>60165.322099999998</v>
      </c>
      <c r="P250" s="46">
        <f t="shared" ca="1" si="13"/>
        <v>5.1022152391668098E-3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input_442103!A$2</f>
        <v>442103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IFERROR(VLOOKUP(B251,input_442103!L:R,7,FALSE),VLOOKUP(tables_442103!C251,input_442103!A:H,8,FALSE))</f>
        <v>226.76211000000001</v>
      </c>
      <c r="P251" s="46">
        <f t="shared" ca="1" si="13"/>
        <v>1.9230165366431578E-5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input_442103!A$2</f>
        <v>442103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IFERROR(VLOOKUP(B252,input_442103!L:R,7,FALSE),VLOOKUP(tables_442103!C252,input_442103!A:H,8,FALSE))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input_442103!A$2</f>
        <v>442103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IFERROR(VLOOKUP(B253,input_442103!L:R,7,FALSE),VLOOKUP(tables_442103!C253,input_442103!A:H,8,FALSE))</f>
        <v>60165.322099999998</v>
      </c>
      <c r="P253" s="46">
        <f t="shared" ca="1" si="13"/>
        <v>5.1022152391668098E-3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input_442103!A$2</f>
        <v>442103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IFERROR(VLOOKUP(B254,input_442103!L:R,7,FALSE),VLOOKUP(tables_442103!C254,input_442103!A:H,8,FALSE))</f>
        <v>226.76211000000001</v>
      </c>
      <c r="P254" s="46">
        <f t="shared" ca="1" si="13"/>
        <v>1.9230165366431578E-5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input_442103!A$2</f>
        <v>442103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IFERROR(VLOOKUP(B255,input_442103!L:R,7,FALSE),VLOOKUP(tables_442103!C255,input_442103!A:H,8,FALSE))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input_442103!A$2</f>
        <v>442103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IFERROR(VLOOKUP(B256,input_442103!L:R,7,FALSE),VLOOKUP(tables_442103!C256,input_442103!A:H,8,FALSE))</f>
        <v>60165.322099999998</v>
      </c>
      <c r="P256" s="46">
        <f t="shared" ca="1" si="13"/>
        <v>5.1022152391668098E-3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input_442103!A$2</f>
        <v>442103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IFERROR(VLOOKUP(B257,input_442103!L:R,7,FALSE),VLOOKUP(tables_442103!C257,input_442103!A:H,8,FALSE))</f>
        <v>226.76211000000001</v>
      </c>
      <c r="P257" s="46">
        <f t="shared" ca="1" si="13"/>
        <v>1.9230165366431578E-5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input_442103!A$2</f>
        <v>442103</v>
      </c>
      <c r="B258" s="60">
        <v>674</v>
      </c>
      <c r="C258" s="7" t="str">
        <f t="shared" ref="C258:C321" si="16">D258&amp;J258&amp;E258&amp;F258&amp;G258</f>
        <v>PremiumSS4color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>color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IFERROR(VLOOKUP(B258,input_442103!L:R,7,FALSE),VLOOKUP(tables_442103!C258,input_442103!A:H,8,FALSE))</f>
        <v>25851.692309999999</v>
      </c>
      <c r="P258" s="46">
        <f t="shared" ref="P258:P318" ca="1" si="17">O258/SUM(O:O)</f>
        <v>2.1923076925126845E-3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input_442103!A$2</f>
        <v>442103</v>
      </c>
      <c r="B259" s="60">
        <v>675</v>
      </c>
      <c r="C259" s="7" t="str">
        <f t="shared" si="16"/>
        <v>PremiumSS5color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IF(K259="blue","color","")</f>
        <v>color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IFERROR(VLOOKUP(B259,input_442103!L:R,7,FALSE),VLOOKUP(tables_442103!C259,input_442103!A:H,8,FALSE))</f>
        <v>1360.61538</v>
      </c>
      <c r="P259" s="46">
        <f t="shared" ca="1" si="17"/>
        <v>1.1538461499370481E-4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input_442103!A$2</f>
        <v>442103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IFERROR(VLOOKUP(B260,input_442103!L:R,7,FALSE),VLOOKUP(tables_442103!C260,input_442103!A:H,8,FALSE))</f>
        <v>5625.9592300000004</v>
      </c>
      <c r="P260" s="46">
        <f t="shared" ca="1" si="17"/>
        <v>4.7709966333309422E-4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input_442103!A$2</f>
        <v>442103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IFERROR(VLOOKUP(B261,input_442103!L:R,7,FALSE),VLOOKUP(tables_442103!C261,input_442103!A:H,8,FALSE))</f>
        <v>268</v>
      </c>
      <c r="P261" s="46">
        <f t="shared" ca="1" si="17"/>
        <v>2.2727272727369061E-5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input_442103!A$2</f>
        <v>442103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IFERROR(VLOOKUP(B262,input_442103!L:R,7,FALSE),VLOOKUP(tables_442103!C262,input_442103!A:H,8,FALSE))</f>
        <v>85212.800000000003</v>
      </c>
      <c r="P262" s="46">
        <f t="shared" ca="1" si="17"/>
        <v>7.2263229308311729E-3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input_442103!A$2</f>
        <v>442103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IFERROR(VLOOKUP(B263,input_442103!L:R,7,FALSE),VLOOKUP(tables_442103!C263,input_442103!A:H,8,FALSE))</f>
        <v>3329.92</v>
      </c>
      <c r="P263" s="46">
        <f t="shared" ca="1" si="17"/>
        <v>2.8238805970268947E-4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input_442103!A$2</f>
        <v>442103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IFERROR(VLOOKUP(B264,input_442103!L:R,7,FALSE),VLOOKUP(tables_442103!C264,input_442103!A:H,8,FALSE))</f>
        <v>85212.800000000003</v>
      </c>
      <c r="P264" s="46">
        <f t="shared" ca="1" si="17"/>
        <v>7.2263229308311729E-3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input_442103!A$2</f>
        <v>442103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IFERROR(VLOOKUP(B265,input_442103!L:R,7,FALSE),VLOOKUP(tables_442103!C265,input_442103!A:H,8,FALSE))</f>
        <v>3329.92</v>
      </c>
      <c r="P265" s="46">
        <f t="shared" ca="1" si="17"/>
        <v>2.8238805970268947E-4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input_442103!A$2</f>
        <v>442103</v>
      </c>
      <c r="B266" s="60">
        <v>732</v>
      </c>
      <c r="C266" s="7" t="str">
        <f t="shared" si="16"/>
        <v>PremiumSS5R5onlycolor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>color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IFERROR(VLOOKUP(B266,input_442103!L:R,7,FALSE),VLOOKUP(tables_442103!C266,input_442103!A:H,8,FALSE))</f>
        <v>27212.307690000001</v>
      </c>
      <c r="P266" s="46">
        <f t="shared" ca="1" si="17"/>
        <v>2.3076923075063894E-3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input_442103!A$2</f>
        <v>442103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IFERROR(VLOOKUP(B267,input_442103!L:R,7,FALSE),VLOOKUP(tables_442103!C267,input_442103!A:H,8,FALSE))</f>
        <v>4826.0407699999996</v>
      </c>
      <c r="P267" s="46">
        <f t="shared" ca="1" si="17"/>
        <v>4.0926397303429917E-4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input_442103!A$2</f>
        <v>442103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IFERROR(VLOOKUP(B268,input_442103!L:R,7,FALSE),VLOOKUP(tables_442103!C268,input_442103!A:H,8,FALSE))</f>
        <v>4826.0407699999996</v>
      </c>
      <c r="P268" s="46">
        <f t="shared" ca="1" si="17"/>
        <v>4.0926397303429917E-4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input_442103!A$2</f>
        <v>442103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IFERROR(VLOOKUP(B269,input_442103!L:R,7,FALSE),VLOOKUP(tables_442103!C269,input_442103!A:H,8,FALSE))</f>
        <v>4826.0407699999996</v>
      </c>
      <c r="P269" s="46">
        <f t="shared" ca="1" si="17"/>
        <v>4.0926397303429917E-4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input_442103!A$2</f>
        <v>442103</v>
      </c>
      <c r="B270" s="60">
        <v>746</v>
      </c>
      <c r="C270" s="7" t="str">
        <f t="shared" si="16"/>
        <v>Premium4R3lesscolor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>color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IFERROR(VLOOKUP(B270,input_442103!L:R,7,FALSE),VLOOKUP(tables_442103!C270,input_442103!A:H,8,FALSE))</f>
        <v>194287.94</v>
      </c>
      <c r="P270" s="46">
        <f t="shared" ca="1" si="17"/>
        <v>1.6476250000069838E-2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input_442103!A$2</f>
        <v>442103</v>
      </c>
      <c r="B271" s="82">
        <v>747</v>
      </c>
      <c r="C271" s="7" t="str">
        <f t="shared" si="16"/>
        <v>Premium5R3lesscolor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>color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IFERROR(VLOOKUP(B271,input_442103!L:R,7,FALSE),VLOOKUP(tables_442103!C271,input_442103!A:H,8,FALSE))</f>
        <v>13944.04</v>
      </c>
      <c r="P271" s="46">
        <f t="shared" ca="1" si="17"/>
        <v>1.1825000000050122E-3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input_442103!A$2</f>
        <v>442103</v>
      </c>
      <c r="B272" s="8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IFERROR(VLOOKUP(B272,input_442103!L:R,7,FALSE),VLOOKUP(tables_442103!C272,input_442103!A:H,8,FALSE))</f>
        <v>85212.800000000003</v>
      </c>
      <c r="P272" s="46">
        <f t="shared" ca="1" si="17"/>
        <v>7.2263229308311729E-3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input_442103!A$2</f>
        <v>442103</v>
      </c>
      <c r="B273" s="8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IFERROR(VLOOKUP(B273,input_442103!L:R,7,FALSE),VLOOKUP(tables_442103!C273,input_442103!A:H,8,FALSE))</f>
        <v>3329.92</v>
      </c>
      <c r="P273" s="46">
        <f t="shared" ca="1" si="17"/>
        <v>2.8238805970268947E-4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input_442103!A$2</f>
        <v>442103</v>
      </c>
      <c r="B274" s="82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IFERROR(VLOOKUP(B274,input_442103!L:R,7,FALSE),VLOOKUP(tables_442103!C274,input_442103!A:H,8,FALSE))</f>
        <v>5625.9592300000004</v>
      </c>
      <c r="P274" s="46">
        <f t="shared" ca="1" si="17"/>
        <v>4.7709966333309422E-4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input_442103!A$2</f>
        <v>442103</v>
      </c>
      <c r="B275" s="82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IFERROR(VLOOKUP(B275,input_442103!L:R,7,FALSE),VLOOKUP(tables_442103!C275,input_442103!A:H,8,FALSE))</f>
        <v>268</v>
      </c>
      <c r="P275" s="46">
        <f t="shared" ca="1" si="17"/>
        <v>2.2727272727369061E-5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input_442103!A$2</f>
        <v>442103</v>
      </c>
      <c r="B276" s="82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IFERROR(VLOOKUP(B276,input_442103!L:R,7,FALSE),VLOOKUP(tables_442103!C276,input_442103!A:H,8,FALSE))</f>
        <v>5625.9592300000004</v>
      </c>
      <c r="P276" s="46">
        <f t="shared" ca="1" si="17"/>
        <v>4.7709966333309422E-4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input_442103!A$2</f>
        <v>442103</v>
      </c>
      <c r="B277" s="82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IFERROR(VLOOKUP(B277,input_442103!L:R,7,FALSE),VLOOKUP(tables_442103!C277,input_442103!A:H,8,FALSE))</f>
        <v>268</v>
      </c>
      <c r="P277" s="46">
        <f t="shared" ca="1" si="17"/>
        <v>2.2727272727369061E-5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input_442103!A$2</f>
        <v>442103</v>
      </c>
      <c r="B278" s="82">
        <v>774</v>
      </c>
      <c r="C278" s="7" t="str">
        <f t="shared" si="16"/>
        <v>Premium3color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>color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IFERROR(VLOOKUP(B278,input_442103!L:R,7,FALSE),VLOOKUP(tables_442103!C278,input_442103!A:H,8,FALSE))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input_442103!A$2</f>
        <v>442103</v>
      </c>
      <c r="B279" s="82">
        <v>775</v>
      </c>
      <c r="C279" s="7" t="str">
        <f t="shared" si="16"/>
        <v>Premium4color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>color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IFERROR(VLOOKUP(B279,input_442103!L:R,7,FALSE),VLOOKUP(tables_442103!C279,input_442103!A:H,8,FALSE))</f>
        <v>274198.69592999999</v>
      </c>
      <c r="P279" s="46">
        <f t="shared" ca="1" si="17"/>
        <v>2.3252942327947949E-2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input_442103!A$2</f>
        <v>442103</v>
      </c>
      <c r="B280" s="82">
        <v>776</v>
      </c>
      <c r="C280" s="7" t="str">
        <f t="shared" si="16"/>
        <v>Premium5color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>color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IFERROR(VLOOKUP(B280,input_442103!L:R,7,FALSE),VLOOKUP(tables_442103!C280,input_442103!A:H,8,FALSE))</f>
        <v>4682.1040700000003</v>
      </c>
      <c r="P280" s="46">
        <f t="shared" ca="1" si="17"/>
        <v>3.970576721522936E-4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input_442103!A$2</f>
        <v>442103</v>
      </c>
      <c r="B281" s="8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IFERROR(VLOOKUP(B281,input_442103!L:R,7,FALSE),VLOOKUP(tables_442103!C281,input_442103!A:H,8,FALSE))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input_442103!A$2</f>
        <v>442103</v>
      </c>
      <c r="B282" s="8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IFERROR(VLOOKUP(B282,input_442103!L:R,7,FALSE),VLOOKUP(tables_442103!C282,input_442103!A:H,8,FALSE))</f>
        <v>60165.322099999998</v>
      </c>
      <c r="P282" s="46">
        <f t="shared" ca="1" si="17"/>
        <v>5.1022152391668098E-3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input_442103!A$2</f>
        <v>442103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IFERROR(VLOOKUP(B283,input_442103!L:R,7,FALSE),VLOOKUP(tables_442103!C283,input_442103!A:H,8,FALSE))</f>
        <v>226.76211000000001</v>
      </c>
      <c r="P283" s="46">
        <f t="shared" ca="1" si="17"/>
        <v>1.9230165366431578E-5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input_442103!A$2</f>
        <v>442103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IFERROR(VLOOKUP(B284,input_442103!L:R,7,FALSE),VLOOKUP(tables_442103!C284,input_442103!A:H,8,FALSE))</f>
        <v>4826.0407699999996</v>
      </c>
      <c r="P284" s="46">
        <f t="shared" ca="1" si="17"/>
        <v>4.0926397303429917E-4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input_442103!A$2</f>
        <v>442103</v>
      </c>
      <c r="B285" s="5">
        <v>850</v>
      </c>
      <c r="C285" s="7" t="str">
        <f t="shared" si="16"/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IFERROR(VLOOKUP(B285,input_442103!L:R,7,FALSE),VLOOKUP(tables_442103!C285,input_442103!A:H,8,FALSE))</f>
        <v>4826.0407699999996</v>
      </c>
      <c r="P285" s="46">
        <f t="shared" ca="1" si="17"/>
        <v>4.0926397303429917E-4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input_442103!A$2</f>
        <v>442103</v>
      </c>
      <c r="B286" s="5">
        <v>852</v>
      </c>
      <c r="C286" s="7" t="str">
        <f t="shared" si="16"/>
        <v>Premium4R3lesscolor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>color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IFERROR(VLOOKUP(B286,input_442103!L:R,7,FALSE),VLOOKUP(tables_442103!C286,input_442103!A:H,8,FALSE))</f>
        <v>194287.94</v>
      </c>
      <c r="P286" s="46">
        <f t="shared" ca="1" si="17"/>
        <v>1.6476250000069838E-2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input_442103!A$2</f>
        <v>442103</v>
      </c>
      <c r="B287" s="5">
        <v>853</v>
      </c>
      <c r="C287" s="7" t="str">
        <f t="shared" si="16"/>
        <v>Premium5R3lesscolor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>color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IFERROR(VLOOKUP(B287,input_442103!L:R,7,FALSE),VLOOKUP(tables_442103!C287,input_442103!A:H,8,FALSE))</f>
        <v>13944.04</v>
      </c>
      <c r="P287" s="46">
        <f t="shared" ca="1" si="17"/>
        <v>1.1825000000050122E-3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input_442103!A$2</f>
        <v>442103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IFERROR(VLOOKUP(B288,input_442103!L:R,7,FALSE),VLOOKUP(tables_442103!C288,input_442103!A:H,8,FALSE))</f>
        <v>85212.800000000003</v>
      </c>
      <c r="P288" s="46">
        <f t="shared" ca="1" si="17"/>
        <v>7.2263229308311729E-3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input_442103!A$2</f>
        <v>442103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IFERROR(VLOOKUP(B289,input_442103!L:R,7,FALSE),VLOOKUP(tables_442103!C289,input_442103!A:H,8,FALSE))</f>
        <v>3329.92</v>
      </c>
      <c r="P289" s="46">
        <f t="shared" ca="1" si="17"/>
        <v>2.8238805970268947E-4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input_442103!A$2</f>
        <v>442103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IFERROR(VLOOKUP(B290,input_442103!L:R,7,FALSE),VLOOKUP(tables_442103!C290,input_442103!A:H,8,FALSE))</f>
        <v>85212.800000000003</v>
      </c>
      <c r="P290" s="46">
        <f t="shared" ca="1" si="17"/>
        <v>7.2263229308311729E-3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input_442103!A$2</f>
        <v>442103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IFERROR(VLOOKUP(B291,input_442103!L:R,7,FALSE),VLOOKUP(tables_442103!C291,input_442103!A:H,8,FALSE))</f>
        <v>3329.92</v>
      </c>
      <c r="P291" s="46">
        <f t="shared" ca="1" si="17"/>
        <v>2.8238805970268947E-4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input_442103!A$2</f>
        <v>442103</v>
      </c>
      <c r="B292" s="5">
        <v>864</v>
      </c>
      <c r="C292" s="7" t="str">
        <f t="shared" si="16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IFERROR(VLOOKUP(B292,input_442103!L:R,7,FALSE),VLOOKUP(tables_442103!C292,input_442103!A:H,8,FALSE))</f>
        <v>85212.800000000003</v>
      </c>
      <c r="P292" s="46">
        <f t="shared" ca="1" si="17"/>
        <v>7.2263229308311729E-3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input_442103!A$2</f>
        <v>442103</v>
      </c>
      <c r="B293" s="5">
        <v>865</v>
      </c>
      <c r="C293" s="7" t="str">
        <f t="shared" si="16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IFERROR(VLOOKUP(B293,input_442103!L:R,7,FALSE),VLOOKUP(tables_442103!C293,input_442103!A:H,8,FALSE))</f>
        <v>3329.92</v>
      </c>
      <c r="P293" s="46">
        <f t="shared" ca="1" si="17"/>
        <v>2.8238805970268947E-4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input_442103!A$2</f>
        <v>442103</v>
      </c>
      <c r="B294" s="5">
        <v>866</v>
      </c>
      <c r="C294" s="7" t="str">
        <f t="shared" si="16"/>
        <v>PremiumSS5R5onlycolor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>color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IFERROR(VLOOKUP(B294,input_442103!L:R,7,FALSE),VLOOKUP(tables_442103!C294,input_442103!A:H,8,FALSE))</f>
        <v>27212.307690000001</v>
      </c>
      <c r="P294" s="46">
        <f t="shared" ca="1" si="17"/>
        <v>2.3076923075063894E-3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input_442103!A$2</f>
        <v>442103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IFERROR(VLOOKUP(B295,input_442103!L:R,7,FALSE),VLOOKUP(tables_442103!C295,input_442103!A:H,8,FALSE))</f>
        <v>4826.0407699999996</v>
      </c>
      <c r="P295" s="46">
        <f t="shared" ca="1" si="17"/>
        <v>4.0926397303429917E-4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input_442103!A$2</f>
        <v>442103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IFERROR(VLOOKUP(B296,input_442103!L:R,7,FALSE),VLOOKUP(tables_442103!C296,input_442103!A:H,8,FALSE))</f>
        <v>4826.0407699999996</v>
      </c>
      <c r="P296" s="46">
        <f t="shared" ca="1" si="17"/>
        <v>4.0926397303429917E-4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input_442103!A$2</f>
        <v>442103</v>
      </c>
      <c r="B297" s="5">
        <v>939</v>
      </c>
      <c r="C297" s="7" t="str">
        <f t="shared" si="16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IFERROR(VLOOKUP(B297,input_442103!L:R,7,FALSE),VLOOKUP(tables_442103!C297,input_442103!A:H,8,FALSE))</f>
        <v>85212.800000000003</v>
      </c>
      <c r="P297" s="46">
        <f t="shared" ca="1" si="17"/>
        <v>7.2263229308311729E-3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input_442103!A$2</f>
        <v>442103</v>
      </c>
      <c r="B298" s="5">
        <v>940</v>
      </c>
      <c r="C298" s="7" t="str">
        <f t="shared" si="16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IFERROR(VLOOKUP(B298,input_442103!L:R,7,FALSE),VLOOKUP(tables_442103!C298,input_442103!A:H,8,FALSE))</f>
        <v>3329.92</v>
      </c>
      <c r="P298" s="46">
        <f t="shared" ca="1" si="17"/>
        <v>2.8238805970268947E-4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input_442103!A$2</f>
        <v>442103</v>
      </c>
      <c r="B299" s="5">
        <v>941</v>
      </c>
      <c r="C299" s="7" t="str">
        <f t="shared" si="16"/>
        <v>PremiumSS5R5onlycolor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>color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IFERROR(VLOOKUP(B299,input_442103!L:R,7,FALSE),VLOOKUP(tables_442103!C299,input_442103!A:H,8,FALSE))</f>
        <v>27212.307690000001</v>
      </c>
      <c r="P299" s="46">
        <f t="shared" ca="1" si="17"/>
        <v>2.3076923075063894E-3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input_442103!A$2</f>
        <v>442103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IFERROR(VLOOKUP(B300,input_442103!L:R,7,FALSE),VLOOKUP(tables_442103!C300,input_442103!A:H,8,FALSE))</f>
        <v>4826.0407699999996</v>
      </c>
      <c r="P300" s="46">
        <f t="shared" ca="1" si="17"/>
        <v>4.0926397303429917E-4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input_442103!A$2</f>
        <v>442103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IFERROR(VLOOKUP(B301,input_442103!L:R,7,FALSE),VLOOKUP(tables_442103!C301,input_442103!A:H,8,FALSE))</f>
        <v>4826.0407699999996</v>
      </c>
      <c r="P301" s="46">
        <f t="shared" ca="1" si="17"/>
        <v>4.0926397303429917E-4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input_442103!A$2</f>
        <v>442103</v>
      </c>
      <c r="B302" s="5">
        <v>1014</v>
      </c>
      <c r="C302" s="7" t="str">
        <f t="shared" si="1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IFERROR(VLOOKUP(B302,input_442103!L:R,7,FALSE),VLOOKUP(tables_442103!C302,input_442103!A:H,8,FALSE))</f>
        <v>4826.0407699999996</v>
      </c>
      <c r="P302" s="46">
        <f t="shared" ca="1" si="17"/>
        <v>4.0926397303429917E-4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input_442103!A$2</f>
        <v>442103</v>
      </c>
      <c r="B303" s="5">
        <v>1016</v>
      </c>
      <c r="C303" s="7" t="str">
        <f t="shared" si="16"/>
        <v>Premium4R3lesscolor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>color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IFERROR(VLOOKUP(B303,input_442103!L:R,7,FALSE),VLOOKUP(tables_442103!C303,input_442103!A:H,8,FALSE))</f>
        <v>194287.94</v>
      </c>
      <c r="P303" s="46">
        <f t="shared" ca="1" si="17"/>
        <v>1.6476250000069838E-2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input_442103!A$2</f>
        <v>442103</v>
      </c>
      <c r="B304" s="5">
        <v>1017</v>
      </c>
      <c r="C304" s="7" t="str">
        <f t="shared" si="16"/>
        <v>Premium5R3lesscolor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>color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IFERROR(VLOOKUP(B304,input_442103!L:R,7,FALSE),VLOOKUP(tables_442103!C304,input_442103!A:H,8,FALSE))</f>
        <v>13944.04</v>
      </c>
      <c r="P304" s="46">
        <f t="shared" ca="1" si="17"/>
        <v>1.1825000000050122E-3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input_442103!A$2</f>
        <v>442103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IFERROR(VLOOKUP(B305,input_442103!L:R,7,FALSE),VLOOKUP(tables_442103!C305,input_442103!A:H,8,FALSE))</f>
        <v>4826.0407699999996</v>
      </c>
      <c r="P305" s="46">
        <f t="shared" ca="1" si="17"/>
        <v>4.0926397303429917E-4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input_442103!A$2</f>
        <v>442103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IFERROR(VLOOKUP(B306,input_442103!L:R,7,FALSE),VLOOKUP(tables_442103!C306,input_442103!A:H,8,FALSE))</f>
        <v>85212.800000000003</v>
      </c>
      <c r="P306" s="46">
        <f t="shared" ca="1" si="17"/>
        <v>7.2263229308311729E-3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input_442103!A$2</f>
        <v>442103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IFERROR(VLOOKUP(B307,input_442103!L:R,7,FALSE),VLOOKUP(tables_442103!C307,input_442103!A:H,8,FALSE))</f>
        <v>3329.92</v>
      </c>
      <c r="P307" s="46">
        <f t="shared" ca="1" si="17"/>
        <v>2.8238805970268947E-4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input_442103!A$2</f>
        <v>442103</v>
      </c>
      <c r="B308" s="5">
        <v>1028</v>
      </c>
      <c r="C308" s="7" t="str">
        <f t="shared" si="16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IFERROR(VLOOKUP(B308,input_442103!L:R,7,FALSE),VLOOKUP(tables_442103!C308,input_442103!A:H,8,FALSE))</f>
        <v>4826.0407699999996</v>
      </c>
      <c r="P308" s="46">
        <f t="shared" ca="1" si="17"/>
        <v>4.0926397303429917E-4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input_442103!A$2</f>
        <v>442103</v>
      </c>
      <c r="B309" s="5">
        <v>1031</v>
      </c>
      <c r="C309" s="7" t="str">
        <f t="shared" si="16"/>
        <v>PremiumSS5R5onlycolor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>color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IFERROR(VLOOKUP(B309,input_442103!L:R,7,FALSE),VLOOKUP(tables_442103!C309,input_442103!A:H,8,FALSE))</f>
        <v>27212.307690000001</v>
      </c>
      <c r="P309" s="46">
        <f t="shared" ca="1" si="17"/>
        <v>2.3076923075063894E-3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input_442103!A$2</f>
        <v>442103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IFERROR(VLOOKUP(B310,input_442103!L:R,7,FALSE),VLOOKUP(tables_442103!C310,input_442103!A:H,8,FALSE))</f>
        <v>4826.0407699999996</v>
      </c>
      <c r="P310" s="46">
        <f t="shared" ca="1" si="17"/>
        <v>4.0926397303429917E-4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input_442103!A$2</f>
        <v>442103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IFERROR(VLOOKUP(B311,input_442103!L:R,7,FALSE),VLOOKUP(tables_442103!C311,input_442103!A:H,8,FALSE))</f>
        <v>85212.800000000003</v>
      </c>
      <c r="P311" s="46">
        <f t="shared" ca="1" si="17"/>
        <v>7.2263229308311729E-3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input_442103!A$2</f>
        <v>442103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IFERROR(VLOOKUP(B312,input_442103!L:R,7,FALSE),VLOOKUP(tables_442103!C312,input_442103!A:H,8,FALSE))</f>
        <v>3329.92</v>
      </c>
      <c r="P312" s="46">
        <f t="shared" ca="1" si="17"/>
        <v>2.8238805970268947E-4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input_442103!A$2</f>
        <v>442103</v>
      </c>
      <c r="B313" s="5">
        <v>1069</v>
      </c>
      <c r="C313" s="7" t="str">
        <f t="shared" si="16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IFERROR(VLOOKUP(B313,input_442103!L:R,7,FALSE),VLOOKUP(tables_442103!C313,input_442103!A:H,8,FALSE))</f>
        <v>4826.0407699999996</v>
      </c>
      <c r="P313" s="46">
        <f t="shared" ca="1" si="17"/>
        <v>4.0926397303429917E-4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input_442103!A$2</f>
        <v>442103</v>
      </c>
      <c r="B314" s="5">
        <v>1072</v>
      </c>
      <c r="C314" s="7" t="str">
        <f t="shared" si="16"/>
        <v>PremiumSS5R5onlycolor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>color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IFERROR(VLOOKUP(B314,input_442103!L:R,7,FALSE),VLOOKUP(tables_442103!C314,input_442103!A:H,8,FALSE))</f>
        <v>27212.307690000001</v>
      </c>
      <c r="P314" s="46">
        <f t="shared" ca="1" si="17"/>
        <v>2.3076923075063894E-3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input_442103!A$2</f>
        <v>442103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IFERROR(VLOOKUP(B315,input_442103!L:R,7,FALSE),VLOOKUP(tables_442103!C315,input_442103!A:H,8,FALSE))</f>
        <v>4826.0407699999996</v>
      </c>
      <c r="P315" s="46">
        <f t="shared" ca="1" si="17"/>
        <v>4.0926397303429917E-4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input_442103!A$2</f>
        <v>442103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IFERROR(VLOOKUP(B316,input_442103!L:R,7,FALSE),VLOOKUP(tables_442103!C316,input_442103!A:H,8,FALSE))</f>
        <v>4826.0407699999996</v>
      </c>
      <c r="P316" s="46">
        <f t="shared" ca="1" si="17"/>
        <v>4.0926397303429917E-4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input_442103!A$2</f>
        <v>442103</v>
      </c>
      <c r="B317" s="5">
        <v>1102</v>
      </c>
      <c r="C317" s="7" t="str">
        <f t="shared" si="16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IFERROR(VLOOKUP(B317,input_442103!L:R,7,FALSE),VLOOKUP(tables_442103!C317,input_442103!A:H,8,FALSE))</f>
        <v>4826.0407699999996</v>
      </c>
      <c r="P317" s="46">
        <f t="shared" ca="1" si="17"/>
        <v>4.0926397303429917E-4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input_442103!A$2</f>
        <v>442103</v>
      </c>
      <c r="B318" s="5">
        <v>1104</v>
      </c>
      <c r="C318" s="7" t="str">
        <f t="shared" si="16"/>
        <v>Premium4R3lesscolor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>color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IFERROR(VLOOKUP(B318,input_442103!L:R,7,FALSE),VLOOKUP(tables_442103!C318,input_442103!A:H,8,FALSE))</f>
        <v>194287.94</v>
      </c>
      <c r="P318" s="46">
        <f t="shared" ca="1" si="17"/>
        <v>1.6476250000069838E-2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input_442103!A$2</f>
        <v>442103</v>
      </c>
      <c r="B319" s="5">
        <v>1105</v>
      </c>
      <c r="C319" s="7" t="str">
        <f t="shared" si="16"/>
        <v>Premium5R3lesscolor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>color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IFERROR(VLOOKUP(B319,input_442103!L:R,7,FALSE),VLOOKUP(tables_442103!C319,input_442103!A:H,8,FALSE))</f>
        <v>13944.04</v>
      </c>
      <c r="P319" s="46">
        <f t="shared" ref="P319:P324" ca="1" si="20">O319/SUM(O:O)</f>
        <v>1.1825000000050122E-3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input_442103!A$2</f>
        <v>442103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IFERROR(VLOOKUP(B320,input_442103!L:R,7,FALSE),VLOOKUP(tables_442103!C320,input_442103!A:H,8,FALSE))</f>
        <v>4826.0407699999996</v>
      </c>
      <c r="P320" s="46">
        <f t="shared" ca="1" si="20"/>
        <v>4.0926397303429917E-4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input_442103!A$2</f>
        <v>442103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IFERROR(VLOOKUP(B321,input_442103!L:R,7,FALSE),VLOOKUP(tables_442103!C321,input_442103!A:H,8,FALSE))</f>
        <v>4826.0407699999996</v>
      </c>
      <c r="P321" s="46">
        <f t="shared" ca="1" si="20"/>
        <v>4.0926397303429917E-4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input_442103!A$2</f>
        <v>442103</v>
      </c>
      <c r="B322" s="5">
        <v>1139</v>
      </c>
      <c r="C322" s="7" t="str">
        <f t="shared" ref="C322:C324" si="21">D322&amp;J322&amp;E322&amp;F322&amp;G322</f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IFERROR(VLOOKUP(B322,input_442103!L:R,7,FALSE),VLOOKUP(tables_442103!C322,input_442103!A:H,8,FALSE))</f>
        <v>4826.0407699999996</v>
      </c>
      <c r="P322" s="46">
        <f t="shared" ca="1" si="20"/>
        <v>4.0926397303429917E-4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input_442103!A$2</f>
        <v>442103</v>
      </c>
      <c r="B323" s="5">
        <v>1141</v>
      </c>
      <c r="C323" s="7" t="str">
        <f t="shared" si="21"/>
        <v>PremiumSS5R5onlycolor</v>
      </c>
      <c r="D323" s="7" t="str">
        <f t="shared" ref="D323:D324" si="22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24" si="23">IF(K323="blue","color","")</f>
        <v>color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IFERROR(VLOOKUP(B323,input_442103!L:R,7,FALSE),VLOOKUP(tables_442103!C323,input_442103!A:H,8,FALSE))</f>
        <v>27212.307690000001</v>
      </c>
      <c r="P323" s="46">
        <f t="shared" ca="1" si="20"/>
        <v>2.3076923075063894E-3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input_442103!A$2</f>
        <v>442103</v>
      </c>
      <c r="B324" s="2">
        <v>1143</v>
      </c>
      <c r="C324" s="100" t="str">
        <f t="shared" si="21"/>
        <v>Premium4R3less</v>
      </c>
      <c r="D324" s="7" t="str">
        <f t="shared" si="22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3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IFERROR(VLOOKUP(B324,input_442103!L:R,7,FALSE),VLOOKUP(tables_442103!C324,input_442103!A:H,8,FALSE))</f>
        <v>85212.800000000003</v>
      </c>
      <c r="P324" s="46">
        <f t="shared" ca="1" si="20"/>
        <v>7.2263229308311729E-3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input_442103!A$2</f>
        <v>442103</v>
      </c>
      <c r="B325" s="2">
        <v>1144</v>
      </c>
      <c r="C325" s="100" t="str">
        <f t="shared" ref="C325:C331" si="24">D325&amp;J325&amp;E325&amp;F325&amp;G325</f>
        <v>Premium5R3less</v>
      </c>
      <c r="D325" s="7" t="str">
        <f t="shared" ref="D325:D331" si="25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ref="G325:G331" si="26">IF(K325="blue","color","")</f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IFERROR(VLOOKUP(B325,input_442103!L:R,7,FALSE),VLOOKUP(tables_442103!C325,input_442103!A:H,8,FALSE))</f>
        <v>3329.92</v>
      </c>
      <c r="P325" s="46">
        <f t="shared" ref="P325:P331" ca="1" si="27">O325/SUM(O:O)</f>
        <v>2.8238805970268947E-4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input_442103!A$2</f>
        <v>442103</v>
      </c>
      <c r="B326" s="2">
        <v>1151</v>
      </c>
      <c r="C326" s="100" t="str">
        <f t="shared" si="24"/>
        <v>Premium4R3less</v>
      </c>
      <c r="D326" s="7" t="str">
        <f t="shared" si="25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6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IFERROR(VLOOKUP(B326,input_442103!L:R,7,FALSE),VLOOKUP(tables_442103!C326,input_442103!A:H,8,FALSE))</f>
        <v>85212.800000000003</v>
      </c>
      <c r="P326" s="46">
        <f t="shared" ca="1" si="27"/>
        <v>7.2263229308311729E-3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input_442103!A$2</f>
        <v>442103</v>
      </c>
      <c r="B327" s="2">
        <v>1152</v>
      </c>
      <c r="C327" s="100" t="str">
        <f t="shared" si="24"/>
        <v>Premium5R3less</v>
      </c>
      <c r="D327" s="7" t="str">
        <f t="shared" si="25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6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IFERROR(VLOOKUP(B327,input_442103!L:R,7,FALSE),VLOOKUP(tables_442103!C327,input_442103!A:H,8,FALSE))</f>
        <v>3329.92</v>
      </c>
      <c r="P327" s="46">
        <f t="shared" ca="1" si="27"/>
        <v>2.8238805970268947E-4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input_442103!A$2</f>
        <v>442103</v>
      </c>
      <c r="B328" s="2">
        <v>1153</v>
      </c>
      <c r="C328" s="100" t="str">
        <f t="shared" si="24"/>
        <v>PremiumSS5R5only</v>
      </c>
      <c r="D328" s="7" t="str">
        <f t="shared" si="25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6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IFERROR(VLOOKUP(B328,input_442103!L:R,7,FALSE),VLOOKUP(tables_442103!C328,input_442103!A:H,8,FALSE))</f>
        <v>4826.0407699999996</v>
      </c>
      <c r="P328" s="46">
        <f t="shared" ca="1" si="27"/>
        <v>4.0926397303429917E-4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input_442103!A$2</f>
        <v>442103</v>
      </c>
      <c r="B329" s="2">
        <v>1155</v>
      </c>
      <c r="C329" s="100" t="str">
        <f t="shared" si="24"/>
        <v>PremiumSS5R5onlycolor</v>
      </c>
      <c r="D329" s="7" t="str">
        <f t="shared" si="25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6"/>
        <v>color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IFERROR(VLOOKUP(B329,input_442103!L:R,7,FALSE),VLOOKUP(tables_442103!C329,input_442103!A:H,8,FALSE))</f>
        <v>27212.307690000001</v>
      </c>
      <c r="P329" s="46">
        <f t="shared" ca="1" si="27"/>
        <v>2.3076923075063894E-3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input_442103!A$2</f>
        <v>442103</v>
      </c>
      <c r="B330" s="2">
        <v>1157</v>
      </c>
      <c r="C330" s="100" t="str">
        <f t="shared" si="24"/>
        <v>PremiumSS5R5only</v>
      </c>
      <c r="D330" s="7" t="str">
        <f t="shared" si="25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6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IFERROR(VLOOKUP(B330,input_442103!L:R,7,FALSE),VLOOKUP(tables_442103!C330,input_442103!A:H,8,FALSE))</f>
        <v>4826.0407699999996</v>
      </c>
      <c r="P330" s="46">
        <f t="shared" ca="1" si="27"/>
        <v>4.0926397303429917E-4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input_442103!A$2</f>
        <v>442103</v>
      </c>
      <c r="B331" s="2">
        <v>1111</v>
      </c>
      <c r="C331" s="100" t="str">
        <f t="shared" si="24"/>
        <v>PremiumSSS5R3lesscolor</v>
      </c>
      <c r="D331" s="7" t="str">
        <f t="shared" si="25"/>
        <v>PremiumSSS</v>
      </c>
      <c r="E331" s="7" t="str">
        <f>IF(COUNTIF('R6追加前'!A:A,B331)=0,IF(OR(I331="PremiumSS",I331="PremiumSSw"),"R5only","R3less"),"")</f>
        <v>R3less</v>
      </c>
      <c r="F331" s="7" t="str">
        <f>IF(COUNTIF('R6開放'!A:A,B331)&gt;0,"R6release","")</f>
        <v/>
      </c>
      <c r="G331" s="7" t="str">
        <f t="shared" si="26"/>
        <v>color</v>
      </c>
      <c r="H331" s="7" t="str">
        <f>VLOOKUP(B331,[1]characters!$A:$C,3,FALSE)</f>
        <v>ウィグナー</v>
      </c>
      <c r="I331" s="7" t="str">
        <f>VLOOKUP(B331,[1]characters!$A:$J,10,FALSE)</f>
        <v>PremiumSSS</v>
      </c>
      <c r="J331" s="7">
        <f>VLOOKUP(B331,[1]characters!$A:$I,9,FALSE)</f>
        <v>5</v>
      </c>
      <c r="K331" s="7" t="str">
        <f>VLOOKUP(B331,[1]characters!$A:$H,8,FALSE)</f>
        <v>blue</v>
      </c>
      <c r="L331" s="7" t="str">
        <f>VLOOKUP(B331,[1]characters!$A:$K,11,FALSE)</f>
        <v>attack</v>
      </c>
      <c r="M331" s="7" t="str">
        <f>VLOOKUP(B331,[1]characters!$A:$M,13,FALSE)</f>
        <v>academia</v>
      </c>
      <c r="N331" s="7" t="str">
        <f>VLOOKUP(B331,[1]characters!$A:$G,7,FALSE)</f>
        <v>不明</v>
      </c>
      <c r="O331" s="45">
        <f ca="1">IFERROR(VLOOKUP(B331,input_442103!L:R,7,FALSE),VLOOKUP(tables_442103!C331,input_442103!A:H,8,FALSE))</f>
        <v>47168</v>
      </c>
      <c r="P331" s="46">
        <f t="shared" ca="1" si="27"/>
        <v>4.0000000000169544E-3</v>
      </c>
      <c r="Q331" s="88">
        <v>80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86"/>
  <sheetViews>
    <sheetView showGridLines="0" zoomScale="90" zoomScaleNormal="90" zoomScalePageLayoutView="90" workbookViewId="0">
      <pane ySplit="1" topLeftCell="A2" activePane="bottomLeft" state="frozen"/>
      <selection activeCell="L296" sqref="L296"/>
      <selection pane="bottomLeft" activeCell="L42" sqref="L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99">
        <v>442103</v>
      </c>
      <c r="B2" s="101">
        <v>174</v>
      </c>
      <c r="C2" s="100" t="str">
        <f t="shared" ref="C2:C29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 t="str">
        <f>IF(K2="yellow","color","")</f>
        <v/>
      </c>
      <c r="H2" s="7" t="str">
        <f>VLOOKUP(B2,[1]characters!$A:$C,3,FALSE)</f>
        <v>偽愛の大公爵 フォルネウス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45">
        <v>6149</v>
      </c>
      <c r="P2" s="46">
        <f>O2/SUM(O:O)</f>
        <v>4.5047619047619045E-2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99">
        <v>442103</v>
      </c>
      <c r="B3" s="101">
        <v>186</v>
      </c>
      <c r="C3" s="100" t="str">
        <f t="shared" si="0"/>
        <v>Premium5</v>
      </c>
      <c r="D3" s="7" t="str">
        <f t="shared" ref="D3:D29" si="1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31" si="2">IF(K3="yellow","color","")</f>
        <v/>
      </c>
      <c r="H3" s="7" t="str">
        <f>VLOOKUP(B3,[1]characters!$A:$C,3,FALSE)</f>
        <v>誇り高き多触姫・クラーケン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heal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v>6149</v>
      </c>
      <c r="P3" s="46">
        <f t="shared" ref="P3:P32" si="3">O3/SUM(O:O)</f>
        <v>4.5047619047619045E-2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99">
        <v>442103</v>
      </c>
      <c r="B4" s="101">
        <v>201</v>
      </c>
      <c r="C4" s="100" t="str">
        <f t="shared" si="0"/>
        <v>Premium5</v>
      </c>
      <c r="D4" s="7" t="str">
        <f t="shared" si="1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2"/>
        <v/>
      </c>
      <c r="H4" s="7" t="str">
        <f>VLOOKUP(B4,[1]characters!$A:$C,3,FALSE)</f>
        <v>斬空の大破剣 ジークフリート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45">
        <v>6149</v>
      </c>
      <c r="P4" s="46">
        <f t="shared" si="3"/>
        <v>4.5047619047619045E-2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99">
        <v>442103</v>
      </c>
      <c r="B5" s="101">
        <v>210</v>
      </c>
      <c r="C5" s="100" t="str">
        <f t="shared" si="0"/>
        <v>Premium5</v>
      </c>
      <c r="D5" s="7" t="str">
        <f t="shared" si="1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2"/>
        <v/>
      </c>
      <c r="H5" s="7" t="str">
        <f>VLOOKUP(B5,[1]characters!$A:$C,3,FALSE)</f>
        <v>海底の孤高神 テティス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6149</v>
      </c>
      <c r="P5" s="46">
        <f t="shared" si="3"/>
        <v>4.5047619047619045E-2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99">
        <v>442103</v>
      </c>
      <c r="B6" s="101">
        <v>222</v>
      </c>
      <c r="C6" s="100" t="str">
        <f t="shared" si="0"/>
        <v>Premium5</v>
      </c>
      <c r="D6" s="7" t="str">
        <f t="shared" si="1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2"/>
        <v/>
      </c>
      <c r="H6" s="7" t="str">
        <f>VLOOKUP(B6,[1]characters!$A:$C,3,FALSE)</f>
        <v>避光の鉄鎖宰相 ルキフグス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45">
        <v>6149</v>
      </c>
      <c r="P6" s="46">
        <f t="shared" si="3"/>
        <v>4.5047619047619045E-2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99">
        <v>442103</v>
      </c>
      <c r="B7" s="101">
        <v>234</v>
      </c>
      <c r="C7" s="100" t="str">
        <f t="shared" si="0"/>
        <v>Premium5</v>
      </c>
      <c r="D7" s="7" t="str">
        <f t="shared" si="1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2"/>
        <v/>
      </c>
      <c r="H7" s="7" t="str">
        <f>VLOOKUP(B7,[1]characters!$A:$C,3,FALSE)</f>
        <v>精密なる照準 パーシヴァル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technical</v>
      </c>
      <c r="M7" s="7" t="str">
        <f>VLOOKUP(B7,[1]characters!$A:$M,13,FALSE)</f>
        <v>human</v>
      </c>
      <c r="N7" s="7" t="str">
        <f>VLOOKUP(B7,[1]characters!$A:$G,7,FALSE)</f>
        <v>女性</v>
      </c>
      <c r="O7" s="45">
        <v>6149</v>
      </c>
      <c r="P7" s="46">
        <f t="shared" si="3"/>
        <v>4.5047619047619045E-2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99">
        <v>442103</v>
      </c>
      <c r="B8" s="101">
        <v>246</v>
      </c>
      <c r="C8" s="100" t="str">
        <f t="shared" si="0"/>
        <v>Premium5</v>
      </c>
      <c r="D8" s="7" t="str">
        <f t="shared" si="1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2"/>
        <v/>
      </c>
      <c r="H8" s="7" t="str">
        <f>VLOOKUP(B8,[1]characters!$A:$C,3,FALSE)</f>
        <v>真癒の天使 ラファエル・メディカ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45">
        <v>6149</v>
      </c>
      <c r="P8" s="46">
        <f t="shared" si="3"/>
        <v>4.5047619047619045E-2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99">
        <v>442103</v>
      </c>
      <c r="B9" s="101">
        <v>258</v>
      </c>
      <c r="C9" s="100" t="str">
        <f t="shared" si="0"/>
        <v>Premium5</v>
      </c>
      <c r="D9" s="7" t="str">
        <f t="shared" si="1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2"/>
        <v/>
      </c>
      <c r="H9" s="7" t="str">
        <f>VLOOKUP(B9,[1]characters!$A:$C,3,FALSE)</f>
        <v>色欲の源流 アスモデウス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attack</v>
      </c>
      <c r="M9" s="7" t="str">
        <f>VLOOKUP(B9,[1]characters!$A:$M,13,FALSE)</f>
        <v>god</v>
      </c>
      <c r="N9" s="7" t="str">
        <f>VLOOKUP(B9,[1]characters!$A:$G,7,FALSE)</f>
        <v>女性</v>
      </c>
      <c r="O9" s="45">
        <v>6149</v>
      </c>
      <c r="P9" s="46">
        <f t="shared" si="3"/>
        <v>4.5047619047619045E-2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99">
        <v>442103</v>
      </c>
      <c r="B10" s="101">
        <v>325</v>
      </c>
      <c r="C10" s="100" t="str">
        <f t="shared" si="0"/>
        <v>PremiumSS5</v>
      </c>
      <c r="D10" s="7" t="str">
        <f t="shared" si="1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2"/>
        <v/>
      </c>
      <c r="H10" s="7" t="str">
        <f>VLOOKUP(B10,[1]characters!$A:$C,3,FALSE)</f>
        <v>天賦の凛志士 沖田総司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blue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v>525</v>
      </c>
      <c r="P10" s="46">
        <f t="shared" si="3"/>
        <v>3.8461538461538464E-3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99">
        <v>442103</v>
      </c>
      <c r="B11" s="101">
        <v>386</v>
      </c>
      <c r="C11" s="100" t="str">
        <f t="shared" si="0"/>
        <v>PremiumSS5</v>
      </c>
      <c r="D11" s="7" t="str">
        <f t="shared" si="1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2"/>
        <v/>
      </c>
      <c r="H11" s="7" t="str">
        <f>VLOOKUP(B11,[1]characters!$A:$C,3,FALSE)</f>
        <v>氾乱の海龍 リヴァイアサン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blue</v>
      </c>
      <c r="L11" s="7" t="str">
        <f>VLOOKUP(B11,[1]characters!$A:$K,11,FALSE)</f>
        <v>balance</v>
      </c>
      <c r="M11" s="7" t="str">
        <f>VLOOKUP(B11,[1]characters!$A:$M,13,FALSE)</f>
        <v>dragon</v>
      </c>
      <c r="N11" s="7" t="str">
        <f>VLOOKUP(B11,[1]characters!$A:$G,7,FALSE)</f>
        <v>女性</v>
      </c>
      <c r="O11" s="45">
        <v>525</v>
      </c>
      <c r="P11" s="46">
        <f t="shared" si="3"/>
        <v>3.8461538461538464E-3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99">
        <v>442103</v>
      </c>
      <c r="B12" s="101">
        <v>397</v>
      </c>
      <c r="C12" s="100" t="str">
        <f t="shared" si="0"/>
        <v>Premium5</v>
      </c>
      <c r="D12" s="7" t="str">
        <f t="shared" si="1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2"/>
        <v/>
      </c>
      <c r="H12" s="7" t="str">
        <f>VLOOKUP(B12,[1]characters!$A:$C,3,FALSE)</f>
        <v>禁断の追箱 乙姫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hp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6149</v>
      </c>
      <c r="P12" s="46">
        <f t="shared" si="3"/>
        <v>4.5047619047619045E-2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99">
        <v>442103</v>
      </c>
      <c r="B13" s="101">
        <v>407</v>
      </c>
      <c r="C13" s="100" t="str">
        <f t="shared" si="0"/>
        <v>Premium5</v>
      </c>
      <c r="D13" s="7" t="str">
        <f t="shared" si="1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2"/>
        <v/>
      </c>
      <c r="H13" s="7" t="str">
        <f>VLOOKUP(B13,[1]characters!$A:$C,3,FALSE)</f>
        <v>蠱惑の飛刀 エキドナ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technical</v>
      </c>
      <c r="M13" s="7" t="str">
        <f>VLOOKUP(B13,[1]characters!$A:$M,13,FALSE)</f>
        <v>animal</v>
      </c>
      <c r="N13" s="7" t="str">
        <f>VLOOKUP(B13,[1]characters!$A:$G,7,FALSE)</f>
        <v>女性</v>
      </c>
      <c r="O13" s="45">
        <v>6149</v>
      </c>
      <c r="P13" s="46">
        <f t="shared" si="3"/>
        <v>4.5047619047619045E-2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99">
        <v>442103</v>
      </c>
      <c r="B14" s="101">
        <v>441</v>
      </c>
      <c r="C14" s="100" t="str">
        <f t="shared" si="0"/>
        <v>Premium5</v>
      </c>
      <c r="D14" s="7" t="str">
        <f t="shared" si="1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2"/>
        <v/>
      </c>
      <c r="H14" s="7" t="str">
        <f>VLOOKUP(B14,[1]characters!$A:$C,3,FALSE)</f>
        <v>求心の錻装 ブリキロガー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attack</v>
      </c>
      <c r="M14" s="7" t="str">
        <f>VLOOKUP(B14,[1]characters!$A:$M,13,FALSE)</f>
        <v>machine</v>
      </c>
      <c r="N14" s="7" t="str">
        <f>VLOOKUP(B14,[1]characters!$A:$G,7,FALSE)</f>
        <v>不明</v>
      </c>
      <c r="O14" s="45">
        <v>6149</v>
      </c>
      <c r="P14" s="46">
        <f t="shared" si="3"/>
        <v>4.5047619047619045E-2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99">
        <v>442103</v>
      </c>
      <c r="B15" s="101">
        <v>468</v>
      </c>
      <c r="C15" s="100" t="str">
        <f t="shared" si="0"/>
        <v>PremiumSS5</v>
      </c>
      <c r="D15" s="7" t="str">
        <f t="shared" si="1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2"/>
        <v/>
      </c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v>525</v>
      </c>
      <c r="P15" s="46">
        <f t="shared" si="3"/>
        <v>3.8461538461538464E-3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99">
        <v>442103</v>
      </c>
      <c r="B16" s="101">
        <v>480</v>
      </c>
      <c r="C16" s="100" t="str">
        <f t="shared" si="0"/>
        <v>PremiumSS5</v>
      </c>
      <c r="D16" s="7" t="str">
        <f t="shared" si="1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2"/>
        <v/>
      </c>
      <c r="H16" s="7" t="str">
        <f>VLOOKUP(B16,[1]characters!$A:$C,3,FALSE)</f>
        <v>夢幻の愚者フール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technical</v>
      </c>
      <c r="M16" s="7" t="str">
        <f>VLOOKUP(B16,[1]characters!$A:$M,13,FALSE)</f>
        <v>god</v>
      </c>
      <c r="N16" s="7" t="str">
        <f>VLOOKUP(B16,[1]characters!$A:$G,7,FALSE)</f>
        <v>男性</v>
      </c>
      <c r="O16" s="45">
        <v>525</v>
      </c>
      <c r="P16" s="46">
        <f t="shared" si="3"/>
        <v>3.8461538461538464E-3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99">
        <v>442103</v>
      </c>
      <c r="B17" s="101">
        <v>498</v>
      </c>
      <c r="C17" s="100" t="str">
        <f t="shared" si="0"/>
        <v>Premium5</v>
      </c>
      <c r="D17" s="7" t="str">
        <f t="shared" si="1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2"/>
        <v/>
      </c>
      <c r="H17" s="7" t="str">
        <f>VLOOKUP(B17,[1]characters!$A:$C,3,FALSE)</f>
        <v>自愛の高魔 エスタブ</v>
      </c>
      <c r="I17" s="7" t="str">
        <f>VLOOKUP(B17,[1]characters!$A:$J,10,FALSE)</f>
        <v>PremiumS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attack</v>
      </c>
      <c r="M17" s="7" t="str">
        <f>VLOOKUP(B17,[1]characters!$A:$M,13,FALSE)</f>
        <v>human</v>
      </c>
      <c r="N17" s="7" t="str">
        <f>VLOOKUP(B17,[1]characters!$A:$G,7,FALSE)</f>
        <v>男性</v>
      </c>
      <c r="O17" s="45">
        <v>6149</v>
      </c>
      <c r="P17" s="46">
        <f t="shared" si="3"/>
        <v>4.5047619047619045E-2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99">
        <v>442103</v>
      </c>
      <c r="B18" s="101">
        <v>562</v>
      </c>
      <c r="C18" s="100" t="str">
        <f t="shared" si="0"/>
        <v>PremiumW5R3less</v>
      </c>
      <c r="D18" s="7" t="str">
        <f t="shared" si="1"/>
        <v>PremiumW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 t="str">
        <f t="shared" si="2"/>
        <v/>
      </c>
      <c r="H18" s="7" t="str">
        <f>VLOOKUP(B18,[1]characters!$A:$C,3,FALSE)</f>
        <v>月夜砕く蒼狂狼 ローレンス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blue</v>
      </c>
      <c r="L18" s="7" t="str">
        <f>VLOOKUP(B18,[1]characters!$A:$K,11,FALSE)</f>
        <v>attack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5">
        <v>6149</v>
      </c>
      <c r="P18" s="46">
        <f t="shared" si="3"/>
        <v>4.5047619047619045E-2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99">
        <v>442103</v>
      </c>
      <c r="B19" s="101">
        <v>566</v>
      </c>
      <c r="C19" s="100" t="str">
        <f t="shared" si="0"/>
        <v>PremiumW5R3less</v>
      </c>
      <c r="D19" s="7" t="str">
        <f t="shared" si="1"/>
        <v>PremiumW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 t="str">
        <f t="shared" si="2"/>
        <v/>
      </c>
      <c r="H19" s="7" t="str">
        <f>VLOOKUP(B19,[1]characters!$A:$C,3,FALSE)</f>
        <v>遊歩遊泳プリンセス マーメイド</v>
      </c>
      <c r="I19" s="7" t="str">
        <f>VLOOKUP(B19,[1]characters!$A:$J,10,FALSE)</f>
        <v>PremiumW</v>
      </c>
      <c r="J19" s="7">
        <f>VLOOKUP(B19,[1]characters!$A:$I,9,FALSE)</f>
        <v>5</v>
      </c>
      <c r="K19" s="7" t="str">
        <f>VLOOKUP(B19,[1]characters!$A:$H,8,FALSE)</f>
        <v>blue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不明</v>
      </c>
      <c r="O19" s="45">
        <v>6149</v>
      </c>
      <c r="P19" s="46">
        <f t="shared" si="3"/>
        <v>4.5047619047619045E-2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99">
        <v>442103</v>
      </c>
      <c r="B20" s="101">
        <v>593</v>
      </c>
      <c r="C20" s="100" t="str">
        <f t="shared" si="0"/>
        <v>Premium5</v>
      </c>
      <c r="D20" s="7" t="str">
        <f t="shared" si="1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2"/>
        <v/>
      </c>
      <c r="H20" s="7" t="str">
        <f>VLOOKUP(B20,[1]characters!$A:$C,3,FALSE)</f>
        <v>妄執する邪毒龍 ファフニール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dragon</v>
      </c>
      <c r="N20" s="7" t="str">
        <f>VLOOKUP(B20,[1]characters!$A:$G,7,FALSE)</f>
        <v>不明</v>
      </c>
      <c r="O20" s="45">
        <v>6149</v>
      </c>
      <c r="P20" s="46">
        <f t="shared" si="3"/>
        <v>4.5047619047619045E-2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99">
        <v>442103</v>
      </c>
      <c r="B21" s="101">
        <v>603</v>
      </c>
      <c r="C21" s="100" t="str">
        <f t="shared" si="0"/>
        <v>PremiumSS5</v>
      </c>
      <c r="D21" s="7" t="str">
        <f t="shared" si="1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2"/>
        <v/>
      </c>
      <c r="H21" s="7" t="str">
        <f>VLOOKUP(B21,[1]characters!$A:$C,3,FALSE)</f>
        <v>掌愛の豊穣女神 フレイヤ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heal</v>
      </c>
      <c r="M21" s="7" t="str">
        <f>VLOOKUP(B21,[1]characters!$A:$M,13,FALSE)</f>
        <v>animal</v>
      </c>
      <c r="N21" s="7" t="str">
        <f>VLOOKUP(B21,[1]characters!$A:$G,7,FALSE)</f>
        <v>女性</v>
      </c>
      <c r="O21" s="45">
        <v>525</v>
      </c>
      <c r="P21" s="46">
        <f t="shared" si="3"/>
        <v>3.8461538461538464E-3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99">
        <v>442103</v>
      </c>
      <c r="B22" s="101">
        <v>664</v>
      </c>
      <c r="C22" s="100" t="str">
        <f t="shared" si="0"/>
        <v>Premium5</v>
      </c>
      <c r="D22" s="7" t="str">
        <f t="shared" si="1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2"/>
        <v/>
      </c>
      <c r="H22" s="7" t="str">
        <f>VLOOKUP(B22,[1]characters!$A:$C,3,FALSE)</f>
        <v>山掴み国造り ダイダラ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45">
        <v>6149</v>
      </c>
      <c r="P22" s="46">
        <f t="shared" si="3"/>
        <v>4.5047619047619045E-2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99">
        <v>442103</v>
      </c>
      <c r="B23" s="101">
        <v>675</v>
      </c>
      <c r="C23" s="100" t="str">
        <f t="shared" si="0"/>
        <v>PremiumSS5</v>
      </c>
      <c r="D23" s="7" t="str">
        <f t="shared" si="1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2"/>
        <v/>
      </c>
      <c r="H23" s="7" t="str">
        <f>VLOOKUP(B23,[1]characters!$A:$C,3,FALSE)</f>
        <v>芸楽の奔流 サラスヴァティ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balance</v>
      </c>
      <c r="M23" s="7" t="str">
        <f>VLOOKUP(B23,[1]characters!$A:$M,13,FALSE)</f>
        <v>god</v>
      </c>
      <c r="N23" s="7" t="str">
        <f>VLOOKUP(B23,[1]characters!$A:$G,7,FALSE)</f>
        <v>女性</v>
      </c>
      <c r="O23" s="45">
        <v>525</v>
      </c>
      <c r="P23" s="46">
        <f t="shared" si="3"/>
        <v>3.8461538461538464E-3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99">
        <v>442103</v>
      </c>
      <c r="B24" s="101">
        <v>732</v>
      </c>
      <c r="C24" s="100" t="str">
        <f t="shared" si="0"/>
        <v>PremiumSS5R5only</v>
      </c>
      <c r="D24" s="7" t="str">
        <f t="shared" si="1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 t="str">
        <f t="shared" si="2"/>
        <v/>
      </c>
      <c r="H24" s="7" t="str">
        <f>VLOOKUP(B24,[1]characters!$A:$C,3,FALSE)</f>
        <v>上杉謙信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attack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v>525</v>
      </c>
      <c r="P24" s="46">
        <f t="shared" si="3"/>
        <v>3.8461538461538464E-3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99">
        <v>442103</v>
      </c>
      <c r="B25" s="101">
        <v>747</v>
      </c>
      <c r="C25" s="100" t="str">
        <f t="shared" si="0"/>
        <v>Premium5R3less</v>
      </c>
      <c r="D25" s="7" t="str">
        <f t="shared" si="1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 t="str">
        <f t="shared" si="2"/>
        <v/>
      </c>
      <c r="H25" s="7" t="str">
        <f>VLOOKUP(B25,[1]characters!$A:$C,3,FALSE)</f>
        <v>潔碧の巡励神 ノルン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blue</v>
      </c>
      <c r="L25" s="7" t="str">
        <f>VLOOKUP(B25,[1]characters!$A:$K,11,FALSE)</f>
        <v>balance</v>
      </c>
      <c r="M25" s="7" t="str">
        <f>VLOOKUP(B25,[1]characters!$A:$M,13,FALSE)</f>
        <v>god</v>
      </c>
      <c r="N25" s="7" t="str">
        <f>VLOOKUP(B25,[1]characters!$A:$G,7,FALSE)</f>
        <v>男性</v>
      </c>
      <c r="O25" s="45">
        <v>6149</v>
      </c>
      <c r="P25" s="46">
        <f t="shared" si="3"/>
        <v>4.5047619047619045E-2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99">
        <v>442103</v>
      </c>
      <c r="B26" s="101">
        <v>776</v>
      </c>
      <c r="C26" s="100" t="str">
        <f t="shared" si="0"/>
        <v>Premium5</v>
      </c>
      <c r="D26" s="7" t="str">
        <f t="shared" si="1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2"/>
        <v/>
      </c>
      <c r="H26" s="7" t="str">
        <f>VLOOKUP(B26,[1]characters!$A:$C,3,FALSE)</f>
        <v>水竜底主 ミズチ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heal</v>
      </c>
      <c r="M26" s="7" t="str">
        <f>VLOOKUP(B26,[1]characters!$A:$M,13,FALSE)</f>
        <v>dragon</v>
      </c>
      <c r="N26" s="7" t="str">
        <f>VLOOKUP(B26,[1]characters!$A:$G,7,FALSE)</f>
        <v>不明</v>
      </c>
      <c r="O26" s="45">
        <v>6149</v>
      </c>
      <c r="P26" s="46">
        <f t="shared" si="3"/>
        <v>4.5047619047619045E-2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99">
        <v>442103</v>
      </c>
      <c r="B27" s="101">
        <v>853</v>
      </c>
      <c r="C27" s="100" t="str">
        <f t="shared" si="0"/>
        <v>Premium5R3less</v>
      </c>
      <c r="D27" s="7" t="str">
        <f t="shared" si="1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 t="str">
        <f t="shared" si="2"/>
        <v/>
      </c>
      <c r="H27" s="7" t="str">
        <f>VLOOKUP(B27,[1]characters!$A:$C,3,FALSE)</f>
        <v>裂爪の天使 サキエル・ティア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hp</v>
      </c>
      <c r="M27" s="7" t="str">
        <f>VLOOKUP(B27,[1]characters!$A:$M,13,FALSE)</f>
        <v>god</v>
      </c>
      <c r="N27" s="7" t="str">
        <f>VLOOKUP(B27,[1]characters!$A:$G,7,FALSE)</f>
        <v>男性</v>
      </c>
      <c r="O27" s="45">
        <v>6149</v>
      </c>
      <c r="P27" s="46">
        <f t="shared" si="3"/>
        <v>4.5047619047619045E-2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99">
        <v>442103</v>
      </c>
      <c r="B28" s="101">
        <v>866</v>
      </c>
      <c r="C28" s="100" t="str">
        <f t="shared" si="0"/>
        <v>PremiumSS5R5only</v>
      </c>
      <c r="D28" s="7" t="str">
        <f t="shared" si="1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 t="str">
        <f t="shared" si="2"/>
        <v/>
      </c>
      <c r="H28" s="7" t="str">
        <f>VLOOKUP(B28,[1]characters!$A:$C,3,FALSE)</f>
        <v>無敗の司令姫 白雪姫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45">
        <v>525</v>
      </c>
      <c r="P28" s="46">
        <f t="shared" si="3"/>
        <v>3.8461538461538464E-3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99">
        <v>442103</v>
      </c>
      <c r="B29" s="101">
        <v>941</v>
      </c>
      <c r="C29" s="100" t="str">
        <f t="shared" si="0"/>
        <v>PremiumSS5R5only</v>
      </c>
      <c r="D29" s="7" t="str">
        <f t="shared" si="1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 t="str">
        <f t="shared" si="2"/>
        <v/>
      </c>
      <c r="H29" s="7" t="str">
        <f>VLOOKUP(B29,[1]characters!$A:$C,3,FALSE)</f>
        <v>アントワネット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v>525</v>
      </c>
      <c r="P29" s="46">
        <f t="shared" si="3"/>
        <v>3.8461538461538464E-3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99">
        <v>442103</v>
      </c>
      <c r="B30" s="101">
        <v>1017</v>
      </c>
      <c r="C30" s="100" t="str">
        <f t="shared" ref="C30:C31" si="4">D30&amp;J30&amp;E30&amp;F30&amp;G30</f>
        <v>Premium5R3less</v>
      </c>
      <c r="D30" s="7" t="str">
        <f t="shared" ref="D30:D31" si="5">IF(OR(I30="PremiumSS",I30="PremiumSSw"),"PremiumSS",IF(I30="PremiumSSS",I30,IF(I30="PremiumW",I30,"Premium")))</f>
        <v>Premium</v>
      </c>
      <c r="E30" s="7" t="str">
        <f>IF(COUNTIF('R6追加前'!A:A,B30)=0,IF(OR(I30="PremiumSS",I30="PremiumSSw"),"R5only","R3less"),"")</f>
        <v>R3less</v>
      </c>
      <c r="F30" s="7" t="str">
        <f>IF(COUNTIF('R6開放'!A:A,B30)&gt;0,"R6release","")</f>
        <v/>
      </c>
      <c r="G30" s="7" t="str">
        <f t="shared" si="2"/>
        <v/>
      </c>
      <c r="H30" s="7" t="str">
        <f>VLOOKUP(B30,[1]characters!$A:$C,3,FALSE)</f>
        <v>命瞳の慈母神 ハトホル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god</v>
      </c>
      <c r="N30" s="7" t="str">
        <f>VLOOKUP(B30,[1]characters!$A:$G,7,FALSE)</f>
        <v>男性</v>
      </c>
      <c r="O30" s="45">
        <v>6149</v>
      </c>
      <c r="P30" s="46">
        <f t="shared" si="3"/>
        <v>4.5047619047619045E-2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99">
        <v>442103</v>
      </c>
      <c r="B31" s="101">
        <v>1031</v>
      </c>
      <c r="C31" s="100" t="str">
        <f t="shared" si="4"/>
        <v>PremiumSS5R5only</v>
      </c>
      <c r="D31" s="7" t="str">
        <f t="shared" si="5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 t="str">
        <f t="shared" si="2"/>
        <v/>
      </c>
      <c r="H31" s="7" t="str">
        <f>VLOOKUP(B31,[1]characters!$A:$C,3,FALSE)</f>
        <v>紫式部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blue</v>
      </c>
      <c r="L31" s="7" t="str">
        <f>VLOOKUP(B31,[1]characters!$A:$K,11,FALSE)</f>
        <v>technical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45">
        <v>525</v>
      </c>
      <c r="P31" s="46">
        <f t="shared" si="3"/>
        <v>3.8461538461538464E-3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99">
        <v>442103</v>
      </c>
      <c r="B32" s="101">
        <v>1072</v>
      </c>
      <c r="C32" s="100" t="str">
        <f t="shared" ref="C32:C33" si="6">D32&amp;J32&amp;E32&amp;F32&amp;G32</f>
        <v>PremiumSS5R5only</v>
      </c>
      <c r="D32" s="7" t="str">
        <f t="shared" ref="D32:D33" si="7">IF(OR(I32="PremiumSS",I32="PremiumSSw"),"PremiumSS",IF(I32="PremiumSSS",I32,IF(I32="PremiumW",I32,"Premium")))</f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 t="str">
        <f t="shared" ref="G32:G33" si="8">IF(K32="yellow","color","")</f>
        <v/>
      </c>
      <c r="H32" s="7" t="str">
        <f>VLOOKUP(B32,[1]characters!$A:$C,3,FALSE)</f>
        <v>エンキドゥ</v>
      </c>
      <c r="I32" s="7" t="str">
        <f>VLOOKUP(B32,[1]characters!$A:$J,10,FALSE)</f>
        <v>PremiumSSw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human</v>
      </c>
      <c r="N32" s="7" t="str">
        <f>VLOOKUP(B32,[1]characters!$A:$G,7,FALSE)</f>
        <v>男性</v>
      </c>
      <c r="O32" s="45">
        <v>525</v>
      </c>
      <c r="P32" s="46">
        <f t="shared" si="3"/>
        <v>3.8461538461538464E-3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99">
        <v>442103</v>
      </c>
      <c r="B33" s="101">
        <v>1105</v>
      </c>
      <c r="C33" s="100" t="str">
        <f t="shared" si="6"/>
        <v>Premium5R3less</v>
      </c>
      <c r="D33" s="7" t="str">
        <f t="shared" si="7"/>
        <v>Premium</v>
      </c>
      <c r="E33" s="7" t="str">
        <f>IF(COUNTIF('R6追加前'!A:A,B33)=0,IF(OR(I33="PremiumSS",I33="PremiumSSw"),"R5only","R3less"),"")</f>
        <v>R3less</v>
      </c>
      <c r="F33" s="7" t="str">
        <f>IF(COUNTIF('R6開放'!A:A,B33)&gt;0,"R6release","")</f>
        <v/>
      </c>
      <c r="G33" s="7" t="str">
        <f t="shared" si="8"/>
        <v/>
      </c>
      <c r="H33" s="7" t="str">
        <f>VLOOKUP(B33,[1]characters!$A:$C,3,FALSE)</f>
        <v>甘美なる背徳 クリムト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technical</v>
      </c>
      <c r="M33" s="7" t="str">
        <f>VLOOKUP(B33,[1]characters!$A:$M,13,FALSE)</f>
        <v>human</v>
      </c>
      <c r="N33" s="7" t="str">
        <f>VLOOKUP(B33,[1]characters!$A:$G,7,FALSE)</f>
        <v>不明</v>
      </c>
      <c r="O33" s="45">
        <v>6149</v>
      </c>
      <c r="P33" s="46">
        <f>O33/SUM(O:O)</f>
        <v>4.5047619047619045E-2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442103</v>
      </c>
      <c r="B34" s="2">
        <v>1141</v>
      </c>
      <c r="C34" s="7" t="str">
        <f t="shared" ref="C34" si="9">D34&amp;J34&amp;E34&amp;F34&amp;G34</f>
        <v>PremiumSS5R5only</v>
      </c>
      <c r="D34" s="7" t="str">
        <f t="shared" ref="D34" si="10">IF(OR(I34="PremiumSS",I34="PremiumSSw"),"PremiumSS",IF(I34="PremiumSSS",I34,IF(I34="PremiumW",I34,"Premium")))</f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 t="str">
        <f t="shared" ref="G34" si="11">IF(K34="yellow","color","")</f>
        <v/>
      </c>
      <c r="H34" s="7" t="str">
        <f>VLOOKUP(B34,[1]characters!$A:$C,3,FALSE)</f>
        <v>月英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blue</v>
      </c>
      <c r="L34" s="7" t="str">
        <f>VLOOKUP(B34,[1]characters!$A:$K,11,FALSE)</f>
        <v>balance</v>
      </c>
      <c r="M34" s="7" t="str">
        <f>VLOOKUP(B34,[1]characters!$A:$M,13,FALSE)</f>
        <v>human</v>
      </c>
      <c r="N34" s="7" t="str">
        <f>VLOOKUP(B34,[1]characters!$A:$G,7,FALSE)</f>
        <v>不明</v>
      </c>
      <c r="O34" s="45">
        <v>525</v>
      </c>
      <c r="P34" s="46">
        <f>O34/SUM(O:O)</f>
        <v>3.8461538461538464E-3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442103</v>
      </c>
      <c r="B35" s="2">
        <v>1155</v>
      </c>
      <c r="C35" s="7" t="str">
        <f t="shared" ref="C35:C36" si="12">D35&amp;J35&amp;E35&amp;F35&amp;G35</f>
        <v>PremiumSS5R5only</v>
      </c>
      <c r="D35" s="7" t="str">
        <f t="shared" ref="D35:D36" si="13">IF(OR(I35="PremiumSS",I35="PremiumSSw"),"PremiumSS",IF(I35="PremiumSSS",I35,IF(I35="PremiumW",I35,"Premium")))</f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 t="str">
        <f t="shared" ref="G35:G36" si="14">IF(K35="yellow","color","")</f>
        <v/>
      </c>
      <c r="H35" s="7" t="str">
        <f>VLOOKUP(B35,[1]characters!$A:$C,3,FALSE)</f>
        <v>ドゥルガー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不明</v>
      </c>
      <c r="O35" s="45">
        <v>525</v>
      </c>
      <c r="P35" s="46">
        <f t="shared" ref="P35:P36" si="15">O35/SUM(O:O)</f>
        <v>3.8461538461538464E-3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442103</v>
      </c>
      <c r="B36" s="2">
        <v>1111</v>
      </c>
      <c r="C36" s="7" t="str">
        <f t="shared" si="12"/>
        <v>PremiumSSS5R3less</v>
      </c>
      <c r="D36" s="7" t="str">
        <f t="shared" si="13"/>
        <v>PremiumSSS</v>
      </c>
      <c r="E36" s="7" t="str">
        <f>IF(COUNTIF('R6追加前'!A:A,B36)=0,IF(OR(I36="PremiumSS",I36="PremiumSSw"),"R5only","R3less"),"")</f>
        <v>R3less</v>
      </c>
      <c r="F36" s="7" t="str">
        <f>IF(COUNTIF('R6開放'!A:A,B36)&gt;0,"R6release","")</f>
        <v/>
      </c>
      <c r="G36" s="7" t="str">
        <f t="shared" si="14"/>
        <v/>
      </c>
      <c r="H36" s="7" t="str">
        <f>VLOOKUP(B36,[1]characters!$A:$C,3,FALSE)</f>
        <v>ウィグナー</v>
      </c>
      <c r="I36" s="7" t="str">
        <f>VLOOKUP(B36,[1]characters!$A:$J,10,FALSE)</f>
        <v>PremiumSSS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attack</v>
      </c>
      <c r="M36" s="7" t="str">
        <f>VLOOKUP(B36,[1]characters!$A:$M,13,FALSE)</f>
        <v>academia</v>
      </c>
      <c r="N36" s="7" t="str">
        <f>VLOOKUP(B36,[1]characters!$A:$G,7,FALSE)</f>
        <v>不明</v>
      </c>
      <c r="O36" s="45">
        <v>546</v>
      </c>
      <c r="P36" s="46">
        <f t="shared" si="15"/>
        <v>4.0000000000000001E-3</v>
      </c>
      <c r="Q36" s="88">
        <v>80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109"/>
      <c r="B37" s="109"/>
      <c r="J37" s="1">
        <f>J40*0.004/K37</f>
        <v>546</v>
      </c>
      <c r="K37" s="4">
        <v>1</v>
      </c>
    </row>
    <row r="38" spans="1:22" ht="21" customHeight="1" x14ac:dyDescent="0.15">
      <c r="A38" s="109"/>
      <c r="B38" s="109"/>
      <c r="J38" s="1">
        <f>J40*0.05/K38</f>
        <v>525</v>
      </c>
      <c r="K38" s="4">
        <v>13</v>
      </c>
    </row>
    <row r="39" spans="1:22" ht="21" customHeight="1" x14ac:dyDescent="0.15">
      <c r="A39" s="109"/>
      <c r="B39" s="109"/>
      <c r="J39" s="1">
        <f>J40*0.946/K39</f>
        <v>6149</v>
      </c>
      <c r="K39" s="4">
        <v>21</v>
      </c>
    </row>
    <row r="40" spans="1:22" ht="21" customHeight="1" x14ac:dyDescent="0.15">
      <c r="A40" s="109"/>
      <c r="B40" s="109"/>
      <c r="J40" s="1">
        <f>K37*K38*K39*250*2</f>
        <v>136500</v>
      </c>
    </row>
    <row r="41" spans="1:22" ht="21" customHeight="1" x14ac:dyDescent="0.15">
      <c r="A41" s="109"/>
      <c r="B41" s="109"/>
    </row>
    <row r="42" spans="1:22" ht="21" customHeight="1" x14ac:dyDescent="0.15">
      <c r="A42" s="109"/>
      <c r="B42" s="109"/>
    </row>
    <row r="43" spans="1:22" ht="21" customHeight="1" x14ac:dyDescent="0.15">
      <c r="A43" s="109"/>
      <c r="B43" s="109"/>
    </row>
    <row r="44" spans="1:22" ht="21" customHeight="1" x14ac:dyDescent="0.15">
      <c r="A44" s="109"/>
      <c r="B44" s="109"/>
    </row>
    <row r="45" spans="1:22" ht="21" customHeight="1" x14ac:dyDescent="0.15">
      <c r="A45" s="109"/>
      <c r="B45" s="109"/>
    </row>
    <row r="46" spans="1:22" ht="21" customHeight="1" x14ac:dyDescent="0.15">
      <c r="A46" s="109"/>
      <c r="B46" s="109"/>
    </row>
    <row r="47" spans="1:22" ht="21" customHeight="1" x14ac:dyDescent="0.15">
      <c r="A47" s="109"/>
      <c r="B47" s="109"/>
    </row>
    <row r="48" spans="1:22" ht="21" customHeight="1" x14ac:dyDescent="0.15">
      <c r="A48" s="109"/>
      <c r="B48" s="109"/>
    </row>
    <row r="49" spans="1:2" ht="21" customHeight="1" x14ac:dyDescent="0.15">
      <c r="A49" s="109"/>
      <c r="B49" s="109"/>
    </row>
    <row r="50" spans="1:2" ht="21" customHeight="1" x14ac:dyDescent="0.15">
      <c r="A50" s="109"/>
      <c r="B50" s="109"/>
    </row>
    <row r="51" spans="1:2" ht="21" customHeight="1" x14ac:dyDescent="0.15">
      <c r="A51" s="109"/>
      <c r="B51" s="109"/>
    </row>
    <row r="52" spans="1:2" ht="21" customHeight="1" x14ac:dyDescent="0.15">
      <c r="A52" s="109"/>
      <c r="B52" s="109"/>
    </row>
    <row r="53" spans="1:2" ht="21" customHeight="1" x14ac:dyDescent="0.15">
      <c r="A53" s="109"/>
      <c r="B53" s="109"/>
    </row>
    <row r="54" spans="1:2" ht="21" customHeight="1" x14ac:dyDescent="0.15">
      <c r="A54" s="109"/>
      <c r="B54" s="109"/>
    </row>
    <row r="55" spans="1:2" ht="21" customHeight="1" x14ac:dyDescent="0.15">
      <c r="A55" s="109"/>
      <c r="B55" s="109"/>
    </row>
    <row r="56" spans="1:2" ht="21" customHeight="1" x14ac:dyDescent="0.15">
      <c r="A56" s="109"/>
      <c r="B56" s="109"/>
    </row>
    <row r="57" spans="1:2" ht="21" customHeight="1" x14ac:dyDescent="0.15">
      <c r="A57" s="109"/>
      <c r="B57" s="109"/>
    </row>
    <row r="58" spans="1:2" ht="21" customHeight="1" x14ac:dyDescent="0.15">
      <c r="A58" s="109"/>
      <c r="B58" s="109"/>
    </row>
    <row r="59" spans="1:2" ht="21" customHeight="1" x14ac:dyDescent="0.15">
      <c r="A59" s="109"/>
      <c r="B59" s="109"/>
    </row>
    <row r="60" spans="1:2" ht="21" customHeight="1" x14ac:dyDescent="0.15">
      <c r="A60" s="109"/>
      <c r="B60" s="109"/>
    </row>
    <row r="61" spans="1:2" ht="21" customHeight="1" x14ac:dyDescent="0.15">
      <c r="A61" s="109"/>
      <c r="B61" s="109"/>
    </row>
    <row r="62" spans="1:2" ht="21" customHeight="1" x14ac:dyDescent="0.15">
      <c r="A62" s="109"/>
      <c r="B62" s="109"/>
    </row>
    <row r="63" spans="1:2" ht="21" customHeight="1" x14ac:dyDescent="0.15">
      <c r="A63" s="109"/>
      <c r="B63" s="109"/>
    </row>
    <row r="64" spans="1:2" ht="21" customHeight="1" x14ac:dyDescent="0.15">
      <c r="A64" s="109"/>
      <c r="B64" s="109"/>
    </row>
    <row r="65" spans="1:2" ht="21" customHeight="1" x14ac:dyDescent="0.15">
      <c r="A65" s="109"/>
      <c r="B65" s="109"/>
    </row>
    <row r="66" spans="1:2" ht="21" customHeight="1" x14ac:dyDescent="0.15">
      <c r="A66" s="109"/>
      <c r="B66" s="109"/>
    </row>
    <row r="67" spans="1:2" ht="21" customHeight="1" x14ac:dyDescent="0.15">
      <c r="A67" s="109"/>
      <c r="B67" s="109"/>
    </row>
    <row r="68" spans="1:2" ht="21" customHeight="1" x14ac:dyDescent="0.15">
      <c r="A68" s="109"/>
      <c r="B68" s="109"/>
    </row>
    <row r="69" spans="1:2" ht="21" customHeight="1" x14ac:dyDescent="0.15">
      <c r="A69" s="109"/>
      <c r="B69" s="109"/>
    </row>
    <row r="70" spans="1:2" ht="21" customHeight="1" x14ac:dyDescent="0.15">
      <c r="A70" s="109"/>
      <c r="B70" s="109"/>
    </row>
    <row r="71" spans="1:2" ht="21" customHeight="1" x14ac:dyDescent="0.15">
      <c r="A71" s="109"/>
      <c r="B71" s="109"/>
    </row>
    <row r="72" spans="1:2" ht="21" customHeight="1" x14ac:dyDescent="0.15">
      <c r="A72" s="109"/>
      <c r="B72" s="109"/>
    </row>
    <row r="73" spans="1:2" ht="21" customHeight="1" x14ac:dyDescent="0.15">
      <c r="A73" s="109"/>
      <c r="B73" s="109"/>
    </row>
    <row r="74" spans="1:2" ht="21" customHeight="1" x14ac:dyDescent="0.15">
      <c r="A74" s="109"/>
      <c r="B74" s="109"/>
    </row>
    <row r="75" spans="1:2" ht="21" customHeight="1" x14ac:dyDescent="0.15">
      <c r="A75" s="109"/>
      <c r="B75" s="109"/>
    </row>
    <row r="76" spans="1:2" ht="21" customHeight="1" x14ac:dyDescent="0.15">
      <c r="A76" s="109"/>
      <c r="B76" s="109"/>
    </row>
    <row r="77" spans="1:2" ht="21" customHeight="1" x14ac:dyDescent="0.15">
      <c r="A77" s="109"/>
      <c r="B77" s="109"/>
    </row>
    <row r="78" spans="1:2" ht="21" customHeight="1" x14ac:dyDescent="0.15">
      <c r="A78" s="109"/>
      <c r="B78" s="109"/>
    </row>
    <row r="79" spans="1:2" ht="21" customHeight="1" x14ac:dyDescent="0.15">
      <c r="A79" s="109"/>
      <c r="B79" s="109"/>
    </row>
    <row r="80" spans="1:2" ht="21" customHeight="1" x14ac:dyDescent="0.15">
      <c r="A80" s="109"/>
      <c r="B80" s="109"/>
    </row>
    <row r="81" spans="1:2" ht="21" customHeight="1" x14ac:dyDescent="0.15">
      <c r="A81" s="109"/>
      <c r="B81" s="109"/>
    </row>
    <row r="82" spans="1:2" ht="21" customHeight="1" x14ac:dyDescent="0.15">
      <c r="A82" s="109"/>
      <c r="B82" s="109"/>
    </row>
    <row r="83" spans="1:2" ht="21" customHeight="1" x14ac:dyDescent="0.15">
      <c r="A83" s="109"/>
      <c r="B83" s="109"/>
    </row>
    <row r="84" spans="1:2" ht="21" customHeight="1" x14ac:dyDescent="0.15">
      <c r="A84" s="109"/>
      <c r="B84" s="109"/>
    </row>
    <row r="85" spans="1:2" ht="21" customHeight="1" x14ac:dyDescent="0.15">
      <c r="A85" s="109"/>
      <c r="B85" s="109"/>
    </row>
    <row r="86" spans="1:2" ht="21" customHeight="1" x14ac:dyDescent="0.15">
      <c r="A86" s="109"/>
      <c r="B86" s="109"/>
    </row>
  </sheetData>
  <autoFilter ref="A1:V33"/>
  <sortState ref="A2:V114">
    <sortCondition ref="G2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5"/>
  <sheetViews>
    <sheetView topLeftCell="A13" workbookViewId="0">
      <selection activeCell="C51" sqref="C51"/>
    </sheetView>
  </sheetViews>
  <sheetFormatPr baseColWidth="12" defaultRowHeight="14" x14ac:dyDescent="0.15"/>
  <cols>
    <col min="1" max="2" width="24.19921875" bestFit="1" customWidth="1"/>
    <col min="5" max="5" width="13.796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442104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VLOOKUP(L3,tables_442104!B:C,2,FALSE)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VLOOKUP(L4,tables_442104!B:C,2,FALSE)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4.5454545454545465E-4</v>
      </c>
      <c r="F5">
        <f>(COUNTIF(tables_442104!C:C,input_442104!A28)+COUNTIF(tables_442104!C:C,input_442104!A29))</f>
        <v>44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VLOOKUP(L5,tables_442104!B:C,2,FALSE)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2.3076923076923075E-3</v>
      </c>
      <c r="F6">
        <f>(COUNTIF(tables_442104!C:C,input_442104!A43)+COUNTIF(tables_442104!C:C,input_442104!A44))</f>
        <v>13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VLOOKUP(L6,tables_442104!B:C,2,FALSE)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5.6238805970149257E-3</v>
      </c>
      <c r="F7">
        <f>(COUNTIF(tables_442104!C:C,input_442104!A26)+COUNTIF(tables_442104!C:C,input_442104!A18)+COUNTIF(tables_442104!C:C,input_442104!A20)+COUNTIF(tables_442104!C:C,input_442104!A22))</f>
        <v>67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VLOOKUP(L7,tables_442104!B:C,2,FALSE)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2.3549999999999998E-2</v>
      </c>
      <c r="F8">
        <f>(COUNTIF(tables_442104!C:C,input_442104!A40)+COUNTIF(tables_442104!C:C,input_442104!A33)+COUNTIF(tables_442104!C:C,input_442104!A35)+COUNTIF(tables_442104!C:C,input_442104!A37))</f>
        <v>24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VLOOKUP(L8,tables_442104!B:C,2,FALSE)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VLOOKUP(L9,tables_442104!B:C,2,FALSE)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0.94199999999999995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VLOOKUP(L10,tables_442104!B:C,2,FALSE)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</f>
        <v>0.05</v>
      </c>
      <c r="C11" t="s">
        <v>275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VLOOKUP(L11,tables_442104!B:C,2,FALSE)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8.0000000000000002E-3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VLOOKUP(L12,tables_442104!B:C,2,FALSE)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VLOOKUP(L13,tables_442104!B:C,2,FALSE)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VLOOKUP(L14,tables_442104!B:C,2,FALSE)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VLOOKUP(L15,tables_442104!B:C,2,FALSE)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VLOOKUP(L16,tables_442104!B:C,2,FALSE)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COUNTIF(tables_442104!C:C,input_442104!A17)-COUNTIF(Q:Q,A17)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VLOOKUP(L17,tables_442104!B:C,2,FALSE)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8.435820895522389E-2</v>
      </c>
      <c r="C18" s="86">
        <f t="shared" si="2"/>
        <v>0</v>
      </c>
      <c r="D18" s="75">
        <f t="shared" si="3"/>
        <v>8.435820895522389E-2</v>
      </c>
      <c r="E18">
        <f>COUNTIF(tables_442104!C:C,input_442104!A18)-COUNTIF(Q:Q,A18)</f>
        <v>15</v>
      </c>
      <c r="F18" s="43">
        <f>IFERROR(B18/E18,0)</f>
        <v>5.6238805970149257E-3</v>
      </c>
      <c r="G18">
        <f t="shared" si="4"/>
        <v>994752.00000000012</v>
      </c>
      <c r="H18">
        <f t="shared" si="5"/>
        <v>66316.800000000003</v>
      </c>
      <c r="I18">
        <f t="shared" si="6"/>
        <v>0.80000000000291038</v>
      </c>
      <c r="J18">
        <f t="shared" si="7"/>
        <v>1.2499999999954525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VLOOKUP(L18,tables_442104!B:C,2,FALSE)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COUNTIF(tables_442104!C:C,input_442104!A19)-COUNTIF(Q:Q,A19)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VLOOKUP(L19,tables_442104!B:C,2,FALSE)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3">
        <f>E$7*E20*B$6+F49-0.02+0.01-G64</f>
        <v>0.19302208954806546</v>
      </c>
      <c r="C20" s="86">
        <f t="shared" si="2"/>
        <v>0</v>
      </c>
      <c r="D20" s="75">
        <f t="shared" si="3"/>
        <v>0.19302208954806546</v>
      </c>
      <c r="E20">
        <f>COUNTIF(tables_442104!C:C,input_442104!A20)-COUNTIF(Q:Q,A20)</f>
        <v>38</v>
      </c>
      <c r="F20" s="43">
        <f t="shared" si="8"/>
        <v>5.0795286723175122E-3</v>
      </c>
      <c r="G20">
        <f t="shared" si="4"/>
        <v>2276116.479950788</v>
      </c>
      <c r="H20">
        <f t="shared" si="5"/>
        <v>59897.802100000001</v>
      </c>
      <c r="I20">
        <f t="shared" si="6"/>
        <v>0.80210000000079162</v>
      </c>
      <c r="J20">
        <f t="shared" si="7"/>
        <v>1.2467273407293518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VLOOKUP(L20,tables_442104!B:C,2,FALSE)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6.8537313432835874E-4</v>
      </c>
      <c r="C21" s="86">
        <f t="shared" si="2"/>
        <v>0</v>
      </c>
      <c r="D21" s="75">
        <f t="shared" si="3"/>
        <v>6.8537313432835874E-4</v>
      </c>
      <c r="E21">
        <f>COUNTIF(tables_442104!C:C,input_442104!A21)-COUNTIF(Q:Q,A21)</f>
        <v>38</v>
      </c>
      <c r="F21" s="43">
        <f t="shared" si="8"/>
        <v>1.8036135113904177E-5</v>
      </c>
      <c r="G21">
        <f t="shared" si="4"/>
        <v>8081.9200000000064</v>
      </c>
      <c r="H21">
        <f t="shared" si="5"/>
        <v>212.68210999999999</v>
      </c>
      <c r="I21">
        <f t="shared" si="6"/>
        <v>0.68210999999999444</v>
      </c>
      <c r="J21">
        <f t="shared" si="7"/>
        <v>1.4660392018882704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8.4672910451479622E-2</v>
      </c>
      <c r="C22" s="86">
        <f t="shared" si="2"/>
        <v>0</v>
      </c>
      <c r="D22" s="75">
        <f t="shared" si="3"/>
        <v>8.4672910451479622E-2</v>
      </c>
      <c r="E22">
        <f>COUNTIF(tables_442104!C:C,input_442104!A22)-COUNTIF(Q:Q,A22)</f>
        <v>11</v>
      </c>
      <c r="F22" s="43">
        <f t="shared" si="8"/>
        <v>7.6975373137708747E-3</v>
      </c>
      <c r="G22">
        <f t="shared" si="4"/>
        <v>998462.96004384768</v>
      </c>
      <c r="H22">
        <f t="shared" si="5"/>
        <v>90769.36</v>
      </c>
      <c r="I22">
        <f t="shared" si="6"/>
        <v>0.36000000000058208</v>
      </c>
      <c r="J22">
        <f t="shared" si="7"/>
        <v>2.7777777777732866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E23*E7*B7-H49</f>
        <v>3.897761156846577E-4</v>
      </c>
      <c r="C23" s="86">
        <f t="shared" si="2"/>
        <v>0</v>
      </c>
      <c r="D23" s="75">
        <f t="shared" si="3"/>
        <v>3.897761156846577E-4</v>
      </c>
      <c r="E23">
        <f>COUNTIF(tables_442104!C:C,input_442104!A23)-COUNTIF(Q:Q,A23)</f>
        <v>15</v>
      </c>
      <c r="F23" s="43">
        <f t="shared" si="8"/>
        <v>2.5985074378977179E-5</v>
      </c>
      <c r="G23">
        <f t="shared" si="4"/>
        <v>4596.2399561534839</v>
      </c>
      <c r="H23">
        <f t="shared" si="5"/>
        <v>306.416</v>
      </c>
      <c r="I23">
        <f t="shared" si="6"/>
        <v>0.41599999999999682</v>
      </c>
      <c r="J23">
        <f t="shared" si="7"/>
        <v>2.4038461538461724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COUNTIF(tables_442104!C:C,input_442104!A24)-COUNTIF(Q:Q,A24)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1.6028059701492538E-2</v>
      </c>
      <c r="C25" s="86">
        <f t="shared" si="2"/>
        <v>0</v>
      </c>
      <c r="D25" s="75">
        <f t="shared" si="3"/>
        <v>1.6028059701492538E-2</v>
      </c>
      <c r="E25">
        <f>COUNTIF(tables_442104!C:C,input_442104!A25)-COUNTIF(Q:Q,A25)</f>
        <v>3</v>
      </c>
      <c r="F25" s="43">
        <f t="shared" si="8"/>
        <v>5.3426865671641795E-3</v>
      </c>
      <c r="G25">
        <f t="shared" si="4"/>
        <v>189002.88</v>
      </c>
      <c r="H25">
        <f t="shared" si="5"/>
        <v>63000.959999999999</v>
      </c>
      <c r="I25">
        <f t="shared" si="6"/>
        <v>0.95999999999912689</v>
      </c>
      <c r="J25">
        <f t="shared" si="7"/>
        <v>1.041666666667614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8.4358208955223894E-4</v>
      </c>
      <c r="C26" s="86">
        <f t="shared" si="2"/>
        <v>0</v>
      </c>
      <c r="D26" s="75">
        <f t="shared" si="3"/>
        <v>8.4358208955223894E-4</v>
      </c>
      <c r="E26">
        <f>COUNTIF(tables_442104!C:C,input_442104!A26)-COUNTIF(Q:Q,A26)</f>
        <v>3</v>
      </c>
      <c r="F26" s="43">
        <f t="shared" si="8"/>
        <v>2.811940298507463E-4</v>
      </c>
      <c r="G26">
        <f t="shared" si="4"/>
        <v>9947.5200000000023</v>
      </c>
      <c r="H26">
        <f t="shared" si="5"/>
        <v>3315.84</v>
      </c>
      <c r="I26">
        <f t="shared" si="6"/>
        <v>0.84000000000014552</v>
      </c>
      <c r="J26">
        <f t="shared" si="7"/>
        <v>1.1904761904759842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E$5*E27*(B$5+B$6)+G64</f>
        <v>1.0496192597032907E-2</v>
      </c>
      <c r="C27" s="86">
        <f t="shared" si="2"/>
        <v>0</v>
      </c>
      <c r="D27" s="75">
        <f t="shared" si="3"/>
        <v>1.0496192597032907E-2</v>
      </c>
      <c r="E27">
        <f>COUNTIF(tables_442104!C:C,input_442104!A27)-COUNTIF(Q:Q,A27)</f>
        <v>22</v>
      </c>
      <c r="F27" s="43">
        <f>IFERROR(B27/E27,0)</f>
        <v>4.770996635014958E-4</v>
      </c>
      <c r="G27">
        <f t="shared" si="4"/>
        <v>123771.10310421204</v>
      </c>
      <c r="H27">
        <f t="shared" si="5"/>
        <v>5625.9592300000004</v>
      </c>
      <c r="I27">
        <f t="shared" si="6"/>
        <v>0.95923000000038883</v>
      </c>
      <c r="J27">
        <f t="shared" si="7"/>
        <v>1.0425028408198187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5.0000000000000012E-4</v>
      </c>
      <c r="C28" s="86">
        <f t="shared" si="2"/>
        <v>0</v>
      </c>
      <c r="D28" s="75">
        <f t="shared" si="3"/>
        <v>5.0000000000000012E-4</v>
      </c>
      <c r="E28">
        <f>COUNTIF(tables_442104!C:C,input_442104!A28)-COUNTIF(Q:Q,A28)</f>
        <v>22</v>
      </c>
      <c r="F28" s="43">
        <f t="shared" si="8"/>
        <v>2.2727272727272733E-5</v>
      </c>
      <c r="G28">
        <f t="shared" si="4"/>
        <v>5896.0000000000018</v>
      </c>
      <c r="H28">
        <f t="shared" si="5"/>
        <v>268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E$5*E29-F49</f>
        <v>9.0038074071404524E-3</v>
      </c>
      <c r="C29" s="86">
        <f t="shared" si="2"/>
        <v>0</v>
      </c>
      <c r="D29" s="75">
        <f t="shared" si="3"/>
        <v>9.0038074071404524E-3</v>
      </c>
      <c r="E29">
        <f>COUNTIF(tables_442104!C:C,input_442104!A29)-COUNTIF(Q:Q,A29)</f>
        <v>22</v>
      </c>
      <c r="F29" s="43">
        <f t="shared" si="8"/>
        <v>4.0926397305183874E-4</v>
      </c>
      <c r="G29">
        <f t="shared" si="4"/>
        <v>106172.89694500022</v>
      </c>
      <c r="H29">
        <f t="shared" si="5"/>
        <v>4826.0407699999996</v>
      </c>
      <c r="I29">
        <f t="shared" si="6"/>
        <v>4.0769999999611173E-2</v>
      </c>
      <c r="J29">
        <f t="shared" si="7"/>
        <v>24.527839097609444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COUNTIF(tables_442104!C:C,input_442104!A30)-COUNTIF(Q:Q,A30)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COUNTIF(tables_442104!C:C,input_442104!A31)-COUNTIF(Q:Q,A31)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3">
        <f>B$5*0.6-B34-B39</f>
        <v>0</v>
      </c>
      <c r="C32" s="86">
        <f t="shared" si="2"/>
        <v>0</v>
      </c>
      <c r="D32" s="75">
        <f t="shared" si="3"/>
        <v>0</v>
      </c>
      <c r="E32">
        <f>COUNTIF(tables_442104!C:C,input_442104!A32)-COUNTIF(Q:Q,A32)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0.13774999999999998</v>
      </c>
      <c r="C33" s="86">
        <f t="shared" si="2"/>
        <v>0</v>
      </c>
      <c r="D33" s="75">
        <f t="shared" si="3"/>
        <v>0.13774999999999998</v>
      </c>
      <c r="E33">
        <f>COUNTIF(tables_442104!C:C,input_442104!A33)-COUNTIF(Q:Q,A33)</f>
        <v>5</v>
      </c>
      <c r="F33" s="43">
        <f>IFERROR(B33/E33,0)</f>
        <v>2.7549999999999998E-2</v>
      </c>
      <c r="G33">
        <f t="shared" si="4"/>
        <v>1624347.9999999998</v>
      </c>
      <c r="H33">
        <f t="shared" si="5"/>
        <v>324869.59999999998</v>
      </c>
      <c r="I33">
        <f t="shared" si="6"/>
        <v>0.59999999997671694</v>
      </c>
      <c r="J33">
        <f t="shared" si="7"/>
        <v>1.6666666667313419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COUNTIF(tables_442104!C:C,input_442104!A34)-COUNTIF(Q:Q,A34)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0.32421119259285952</v>
      </c>
      <c r="C35" s="86">
        <f t="shared" si="2"/>
        <v>0</v>
      </c>
      <c r="D35" s="75">
        <f t="shared" si="3"/>
        <v>0.32421119259285952</v>
      </c>
      <c r="E35">
        <f>COUNTIF(tables_442104!C:C,input_442104!A35)-COUNTIF(Q:Q,A35)</f>
        <v>14</v>
      </c>
      <c r="F35" s="43">
        <f t="shared" si="9"/>
        <v>2.3157942328061395E-2</v>
      </c>
      <c r="G35">
        <f t="shared" si="4"/>
        <v>3823098.3830549996</v>
      </c>
      <c r="H35">
        <f t="shared" si="5"/>
        <v>273078.45593</v>
      </c>
      <c r="I35">
        <f t="shared" si="6"/>
        <v>0.45592999999644235</v>
      </c>
      <c r="J35">
        <f t="shared" si="7"/>
        <v>2.1933191498866123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</f>
        <v>5.4888074071404499E-3</v>
      </c>
      <c r="C36" s="86">
        <f t="shared" si="2"/>
        <v>0</v>
      </c>
      <c r="D36" s="75">
        <f t="shared" si="3"/>
        <v>5.4888074071404499E-3</v>
      </c>
      <c r="E36">
        <f>COUNTIF(tables_442104!C:C,input_442104!A36)-COUNTIF(Q:Q,A36)</f>
        <v>14</v>
      </c>
      <c r="F36" s="43">
        <f t="shared" si="9"/>
        <v>3.9205767193860357E-4</v>
      </c>
      <c r="G36">
        <f t="shared" si="4"/>
        <v>64724.016945000185</v>
      </c>
      <c r="H36">
        <f t="shared" si="5"/>
        <v>4623.1440700000003</v>
      </c>
      <c r="I36">
        <f t="shared" si="6"/>
        <v>0.14407000000028347</v>
      </c>
      <c r="J36">
        <f t="shared" si="7"/>
        <v>6.9410703130286135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</f>
        <v>6.3934999999999895E-2</v>
      </c>
      <c r="C37" s="86">
        <f t="shared" si="2"/>
        <v>0</v>
      </c>
      <c r="D37" s="75">
        <f t="shared" si="3"/>
        <v>6.3934999999999895E-2</v>
      </c>
      <c r="E37">
        <f>COUNTIF(tables_442104!C:C,input_442104!A37)-COUNTIF(Q:Q,A37)</f>
        <v>4</v>
      </c>
      <c r="F37" s="43">
        <f t="shared" si="9"/>
        <v>1.5983749999999974E-2</v>
      </c>
      <c r="G37">
        <f t="shared" si="4"/>
        <v>753921.51999999874</v>
      </c>
      <c r="H37">
        <f t="shared" si="5"/>
        <v>188480.38</v>
      </c>
      <c r="I37">
        <f t="shared" si="6"/>
        <v>0.38000000000465661</v>
      </c>
      <c r="J37">
        <f t="shared" si="7"/>
        <v>2.6315789473361733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7.0649999999999992E-3</v>
      </c>
      <c r="C38" s="86">
        <f t="shared" si="2"/>
        <v>0</v>
      </c>
      <c r="D38" s="75">
        <f t="shared" si="3"/>
        <v>7.0649999999999992E-3</v>
      </c>
      <c r="E38">
        <f>COUNTIF(tables_442104!C:C,input_442104!A38)-COUNTIF(Q:Q,A38)</f>
        <v>6</v>
      </c>
      <c r="F38" s="43">
        <f t="shared" si="9"/>
        <v>1.1774999999999999E-3</v>
      </c>
      <c r="G38">
        <f t="shared" si="4"/>
        <v>83310.48</v>
      </c>
      <c r="H38">
        <f t="shared" si="5"/>
        <v>13885.08</v>
      </c>
      <c r="I38">
        <f t="shared" si="6"/>
        <v>7.999999999992724E-2</v>
      </c>
      <c r="J38">
        <f t="shared" si="7"/>
        <v>12.500000000011369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COUNTIF(tables_442104!C:C,input_442104!A39)-COUNTIF(Q:Q,A39)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2.2372499999999997E-2</v>
      </c>
      <c r="C40" s="86">
        <f t="shared" si="2"/>
        <v>0</v>
      </c>
      <c r="D40" s="75">
        <f t="shared" si="3"/>
        <v>2.2372499999999997E-2</v>
      </c>
      <c r="E40">
        <f>COUNTIF(tables_442104!C:C,input_442104!A40)-COUNTIF(Q:Q,A40)</f>
        <v>1</v>
      </c>
      <c r="F40" s="43">
        <f t="shared" si="9"/>
        <v>2.2372499999999997E-2</v>
      </c>
      <c r="G40">
        <f t="shared" si="4"/>
        <v>263816.51999999996</v>
      </c>
      <c r="H40">
        <f t="shared" si="5"/>
        <v>263816.52</v>
      </c>
      <c r="I40">
        <f t="shared" si="6"/>
        <v>0.52000000001862645</v>
      </c>
      <c r="J40">
        <f t="shared" si="7"/>
        <v>1.9230769230080382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1.1774999999999999E-3</v>
      </c>
      <c r="C41" s="86">
        <f t="shared" si="2"/>
        <v>0</v>
      </c>
      <c r="D41" s="75">
        <f t="shared" si="3"/>
        <v>1.1774999999999999E-3</v>
      </c>
      <c r="E41">
        <f>COUNTIF(tables_442104!C:C,input_442104!A41)-COUNTIF(Q:Q,A41)</f>
        <v>1</v>
      </c>
      <c r="F41" s="43">
        <f t="shared" si="9"/>
        <v>1.1774999999999999E-3</v>
      </c>
      <c r="G41">
        <f t="shared" si="4"/>
        <v>13885.08</v>
      </c>
      <c r="H41">
        <f t="shared" si="5"/>
        <v>13885.08</v>
      </c>
      <c r="I41">
        <f t="shared" si="6"/>
        <v>7.999999999992724E-2</v>
      </c>
      <c r="J41">
        <f t="shared" si="7"/>
        <v>12.500000000011369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1.3153846153846151E-2</v>
      </c>
      <c r="C42" s="86">
        <f t="shared" si="2"/>
        <v>0</v>
      </c>
      <c r="D42" s="75">
        <f t="shared" si="3"/>
        <v>1.3153846153846151E-2</v>
      </c>
      <c r="E42">
        <f>COUNTIF(tables_442104!C:C,input_442104!A42)-COUNTIF(Q:Q,A42)</f>
        <v>6</v>
      </c>
      <c r="F42" s="43">
        <f>IFERROR(B42/E42,0)</f>
        <v>2.1923076923076918E-3</v>
      </c>
      <c r="G42">
        <f t="shared" si="4"/>
        <v>155110.15384615381</v>
      </c>
      <c r="H42">
        <f t="shared" si="5"/>
        <v>25851.692309999999</v>
      </c>
      <c r="I42">
        <f t="shared" si="6"/>
        <v>0.69230999999854248</v>
      </c>
      <c r="J42">
        <f t="shared" si="7"/>
        <v>1.4444396296487199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6.9230769230769226E-4</v>
      </c>
      <c r="C43" s="86">
        <f t="shared" si="2"/>
        <v>0</v>
      </c>
      <c r="D43" s="75">
        <f t="shared" si="3"/>
        <v>6.9230769230769226E-4</v>
      </c>
      <c r="E43">
        <f>COUNTIF(tables_442104!C:C,input_442104!A43)-COUNTIF(Q:Q,A43)</f>
        <v>6</v>
      </c>
      <c r="F43" s="43">
        <f t="shared" ref="F43:F46" si="10">IFERROR(B43/E43,0)</f>
        <v>1.1538461538461538E-4</v>
      </c>
      <c r="G43">
        <f t="shared" si="4"/>
        <v>8163.6923076923076</v>
      </c>
      <c r="H43">
        <f t="shared" si="5"/>
        <v>1360.61538</v>
      </c>
      <c r="I43">
        <f t="shared" si="6"/>
        <v>0.61537999999995918</v>
      </c>
      <c r="J43">
        <f t="shared" si="7"/>
        <v>1.6250121875915147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1.6153846153846151E-2</v>
      </c>
      <c r="C44" s="86">
        <f t="shared" si="2"/>
        <v>0</v>
      </c>
      <c r="D44" s="75">
        <f t="shared" si="3"/>
        <v>1.6153846153846151E-2</v>
      </c>
      <c r="E44">
        <f>COUNTIF(tables_442104!C:C,input_442104!A44)-COUNTIF(Q:Q,A44)</f>
        <v>7</v>
      </c>
      <c r="F44" s="43">
        <f t="shared" si="10"/>
        <v>2.307692307692307E-3</v>
      </c>
      <c r="G44">
        <f t="shared" si="4"/>
        <v>190486.15384615381</v>
      </c>
      <c r="H44">
        <f t="shared" si="5"/>
        <v>27212.307690000001</v>
      </c>
      <c r="I44">
        <f t="shared" si="6"/>
        <v>0.30769000000145752</v>
      </c>
      <c r="J44">
        <f t="shared" si="7"/>
        <v>3.2500243751674187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COUNTIF(tables_442104!C:C,input_442104!A45)-COUNTIF(Q:Q,A45)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8.0000000000000002E-3</v>
      </c>
      <c r="C46" s="86">
        <f t="shared" si="2"/>
        <v>0</v>
      </c>
      <c r="D46" s="75">
        <f t="shared" si="3"/>
        <v>8.0000000000000002E-3</v>
      </c>
      <c r="E46">
        <f>COUNTIF(tables_442104!C:C,input_442104!A46)-COUNTIF(Q:Q,A46)</f>
        <v>1</v>
      </c>
      <c r="F46" s="43">
        <f t="shared" si="10"/>
        <v>8.0000000000000002E-3</v>
      </c>
      <c r="G46">
        <f t="shared" si="4"/>
        <v>94336</v>
      </c>
      <c r="H46">
        <f t="shared" si="5"/>
        <v>94336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2">
        <f>SUM(B32:B46)</f>
        <v>0.6</v>
      </c>
      <c r="E49" s="97">
        <f>0.0219923851857191*0.5</f>
        <v>1.099619259285955E-2</v>
      </c>
      <c r="F49" s="107">
        <f>E49-0.01</f>
        <v>9.9619259285954956E-4</v>
      </c>
      <c r="G49" s="108">
        <f ca="1">G57-0.05</f>
        <v>1.7808705898847421E-11</v>
      </c>
      <c r="H49" s="106">
        <v>3.8281343320765368E-3</v>
      </c>
    </row>
    <row r="50" spans="1:8" x14ac:dyDescent="0.15">
      <c r="A50" t="s">
        <v>74</v>
      </c>
      <c r="C50" s="92">
        <v>2.3200000000000099E-2</v>
      </c>
      <c r="D50" s="96"/>
      <c r="E50" s="97"/>
      <c r="F50" s="105"/>
      <c r="G50" s="108"/>
      <c r="H50" s="55">
        <f>H57-0.05</f>
        <v>0</v>
      </c>
    </row>
    <row r="51" spans="1:8" x14ac:dyDescent="0.15">
      <c r="A51" s="31">
        <f>LCM(F5-I5,F7-I6)*1000*2*2</f>
        <v>11792000</v>
      </c>
      <c r="H51" s="77"/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4" t="s">
        <v>286</v>
      </c>
    </row>
    <row r="55" spans="1:8" x14ac:dyDescent="0.15">
      <c r="A55" s="33" t="s">
        <v>106</v>
      </c>
      <c r="B55">
        <f ca="1">SUMIF(tables_442104!C:C,input_442104!A55,tables_442104!O:O)</f>
        <v>0</v>
      </c>
      <c r="C55" s="54">
        <f t="shared" ref="C55:C61" ca="1" si="11">B55/B$62</f>
        <v>0</v>
      </c>
      <c r="E55">
        <v>3</v>
      </c>
      <c r="F55">
        <f ca="1">SUMIF(tables_442104!J:J,input_442104!E55,tables_442104!O:O)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SUMIF(tables_442104!C:C,input_442104!A56,tables_442104!O:O)</f>
        <v>2276116.4797999994</v>
      </c>
      <c r="C56" s="54">
        <f t="shared" ca="1" si="11"/>
        <v>0.94293425915134033</v>
      </c>
      <c r="E56">
        <v>4</v>
      </c>
      <c r="F56">
        <f ca="1">SUMIF(tables_442104!J:J,input_442104!E56,tables_442104!O:O)</f>
        <v>11202399.999740006</v>
      </c>
      <c r="G56">
        <f ca="1">F56/A51</f>
        <v>0.9499999999779517</v>
      </c>
      <c r="H56" s="55">
        <f>B18+B20+B22+B25+B27+B30+B33+B35+B37+B40+B42+B45</f>
        <v>0.95</v>
      </c>
    </row>
    <row r="57" spans="1:8" x14ac:dyDescent="0.15">
      <c r="A57" s="33" t="s">
        <v>109</v>
      </c>
      <c r="B57">
        <f ca="1">SUMIF(tables_442104!C:C,input_442104!A57,tables_442104!O:O)</f>
        <v>123771.10306000008</v>
      </c>
      <c r="C57" s="54">
        <f t="shared" ca="1" si="11"/>
        <v>5.1275061888959396E-2</v>
      </c>
      <c r="E57">
        <v>5</v>
      </c>
      <c r="F57">
        <f ca="1">SUMIF(tables_442104!J:J,input_442104!E57,tables_442104!O:O)</f>
        <v>589600.00021000032</v>
      </c>
      <c r="G57">
        <f ca="1">F57/A51</f>
        <v>5.0000000017808709E-2</v>
      </c>
      <c r="H57" s="55">
        <f>B21+B23+B26+B28+B29+B31+B36+B38+B41+B43+B44+B46</f>
        <v>0.05</v>
      </c>
    </row>
    <row r="58" spans="1:8" x14ac:dyDescent="0.15">
      <c r="A58" s="33" t="s">
        <v>113</v>
      </c>
      <c r="B58">
        <f>SUMIF(tables_442104!C:C,input_442104!A58,tables_442104!O:O)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SUMIF(tables_442104!C:C,input_442104!A59,tables_442104!O:O)</f>
        <v>8081.9201799999973</v>
      </c>
      <c r="C59" s="54">
        <f t="shared" ca="1" si="11"/>
        <v>3.3481236505603579E-3</v>
      </c>
      <c r="E59" t="s">
        <v>55</v>
      </c>
      <c r="F59" s="55"/>
    </row>
    <row r="60" spans="1:8" x14ac:dyDescent="0.15">
      <c r="A60" s="33" t="s">
        <v>110</v>
      </c>
      <c r="B60">
        <f ca="1">SUMIF(tables_442104!C:C,input_442104!A60,tables_442104!O:O)</f>
        <v>5896</v>
      </c>
      <c r="C60" s="54">
        <f t="shared" ca="1" si="11"/>
        <v>2.4425553091398976E-3</v>
      </c>
      <c r="E60" t="s">
        <v>210</v>
      </c>
      <c r="F60" s="55">
        <f ca="1">SUMIF(tables_442104!I:I,input_442104!E60,tables_442104!P:P)</f>
        <v>0.22456714925468341</v>
      </c>
    </row>
    <row r="61" spans="1:8" x14ac:dyDescent="0.15">
      <c r="A61" s="33" t="s">
        <v>111</v>
      </c>
      <c r="B61">
        <f>SUMIF(tables_442104!C:C,input_442104!A61,tables_442104!O:O)</f>
        <v>0</v>
      </c>
      <c r="C61" s="54">
        <f t="shared" ca="1" si="11"/>
        <v>0</v>
      </c>
      <c r="E61" t="s">
        <v>211</v>
      </c>
      <c r="F61" s="55">
        <f ca="1">SUMIF(tables_442104!I:I,input_442104!E61,tables_442104!P:P)</f>
        <v>0.19526610369231356</v>
      </c>
    </row>
    <row r="62" spans="1:8" x14ac:dyDescent="0.15">
      <c r="A62" s="39" t="s">
        <v>60</v>
      </c>
      <c r="B62">
        <f ca="1">SUM(B55:B61)</f>
        <v>2413865.5030399994</v>
      </c>
      <c r="C62" s="55">
        <f ca="1">SUM(C55:C61)</f>
        <v>1</v>
      </c>
      <c r="E62" t="s">
        <v>212</v>
      </c>
      <c r="F62" s="55">
        <f ca="1">SUMIF(tables_442104!I:I,input_442104!E62,tables_442104!P:P)</f>
        <v>0.52216674705529997</v>
      </c>
    </row>
    <row r="63" spans="1:8" x14ac:dyDescent="0.15">
      <c r="E63" t="s">
        <v>213</v>
      </c>
      <c r="F63" s="55">
        <f ca="1">SUMIF(tables_442104!I:I,input_442104!E63,tables_442104!P:P)</f>
        <v>4.6464515771058555E-2</v>
      </c>
      <c r="G63" s="98">
        <f ca="1">0.05-F63-F64</f>
        <v>2.3321587716562675E-12</v>
      </c>
    </row>
    <row r="64" spans="1:8" x14ac:dyDescent="0.15">
      <c r="E64" t="s">
        <v>283</v>
      </c>
      <c r="F64" s="55">
        <f ca="1">SUMIF(tables_442104!I:I,input_442104!E64,tables_442104!P:P)</f>
        <v>3.5354842266092888E-3</v>
      </c>
      <c r="G64">
        <v>9.9619259703290523E-4</v>
      </c>
    </row>
    <row r="65" spans="5:6" x14ac:dyDescent="0.15">
      <c r="E65" t="s">
        <v>281</v>
      </c>
      <c r="F65" s="55">
        <f ca="1">SUMIF(tables_442104!I:I,input_442104!E65,tables_442104!P:P)</f>
        <v>8.0000000000339123E-3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331"/>
  <sheetViews>
    <sheetView showGridLines="0" zoomScale="75" zoomScaleNormal="75" zoomScalePageLayoutView="75" workbookViewId="0">
      <pane ySplit="1" topLeftCell="A283" activePane="bottomLeft" state="frozen"/>
      <selection activeCell="H44" sqref="H44"/>
      <selection pane="bottomLeft" activeCell="B2" sqref="B2:G33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input_442104!A$2</f>
        <v>442104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IFERROR(VLOOKUP(B2,input_442104!L:R,7,FALSE),VLOOKUP(tables_442104!C2,input_442104!A:H,8,FALSE))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input_442104!A$2</f>
        <v>442104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IF(K3="blue","color","")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IFERROR(VLOOKUP(B3,input_442104!L:R,7,FALSE),VLOOKUP(tables_442104!C3,input_442104!A:H,8,FALSE))</f>
        <v>66316.800000000003</v>
      </c>
      <c r="P3" s="46">
        <f t="shared" ca="1" si="1"/>
        <v>5.623880597038766E-3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input_442104!A$2</f>
        <v>442104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IFERROR(VLOOKUP(B4,input_442104!L:R,7,FALSE),VLOOKUP(tables_442104!C4,input_442104!A:H,8,FALSE))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input_442104!A$2</f>
        <v>442104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IFERROR(VLOOKUP(B5,input_442104!L:R,7,FALSE),VLOOKUP(tables_442104!C5,input_442104!A:H,8,FALSE))</f>
        <v>66316.800000000003</v>
      </c>
      <c r="P5" s="46">
        <f t="shared" ca="1" si="1"/>
        <v>5.623880597038766E-3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input_442104!A$2</f>
        <v>442104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IFERROR(VLOOKUP(B6,input_442104!L:R,7,FALSE),VLOOKUP(tables_442104!C6,input_442104!A:H,8,FALSE))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input_442104!A$2</f>
        <v>442104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IFERROR(VLOOKUP(B7,input_442104!L:R,7,FALSE),VLOOKUP(tables_442104!C7,input_442104!A:H,8,FALSE))</f>
        <v>324869.59999999998</v>
      </c>
      <c r="P7" s="46">
        <f t="shared" ca="1" si="1"/>
        <v>2.7550000000116787E-2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input_442104!A$2</f>
        <v>442104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IFERROR(VLOOKUP(B8,input_442104!L:R,7,FALSE),VLOOKUP(tables_442104!C8,input_442104!A:H,8,FALSE))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input_442104!A$2</f>
        <v>442104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IFERROR(VLOOKUP(B9,input_442104!L:R,7,FALSE),VLOOKUP(tables_442104!C9,input_442104!A:H,8,FALSE))</f>
        <v>66316.800000000003</v>
      </c>
      <c r="P9" s="46">
        <f t="shared" ca="1" si="1"/>
        <v>5.623880597038766E-3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input_442104!A$2</f>
        <v>442104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IFERROR(VLOOKUP(B10,input_442104!L:R,7,FALSE),VLOOKUP(tables_442104!C10,input_442104!A:H,8,FALSE))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input_442104!A$2</f>
        <v>442104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IFERROR(VLOOKUP(B11,input_442104!L:R,7,FALSE),VLOOKUP(tables_442104!C11,input_442104!A:H,8,FALSE))</f>
        <v>66316.800000000003</v>
      </c>
      <c r="P11" s="46">
        <f t="shared" ca="1" si="1"/>
        <v>5.623880597038766E-3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input_442104!A$2</f>
        <v>442104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IFERROR(VLOOKUP(B12,input_442104!L:R,7,FALSE),VLOOKUP(tables_442104!C12,input_442104!A:H,8,FALSE))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input_442104!A$2</f>
        <v>442104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IFERROR(VLOOKUP(B13,input_442104!L:R,7,FALSE),VLOOKUP(tables_442104!C13,input_442104!A:H,8,FALSE))</f>
        <v>66316.800000000003</v>
      </c>
      <c r="P13" s="46">
        <f t="shared" ca="1" si="1"/>
        <v>5.623880597038766E-3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input_442104!A$2</f>
        <v>442104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IFERROR(VLOOKUP(B14,input_442104!L:R,7,FALSE),VLOOKUP(tables_442104!C14,input_442104!A:H,8,FALSE))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input_442104!A$2</f>
        <v>442104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IFERROR(VLOOKUP(B15,input_442104!L:R,7,FALSE),VLOOKUP(tables_442104!C15,input_442104!A:H,8,FALSE))</f>
        <v>324869.59999999998</v>
      </c>
      <c r="P15" s="46">
        <f t="shared" ca="1" si="1"/>
        <v>2.7550000000116787E-2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input_442104!A$2</f>
        <v>442104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IFERROR(VLOOKUP(B16,input_442104!L:R,7,FALSE),VLOOKUP(tables_442104!C16,input_442104!A:H,8,FALSE))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input_442104!A$2</f>
        <v>442104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IFERROR(VLOOKUP(B17,input_442104!L:R,7,FALSE),VLOOKUP(tables_442104!C17,input_442104!A:H,8,FALSE))</f>
        <v>66316.800000000003</v>
      </c>
      <c r="P17" s="46">
        <f t="shared" ca="1" si="1"/>
        <v>5.623880597038766E-3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input_442104!A$2</f>
        <v>442104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IFERROR(VLOOKUP(B18,input_442104!L:R,7,FALSE),VLOOKUP(tables_442104!C18,input_442104!A:H,8,FALSE))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input_442104!A$2</f>
        <v>442104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IFERROR(VLOOKUP(B19,input_442104!L:R,7,FALSE),VLOOKUP(tables_442104!C19,input_442104!A:H,8,FALSE))</f>
        <v>66316.800000000003</v>
      </c>
      <c r="P19" s="46">
        <f t="shared" ca="1" si="1"/>
        <v>5.623880597038766E-3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input_442104!A$2</f>
        <v>442104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IFERROR(VLOOKUP(B20,input_442104!L:R,7,FALSE),VLOOKUP(tables_442104!C20,input_442104!A:H,8,FALSE))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input_442104!A$2</f>
        <v>442104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IFERROR(VLOOKUP(B21,input_442104!L:R,7,FALSE),VLOOKUP(tables_442104!C21,input_442104!A:H,8,FALSE))</f>
        <v>66316.800000000003</v>
      </c>
      <c r="P21" s="46">
        <f t="shared" ca="1" si="1"/>
        <v>5.623880597038766E-3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input_442104!A$2</f>
        <v>442104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IFERROR(VLOOKUP(B22,input_442104!L:R,7,FALSE),VLOOKUP(tables_442104!C22,input_442104!A:H,8,FALSE))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input_442104!A$2</f>
        <v>442104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IFERROR(VLOOKUP(B23,input_442104!L:R,7,FALSE),VLOOKUP(tables_442104!C23,input_442104!A:H,8,FALSE))</f>
        <v>324869.59999999998</v>
      </c>
      <c r="P23" s="46">
        <f t="shared" ca="1" si="1"/>
        <v>2.7550000000116787E-2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input_442104!A$2</f>
        <v>442104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IFERROR(VLOOKUP(B24,input_442104!L:R,7,FALSE),VLOOKUP(tables_442104!C24,input_442104!A:H,8,FALSE))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input_442104!A$2</f>
        <v>442104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IFERROR(VLOOKUP(B25,input_442104!L:R,7,FALSE),VLOOKUP(tables_442104!C25,input_442104!A:H,8,FALSE))</f>
        <v>66316.800000000003</v>
      </c>
      <c r="P25" s="46">
        <f t="shared" ca="1" si="1"/>
        <v>5.623880597038766E-3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input_442104!A$2</f>
        <v>442104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IFERROR(VLOOKUP(B26,input_442104!L:R,7,FALSE),VLOOKUP(tables_442104!C26,input_442104!A:H,8,FALSE))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input_442104!A$2</f>
        <v>442104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IFERROR(VLOOKUP(B27,input_442104!L:R,7,FALSE),VLOOKUP(tables_442104!C27,input_442104!A:H,8,FALSE))</f>
        <v>66316.800000000003</v>
      </c>
      <c r="P27" s="46">
        <f t="shared" ca="1" si="1"/>
        <v>5.623880597038766E-3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input_442104!A$2</f>
        <v>442104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IFERROR(VLOOKUP(B28,input_442104!L:R,7,FALSE),VLOOKUP(tables_442104!C28,input_442104!A:H,8,FALSE))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input_442104!A$2</f>
        <v>442104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IFERROR(VLOOKUP(B29,input_442104!L:R,7,FALSE),VLOOKUP(tables_442104!C29,input_442104!A:H,8,FALSE))</f>
        <v>66316.800000000003</v>
      </c>
      <c r="P29" s="46">
        <f t="shared" ca="1" si="1"/>
        <v>5.623880597038766E-3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input_442104!A$2</f>
        <v>442104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IFERROR(VLOOKUP(B30,input_442104!L:R,7,FALSE),VLOOKUP(tables_442104!C30,input_442104!A:H,8,FALSE))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input_442104!A$2</f>
        <v>442104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IFERROR(VLOOKUP(B31,input_442104!L:R,7,FALSE),VLOOKUP(tables_442104!C31,input_442104!A:H,8,FALSE))</f>
        <v>324869.59999999998</v>
      </c>
      <c r="P31" s="46">
        <f t="shared" ca="1" si="1"/>
        <v>2.7550000000116787E-2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input_442104!A$2</f>
        <v>442104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IFERROR(VLOOKUP(B32,input_442104!L:R,7,FALSE),VLOOKUP(tables_442104!C32,input_442104!A:H,8,FALSE))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input_442104!A$2</f>
        <v>442104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IFERROR(VLOOKUP(B33,input_442104!L:R,7,FALSE),VLOOKUP(tables_442104!C33,input_442104!A:H,8,FALSE))</f>
        <v>66316.800000000003</v>
      </c>
      <c r="P33" s="46">
        <f t="shared" ca="1" si="1"/>
        <v>5.623880597038766E-3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input_442104!A$2</f>
        <v>442104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IFERROR(VLOOKUP(B34,input_442104!L:R,7,FALSE),VLOOKUP(tables_442104!C34,input_442104!A:H,8,FALSE))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input_442104!A$2</f>
        <v>442104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IFERROR(VLOOKUP(B35,input_442104!L:R,7,FALSE),VLOOKUP(tables_442104!C35,input_442104!A:H,8,FALSE))</f>
        <v>66316.800000000003</v>
      </c>
      <c r="P35" s="46">
        <f t="shared" ca="1" si="1"/>
        <v>5.623880597038766E-3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input_442104!A$2</f>
        <v>442104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IFERROR(VLOOKUP(B36,input_442104!L:R,7,FALSE),VLOOKUP(tables_442104!C36,input_442104!A:H,8,FALSE))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input_442104!A$2</f>
        <v>442104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IFERROR(VLOOKUP(B37,input_442104!L:R,7,FALSE),VLOOKUP(tables_442104!C37,input_442104!A:H,8,FALSE))</f>
        <v>66316.800000000003</v>
      </c>
      <c r="P37" s="46">
        <f t="shared" ca="1" si="1"/>
        <v>5.623880597038766E-3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input_442104!A$2</f>
        <v>442104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IFERROR(VLOOKUP(B38,input_442104!L:R,7,FALSE),VLOOKUP(tables_442104!C38,input_442104!A:H,8,FALSE))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input_442104!A$2</f>
        <v>442104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IFERROR(VLOOKUP(B39,input_442104!L:R,7,FALSE),VLOOKUP(tables_442104!C39,input_442104!A:H,8,FALSE))</f>
        <v>324869.59999999998</v>
      </c>
      <c r="P39" s="46">
        <f t="shared" ca="1" si="1"/>
        <v>2.7550000000116787E-2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input_442104!A$2</f>
        <v>442104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IFERROR(VLOOKUP(B40,input_442104!L:R,7,FALSE),VLOOKUP(tables_442104!C40,input_442104!A:H,8,FALSE))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input_442104!A$2</f>
        <v>442104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IFERROR(VLOOKUP(B41,input_442104!L:R,7,FALSE),VLOOKUP(tables_442104!C41,input_442104!A:H,8,FALSE))</f>
        <v>66316.800000000003</v>
      </c>
      <c r="P41" s="46">
        <f t="shared" ca="1" si="1"/>
        <v>5.623880597038766E-3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input_442104!A$2</f>
        <v>442104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IFERROR(VLOOKUP(B42,input_442104!L:R,7,FALSE),VLOOKUP(tables_442104!C42,input_442104!A:H,8,FALSE))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input_442104!A$2</f>
        <v>442104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IFERROR(VLOOKUP(B43,input_442104!L:R,7,FALSE),VLOOKUP(tables_442104!C43,input_442104!A:H,8,FALSE))</f>
        <v>63000.959999999999</v>
      </c>
      <c r="P43" s="46">
        <f t="shared" ca="1" si="1"/>
        <v>5.3426865671868272E-3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input_442104!A$2</f>
        <v>442104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IFERROR(VLOOKUP(B44,input_442104!L:R,7,FALSE),VLOOKUP(tables_442104!C44,input_442104!A:H,8,FALSE))</f>
        <v>3315.84</v>
      </c>
      <c r="P44" s="46">
        <f t="shared" ca="1" si="1"/>
        <v>2.8119402985193832E-4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input_442104!A$2</f>
        <v>442104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IFERROR(VLOOKUP(B45,input_442104!L:R,7,FALSE),VLOOKUP(tables_442104!C45,input_442104!A:H,8,FALSE))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input_442104!A$2</f>
        <v>442104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IFERROR(VLOOKUP(B46,input_442104!L:R,7,FALSE),VLOOKUP(tables_442104!C46,input_442104!A:H,8,FALSE))</f>
        <v>63000.959999999999</v>
      </c>
      <c r="P46" s="46">
        <f t="shared" ca="1" si="1"/>
        <v>5.3426865671868272E-3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input_442104!A$2</f>
        <v>442104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IFERROR(VLOOKUP(B47,input_442104!L:R,7,FALSE),VLOOKUP(tables_442104!C47,input_442104!A:H,8,FALSE))</f>
        <v>3315.84</v>
      </c>
      <c r="P47" s="46">
        <f t="shared" ca="1" si="1"/>
        <v>2.8119402985193832E-4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input_442104!A$2</f>
        <v>442104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IFERROR(VLOOKUP(B48,input_442104!L:R,7,FALSE),VLOOKUP(tables_442104!C48,input_442104!A:H,8,FALSE))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input_442104!A$2</f>
        <v>442104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IFERROR(VLOOKUP(B49,input_442104!L:R,7,FALSE),VLOOKUP(tables_442104!C49,input_442104!A:H,8,FALSE))</f>
        <v>263816.52</v>
      </c>
      <c r="P49" s="46">
        <f t="shared" ca="1" si="1"/>
        <v>2.2372500000094841E-2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input_442104!A$2</f>
        <v>442104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IFERROR(VLOOKUP(B50,input_442104!L:R,7,FALSE),VLOOKUP(tables_442104!C50,input_442104!A:H,8,FALSE))</f>
        <v>13885.08</v>
      </c>
      <c r="P50" s="46">
        <f t="shared" ca="1" si="1"/>
        <v>1.1775000000049916E-3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input_442104!A$2</f>
        <v>442104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IFERROR(VLOOKUP(B51,input_442104!L:R,7,FALSE),VLOOKUP(tables_442104!C51,input_442104!A:H,8,FALSE))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input_442104!A$2</f>
        <v>442104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IFERROR(VLOOKUP(B52,input_442104!L:R,7,FALSE),VLOOKUP(tables_442104!C52,input_442104!A:H,8,FALSE))</f>
        <v>59897.802100000001</v>
      </c>
      <c r="P52" s="46">
        <f t="shared" ca="1" si="1"/>
        <v>5.0795286720025368E-3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input_442104!A$2</f>
        <v>442104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IFERROR(VLOOKUP(B53,input_442104!L:R,7,FALSE),VLOOKUP(tables_442104!C53,input_442104!A:H,8,FALSE))</f>
        <v>212.68210999999999</v>
      </c>
      <c r="P53" s="46">
        <f t="shared" ca="1" si="1"/>
        <v>1.8036135515680256E-5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input_442104!A$2</f>
        <v>442104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IFERROR(VLOOKUP(B54,input_442104!L:R,7,FALSE),VLOOKUP(tables_442104!C54,input_442104!A:H,8,FALSE))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input_442104!A$2</f>
        <v>442104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IFERROR(VLOOKUP(B55,input_442104!L:R,7,FALSE),VLOOKUP(tables_442104!C55,input_442104!A:H,8,FALSE))</f>
        <v>59897.802100000001</v>
      </c>
      <c r="P55" s="46">
        <f t="shared" ca="1" si="1"/>
        <v>5.0795286720025368E-3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input_442104!A$2</f>
        <v>442104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IFERROR(VLOOKUP(B56,input_442104!L:R,7,FALSE),VLOOKUP(tables_442104!C56,input_442104!A:H,8,FALSE))</f>
        <v>212.68210999999999</v>
      </c>
      <c r="P56" s="46">
        <f t="shared" ca="1" si="1"/>
        <v>1.8036135515680256E-5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input_442104!A$2</f>
        <v>442104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IFERROR(VLOOKUP(B57,input_442104!L:R,7,FALSE),VLOOKUP(tables_442104!C57,input_442104!A:H,8,FALSE))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input_442104!A$2</f>
        <v>442104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IFERROR(VLOOKUP(B58,input_442104!L:R,7,FALSE),VLOOKUP(tables_442104!C58,input_442104!A:H,8,FALSE))</f>
        <v>59897.802100000001</v>
      </c>
      <c r="P58" s="46">
        <f t="shared" ca="1" si="1"/>
        <v>5.0795286720025368E-3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input_442104!A$2</f>
        <v>442104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IFERROR(VLOOKUP(B59,input_442104!L:R,7,FALSE),VLOOKUP(tables_442104!C59,input_442104!A:H,8,FALSE))</f>
        <v>212.68210999999999</v>
      </c>
      <c r="P59" s="46">
        <f t="shared" ca="1" si="1"/>
        <v>1.8036135515680256E-5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input_442104!A$2</f>
        <v>442104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IFERROR(VLOOKUP(B60,input_442104!L:R,7,FALSE),VLOOKUP(tables_442104!C60,input_442104!A:H,8,FALSE))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input_442104!A$2</f>
        <v>442104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IFERROR(VLOOKUP(B61,input_442104!L:R,7,FALSE),VLOOKUP(tables_442104!C61,input_442104!A:H,8,FALSE))</f>
        <v>273078.45593</v>
      </c>
      <c r="P61" s="46">
        <f t="shared" ca="1" si="1"/>
        <v>2.3157942327947559E-2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input_442104!A$2</f>
        <v>442104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IFERROR(VLOOKUP(B62,input_442104!L:R,7,FALSE),VLOOKUP(tables_442104!C62,input_442104!A:H,8,FALSE))</f>
        <v>4623.1440700000003</v>
      </c>
      <c r="P62" s="46">
        <f t="shared" ca="1" si="1"/>
        <v>3.9205767215227261E-4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input_442104!A$2</f>
        <v>442104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IFERROR(VLOOKUP(B63,input_442104!L:R,7,FALSE),VLOOKUP(tables_442104!C63,input_442104!A:H,8,FALSE))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input_442104!A$2</f>
        <v>442104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IFERROR(VLOOKUP(B64,input_442104!L:R,7,FALSE),VLOOKUP(tables_442104!C64,input_442104!A:H,8,FALSE))</f>
        <v>59897.802100000001</v>
      </c>
      <c r="P64" s="46">
        <f t="shared" ca="1" si="1"/>
        <v>5.0795286720025368E-3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input_442104!A$2</f>
        <v>442104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IFERROR(VLOOKUP(B65,input_442104!L:R,7,FALSE),VLOOKUP(tables_442104!C65,input_442104!A:H,8,FALSE))</f>
        <v>212.68210999999999</v>
      </c>
      <c r="P65" s="46">
        <f t="shared" ca="1" si="1"/>
        <v>1.8036135515680256E-5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input_442104!A$2</f>
        <v>442104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IFERROR(VLOOKUP(B66,input_442104!L:R,7,FALSE),VLOOKUP(tables_442104!C66,input_442104!A:H,8,FALSE))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input_442104!A$2</f>
        <v>442104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IF(K67="blue","color","")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IFERROR(VLOOKUP(B67,input_442104!L:R,7,FALSE),VLOOKUP(tables_442104!C67,input_442104!A:H,8,FALSE))</f>
        <v>59897.802100000001</v>
      </c>
      <c r="P67" s="46">
        <f t="shared" ca="1" si="5"/>
        <v>5.0795286720025368E-3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input_442104!A$2</f>
        <v>442104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IFERROR(VLOOKUP(B68,input_442104!L:R,7,FALSE),VLOOKUP(tables_442104!C68,input_442104!A:H,8,FALSE))</f>
        <v>212.68210999999999</v>
      </c>
      <c r="P68" s="46">
        <f t="shared" ca="1" si="5"/>
        <v>1.8036135515680256E-5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input_442104!A$2</f>
        <v>442104</v>
      </c>
      <c r="B69" s="10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IFERROR(VLOOKUP(B69,input_442104!L:R,7,FALSE),VLOOKUP(tables_442104!C69,input_442104!A:H,8,FALSE))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input_442104!A$2</f>
        <v>442104</v>
      </c>
      <c r="B70" s="6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IFERROR(VLOOKUP(B70,input_442104!L:R,7,FALSE),VLOOKUP(tables_442104!C70,input_442104!A:H,8,FALSE))</f>
        <v>59897.802100000001</v>
      </c>
      <c r="P70" s="46">
        <f t="shared" ca="1" si="5"/>
        <v>5.0795286720025368E-3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input_442104!A$2</f>
        <v>442104</v>
      </c>
      <c r="B71" s="10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IFERROR(VLOOKUP(B71,input_442104!L:R,7,FALSE),VLOOKUP(tables_442104!C71,input_442104!A:H,8,FALSE))</f>
        <v>212.68210999999999</v>
      </c>
      <c r="P71" s="46">
        <f t="shared" ca="1" si="5"/>
        <v>1.8036135515680256E-5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input_442104!A$2</f>
        <v>442104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IFERROR(VLOOKUP(B72,input_442104!L:R,7,FALSE),VLOOKUP(tables_442104!C72,input_442104!A:H,8,FALSE))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input_442104!A$2</f>
        <v>442104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IFERROR(VLOOKUP(B73,input_442104!L:R,7,FALSE),VLOOKUP(tables_442104!C73,input_442104!A:H,8,FALSE))</f>
        <v>59897.802100000001</v>
      </c>
      <c r="P73" s="46">
        <f t="shared" ca="1" si="5"/>
        <v>5.0795286720025368E-3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input_442104!A$2</f>
        <v>442104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IFERROR(VLOOKUP(B74,input_442104!L:R,7,FALSE),VLOOKUP(tables_442104!C74,input_442104!A:H,8,FALSE))</f>
        <v>212.68210999999999</v>
      </c>
      <c r="P74" s="46">
        <f t="shared" ca="1" si="5"/>
        <v>1.8036135515680256E-5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input_442104!A$2</f>
        <v>442104</v>
      </c>
      <c r="B75" s="6">
        <v>199</v>
      </c>
      <c r="C75" s="7" t="str">
        <f t="shared" si="4"/>
        <v>Premium3color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IFERROR(VLOOKUP(B75,input_442104!L:R,7,FALSE),VLOOKUP(tables_442104!C75,input_442104!A:H,8,FALSE))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input_442104!A$2</f>
        <v>442104</v>
      </c>
      <c r="B76" s="5">
        <v>200</v>
      </c>
      <c r="C76" s="7" t="str">
        <f t="shared" si="4"/>
        <v>Premium4color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IFERROR(VLOOKUP(B76,input_442104!L:R,7,FALSE),VLOOKUP(tables_442104!C76,input_442104!A:H,8,FALSE))</f>
        <v>273078.45593</v>
      </c>
      <c r="P76" s="46">
        <f t="shared" ca="1" si="5"/>
        <v>2.3157942327947559E-2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input_442104!A$2</f>
        <v>442104</v>
      </c>
      <c r="B77" s="5">
        <v>201</v>
      </c>
      <c r="C77" s="7" t="str">
        <f t="shared" si="4"/>
        <v>Premium5color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IFERROR(VLOOKUP(B77,input_442104!L:R,7,FALSE),VLOOKUP(tables_442104!C77,input_442104!A:H,8,FALSE))</f>
        <v>4623.1440700000003</v>
      </c>
      <c r="P77" s="46">
        <f t="shared" ca="1" si="5"/>
        <v>3.9205767215227261E-4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input_442104!A$2</f>
        <v>442104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IFERROR(VLOOKUP(B78,input_442104!L:R,7,FALSE),VLOOKUP(tables_442104!C78,input_442104!A:H,8,FALSE))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input_442104!A$2</f>
        <v>442104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IFERROR(VLOOKUP(B79,input_442104!L:R,7,FALSE),VLOOKUP(tables_442104!C79,input_442104!A:H,8,FALSE))</f>
        <v>59897.802100000001</v>
      </c>
      <c r="P79" s="46">
        <f t="shared" ca="1" si="5"/>
        <v>5.0795286720025368E-3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input_442104!A$2</f>
        <v>442104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IFERROR(VLOOKUP(B80,input_442104!L:R,7,FALSE),VLOOKUP(tables_442104!C80,input_442104!A:H,8,FALSE))</f>
        <v>212.68210999999999</v>
      </c>
      <c r="P80" s="46">
        <f t="shared" ca="1" si="5"/>
        <v>1.8036135515680256E-5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input_442104!A$2</f>
        <v>442104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IFERROR(VLOOKUP(B81,input_442104!L:R,7,FALSE),VLOOKUP(tables_442104!C81,input_442104!A:H,8,FALSE))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input_442104!A$2</f>
        <v>442104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IFERROR(VLOOKUP(B82,input_442104!L:R,7,FALSE),VLOOKUP(tables_442104!C82,input_442104!A:H,8,FALSE))</f>
        <v>59897.802100000001</v>
      </c>
      <c r="P82" s="46">
        <f t="shared" ca="1" si="5"/>
        <v>5.0795286720025368E-3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input_442104!A$2</f>
        <v>442104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IFERROR(VLOOKUP(B83,input_442104!L:R,7,FALSE),VLOOKUP(tables_442104!C83,input_442104!A:H,8,FALSE))</f>
        <v>212.68210999999999</v>
      </c>
      <c r="P83" s="46">
        <f t="shared" ca="1" si="5"/>
        <v>1.8036135515680256E-5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input_442104!A$2</f>
        <v>442104</v>
      </c>
      <c r="B84" s="5">
        <v>208</v>
      </c>
      <c r="C84" s="7" t="str">
        <f t="shared" si="4"/>
        <v>Premium3color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IFERROR(VLOOKUP(B84,input_442104!L:R,7,FALSE),VLOOKUP(tables_442104!C84,input_442104!A:H,8,FALSE))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input_442104!A$2</f>
        <v>442104</v>
      </c>
      <c r="B85" s="5">
        <v>209</v>
      </c>
      <c r="C85" s="7" t="str">
        <f t="shared" si="4"/>
        <v>Premium4color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IFERROR(VLOOKUP(B85,input_442104!L:R,7,FALSE),VLOOKUP(tables_442104!C85,input_442104!A:H,8,FALSE))</f>
        <v>273078.45593</v>
      </c>
      <c r="P85" s="46">
        <f t="shared" ca="1" si="5"/>
        <v>2.3157942327947559E-2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input_442104!A$2</f>
        <v>442104</v>
      </c>
      <c r="B86" s="5">
        <v>210</v>
      </c>
      <c r="C86" s="7" t="str">
        <f t="shared" si="4"/>
        <v>Premium5color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IFERROR(VLOOKUP(B86,input_442104!L:R,7,FALSE),VLOOKUP(tables_442104!C86,input_442104!A:H,8,FALSE))</f>
        <v>4623.1440700000003</v>
      </c>
      <c r="P86" s="46">
        <f t="shared" ca="1" si="5"/>
        <v>3.9205767215227261E-4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input_442104!A$2</f>
        <v>442104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IFERROR(VLOOKUP(B87,input_442104!L:R,7,FALSE),VLOOKUP(tables_442104!C87,input_442104!A:H,8,FALSE))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input_442104!A$2</f>
        <v>442104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IFERROR(VLOOKUP(B88,input_442104!L:R,7,FALSE),VLOOKUP(tables_442104!C88,input_442104!A:H,8,FALSE))</f>
        <v>59897.802100000001</v>
      </c>
      <c r="P88" s="46">
        <f t="shared" ca="1" si="5"/>
        <v>5.0795286720025368E-3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input_442104!A$2</f>
        <v>442104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IFERROR(VLOOKUP(B89,input_442104!L:R,7,FALSE),VLOOKUP(tables_442104!C89,input_442104!A:H,8,FALSE))</f>
        <v>212.68210999999999</v>
      </c>
      <c r="P89" s="46">
        <f t="shared" ca="1" si="5"/>
        <v>1.8036135515680256E-5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input_442104!A$2</f>
        <v>442104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IFERROR(VLOOKUP(B90,input_442104!L:R,7,FALSE),VLOOKUP(tables_442104!C90,input_442104!A:H,8,FALSE))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input_442104!A$2</f>
        <v>442104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IFERROR(VLOOKUP(B91,input_442104!L:R,7,FALSE),VLOOKUP(tables_442104!C91,input_442104!A:H,8,FALSE))</f>
        <v>59897.802100000001</v>
      </c>
      <c r="P91" s="46">
        <f t="shared" ca="1" si="5"/>
        <v>5.0795286720025368E-3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input_442104!A$2</f>
        <v>442104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IFERROR(VLOOKUP(B92,input_442104!L:R,7,FALSE),VLOOKUP(tables_442104!C92,input_442104!A:H,8,FALSE))</f>
        <v>212.68210999999999</v>
      </c>
      <c r="P92" s="46">
        <f t="shared" ca="1" si="5"/>
        <v>1.8036135515680256E-5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input_442104!A$2</f>
        <v>442104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IFERROR(VLOOKUP(B93,input_442104!L:R,7,FALSE),VLOOKUP(tables_442104!C93,input_442104!A:H,8,FALSE))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input_442104!A$2</f>
        <v>442104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IFERROR(VLOOKUP(B94,input_442104!L:R,7,FALSE),VLOOKUP(tables_442104!C94,input_442104!A:H,8,FALSE))</f>
        <v>59897.802100000001</v>
      </c>
      <c r="P94" s="46">
        <f t="shared" ca="1" si="5"/>
        <v>5.0795286720025368E-3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input_442104!A$2</f>
        <v>442104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IFERROR(VLOOKUP(B95,input_442104!L:R,7,FALSE),VLOOKUP(tables_442104!C95,input_442104!A:H,8,FALSE))</f>
        <v>212.68210999999999</v>
      </c>
      <c r="P95" s="46">
        <f t="shared" ca="1" si="5"/>
        <v>1.8036135515680256E-5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input_442104!A$2</f>
        <v>442104</v>
      </c>
      <c r="B96" s="5">
        <v>220</v>
      </c>
      <c r="C96" s="7" t="str">
        <f t="shared" si="4"/>
        <v>Premium3color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IFERROR(VLOOKUP(B96,input_442104!L:R,7,FALSE),VLOOKUP(tables_442104!C96,input_442104!A:H,8,FALSE))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input_442104!A$2</f>
        <v>442104</v>
      </c>
      <c r="B97" s="5">
        <v>221</v>
      </c>
      <c r="C97" s="7" t="str">
        <f t="shared" si="4"/>
        <v>Premium4color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IFERROR(VLOOKUP(B97,input_442104!L:R,7,FALSE),VLOOKUP(tables_442104!C97,input_442104!A:H,8,FALSE))</f>
        <v>273078.45593</v>
      </c>
      <c r="P97" s="46">
        <f t="shared" ca="1" si="5"/>
        <v>2.3157942327947559E-2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input_442104!A$2</f>
        <v>442104</v>
      </c>
      <c r="B98" s="5">
        <v>222</v>
      </c>
      <c r="C98" s="7" t="str">
        <f t="shared" si="4"/>
        <v>Premium5color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IFERROR(VLOOKUP(B98,input_442104!L:R,7,FALSE),VLOOKUP(tables_442104!C98,input_442104!A:H,8,FALSE))</f>
        <v>4623.1440700000003</v>
      </c>
      <c r="P98" s="46">
        <f t="shared" ca="1" si="5"/>
        <v>3.9205767215227261E-4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input_442104!A$2</f>
        <v>442104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IFERROR(VLOOKUP(B99,input_442104!L:R,7,FALSE),VLOOKUP(tables_442104!C99,input_442104!A:H,8,FALSE))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input_442104!A$2</f>
        <v>442104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IFERROR(VLOOKUP(B100,input_442104!L:R,7,FALSE),VLOOKUP(tables_442104!C100,input_442104!A:H,8,FALSE))</f>
        <v>59897.802100000001</v>
      </c>
      <c r="P100" s="46">
        <f t="shared" ca="1" si="5"/>
        <v>5.0795286720025368E-3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input_442104!A$2</f>
        <v>442104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IFERROR(VLOOKUP(B101,input_442104!L:R,7,FALSE),VLOOKUP(tables_442104!C101,input_442104!A:H,8,FALSE))</f>
        <v>212.68210999999999</v>
      </c>
      <c r="P101" s="46">
        <f t="shared" ca="1" si="5"/>
        <v>1.8036135515680256E-5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input_442104!A$2</f>
        <v>442104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IFERROR(VLOOKUP(B102,input_442104!L:R,7,FALSE),VLOOKUP(tables_442104!C102,input_442104!A:H,8,FALSE))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input_442104!A$2</f>
        <v>442104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IFERROR(VLOOKUP(B103,input_442104!L:R,7,FALSE),VLOOKUP(tables_442104!C103,input_442104!A:H,8,FALSE))</f>
        <v>59897.802100000001</v>
      </c>
      <c r="P103" s="46">
        <f t="shared" ca="1" si="5"/>
        <v>5.0795286720025368E-3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input_442104!A$2</f>
        <v>442104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IFERROR(VLOOKUP(B104,input_442104!L:R,7,FALSE),VLOOKUP(tables_442104!C104,input_442104!A:H,8,FALSE))</f>
        <v>212.68210999999999</v>
      </c>
      <c r="P104" s="46">
        <f t="shared" ca="1" si="5"/>
        <v>1.8036135515680256E-5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input_442104!A$2</f>
        <v>442104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IFERROR(VLOOKUP(B105,input_442104!L:R,7,FALSE),VLOOKUP(tables_442104!C105,input_442104!A:H,8,FALSE))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input_442104!A$2</f>
        <v>442104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IFERROR(VLOOKUP(B106,input_442104!L:R,7,FALSE),VLOOKUP(tables_442104!C106,input_442104!A:H,8,FALSE))</f>
        <v>59897.802100000001</v>
      </c>
      <c r="P106" s="46">
        <f t="shared" ca="1" si="5"/>
        <v>5.0795286720025368E-3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input_442104!A$2</f>
        <v>442104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IFERROR(VLOOKUP(B107,input_442104!L:R,7,FALSE),VLOOKUP(tables_442104!C107,input_442104!A:H,8,FALSE))</f>
        <v>212.68210999999999</v>
      </c>
      <c r="P107" s="46">
        <f t="shared" ca="1" si="5"/>
        <v>1.8036135515680256E-5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input_442104!A$2</f>
        <v>442104</v>
      </c>
      <c r="B108" s="5">
        <v>232</v>
      </c>
      <c r="C108" s="7" t="str">
        <f t="shared" si="4"/>
        <v>Premium3color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IFERROR(VLOOKUP(B108,input_442104!L:R,7,FALSE),VLOOKUP(tables_442104!C108,input_442104!A:H,8,FALSE))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input_442104!A$2</f>
        <v>442104</v>
      </c>
      <c r="B109" s="5">
        <v>233</v>
      </c>
      <c r="C109" s="7" t="str">
        <f t="shared" si="4"/>
        <v>Premium4color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IFERROR(VLOOKUP(B109,input_442104!L:R,7,FALSE),VLOOKUP(tables_442104!C109,input_442104!A:H,8,FALSE))</f>
        <v>273078.45593</v>
      </c>
      <c r="P109" s="46">
        <f t="shared" ca="1" si="5"/>
        <v>2.3157942327947559E-2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input_442104!A$2</f>
        <v>442104</v>
      </c>
      <c r="B110" s="5">
        <v>234</v>
      </c>
      <c r="C110" s="7" t="str">
        <f t="shared" si="4"/>
        <v>Premium5color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IFERROR(VLOOKUP(B110,input_442104!L:R,7,FALSE),VLOOKUP(tables_442104!C110,input_442104!A:H,8,FALSE))</f>
        <v>4623.1440700000003</v>
      </c>
      <c r="P110" s="46">
        <f t="shared" ca="1" si="5"/>
        <v>3.9205767215227261E-4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input_442104!A$2</f>
        <v>442104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IFERROR(VLOOKUP(B111,input_442104!L:R,7,FALSE),VLOOKUP(tables_442104!C111,input_442104!A:H,8,FALSE))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input_442104!A$2</f>
        <v>442104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IFERROR(VLOOKUP(B112,input_442104!L:R,7,FALSE),VLOOKUP(tables_442104!C112,input_442104!A:H,8,FALSE))</f>
        <v>63000.959999999999</v>
      </c>
      <c r="P112" s="46">
        <f t="shared" ca="1" si="5"/>
        <v>5.3426865671868272E-3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input_442104!A$2</f>
        <v>442104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IFERROR(VLOOKUP(B113,input_442104!L:R,7,FALSE),VLOOKUP(tables_442104!C113,input_442104!A:H,8,FALSE))</f>
        <v>3315.84</v>
      </c>
      <c r="P113" s="46">
        <f t="shared" ca="1" si="5"/>
        <v>2.8119402985193832E-4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input_442104!A$2</f>
        <v>442104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IFERROR(VLOOKUP(B114,input_442104!L:R,7,FALSE),VLOOKUP(tables_442104!C114,input_442104!A:H,8,FALSE))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input_442104!A$2</f>
        <v>442104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IFERROR(VLOOKUP(B115,input_442104!L:R,7,FALSE),VLOOKUP(tables_442104!C115,input_442104!A:H,8,FALSE))</f>
        <v>59897.802100000001</v>
      </c>
      <c r="P115" s="46">
        <f t="shared" ca="1" si="5"/>
        <v>5.0795286720025368E-3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input_442104!A$2</f>
        <v>442104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IFERROR(VLOOKUP(B116,input_442104!L:R,7,FALSE),VLOOKUP(tables_442104!C116,input_442104!A:H,8,FALSE))</f>
        <v>212.68210999999999</v>
      </c>
      <c r="P116" s="46">
        <f t="shared" ca="1" si="5"/>
        <v>1.8036135515680256E-5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input_442104!A$2</f>
        <v>442104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IFERROR(VLOOKUP(B117,input_442104!L:R,7,FALSE),VLOOKUP(tables_442104!C117,input_442104!A:H,8,FALSE))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input_442104!A$2</f>
        <v>442104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IFERROR(VLOOKUP(B118,input_442104!L:R,7,FALSE),VLOOKUP(tables_442104!C118,input_442104!A:H,8,FALSE))</f>
        <v>59897.802100000001</v>
      </c>
      <c r="P118" s="46">
        <f t="shared" ca="1" si="5"/>
        <v>5.0795286720025368E-3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input_442104!A$2</f>
        <v>442104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IFERROR(VLOOKUP(B119,input_442104!L:R,7,FALSE),VLOOKUP(tables_442104!C119,input_442104!A:H,8,FALSE))</f>
        <v>212.68210999999999</v>
      </c>
      <c r="P119" s="46">
        <f t="shared" ca="1" si="5"/>
        <v>1.8036135515680256E-5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input_442104!A$2</f>
        <v>442104</v>
      </c>
      <c r="B120" s="5">
        <v>244</v>
      </c>
      <c r="C120" s="7" t="str">
        <f t="shared" si="4"/>
        <v>Premium3color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IFERROR(VLOOKUP(B120,input_442104!L:R,7,FALSE),VLOOKUP(tables_442104!C120,input_442104!A:H,8,FALSE))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input_442104!A$2</f>
        <v>442104</v>
      </c>
      <c r="B121" s="5">
        <v>245</v>
      </c>
      <c r="C121" s="7" t="str">
        <f t="shared" si="4"/>
        <v>Premium4color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IFERROR(VLOOKUP(B121,input_442104!L:R,7,FALSE),VLOOKUP(tables_442104!C121,input_442104!A:H,8,FALSE))</f>
        <v>273078.45593</v>
      </c>
      <c r="P121" s="46">
        <f t="shared" ca="1" si="5"/>
        <v>2.3157942327947559E-2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input_442104!A$2</f>
        <v>442104</v>
      </c>
      <c r="B122" s="5">
        <v>246</v>
      </c>
      <c r="C122" s="7" t="str">
        <f t="shared" si="4"/>
        <v>Premium5color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IFERROR(VLOOKUP(B122,input_442104!L:R,7,FALSE),VLOOKUP(tables_442104!C122,input_442104!A:H,8,FALSE))</f>
        <v>4623.1440700000003</v>
      </c>
      <c r="P122" s="46">
        <f t="shared" ca="1" si="5"/>
        <v>3.9205767215227261E-4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input_442104!A$2</f>
        <v>442104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IFERROR(VLOOKUP(B123,input_442104!L:R,7,FALSE),VLOOKUP(tables_442104!C123,input_442104!A:H,8,FALSE))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input_442104!A$2</f>
        <v>442104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IFERROR(VLOOKUP(B124,input_442104!L:R,7,FALSE),VLOOKUP(tables_442104!C124,input_442104!A:H,8,FALSE))</f>
        <v>59897.802100000001</v>
      </c>
      <c r="P124" s="46">
        <f t="shared" ca="1" si="5"/>
        <v>5.0795286720025368E-3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input_442104!A$2</f>
        <v>442104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IFERROR(VLOOKUP(B125,input_442104!L:R,7,FALSE),VLOOKUP(tables_442104!C125,input_442104!A:H,8,FALSE))</f>
        <v>212.68210999999999</v>
      </c>
      <c r="P125" s="46">
        <f t="shared" ca="1" si="5"/>
        <v>1.8036135515680256E-5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input_442104!A$2</f>
        <v>442104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IFERROR(VLOOKUP(B126,input_442104!L:R,7,FALSE),VLOOKUP(tables_442104!C126,input_442104!A:H,8,FALSE))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input_442104!A$2</f>
        <v>442104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IFERROR(VLOOKUP(B127,input_442104!L:R,7,FALSE),VLOOKUP(tables_442104!C127,input_442104!A:H,8,FALSE))</f>
        <v>59897.802100000001</v>
      </c>
      <c r="P127" s="46">
        <f t="shared" ca="1" si="5"/>
        <v>5.0795286720025368E-3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input_442104!A$2</f>
        <v>442104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IFERROR(VLOOKUP(B128,input_442104!L:R,7,FALSE),VLOOKUP(tables_442104!C128,input_442104!A:H,8,FALSE))</f>
        <v>212.68210999999999</v>
      </c>
      <c r="P128" s="46">
        <f t="shared" ca="1" si="5"/>
        <v>1.8036135515680256E-5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input_442104!A$2</f>
        <v>442104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IFERROR(VLOOKUP(B129,input_442104!L:R,7,FALSE),VLOOKUP(tables_442104!C129,input_442104!A:H,8,FALSE))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input_442104!A$2</f>
        <v>442104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IFERROR(VLOOKUP(B130,input_442104!L:R,7,FALSE),VLOOKUP(tables_442104!C130,input_442104!A:H,8,FALSE))</f>
        <v>59897.802100000001</v>
      </c>
      <c r="P130" s="46">
        <f t="shared" ref="P130:P193" ca="1" si="9">O130/SUM(O:O)</f>
        <v>5.0795286720025368E-3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input_442104!A$2</f>
        <v>442104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IF(K131="blue","color","")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IFERROR(VLOOKUP(B131,input_442104!L:R,7,FALSE),VLOOKUP(tables_442104!C131,input_442104!A:H,8,FALSE))</f>
        <v>212.68210999999999</v>
      </c>
      <c r="P131" s="46">
        <f t="shared" ca="1" si="9"/>
        <v>1.8036135515680256E-5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input_442104!A$2</f>
        <v>442104</v>
      </c>
      <c r="B132" s="6">
        <v>256</v>
      </c>
      <c r="C132" s="7" t="str">
        <f t="shared" si="8"/>
        <v>Premium3color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IFERROR(VLOOKUP(B132,input_442104!L:R,7,FALSE),VLOOKUP(tables_442104!C132,input_442104!A:H,8,FALSE))</f>
        <v>0</v>
      </c>
      <c r="P132" s="46">
        <f t="shared" ca="1" si="9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input_442104!A$2</f>
        <v>442104</v>
      </c>
      <c r="B133" s="6">
        <v>257</v>
      </c>
      <c r="C133" s="7" t="str">
        <f t="shared" si="8"/>
        <v>Premium4color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IFERROR(VLOOKUP(B133,input_442104!L:R,7,FALSE),VLOOKUP(tables_442104!C133,input_442104!A:H,8,FALSE))</f>
        <v>273078.45593</v>
      </c>
      <c r="P133" s="46">
        <f t="shared" ca="1" si="9"/>
        <v>2.3157942327947559E-2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input_442104!A$2</f>
        <v>442104</v>
      </c>
      <c r="B134" s="6">
        <v>258</v>
      </c>
      <c r="C134" s="7" t="str">
        <f t="shared" si="8"/>
        <v>Premium5color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IFERROR(VLOOKUP(B134,input_442104!L:R,7,FALSE),VLOOKUP(tables_442104!C134,input_442104!A:H,8,FALSE))</f>
        <v>4623.1440700000003</v>
      </c>
      <c r="P134" s="46">
        <f t="shared" ca="1" si="9"/>
        <v>3.9205767215227261E-4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input_442104!A$2</f>
        <v>442104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IFERROR(VLOOKUP(B135,input_442104!L:R,7,FALSE),VLOOKUP(tables_442104!C135,input_442104!A:H,8,FALSE))</f>
        <v>0</v>
      </c>
      <c r="P135" s="46">
        <f t="shared" ca="1" si="9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input_442104!A$2</f>
        <v>442104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IFERROR(VLOOKUP(B136,input_442104!L:R,7,FALSE),VLOOKUP(tables_442104!C136,input_442104!A:H,8,FALSE))</f>
        <v>59897.802100000001</v>
      </c>
      <c r="P136" s="46">
        <f t="shared" ca="1" si="9"/>
        <v>5.0795286720025368E-3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input_442104!A$2</f>
        <v>442104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IFERROR(VLOOKUP(B137,input_442104!L:R,7,FALSE),VLOOKUP(tables_442104!C137,input_442104!A:H,8,FALSE))</f>
        <v>212.68210999999999</v>
      </c>
      <c r="P137" s="46">
        <f t="shared" ca="1" si="9"/>
        <v>1.8036135515680256E-5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input_442104!A$2</f>
        <v>442104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IFERROR(VLOOKUP(B138,input_442104!L:R,7,FALSE),VLOOKUP(tables_442104!C138,input_442104!A:H,8,FALSE))</f>
        <v>5625.9592300000004</v>
      </c>
      <c r="P138" s="46">
        <f t="shared" ca="1" si="9"/>
        <v>4.7709966333309443E-4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input_442104!A$2</f>
        <v>442104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IFERROR(VLOOKUP(B139,input_442104!L:R,7,FALSE),VLOOKUP(tables_442104!C139,input_442104!A:H,8,FALSE))</f>
        <v>268</v>
      </c>
      <c r="P139" s="46">
        <f t="shared" ca="1" si="9"/>
        <v>2.2727272727369071E-5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input_442104!A$2</f>
        <v>442104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IFERROR(VLOOKUP(B140,input_442104!L:R,7,FALSE),VLOOKUP(tables_442104!C140,input_442104!A:H,8,FALSE))</f>
        <v>5625.9592300000004</v>
      </c>
      <c r="P140" s="46">
        <f t="shared" ca="1" si="9"/>
        <v>4.7709966333309443E-4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input_442104!A$2</f>
        <v>442104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IFERROR(VLOOKUP(B141,input_442104!L:R,7,FALSE),VLOOKUP(tables_442104!C141,input_442104!A:H,8,FALSE))</f>
        <v>268</v>
      </c>
      <c r="P141" s="46">
        <f t="shared" ca="1" si="9"/>
        <v>2.2727272727369071E-5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input_442104!A$2</f>
        <v>442104</v>
      </c>
      <c r="B142" s="6">
        <v>324</v>
      </c>
      <c r="C142" s="7" t="str">
        <f t="shared" si="8"/>
        <v>PremiumSS4color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IFERROR(VLOOKUP(B142,input_442104!L:R,7,FALSE),VLOOKUP(tables_442104!C142,input_442104!A:H,8,FALSE))</f>
        <v>25851.692309999999</v>
      </c>
      <c r="P142" s="46">
        <f t="shared" ca="1" si="9"/>
        <v>2.1923076925126853E-3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input_442104!A$2</f>
        <v>442104</v>
      </c>
      <c r="B143" s="6">
        <v>325</v>
      </c>
      <c r="C143" s="7" t="str">
        <f t="shared" si="8"/>
        <v>PremiumSS5color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IFERROR(VLOOKUP(B143,input_442104!L:R,7,FALSE),VLOOKUP(tables_442104!C143,input_442104!A:H,8,FALSE))</f>
        <v>1360.61538</v>
      </c>
      <c r="P143" s="46">
        <f t="shared" ca="1" si="9"/>
        <v>1.1538461499370487E-4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input_442104!A$2</f>
        <v>442104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IFERROR(VLOOKUP(B144,input_442104!L:R,7,FALSE),VLOOKUP(tables_442104!C144,input_442104!A:H,8,FALSE))</f>
        <v>5625.9592300000004</v>
      </c>
      <c r="P144" s="46">
        <f t="shared" ca="1" si="9"/>
        <v>4.7709966333309443E-4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input_442104!A$2</f>
        <v>442104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IFERROR(VLOOKUP(B145,input_442104!L:R,7,FALSE),VLOOKUP(tables_442104!C145,input_442104!A:H,8,FALSE))</f>
        <v>268</v>
      </c>
      <c r="P145" s="46">
        <f t="shared" ca="1" si="9"/>
        <v>2.2727272727369071E-5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input_442104!A$2</f>
        <v>442104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IFERROR(VLOOKUP(B146,input_442104!L:R,7,FALSE),VLOOKUP(tables_442104!C146,input_442104!A:H,8,FALSE))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input_442104!A$2</f>
        <v>442104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IFERROR(VLOOKUP(B147,input_442104!L:R,7,FALSE),VLOOKUP(tables_442104!C147,input_442104!A:H,8,FALSE))</f>
        <v>59897.802100000001</v>
      </c>
      <c r="P147" s="46">
        <f t="shared" ca="1" si="9"/>
        <v>5.0795286720025368E-3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input_442104!A$2</f>
        <v>442104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IFERROR(VLOOKUP(B148,input_442104!L:R,7,FALSE),VLOOKUP(tables_442104!C148,input_442104!A:H,8,FALSE))</f>
        <v>212.68210999999999</v>
      </c>
      <c r="P148" s="46">
        <f t="shared" ca="1" si="9"/>
        <v>1.8036135515680256E-5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input_442104!A$2</f>
        <v>442104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IFERROR(VLOOKUP(B149,input_442104!L:R,7,FALSE),VLOOKUP(tables_442104!C149,input_442104!A:H,8,FALSE))</f>
        <v>5625.9592300000004</v>
      </c>
      <c r="P149" s="46">
        <f t="shared" ca="1" si="9"/>
        <v>4.7709966333309443E-4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input_442104!A$2</f>
        <v>442104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IFERROR(VLOOKUP(B150,input_442104!L:R,7,FALSE),VLOOKUP(tables_442104!C150,input_442104!A:H,8,FALSE))</f>
        <v>268</v>
      </c>
      <c r="P150" s="46">
        <f t="shared" ca="1" si="9"/>
        <v>2.2727272727369071E-5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input_442104!A$2</f>
        <v>442104</v>
      </c>
      <c r="B151" s="6">
        <v>385</v>
      </c>
      <c r="C151" s="7" t="str">
        <f t="shared" si="8"/>
        <v>PremiumSS4color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IFERROR(VLOOKUP(B151,input_442104!L:R,7,FALSE),VLOOKUP(tables_442104!C151,input_442104!A:H,8,FALSE))</f>
        <v>25851.692309999999</v>
      </c>
      <c r="P151" s="46">
        <f t="shared" ca="1" si="9"/>
        <v>2.1923076925126853E-3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input_442104!A$2</f>
        <v>442104</v>
      </c>
      <c r="B152" s="6">
        <v>386</v>
      </c>
      <c r="C152" s="7" t="str">
        <f t="shared" si="8"/>
        <v>PremiumSS5color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IFERROR(VLOOKUP(B152,input_442104!L:R,7,FALSE),VLOOKUP(tables_442104!C152,input_442104!A:H,8,FALSE))</f>
        <v>1360.61538</v>
      </c>
      <c r="P152" s="46">
        <f t="shared" ca="1" si="9"/>
        <v>1.1538461499370487E-4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input_442104!A$2</f>
        <v>442104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IFERROR(VLOOKUP(B153,input_442104!L:R,7,FALSE),VLOOKUP(tables_442104!C153,input_442104!A:H,8,FALSE))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input_442104!A$2</f>
        <v>442104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IFERROR(VLOOKUP(B154,input_442104!L:R,7,FALSE),VLOOKUP(tables_442104!C154,input_442104!A:H,8,FALSE))</f>
        <v>59897.802100000001</v>
      </c>
      <c r="P154" s="46">
        <f t="shared" ca="1" si="9"/>
        <v>5.0795286720025368E-3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input_442104!A$2</f>
        <v>442104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IFERROR(VLOOKUP(B155,input_442104!L:R,7,FALSE),VLOOKUP(tables_442104!C155,input_442104!A:H,8,FALSE))</f>
        <v>212.68210999999999</v>
      </c>
      <c r="P155" s="46">
        <f t="shared" ca="1" si="9"/>
        <v>1.8036135515680256E-5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input_442104!A$2</f>
        <v>442104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IFERROR(VLOOKUP(B156,input_442104!L:R,7,FALSE),VLOOKUP(tables_442104!C156,input_442104!A:H,8,FALSE))</f>
        <v>5625.9592300000004</v>
      </c>
      <c r="P156" s="46">
        <f t="shared" ca="1" si="9"/>
        <v>4.7709966333309443E-4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input_442104!A$2</f>
        <v>442104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IFERROR(VLOOKUP(B157,input_442104!L:R,7,FALSE),VLOOKUP(tables_442104!C157,input_442104!A:H,8,FALSE))</f>
        <v>268</v>
      </c>
      <c r="P157" s="46">
        <f t="shared" ca="1" si="9"/>
        <v>2.2727272727369071E-5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input_442104!A$2</f>
        <v>442104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IFERROR(VLOOKUP(B158,input_442104!L:R,7,FALSE),VLOOKUP(tables_442104!C158,input_442104!A:H,8,FALSE))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input_442104!A$2</f>
        <v>442104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IFERROR(VLOOKUP(B159,input_442104!L:R,7,FALSE),VLOOKUP(tables_442104!C159,input_442104!A:H,8,FALSE))</f>
        <v>59897.802100000001</v>
      </c>
      <c r="P159" s="46">
        <f t="shared" ca="1" si="9"/>
        <v>5.0795286720025368E-3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input_442104!A$2</f>
        <v>442104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IFERROR(VLOOKUP(B160,input_442104!L:R,7,FALSE),VLOOKUP(tables_442104!C160,input_442104!A:H,8,FALSE))</f>
        <v>212.68210999999999</v>
      </c>
      <c r="P160" s="46">
        <f t="shared" ca="1" si="9"/>
        <v>1.8036135515680256E-5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input_442104!A$2</f>
        <v>442104</v>
      </c>
      <c r="B161" s="6">
        <v>395</v>
      </c>
      <c r="C161" s="7" t="str">
        <f t="shared" si="8"/>
        <v>Premium3color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IFERROR(VLOOKUP(B161,input_442104!L:R,7,FALSE),VLOOKUP(tables_442104!C161,input_442104!A:H,8,FALSE))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input_442104!A$2</f>
        <v>442104</v>
      </c>
      <c r="B162" s="6">
        <v>396</v>
      </c>
      <c r="C162" s="7" t="str">
        <f t="shared" si="8"/>
        <v>Premium4color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IFERROR(VLOOKUP(B162,input_442104!L:R,7,FALSE),VLOOKUP(tables_442104!C162,input_442104!A:H,8,FALSE))</f>
        <v>273078.45593</v>
      </c>
      <c r="P162" s="46">
        <f t="shared" ca="1" si="9"/>
        <v>2.3157942327947559E-2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input_442104!A$2</f>
        <v>442104</v>
      </c>
      <c r="B163" s="6">
        <v>397</v>
      </c>
      <c r="C163" s="7" t="str">
        <f t="shared" si="8"/>
        <v>Premium5color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IFERROR(VLOOKUP(B163,input_442104!L:R,7,FALSE),VLOOKUP(tables_442104!C163,input_442104!A:H,8,FALSE))</f>
        <v>4623.1440700000003</v>
      </c>
      <c r="P163" s="46">
        <f t="shared" ca="1" si="9"/>
        <v>3.9205767215227261E-4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input_442104!A$2</f>
        <v>442104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IFERROR(VLOOKUP(B164,input_442104!L:R,7,FALSE),VLOOKUP(tables_442104!C164,input_442104!A:H,8,FALSE))</f>
        <v>5625.9592300000004</v>
      </c>
      <c r="P164" s="46">
        <f t="shared" ca="1" si="9"/>
        <v>4.7709966333309443E-4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input_442104!A$2</f>
        <v>442104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IFERROR(VLOOKUP(B165,input_442104!L:R,7,FALSE),VLOOKUP(tables_442104!C165,input_442104!A:H,8,FALSE))</f>
        <v>268</v>
      </c>
      <c r="P165" s="46">
        <f t="shared" ca="1" si="9"/>
        <v>2.2727272727369071E-5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input_442104!A$2</f>
        <v>442104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IFERROR(VLOOKUP(B166,input_442104!L:R,7,FALSE),VLOOKUP(tables_442104!C166,input_442104!A:H,8,FALSE))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input_442104!A$2</f>
        <v>442104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IFERROR(VLOOKUP(B167,input_442104!L:R,7,FALSE),VLOOKUP(tables_442104!C167,input_442104!A:H,8,FALSE))</f>
        <v>59897.802100000001</v>
      </c>
      <c r="P167" s="46">
        <f t="shared" ca="1" si="9"/>
        <v>5.0795286720025368E-3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input_442104!A$2</f>
        <v>442104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IFERROR(VLOOKUP(B168,input_442104!L:R,7,FALSE),VLOOKUP(tables_442104!C168,input_442104!A:H,8,FALSE))</f>
        <v>212.68210999999999</v>
      </c>
      <c r="P168" s="46">
        <f t="shared" ca="1" si="9"/>
        <v>1.8036135515680256E-5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input_442104!A$2</f>
        <v>442104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IFERROR(VLOOKUP(B169,input_442104!L:R,7,FALSE),VLOOKUP(tables_442104!C169,input_442104!A:H,8,FALSE))</f>
        <v>5625.9592300000004</v>
      </c>
      <c r="P169" s="46">
        <f t="shared" ca="1" si="9"/>
        <v>4.7709966333309443E-4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input_442104!A$2</f>
        <v>442104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IFERROR(VLOOKUP(B170,input_442104!L:R,7,FALSE),VLOOKUP(tables_442104!C170,input_442104!A:H,8,FALSE))</f>
        <v>268</v>
      </c>
      <c r="P170" s="46">
        <f t="shared" ca="1" si="9"/>
        <v>2.2727272727369071E-5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input_442104!A$2</f>
        <v>442104</v>
      </c>
      <c r="B171" s="6">
        <v>405</v>
      </c>
      <c r="C171" s="7" t="str">
        <f t="shared" si="8"/>
        <v>Premium3color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IFERROR(VLOOKUP(B171,input_442104!L:R,7,FALSE),VLOOKUP(tables_442104!C171,input_442104!A:H,8,FALSE))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input_442104!A$2</f>
        <v>442104</v>
      </c>
      <c r="B172" s="6">
        <v>406</v>
      </c>
      <c r="C172" s="7" t="str">
        <f t="shared" si="8"/>
        <v>Premium4color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IFERROR(VLOOKUP(B172,input_442104!L:R,7,FALSE),VLOOKUP(tables_442104!C172,input_442104!A:H,8,FALSE))</f>
        <v>273078.45593</v>
      </c>
      <c r="P172" s="46">
        <f t="shared" ca="1" si="9"/>
        <v>2.3157942327947559E-2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input_442104!A$2</f>
        <v>442104</v>
      </c>
      <c r="B173" s="6">
        <v>407</v>
      </c>
      <c r="C173" s="7" t="str">
        <f t="shared" si="8"/>
        <v>Premium5color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IFERROR(VLOOKUP(B173,input_442104!L:R,7,FALSE),VLOOKUP(tables_442104!C173,input_442104!A:H,8,FALSE))</f>
        <v>4623.1440700000003</v>
      </c>
      <c r="P173" s="46">
        <f t="shared" ca="1" si="9"/>
        <v>3.9205767215227261E-4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input_442104!A$2</f>
        <v>442104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IFERROR(VLOOKUP(B174,input_442104!L:R,7,FALSE),VLOOKUP(tables_442104!C174,input_442104!A:H,8,FALSE))</f>
        <v>5625.9592300000004</v>
      </c>
      <c r="P174" s="46">
        <f t="shared" ca="1" si="9"/>
        <v>4.7709966333309443E-4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input_442104!A$2</f>
        <v>442104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IFERROR(VLOOKUP(B175,input_442104!L:R,7,FALSE),VLOOKUP(tables_442104!C175,input_442104!A:H,8,FALSE))</f>
        <v>268</v>
      </c>
      <c r="P175" s="46">
        <f t="shared" ca="1" si="9"/>
        <v>2.2727272727369071E-5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input_442104!A$2</f>
        <v>442104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IFERROR(VLOOKUP(B176,input_442104!L:R,7,FALSE),VLOOKUP(tables_442104!C176,input_442104!A:H,8,FALSE))</f>
        <v>5625.9592300000004</v>
      </c>
      <c r="P176" s="46">
        <f t="shared" ca="1" si="9"/>
        <v>4.7709966333309443E-4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input_442104!A$2</f>
        <v>442104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IFERROR(VLOOKUP(B177,input_442104!L:R,7,FALSE),VLOOKUP(tables_442104!C177,input_442104!A:H,8,FALSE))</f>
        <v>268</v>
      </c>
      <c r="P177" s="46">
        <f t="shared" ca="1" si="9"/>
        <v>2.2727272727369071E-5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input_442104!A$2</f>
        <v>442104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IFERROR(VLOOKUP(B178,input_442104!L:R,7,FALSE),VLOOKUP(tables_442104!C178,input_442104!A:H,8,FALSE))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input_442104!A$2</f>
        <v>442104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IFERROR(VLOOKUP(B179,input_442104!L:R,7,FALSE),VLOOKUP(tables_442104!C179,input_442104!A:H,8,FALSE))</f>
        <v>59897.802100000001</v>
      </c>
      <c r="P179" s="46">
        <f t="shared" ca="1" si="9"/>
        <v>5.0795286720025368E-3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input_442104!A$2</f>
        <v>442104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IFERROR(VLOOKUP(B180,input_442104!L:R,7,FALSE),VLOOKUP(tables_442104!C180,input_442104!A:H,8,FALSE))</f>
        <v>212.68210999999999</v>
      </c>
      <c r="P180" s="46">
        <f t="shared" ca="1" si="9"/>
        <v>1.8036135515680256E-5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input_442104!A$2</f>
        <v>442104</v>
      </c>
      <c r="B181" s="6">
        <v>439</v>
      </c>
      <c r="C181" s="7" t="str">
        <f t="shared" si="8"/>
        <v>Premium3color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IFERROR(VLOOKUP(B181,input_442104!L:R,7,FALSE),VLOOKUP(tables_442104!C181,input_442104!A:H,8,FALSE))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input_442104!A$2</f>
        <v>442104</v>
      </c>
      <c r="B182" s="6">
        <v>440</v>
      </c>
      <c r="C182" s="7" t="str">
        <f t="shared" si="8"/>
        <v>Premium4color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IFERROR(VLOOKUP(B182,input_442104!L:R,7,FALSE),VLOOKUP(tables_442104!C182,input_442104!A:H,8,FALSE))</f>
        <v>273078.45593</v>
      </c>
      <c r="P182" s="46">
        <f t="shared" ca="1" si="9"/>
        <v>2.3157942327947559E-2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input_442104!A$2</f>
        <v>442104</v>
      </c>
      <c r="B183" s="6">
        <v>441</v>
      </c>
      <c r="C183" s="7" t="str">
        <f t="shared" si="8"/>
        <v>Premium5color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IFERROR(VLOOKUP(B183,input_442104!L:R,7,FALSE),VLOOKUP(tables_442104!C183,input_442104!A:H,8,FALSE))</f>
        <v>4623.1440700000003</v>
      </c>
      <c r="P183" s="46">
        <f t="shared" ca="1" si="9"/>
        <v>3.9205767215227261E-4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input_442104!A$2</f>
        <v>442104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IFERROR(VLOOKUP(B184,input_442104!L:R,7,FALSE),VLOOKUP(tables_442104!C184,input_442104!A:H,8,FALSE))</f>
        <v>5625.9592300000004</v>
      </c>
      <c r="P184" s="46">
        <f t="shared" ca="1" si="9"/>
        <v>4.7709966333309443E-4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input_442104!A$2</f>
        <v>442104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IFERROR(VLOOKUP(B185,input_442104!L:R,7,FALSE),VLOOKUP(tables_442104!C185,input_442104!A:H,8,FALSE))</f>
        <v>268</v>
      </c>
      <c r="P185" s="46">
        <f t="shared" ca="1" si="9"/>
        <v>2.2727272727369071E-5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input_442104!A$2</f>
        <v>442104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IFERROR(VLOOKUP(B186,input_442104!L:R,7,FALSE),VLOOKUP(tables_442104!C186,input_442104!A:H,8,FALSE))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input_442104!A$2</f>
        <v>442104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IFERROR(VLOOKUP(B187,input_442104!L:R,7,FALSE),VLOOKUP(tables_442104!C187,input_442104!A:H,8,FALSE))</f>
        <v>59897.802100000001</v>
      </c>
      <c r="P187" s="46">
        <f t="shared" ca="1" si="9"/>
        <v>5.0795286720025368E-3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input_442104!A$2</f>
        <v>442104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IFERROR(VLOOKUP(B188,input_442104!L:R,7,FALSE),VLOOKUP(tables_442104!C188,input_442104!A:H,8,FALSE))</f>
        <v>212.68210999999999</v>
      </c>
      <c r="P188" s="46">
        <f t="shared" ca="1" si="9"/>
        <v>1.8036135515680256E-5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input_442104!A$2</f>
        <v>442104</v>
      </c>
      <c r="B189" s="6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IFERROR(VLOOKUP(B189,input_442104!L:R,7,FALSE),VLOOKUP(tables_442104!C189,input_442104!A:H,8,FALSE))</f>
        <v>5625.9592300000004</v>
      </c>
      <c r="P189" s="46">
        <f t="shared" ca="1" si="9"/>
        <v>4.7709966333309443E-4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input_442104!A$2</f>
        <v>442104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IFERROR(VLOOKUP(B190,input_442104!L:R,7,FALSE),VLOOKUP(tables_442104!C190,input_442104!A:H,8,FALSE))</f>
        <v>268</v>
      </c>
      <c r="P190" s="46">
        <f t="shared" ca="1" si="9"/>
        <v>2.2727272727369071E-5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input_442104!A$2</f>
        <v>442104</v>
      </c>
      <c r="B191" s="6">
        <v>467</v>
      </c>
      <c r="C191" s="7" t="str">
        <f t="shared" si="8"/>
        <v>PremiumSS4color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IFERROR(VLOOKUP(B191,input_442104!L:R,7,FALSE),VLOOKUP(tables_442104!C191,input_442104!A:H,8,FALSE))</f>
        <v>25851.692309999999</v>
      </c>
      <c r="P191" s="46">
        <f t="shared" ca="1" si="9"/>
        <v>2.1923076925126853E-3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input_442104!A$2</f>
        <v>442104</v>
      </c>
      <c r="B192" s="6">
        <v>468</v>
      </c>
      <c r="C192" s="7" t="str">
        <f t="shared" si="8"/>
        <v>PremiumSS5color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IFERROR(VLOOKUP(B192,input_442104!L:R,7,FALSE),VLOOKUP(tables_442104!C192,input_442104!A:H,8,FALSE))</f>
        <v>1360.61538</v>
      </c>
      <c r="P192" s="46">
        <f t="shared" ca="1" si="9"/>
        <v>1.1538461499370487E-4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input_442104!A$2</f>
        <v>442104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IFERROR(VLOOKUP(B193,input_442104!L:R,7,FALSE),VLOOKUP(tables_442104!C193,input_442104!A:H,8,FALSE))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input_442104!A$2</f>
        <v>442104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IFERROR(VLOOKUP(B194,input_442104!L:R,7,FALSE),VLOOKUP(tables_442104!C194,input_442104!A:H,8,FALSE))</f>
        <v>59897.802100000001</v>
      </c>
      <c r="P194" s="46">
        <f t="shared" ref="P194:P257" ca="1" si="13">O194/SUM(O:O)</f>
        <v>5.0795286720025368E-3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input_442104!A$2</f>
        <v>442104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IF(K195="blue","color","")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IFERROR(VLOOKUP(B195,input_442104!L:R,7,FALSE),VLOOKUP(tables_442104!C195,input_442104!A:H,8,FALSE))</f>
        <v>212.68210999999999</v>
      </c>
      <c r="P195" s="46">
        <f t="shared" ca="1" si="13"/>
        <v>1.8036135515680256E-5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input_442104!A$2</f>
        <v>442104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IFERROR(VLOOKUP(B196,input_442104!L:R,7,FALSE),VLOOKUP(tables_442104!C196,input_442104!A:H,8,FALSE))</f>
        <v>5625.9592300000004</v>
      </c>
      <c r="P196" s="46">
        <f t="shared" ca="1" si="13"/>
        <v>4.7709966333309443E-4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input_442104!A$2</f>
        <v>442104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IFERROR(VLOOKUP(B197,input_442104!L:R,7,FALSE),VLOOKUP(tables_442104!C197,input_442104!A:H,8,FALSE))</f>
        <v>268</v>
      </c>
      <c r="P197" s="46">
        <f t="shared" ca="1" si="13"/>
        <v>2.2727272727369071E-5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input_442104!A$2</f>
        <v>442104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IFERROR(VLOOKUP(B198,input_442104!L:R,7,FALSE),VLOOKUP(tables_442104!C198,input_442104!A:H,8,FALSE))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input_442104!A$2</f>
        <v>442104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IFERROR(VLOOKUP(B199,input_442104!L:R,7,FALSE),VLOOKUP(tables_442104!C199,input_442104!A:H,8,FALSE))</f>
        <v>59897.802100000001</v>
      </c>
      <c r="P199" s="46">
        <f t="shared" ca="1" si="13"/>
        <v>5.0795286720025368E-3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input_442104!A$2</f>
        <v>442104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IFERROR(VLOOKUP(B200,input_442104!L:R,7,FALSE),VLOOKUP(tables_442104!C200,input_442104!A:H,8,FALSE))</f>
        <v>212.68210999999999</v>
      </c>
      <c r="P200" s="46">
        <f t="shared" ca="1" si="13"/>
        <v>1.8036135515680256E-5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input_442104!A$2</f>
        <v>442104</v>
      </c>
      <c r="B201" s="6">
        <v>479</v>
      </c>
      <c r="C201" s="7" t="str">
        <f t="shared" si="12"/>
        <v>PremiumSS4color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IFERROR(VLOOKUP(B201,input_442104!L:R,7,FALSE),VLOOKUP(tables_442104!C201,input_442104!A:H,8,FALSE))</f>
        <v>25851.692309999999</v>
      </c>
      <c r="P201" s="46">
        <f t="shared" ca="1" si="13"/>
        <v>2.1923076925126853E-3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input_442104!A$2</f>
        <v>442104</v>
      </c>
      <c r="B202" s="6">
        <v>480</v>
      </c>
      <c r="C202" s="7" t="str">
        <f t="shared" si="12"/>
        <v>PremiumSS5color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IFERROR(VLOOKUP(B202,input_442104!L:R,7,FALSE),VLOOKUP(tables_442104!C202,input_442104!A:H,8,FALSE))</f>
        <v>1360.61538</v>
      </c>
      <c r="P202" s="46">
        <f t="shared" ca="1" si="13"/>
        <v>1.1538461499370487E-4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input_442104!A$2</f>
        <v>442104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IFERROR(VLOOKUP(B203,input_442104!L:R,7,FALSE),VLOOKUP(tables_442104!C203,input_442104!A:H,8,FALSE))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input_442104!A$2</f>
        <v>442104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IFERROR(VLOOKUP(B204,input_442104!L:R,7,FALSE),VLOOKUP(tables_442104!C204,input_442104!A:H,8,FALSE))</f>
        <v>59897.802100000001</v>
      </c>
      <c r="P204" s="46">
        <f t="shared" ca="1" si="13"/>
        <v>5.0795286720025368E-3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input_442104!A$2</f>
        <v>442104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IFERROR(VLOOKUP(B205,input_442104!L:R,7,FALSE),VLOOKUP(tables_442104!C205,input_442104!A:H,8,FALSE))</f>
        <v>212.68210999999999</v>
      </c>
      <c r="P205" s="46">
        <f t="shared" ca="1" si="13"/>
        <v>1.8036135515680256E-5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input_442104!A$2</f>
        <v>442104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IFERROR(VLOOKUP(B206,input_442104!L:R,7,FALSE),VLOOKUP(tables_442104!C206,input_442104!A:H,8,FALSE))</f>
        <v>5625.9592300000004</v>
      </c>
      <c r="P206" s="46">
        <f t="shared" ca="1" si="13"/>
        <v>4.7709966333309443E-4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input_442104!A$2</f>
        <v>442104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IFERROR(VLOOKUP(B207,input_442104!L:R,7,FALSE),VLOOKUP(tables_442104!C207,input_442104!A:H,8,FALSE))</f>
        <v>268</v>
      </c>
      <c r="P207" s="46">
        <f t="shared" ca="1" si="13"/>
        <v>2.2727272727369071E-5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input_442104!A$2</f>
        <v>442104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IFERROR(VLOOKUP(B208,input_442104!L:R,7,FALSE),VLOOKUP(tables_442104!C208,input_442104!A:H,8,FALSE))</f>
        <v>5625.9592300000004</v>
      </c>
      <c r="P208" s="46">
        <f t="shared" ca="1" si="13"/>
        <v>4.7709966333309443E-4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input_442104!A$2</f>
        <v>442104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IFERROR(VLOOKUP(B209,input_442104!L:R,7,FALSE),VLOOKUP(tables_442104!C209,input_442104!A:H,8,FALSE))</f>
        <v>268</v>
      </c>
      <c r="P209" s="46">
        <f t="shared" ca="1" si="13"/>
        <v>2.2727272727369071E-5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input_442104!A$2</f>
        <v>442104</v>
      </c>
      <c r="B210" s="6">
        <v>496</v>
      </c>
      <c r="C210" s="7" t="str">
        <f t="shared" si="12"/>
        <v>Premium3color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IFERROR(VLOOKUP(B210,input_442104!L:R,7,FALSE),VLOOKUP(tables_442104!C210,input_442104!A:H,8,FALSE))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input_442104!A$2</f>
        <v>442104</v>
      </c>
      <c r="B211" s="6">
        <v>497</v>
      </c>
      <c r="C211" s="7" t="str">
        <f t="shared" si="12"/>
        <v>Premium4color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IFERROR(VLOOKUP(B211,input_442104!L:R,7,FALSE),VLOOKUP(tables_442104!C211,input_442104!A:H,8,FALSE))</f>
        <v>273078.45593</v>
      </c>
      <c r="P211" s="46">
        <f t="shared" ca="1" si="13"/>
        <v>2.3157942327947559E-2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input_442104!A$2</f>
        <v>442104</v>
      </c>
      <c r="B212" s="6">
        <v>498</v>
      </c>
      <c r="C212" s="7" t="str">
        <f t="shared" si="12"/>
        <v>Premium5color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IFERROR(VLOOKUP(B212,input_442104!L:R,7,FALSE),VLOOKUP(tables_442104!C212,input_442104!A:H,8,FALSE))</f>
        <v>4623.1440700000003</v>
      </c>
      <c r="P212" s="46">
        <f t="shared" ca="1" si="13"/>
        <v>3.9205767215227261E-4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input_442104!A$2</f>
        <v>442104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IFERROR(VLOOKUP(B213,input_442104!L:R,7,FALSE),VLOOKUP(tables_442104!C213,input_442104!A:H,8,FALSE))</f>
        <v>5625.9592300000004</v>
      </c>
      <c r="P213" s="46">
        <f t="shared" ca="1" si="13"/>
        <v>4.7709966333309443E-4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input_442104!A$2</f>
        <v>442104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IFERROR(VLOOKUP(B214,input_442104!L:R,7,FALSE),VLOOKUP(tables_442104!C214,input_442104!A:H,8,FALSE))</f>
        <v>268</v>
      </c>
      <c r="P214" s="46">
        <f t="shared" ca="1" si="13"/>
        <v>2.2727272727369071E-5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input_442104!A$2</f>
        <v>442104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IFERROR(VLOOKUP(B215,input_442104!L:R,7,FALSE),VLOOKUP(tables_442104!C215,input_442104!A:H,8,FALSE))</f>
        <v>306.416</v>
      </c>
      <c r="P215" s="46">
        <f t="shared" ca="1" si="13"/>
        <v>2.5985074626975826E-5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input_442104!A$2</f>
        <v>442104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IFERROR(VLOOKUP(B216,input_442104!L:R,7,FALSE),VLOOKUP(tables_442104!C216,input_442104!A:H,8,FALSE))</f>
        <v>306.416</v>
      </c>
      <c r="P216" s="46">
        <f t="shared" ca="1" si="13"/>
        <v>2.5985074626975826E-5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input_442104!A$2</f>
        <v>442104</v>
      </c>
      <c r="B217" s="6">
        <v>562</v>
      </c>
      <c r="C217" s="7" t="str">
        <f t="shared" si="12"/>
        <v>premium5R3lesscolor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>color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IFERROR(VLOOKUP(B217,input_442104!L:R,7,FALSE),VLOOKUP(tables_442104!C217,input_442104!A:H,8,FALSE))</f>
        <v>13885.08</v>
      </c>
      <c r="P217" s="46">
        <f t="shared" ca="1" si="13"/>
        <v>1.1775000000049916E-3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input_442104!A$2</f>
        <v>442104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IFERROR(VLOOKUP(B218,input_442104!L:R,7,FALSE),VLOOKUP(tables_442104!C218,input_442104!A:H,8,FALSE))</f>
        <v>306.416</v>
      </c>
      <c r="P218" s="46">
        <f t="shared" ca="1" si="13"/>
        <v>2.5985074626975826E-5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input_442104!A$2</f>
        <v>442104</v>
      </c>
      <c r="B219" s="6">
        <v>566</v>
      </c>
      <c r="C219" s="7" t="str">
        <f t="shared" si="12"/>
        <v>premium5R3lesscolor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>color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IFERROR(VLOOKUP(B219,input_442104!L:R,7,FALSE),VLOOKUP(tables_442104!C219,input_442104!A:H,8,FALSE))</f>
        <v>13885.08</v>
      </c>
      <c r="P219" s="46">
        <f t="shared" ca="1" si="13"/>
        <v>1.1775000000049916E-3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input_442104!A$2</f>
        <v>442104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IFERROR(VLOOKUP(B220,input_442104!L:R,7,FALSE),VLOOKUP(tables_442104!C220,input_442104!A:H,8,FALSE))</f>
        <v>306.416</v>
      </c>
      <c r="P220" s="46">
        <f t="shared" ca="1" si="13"/>
        <v>2.5985074626975826E-5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input_442104!A$2</f>
        <v>442104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IFERROR(VLOOKUP(B221,input_442104!L:R,7,FALSE),VLOOKUP(tables_442104!C221,input_442104!A:H,8,FALSE))</f>
        <v>5625.9592300000004</v>
      </c>
      <c r="P221" s="46">
        <f t="shared" ca="1" si="13"/>
        <v>4.7709966333309443E-4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input_442104!A$2</f>
        <v>442104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IFERROR(VLOOKUP(B222,input_442104!L:R,7,FALSE),VLOOKUP(tables_442104!C222,input_442104!A:H,8,FALSE))</f>
        <v>268</v>
      </c>
      <c r="P222" s="46">
        <f t="shared" ca="1" si="13"/>
        <v>2.2727272727369071E-5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input_442104!A$2</f>
        <v>442104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IFERROR(VLOOKUP(B223,input_442104!L:R,7,FALSE),VLOOKUP(tables_442104!C223,input_442104!A:H,8,FALSE))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input_442104!A$2</f>
        <v>442104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IFERROR(VLOOKUP(B224,input_442104!L:R,7,FALSE),VLOOKUP(tables_442104!C224,input_442104!A:H,8,FALSE))</f>
        <v>59897.802100000001</v>
      </c>
      <c r="P224" s="46">
        <f t="shared" ca="1" si="13"/>
        <v>5.0795286720025368E-3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input_442104!A$2</f>
        <v>442104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IFERROR(VLOOKUP(B225,input_442104!L:R,7,FALSE),VLOOKUP(tables_442104!C225,input_442104!A:H,8,FALSE))</f>
        <v>212.68210999999999</v>
      </c>
      <c r="P225" s="46">
        <f t="shared" ca="1" si="13"/>
        <v>1.8036135515680256E-5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input_442104!A$2</f>
        <v>442104</v>
      </c>
      <c r="B226" s="6">
        <v>591</v>
      </c>
      <c r="C226" s="7" t="str">
        <f t="shared" si="12"/>
        <v>Premium3color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>color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IFERROR(VLOOKUP(B226,input_442104!L:R,7,FALSE),VLOOKUP(tables_442104!C226,input_442104!A:H,8,FALSE))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input_442104!A$2</f>
        <v>442104</v>
      </c>
      <c r="B227" s="6">
        <v>592</v>
      </c>
      <c r="C227" s="7" t="str">
        <f t="shared" si="12"/>
        <v>Premium4color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>color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IFERROR(VLOOKUP(B227,input_442104!L:R,7,FALSE),VLOOKUP(tables_442104!C227,input_442104!A:H,8,FALSE))</f>
        <v>273078.45593</v>
      </c>
      <c r="P227" s="46">
        <f t="shared" ca="1" si="13"/>
        <v>2.3157942327947559E-2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input_442104!A$2</f>
        <v>442104</v>
      </c>
      <c r="B228" s="6">
        <v>593</v>
      </c>
      <c r="C228" s="7" t="str">
        <f t="shared" si="12"/>
        <v>Premium5color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>color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IFERROR(VLOOKUP(B228,input_442104!L:R,7,FALSE),VLOOKUP(tables_442104!C228,input_442104!A:H,8,FALSE))</f>
        <v>4623.1440700000003</v>
      </c>
      <c r="P228" s="46">
        <f t="shared" ca="1" si="13"/>
        <v>3.9205767215227261E-4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input_442104!A$2</f>
        <v>442104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IFERROR(VLOOKUP(B229,input_442104!L:R,7,FALSE),VLOOKUP(tables_442104!C229,input_442104!A:H,8,FALSE))</f>
        <v>5625.9592300000004</v>
      </c>
      <c r="P229" s="46">
        <f t="shared" ca="1" si="13"/>
        <v>4.7709966333309443E-4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input_442104!A$2</f>
        <v>442104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IFERROR(VLOOKUP(B230,input_442104!L:R,7,FALSE),VLOOKUP(tables_442104!C230,input_442104!A:H,8,FALSE))</f>
        <v>268</v>
      </c>
      <c r="P230" s="46">
        <f t="shared" ca="1" si="13"/>
        <v>2.2727272727369071E-5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input_442104!A$2</f>
        <v>442104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IFERROR(VLOOKUP(B231,input_442104!L:R,7,FALSE),VLOOKUP(tables_442104!C231,input_442104!A:H,8,FALSE))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input_442104!A$2</f>
        <v>442104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IFERROR(VLOOKUP(B232,input_442104!L:R,7,FALSE),VLOOKUP(tables_442104!C232,input_442104!A:H,8,FALSE))</f>
        <v>59897.802100000001</v>
      </c>
      <c r="P232" s="46">
        <f t="shared" ca="1" si="13"/>
        <v>5.0795286720025368E-3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input_442104!A$2</f>
        <v>442104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IFERROR(VLOOKUP(B233,input_442104!L:R,7,FALSE),VLOOKUP(tables_442104!C233,input_442104!A:H,8,FALSE))</f>
        <v>212.68210999999999</v>
      </c>
      <c r="P233" s="46">
        <f t="shared" ca="1" si="13"/>
        <v>1.8036135515680256E-5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input_442104!A$2</f>
        <v>442104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IFERROR(VLOOKUP(B234,input_442104!L:R,7,FALSE),VLOOKUP(tables_442104!C234,input_442104!A:H,8,FALSE))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input_442104!A$2</f>
        <v>442104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IFERROR(VLOOKUP(B235,input_442104!L:R,7,FALSE),VLOOKUP(tables_442104!C235,input_442104!A:H,8,FALSE))</f>
        <v>59897.802100000001</v>
      </c>
      <c r="P235" s="46">
        <f t="shared" ca="1" si="13"/>
        <v>5.0795286720025368E-3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input_442104!A$2</f>
        <v>442104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IFERROR(VLOOKUP(B236,input_442104!L:R,7,FALSE),VLOOKUP(tables_442104!C236,input_442104!A:H,8,FALSE))</f>
        <v>212.68210999999999</v>
      </c>
      <c r="P236" s="46">
        <f t="shared" ca="1" si="13"/>
        <v>1.8036135515680256E-5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input_442104!A$2</f>
        <v>442104</v>
      </c>
      <c r="B237" s="6">
        <v>602</v>
      </c>
      <c r="C237" s="7" t="str">
        <f t="shared" si="12"/>
        <v>PremiumSS4color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>color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IFERROR(VLOOKUP(B237,input_442104!L:R,7,FALSE),VLOOKUP(tables_442104!C237,input_442104!A:H,8,FALSE))</f>
        <v>25851.692309999999</v>
      </c>
      <c r="P237" s="46">
        <f t="shared" ca="1" si="13"/>
        <v>2.1923076925126853E-3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input_442104!A$2</f>
        <v>442104</v>
      </c>
      <c r="B238" s="6">
        <v>603</v>
      </c>
      <c r="C238" s="7" t="str">
        <f t="shared" si="12"/>
        <v>PremiumSS5color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>color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IFERROR(VLOOKUP(B238,input_442104!L:R,7,FALSE),VLOOKUP(tables_442104!C238,input_442104!A:H,8,FALSE))</f>
        <v>1360.61538</v>
      </c>
      <c r="P238" s="46">
        <f t="shared" ca="1" si="13"/>
        <v>1.1538461499370487E-4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input_442104!A$2</f>
        <v>442104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IFERROR(VLOOKUP(B239,input_442104!L:R,7,FALSE),VLOOKUP(tables_442104!C239,input_442104!A:H,8,FALSE))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input_442104!A$2</f>
        <v>442104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IFERROR(VLOOKUP(B240,input_442104!L:R,7,FALSE),VLOOKUP(tables_442104!C240,input_442104!A:H,8,FALSE))</f>
        <v>59897.802100000001</v>
      </c>
      <c r="P240" s="46">
        <f t="shared" ca="1" si="13"/>
        <v>5.0795286720025368E-3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input_442104!A$2</f>
        <v>442104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IFERROR(VLOOKUP(B241,input_442104!L:R,7,FALSE),VLOOKUP(tables_442104!C241,input_442104!A:H,8,FALSE))</f>
        <v>212.68210999999999</v>
      </c>
      <c r="P241" s="46">
        <f t="shared" ca="1" si="13"/>
        <v>1.8036135515680256E-5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input_442104!A$2</f>
        <v>442104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IFERROR(VLOOKUP(B242,input_442104!L:R,7,FALSE),VLOOKUP(tables_442104!C242,input_442104!A:H,8,FALSE))</f>
        <v>5625.9592300000004</v>
      </c>
      <c r="P242" s="46">
        <f t="shared" ca="1" si="13"/>
        <v>4.7709966333309443E-4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input_442104!A$2</f>
        <v>442104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IFERROR(VLOOKUP(B243,input_442104!L:R,7,FALSE),VLOOKUP(tables_442104!C243,input_442104!A:H,8,FALSE))</f>
        <v>268</v>
      </c>
      <c r="P243" s="46">
        <f t="shared" ca="1" si="13"/>
        <v>2.2727272727369071E-5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input_442104!A$2</f>
        <v>442104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IFERROR(VLOOKUP(B244,input_442104!L:R,7,FALSE),VLOOKUP(tables_442104!C244,input_442104!A:H,8,FALSE))</f>
        <v>5625.9592300000004</v>
      </c>
      <c r="P244" s="46">
        <f t="shared" ca="1" si="13"/>
        <v>4.7709966333309443E-4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input_442104!A$2</f>
        <v>442104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IFERROR(VLOOKUP(B245,input_442104!L:R,7,FALSE),VLOOKUP(tables_442104!C245,input_442104!A:H,8,FALSE))</f>
        <v>268</v>
      </c>
      <c r="P245" s="46">
        <f t="shared" ca="1" si="13"/>
        <v>2.2727272727369071E-5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input_442104!A$2</f>
        <v>442104</v>
      </c>
      <c r="B246" s="60">
        <v>662</v>
      </c>
      <c r="C246" s="7" t="str">
        <f t="shared" si="12"/>
        <v>Premium3color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>color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IFERROR(VLOOKUP(B246,input_442104!L:R,7,FALSE),VLOOKUP(tables_442104!C246,input_442104!A:H,8,FALSE))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input_442104!A$2</f>
        <v>442104</v>
      </c>
      <c r="B247" s="60">
        <v>663</v>
      </c>
      <c r="C247" s="7" t="str">
        <f t="shared" si="12"/>
        <v>Premium4color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>color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IFERROR(VLOOKUP(B247,input_442104!L:R,7,FALSE),VLOOKUP(tables_442104!C247,input_442104!A:H,8,FALSE))</f>
        <v>273078.45593</v>
      </c>
      <c r="P247" s="46">
        <f t="shared" ca="1" si="13"/>
        <v>2.3157942327947559E-2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input_442104!A$2</f>
        <v>442104</v>
      </c>
      <c r="B248" s="60">
        <v>664</v>
      </c>
      <c r="C248" s="7" t="str">
        <f t="shared" si="12"/>
        <v>Premium5color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>color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IFERROR(VLOOKUP(B248,input_442104!L:R,7,FALSE),VLOOKUP(tables_442104!C248,input_442104!A:H,8,FALSE))</f>
        <v>4623.1440700000003</v>
      </c>
      <c r="P248" s="46">
        <f t="shared" ca="1" si="13"/>
        <v>3.9205767215227261E-4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input_442104!A$2</f>
        <v>442104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IFERROR(VLOOKUP(B249,input_442104!L:R,7,FALSE),VLOOKUP(tables_442104!C249,input_442104!A:H,8,FALSE))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input_442104!A$2</f>
        <v>442104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IFERROR(VLOOKUP(B250,input_442104!L:R,7,FALSE),VLOOKUP(tables_442104!C250,input_442104!A:H,8,FALSE))</f>
        <v>59897.802100000001</v>
      </c>
      <c r="P250" s="46">
        <f t="shared" ca="1" si="13"/>
        <v>5.0795286720025368E-3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input_442104!A$2</f>
        <v>442104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IFERROR(VLOOKUP(B251,input_442104!L:R,7,FALSE),VLOOKUP(tables_442104!C251,input_442104!A:H,8,FALSE))</f>
        <v>212.68210999999999</v>
      </c>
      <c r="P251" s="46">
        <f t="shared" ca="1" si="13"/>
        <v>1.8036135515680256E-5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input_442104!A$2</f>
        <v>442104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IFERROR(VLOOKUP(B252,input_442104!L:R,7,FALSE),VLOOKUP(tables_442104!C252,input_442104!A:H,8,FALSE))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input_442104!A$2</f>
        <v>442104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IFERROR(VLOOKUP(B253,input_442104!L:R,7,FALSE),VLOOKUP(tables_442104!C253,input_442104!A:H,8,FALSE))</f>
        <v>59897.802100000001</v>
      </c>
      <c r="P253" s="46">
        <f t="shared" ca="1" si="13"/>
        <v>5.0795286720025368E-3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input_442104!A$2</f>
        <v>442104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IFERROR(VLOOKUP(B254,input_442104!L:R,7,FALSE),VLOOKUP(tables_442104!C254,input_442104!A:H,8,FALSE))</f>
        <v>212.68210999999999</v>
      </c>
      <c r="P254" s="46">
        <f t="shared" ca="1" si="13"/>
        <v>1.8036135515680256E-5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input_442104!A$2</f>
        <v>442104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IFERROR(VLOOKUP(B255,input_442104!L:R,7,FALSE),VLOOKUP(tables_442104!C255,input_442104!A:H,8,FALSE))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input_442104!A$2</f>
        <v>442104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IFERROR(VLOOKUP(B256,input_442104!L:R,7,FALSE),VLOOKUP(tables_442104!C256,input_442104!A:H,8,FALSE))</f>
        <v>59897.802100000001</v>
      </c>
      <c r="P256" s="46">
        <f t="shared" ca="1" si="13"/>
        <v>5.0795286720025368E-3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input_442104!A$2</f>
        <v>442104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IFERROR(VLOOKUP(B257,input_442104!L:R,7,FALSE),VLOOKUP(tables_442104!C257,input_442104!A:H,8,FALSE))</f>
        <v>212.68210999999999</v>
      </c>
      <c r="P257" s="46">
        <f t="shared" ca="1" si="13"/>
        <v>1.8036135515680256E-5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input_442104!A$2</f>
        <v>442104</v>
      </c>
      <c r="B258" s="60">
        <v>674</v>
      </c>
      <c r="C258" s="7" t="str">
        <f t="shared" ref="C258:C321" si="16">D258&amp;J258&amp;E258&amp;F258&amp;G258</f>
        <v>PremiumSS4color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>color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IFERROR(VLOOKUP(B258,input_442104!L:R,7,FALSE),VLOOKUP(tables_442104!C258,input_442104!A:H,8,FALSE))</f>
        <v>25851.692309999999</v>
      </c>
      <c r="P258" s="46">
        <f t="shared" ref="P258:P305" ca="1" si="17">O258/SUM(O:O)</f>
        <v>2.1923076925126853E-3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input_442104!A$2</f>
        <v>442104</v>
      </c>
      <c r="B259" s="60">
        <v>675</v>
      </c>
      <c r="C259" s="7" t="str">
        <f t="shared" si="16"/>
        <v>PremiumSS5color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IF(K259="blue","color","")</f>
        <v>color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IFERROR(VLOOKUP(B259,input_442104!L:R,7,FALSE),VLOOKUP(tables_442104!C259,input_442104!A:H,8,FALSE))</f>
        <v>1360.61538</v>
      </c>
      <c r="P259" s="46">
        <f t="shared" ca="1" si="17"/>
        <v>1.1538461499370487E-4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input_442104!A$2</f>
        <v>442104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IFERROR(VLOOKUP(B260,input_442104!L:R,7,FALSE),VLOOKUP(tables_442104!C260,input_442104!A:H,8,FALSE))</f>
        <v>5625.9592300000004</v>
      </c>
      <c r="P260" s="46">
        <f t="shared" ca="1" si="17"/>
        <v>4.7709966333309443E-4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input_442104!A$2</f>
        <v>442104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IFERROR(VLOOKUP(B261,input_442104!L:R,7,FALSE),VLOOKUP(tables_442104!C261,input_442104!A:H,8,FALSE))</f>
        <v>268</v>
      </c>
      <c r="P261" s="46">
        <f t="shared" ca="1" si="17"/>
        <v>2.2727272727369071E-5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input_442104!A$2</f>
        <v>442104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IFERROR(VLOOKUP(B262,input_442104!L:R,7,FALSE),VLOOKUP(tables_442104!C262,input_442104!A:H,8,FALSE))</f>
        <v>90769.36</v>
      </c>
      <c r="P262" s="46">
        <f t="shared" ca="1" si="17"/>
        <v>7.6975373134654671E-3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input_442104!A$2</f>
        <v>442104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IFERROR(VLOOKUP(B263,input_442104!L:R,7,FALSE),VLOOKUP(tables_442104!C263,input_442104!A:H,8,FALSE))</f>
        <v>306.416</v>
      </c>
      <c r="P263" s="46">
        <f t="shared" ca="1" si="17"/>
        <v>2.5985074626975826E-5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input_442104!A$2</f>
        <v>442104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IFERROR(VLOOKUP(B264,input_442104!L:R,7,FALSE),VLOOKUP(tables_442104!C264,input_442104!A:H,8,FALSE))</f>
        <v>90769.36</v>
      </c>
      <c r="P264" s="46">
        <f t="shared" ca="1" si="17"/>
        <v>7.6975373134654671E-3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input_442104!A$2</f>
        <v>442104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IFERROR(VLOOKUP(B265,input_442104!L:R,7,FALSE),VLOOKUP(tables_442104!C265,input_442104!A:H,8,FALSE))</f>
        <v>306.416</v>
      </c>
      <c r="P265" s="46">
        <f t="shared" ca="1" si="17"/>
        <v>2.5985074626975826E-5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input_442104!A$2</f>
        <v>442104</v>
      </c>
      <c r="B266" s="60">
        <v>732</v>
      </c>
      <c r="C266" s="7" t="str">
        <f t="shared" si="16"/>
        <v>PremiumSS5R5onlycolor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>color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IFERROR(VLOOKUP(B266,input_442104!L:R,7,FALSE),VLOOKUP(tables_442104!C266,input_442104!A:H,8,FALSE))</f>
        <v>27212.307690000001</v>
      </c>
      <c r="P266" s="46">
        <f t="shared" ca="1" si="17"/>
        <v>2.3076923075063907E-3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input_442104!A$2</f>
        <v>442104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IFERROR(VLOOKUP(B267,input_442104!L:R,7,FALSE),VLOOKUP(tables_442104!C267,input_442104!A:H,8,FALSE))</f>
        <v>4826.0407699999996</v>
      </c>
      <c r="P267" s="46">
        <f t="shared" ca="1" si="17"/>
        <v>4.0926397303429934E-4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input_442104!A$2</f>
        <v>442104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IFERROR(VLOOKUP(B268,input_442104!L:R,7,FALSE),VLOOKUP(tables_442104!C268,input_442104!A:H,8,FALSE))</f>
        <v>4826.0407699999996</v>
      </c>
      <c r="P268" s="46">
        <f t="shared" ca="1" si="17"/>
        <v>4.0926397303429934E-4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input_442104!A$2</f>
        <v>442104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IFERROR(VLOOKUP(B269,input_442104!L:R,7,FALSE),VLOOKUP(tables_442104!C269,input_442104!A:H,8,FALSE))</f>
        <v>4826.0407699999996</v>
      </c>
      <c r="P269" s="46">
        <f t="shared" ca="1" si="17"/>
        <v>4.0926397303429934E-4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input_442104!A$2</f>
        <v>442104</v>
      </c>
      <c r="B270" s="60">
        <v>746</v>
      </c>
      <c r="C270" s="7" t="str">
        <f t="shared" si="16"/>
        <v>Premium4R3lesscolor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>color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IFERROR(VLOOKUP(B270,input_442104!L:R,7,FALSE),VLOOKUP(tables_442104!C270,input_442104!A:H,8,FALSE))</f>
        <v>188480.38</v>
      </c>
      <c r="P270" s="46">
        <f t="shared" ca="1" si="17"/>
        <v>1.5983750000067756E-2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input_442104!A$2</f>
        <v>442104</v>
      </c>
      <c r="B271" s="82">
        <v>747</v>
      </c>
      <c r="C271" s="7" t="str">
        <f t="shared" si="16"/>
        <v>Premium5R3lesscolor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>color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IFERROR(VLOOKUP(B271,input_442104!L:R,7,FALSE),VLOOKUP(tables_442104!C271,input_442104!A:H,8,FALSE))</f>
        <v>13885.08</v>
      </c>
      <c r="P271" s="46">
        <f t="shared" ca="1" si="17"/>
        <v>1.1775000000049916E-3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input_442104!A$2</f>
        <v>442104</v>
      </c>
      <c r="B272" s="8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IFERROR(VLOOKUP(B272,input_442104!L:R,7,FALSE),VLOOKUP(tables_442104!C272,input_442104!A:H,8,FALSE))</f>
        <v>90769.36</v>
      </c>
      <c r="P272" s="46">
        <f t="shared" ca="1" si="17"/>
        <v>7.6975373134654671E-3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input_442104!A$2</f>
        <v>442104</v>
      </c>
      <c r="B273" s="8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IFERROR(VLOOKUP(B273,input_442104!L:R,7,FALSE),VLOOKUP(tables_442104!C273,input_442104!A:H,8,FALSE))</f>
        <v>306.416</v>
      </c>
      <c r="P273" s="46">
        <f t="shared" ca="1" si="17"/>
        <v>2.5985074626975826E-5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input_442104!A$2</f>
        <v>442104</v>
      </c>
      <c r="B274" s="82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IFERROR(VLOOKUP(B274,input_442104!L:R,7,FALSE),VLOOKUP(tables_442104!C274,input_442104!A:H,8,FALSE))</f>
        <v>5625.9592300000004</v>
      </c>
      <c r="P274" s="46">
        <f t="shared" ca="1" si="17"/>
        <v>4.7709966333309443E-4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input_442104!A$2</f>
        <v>442104</v>
      </c>
      <c r="B275" s="82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IFERROR(VLOOKUP(B275,input_442104!L:R,7,FALSE),VLOOKUP(tables_442104!C275,input_442104!A:H,8,FALSE))</f>
        <v>268</v>
      </c>
      <c r="P275" s="46">
        <f t="shared" ca="1" si="17"/>
        <v>2.2727272727369071E-5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input_442104!A$2</f>
        <v>442104</v>
      </c>
      <c r="B276" s="82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IFERROR(VLOOKUP(B276,input_442104!L:R,7,FALSE),VLOOKUP(tables_442104!C276,input_442104!A:H,8,FALSE))</f>
        <v>5625.9592300000004</v>
      </c>
      <c r="P276" s="46">
        <f t="shared" ca="1" si="17"/>
        <v>4.7709966333309443E-4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input_442104!A$2</f>
        <v>442104</v>
      </c>
      <c r="B277" s="82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IFERROR(VLOOKUP(B277,input_442104!L:R,7,FALSE),VLOOKUP(tables_442104!C277,input_442104!A:H,8,FALSE))</f>
        <v>268</v>
      </c>
      <c r="P277" s="46">
        <f t="shared" ca="1" si="17"/>
        <v>2.2727272727369071E-5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input_442104!A$2</f>
        <v>442104</v>
      </c>
      <c r="B278" s="82">
        <v>774</v>
      </c>
      <c r="C278" s="7" t="str">
        <f t="shared" si="16"/>
        <v>Premium3color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>color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IFERROR(VLOOKUP(B278,input_442104!L:R,7,FALSE),VLOOKUP(tables_442104!C278,input_442104!A:H,8,FALSE))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input_442104!A$2</f>
        <v>442104</v>
      </c>
      <c r="B279" s="82">
        <v>775</v>
      </c>
      <c r="C279" s="7" t="str">
        <f t="shared" si="16"/>
        <v>Premium4color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>color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IFERROR(VLOOKUP(B279,input_442104!L:R,7,FALSE),VLOOKUP(tables_442104!C279,input_442104!A:H,8,FALSE))</f>
        <v>273078.45593</v>
      </c>
      <c r="P279" s="46">
        <f t="shared" ca="1" si="17"/>
        <v>2.3157942327947559E-2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input_442104!A$2</f>
        <v>442104</v>
      </c>
      <c r="B280" s="82">
        <v>776</v>
      </c>
      <c r="C280" s="7" t="str">
        <f t="shared" si="16"/>
        <v>Premium5color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>color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IFERROR(VLOOKUP(B280,input_442104!L:R,7,FALSE),VLOOKUP(tables_442104!C280,input_442104!A:H,8,FALSE))</f>
        <v>4623.1440700000003</v>
      </c>
      <c r="P280" s="46">
        <f t="shared" ca="1" si="17"/>
        <v>3.9205767215227261E-4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input_442104!A$2</f>
        <v>442104</v>
      </c>
      <c r="B281" s="8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IFERROR(VLOOKUP(B281,input_442104!L:R,7,FALSE),VLOOKUP(tables_442104!C281,input_442104!A:H,8,FALSE))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input_442104!A$2</f>
        <v>442104</v>
      </c>
      <c r="B282" s="8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IFERROR(VLOOKUP(B282,input_442104!L:R,7,FALSE),VLOOKUP(tables_442104!C282,input_442104!A:H,8,FALSE))</f>
        <v>59897.802100000001</v>
      </c>
      <c r="P282" s="46">
        <f t="shared" ca="1" si="17"/>
        <v>5.0795286720025368E-3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input_442104!A$2</f>
        <v>442104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IFERROR(VLOOKUP(B283,input_442104!L:R,7,FALSE),VLOOKUP(tables_442104!C283,input_442104!A:H,8,FALSE))</f>
        <v>212.68210999999999</v>
      </c>
      <c r="P283" s="46">
        <f t="shared" ca="1" si="17"/>
        <v>1.8036135515680256E-5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input_442104!A$2</f>
        <v>442104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IFERROR(VLOOKUP(B284,input_442104!L:R,7,FALSE),VLOOKUP(tables_442104!C284,input_442104!A:H,8,FALSE))</f>
        <v>4826.0407699999996</v>
      </c>
      <c r="P284" s="46">
        <f t="shared" ca="1" si="17"/>
        <v>4.0926397303429934E-4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input_442104!A$2</f>
        <v>442104</v>
      </c>
      <c r="B285" s="5">
        <v>850</v>
      </c>
      <c r="C285" s="7" t="str">
        <f t="shared" si="16"/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IFERROR(VLOOKUP(B285,input_442104!L:R,7,FALSE),VLOOKUP(tables_442104!C285,input_442104!A:H,8,FALSE))</f>
        <v>4826.0407699999996</v>
      </c>
      <c r="P285" s="46">
        <f t="shared" ca="1" si="17"/>
        <v>4.0926397303429934E-4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input_442104!A$2</f>
        <v>442104</v>
      </c>
      <c r="B286" s="5">
        <v>852</v>
      </c>
      <c r="C286" s="7" t="str">
        <f t="shared" si="16"/>
        <v>Premium4R3lesscolor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>color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IFERROR(VLOOKUP(B286,input_442104!L:R,7,FALSE),VLOOKUP(tables_442104!C286,input_442104!A:H,8,FALSE))</f>
        <v>188480.38</v>
      </c>
      <c r="P286" s="46">
        <f t="shared" ca="1" si="17"/>
        <v>1.5983750000067756E-2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input_442104!A$2</f>
        <v>442104</v>
      </c>
      <c r="B287" s="5">
        <v>853</v>
      </c>
      <c r="C287" s="7" t="str">
        <f t="shared" si="16"/>
        <v>Premium5R3lesscolor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>color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IFERROR(VLOOKUP(B287,input_442104!L:R,7,FALSE),VLOOKUP(tables_442104!C287,input_442104!A:H,8,FALSE))</f>
        <v>13885.08</v>
      </c>
      <c r="P287" s="46">
        <f t="shared" ca="1" si="17"/>
        <v>1.1775000000049916E-3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input_442104!A$2</f>
        <v>442104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IFERROR(VLOOKUP(B288,input_442104!L:R,7,FALSE),VLOOKUP(tables_442104!C288,input_442104!A:H,8,FALSE))</f>
        <v>90769.36</v>
      </c>
      <c r="P288" s="46">
        <f t="shared" ca="1" si="17"/>
        <v>7.6975373134654671E-3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input_442104!A$2</f>
        <v>442104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IFERROR(VLOOKUP(B289,input_442104!L:R,7,FALSE),VLOOKUP(tables_442104!C289,input_442104!A:H,8,FALSE))</f>
        <v>306.416</v>
      </c>
      <c r="P289" s="46">
        <f t="shared" ca="1" si="17"/>
        <v>2.5985074626975826E-5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input_442104!A$2</f>
        <v>442104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IFERROR(VLOOKUP(B290,input_442104!L:R,7,FALSE),VLOOKUP(tables_442104!C290,input_442104!A:H,8,FALSE))</f>
        <v>90769.36</v>
      </c>
      <c r="P290" s="46">
        <f t="shared" ca="1" si="17"/>
        <v>7.6975373134654671E-3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input_442104!A$2</f>
        <v>442104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IFERROR(VLOOKUP(B291,input_442104!L:R,7,FALSE),VLOOKUP(tables_442104!C291,input_442104!A:H,8,FALSE))</f>
        <v>306.416</v>
      </c>
      <c r="P291" s="46">
        <f t="shared" ca="1" si="17"/>
        <v>2.5985074626975826E-5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input_442104!A$2</f>
        <v>442104</v>
      </c>
      <c r="B292" s="5">
        <v>864</v>
      </c>
      <c r="C292" s="7" t="str">
        <f t="shared" si="16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IFERROR(VLOOKUP(B292,input_442104!L:R,7,FALSE),VLOOKUP(tables_442104!C292,input_442104!A:H,8,FALSE))</f>
        <v>90769.36</v>
      </c>
      <c r="P292" s="46">
        <f t="shared" ca="1" si="17"/>
        <v>7.6975373134654671E-3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input_442104!A$2</f>
        <v>442104</v>
      </c>
      <c r="B293" s="5">
        <v>865</v>
      </c>
      <c r="C293" s="7" t="str">
        <f t="shared" si="16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IFERROR(VLOOKUP(B293,input_442104!L:R,7,FALSE),VLOOKUP(tables_442104!C293,input_442104!A:H,8,FALSE))</f>
        <v>306.416</v>
      </c>
      <c r="P293" s="46">
        <f t="shared" ca="1" si="17"/>
        <v>2.5985074626975826E-5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input_442104!A$2</f>
        <v>442104</v>
      </c>
      <c r="B294" s="5">
        <v>866</v>
      </c>
      <c r="C294" s="7" t="str">
        <f t="shared" si="16"/>
        <v>PremiumSS5R5onlycolor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>color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IFERROR(VLOOKUP(B294,input_442104!L:R,7,FALSE),VLOOKUP(tables_442104!C294,input_442104!A:H,8,FALSE))</f>
        <v>27212.307690000001</v>
      </c>
      <c r="P294" s="46">
        <f t="shared" ca="1" si="17"/>
        <v>2.3076923075063907E-3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input_442104!A$2</f>
        <v>442104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IFERROR(VLOOKUP(B295,input_442104!L:R,7,FALSE),VLOOKUP(tables_442104!C295,input_442104!A:H,8,FALSE))</f>
        <v>4826.0407699999996</v>
      </c>
      <c r="P295" s="46">
        <f t="shared" ca="1" si="17"/>
        <v>4.0926397303429934E-4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input_442104!A$2</f>
        <v>442104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IFERROR(VLOOKUP(B296,input_442104!L:R,7,FALSE),VLOOKUP(tables_442104!C296,input_442104!A:H,8,FALSE))</f>
        <v>4826.0407699999996</v>
      </c>
      <c r="P296" s="46">
        <f t="shared" ca="1" si="17"/>
        <v>4.0926397303429934E-4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input_442104!A$2</f>
        <v>442104</v>
      </c>
      <c r="B297" s="5">
        <v>939</v>
      </c>
      <c r="C297" s="7" t="str">
        <f t="shared" si="16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IFERROR(VLOOKUP(B297,input_442104!L:R,7,FALSE),VLOOKUP(tables_442104!C297,input_442104!A:H,8,FALSE))</f>
        <v>90769.36</v>
      </c>
      <c r="P297" s="46">
        <f t="shared" ca="1" si="17"/>
        <v>7.6975373134654671E-3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input_442104!A$2</f>
        <v>442104</v>
      </c>
      <c r="B298" s="5">
        <v>940</v>
      </c>
      <c r="C298" s="7" t="str">
        <f t="shared" si="16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IFERROR(VLOOKUP(B298,input_442104!L:R,7,FALSE),VLOOKUP(tables_442104!C298,input_442104!A:H,8,FALSE))</f>
        <v>306.416</v>
      </c>
      <c r="P298" s="46">
        <f t="shared" ca="1" si="17"/>
        <v>2.5985074626975826E-5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input_442104!A$2</f>
        <v>442104</v>
      </c>
      <c r="B299" s="5">
        <v>941</v>
      </c>
      <c r="C299" s="7" t="str">
        <f t="shared" si="16"/>
        <v>PremiumSS5R5onlycolor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>color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IFERROR(VLOOKUP(B299,input_442104!L:R,7,FALSE),VLOOKUP(tables_442104!C299,input_442104!A:H,8,FALSE))</f>
        <v>27212.307690000001</v>
      </c>
      <c r="P299" s="46">
        <f t="shared" ca="1" si="17"/>
        <v>2.3076923075063907E-3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input_442104!A$2</f>
        <v>442104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IFERROR(VLOOKUP(B300,input_442104!L:R,7,FALSE),VLOOKUP(tables_442104!C300,input_442104!A:H,8,FALSE))</f>
        <v>4826.0407699999996</v>
      </c>
      <c r="P300" s="46">
        <f t="shared" ca="1" si="17"/>
        <v>4.0926397303429934E-4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input_442104!A$2</f>
        <v>442104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IFERROR(VLOOKUP(B301,input_442104!L:R,7,FALSE),VLOOKUP(tables_442104!C301,input_442104!A:H,8,FALSE))</f>
        <v>4826.0407699999996</v>
      </c>
      <c r="P301" s="46">
        <f t="shared" ca="1" si="17"/>
        <v>4.0926397303429934E-4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input_442104!A$2</f>
        <v>442104</v>
      </c>
      <c r="B302" s="5">
        <v>1014</v>
      </c>
      <c r="C302" s="7" t="str">
        <f t="shared" si="1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IFERROR(VLOOKUP(B302,input_442104!L:R,7,FALSE),VLOOKUP(tables_442104!C302,input_442104!A:H,8,FALSE))</f>
        <v>4826.0407699999996</v>
      </c>
      <c r="P302" s="46">
        <f t="shared" ca="1" si="17"/>
        <v>4.0926397303429934E-4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input_442104!A$2</f>
        <v>442104</v>
      </c>
      <c r="B303" s="5">
        <v>1016</v>
      </c>
      <c r="C303" s="7" t="str">
        <f t="shared" si="16"/>
        <v>Premium4R3lesscolor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>color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IFERROR(VLOOKUP(B303,input_442104!L:R,7,FALSE),VLOOKUP(tables_442104!C303,input_442104!A:H,8,FALSE))</f>
        <v>188480.38</v>
      </c>
      <c r="P303" s="46">
        <f t="shared" ca="1" si="17"/>
        <v>1.5983750000067756E-2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input_442104!A$2</f>
        <v>442104</v>
      </c>
      <c r="B304" s="5">
        <v>1017</v>
      </c>
      <c r="C304" s="7" t="str">
        <f t="shared" si="16"/>
        <v>Premium5R3lesscolor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>color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IFERROR(VLOOKUP(B304,input_442104!L:R,7,FALSE),VLOOKUP(tables_442104!C304,input_442104!A:H,8,FALSE))</f>
        <v>13885.08</v>
      </c>
      <c r="P304" s="46">
        <f t="shared" ca="1" si="17"/>
        <v>1.1775000000049916E-3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input_442104!A$2</f>
        <v>442104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IFERROR(VLOOKUP(B305,input_442104!L:R,7,FALSE),VLOOKUP(tables_442104!C305,input_442104!A:H,8,FALSE))</f>
        <v>4826.0407699999996</v>
      </c>
      <c r="P305" s="46">
        <f t="shared" ca="1" si="17"/>
        <v>4.0926397303429934E-4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input_442104!A$2</f>
        <v>442104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IFERROR(VLOOKUP(B306,input_442104!L:R,7,FALSE),VLOOKUP(tables_442104!C306,input_442104!A:H,8,FALSE))</f>
        <v>90769.36</v>
      </c>
      <c r="P306" s="46">
        <f t="shared" ref="P306:P310" ca="1" si="20">O306/SUM(O:O)</f>
        <v>7.6975373134654671E-3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input_442104!A$2</f>
        <v>442104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IFERROR(VLOOKUP(B307,input_442104!L:R,7,FALSE),VLOOKUP(tables_442104!C307,input_442104!A:H,8,FALSE))</f>
        <v>306.416</v>
      </c>
      <c r="P307" s="46">
        <f t="shared" ca="1" si="20"/>
        <v>2.5985074626975826E-5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input_442104!A$2</f>
        <v>442104</v>
      </c>
      <c r="B308" s="5">
        <v>1028</v>
      </c>
      <c r="C308" s="7" t="str">
        <f t="shared" si="16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IFERROR(VLOOKUP(B308,input_442104!L:R,7,FALSE),VLOOKUP(tables_442104!C308,input_442104!A:H,8,FALSE))</f>
        <v>4826.0407699999996</v>
      </c>
      <c r="P308" s="46">
        <f t="shared" ca="1" si="20"/>
        <v>4.0926397303429934E-4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input_442104!A$2</f>
        <v>442104</v>
      </c>
      <c r="B309" s="5">
        <v>1031</v>
      </c>
      <c r="C309" s="7" t="str">
        <f t="shared" si="16"/>
        <v>PremiumSS5R5onlycolor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>color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IFERROR(VLOOKUP(B309,input_442104!L:R,7,FALSE),VLOOKUP(tables_442104!C309,input_442104!A:H,8,FALSE))</f>
        <v>27212.307690000001</v>
      </c>
      <c r="P309" s="46">
        <f t="shared" ca="1" si="20"/>
        <v>2.3076923075063907E-3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input_442104!A$2</f>
        <v>442104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IFERROR(VLOOKUP(B310,input_442104!L:R,7,FALSE),VLOOKUP(tables_442104!C310,input_442104!A:H,8,FALSE))</f>
        <v>4826.0407699999996</v>
      </c>
      <c r="P310" s="46">
        <f t="shared" ca="1" si="20"/>
        <v>4.0926397303429934E-4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input_442104!A$2</f>
        <v>442104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IFERROR(VLOOKUP(B311,input_442104!L:R,7,FALSE),VLOOKUP(tables_442104!C311,input_442104!A:H,8,FALSE))</f>
        <v>90769.36</v>
      </c>
      <c r="P311" s="46">
        <f t="shared" ref="P311:P319" ca="1" si="21">O311/SUM(O:O)</f>
        <v>7.6975373134654671E-3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input_442104!A$2</f>
        <v>442104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IFERROR(VLOOKUP(B312,input_442104!L:R,7,FALSE),VLOOKUP(tables_442104!C312,input_442104!A:H,8,FALSE))</f>
        <v>306.416</v>
      </c>
      <c r="P312" s="46">
        <f t="shared" ca="1" si="21"/>
        <v>2.5985074626975826E-5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input_442104!A$2</f>
        <v>442104</v>
      </c>
      <c r="B313" s="5">
        <v>1069</v>
      </c>
      <c r="C313" s="7" t="str">
        <f t="shared" si="16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IFERROR(VLOOKUP(B313,input_442104!L:R,7,FALSE),VLOOKUP(tables_442104!C313,input_442104!A:H,8,FALSE))</f>
        <v>4826.0407699999996</v>
      </c>
      <c r="P313" s="46">
        <f t="shared" ca="1" si="21"/>
        <v>4.0926397303429934E-4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input_442104!A$2</f>
        <v>442104</v>
      </c>
      <c r="B314" s="5">
        <v>1072</v>
      </c>
      <c r="C314" s="7" t="str">
        <f t="shared" si="16"/>
        <v>PremiumSS5R5onlycolor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>color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IFERROR(VLOOKUP(B314,input_442104!L:R,7,FALSE),VLOOKUP(tables_442104!C314,input_442104!A:H,8,FALSE))</f>
        <v>27212.307690000001</v>
      </c>
      <c r="P314" s="46">
        <f t="shared" ca="1" si="21"/>
        <v>2.3076923075063907E-3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input_442104!A$2</f>
        <v>442104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IFERROR(VLOOKUP(B315,input_442104!L:R,7,FALSE),VLOOKUP(tables_442104!C315,input_442104!A:H,8,FALSE))</f>
        <v>4826.0407699999996</v>
      </c>
      <c r="P315" s="46">
        <f t="shared" ca="1" si="21"/>
        <v>4.0926397303429934E-4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input_442104!A$2</f>
        <v>442104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IFERROR(VLOOKUP(B316,input_442104!L:R,7,FALSE),VLOOKUP(tables_442104!C316,input_442104!A:H,8,FALSE))</f>
        <v>4826.0407699999996</v>
      </c>
      <c r="P316" s="46">
        <f t="shared" ca="1" si="21"/>
        <v>4.0926397303429934E-4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input_442104!A$2</f>
        <v>442104</v>
      </c>
      <c r="B317" s="5">
        <v>1102</v>
      </c>
      <c r="C317" s="7" t="str">
        <f t="shared" si="16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IFERROR(VLOOKUP(B317,input_442104!L:R,7,FALSE),VLOOKUP(tables_442104!C317,input_442104!A:H,8,FALSE))</f>
        <v>4826.0407699999996</v>
      </c>
      <c r="P317" s="46">
        <f t="shared" ca="1" si="21"/>
        <v>4.0926397303429934E-4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input_442104!A$2</f>
        <v>442104</v>
      </c>
      <c r="B318" s="5">
        <v>1104</v>
      </c>
      <c r="C318" s="7" t="str">
        <f t="shared" si="16"/>
        <v>Premium4R3lesscolor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>color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IFERROR(VLOOKUP(B318,input_442104!L:R,7,FALSE),VLOOKUP(tables_442104!C318,input_442104!A:H,8,FALSE))</f>
        <v>188480.38</v>
      </c>
      <c r="P318" s="46">
        <f t="shared" ca="1" si="21"/>
        <v>1.5983750000067756E-2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input_442104!A$2</f>
        <v>442104</v>
      </c>
      <c r="B319" s="5">
        <v>1105</v>
      </c>
      <c r="C319" s="7" t="str">
        <f t="shared" si="16"/>
        <v>Premium5R3lesscolor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>color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IFERROR(VLOOKUP(B319,input_442104!L:R,7,FALSE),VLOOKUP(tables_442104!C319,input_442104!A:H,8,FALSE))</f>
        <v>13885.08</v>
      </c>
      <c r="P319" s="46">
        <f t="shared" ca="1" si="21"/>
        <v>1.1775000000049916E-3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input_442104!A$2</f>
        <v>442104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IFERROR(VLOOKUP(B320,input_442104!L:R,7,FALSE),VLOOKUP(tables_442104!C320,input_442104!A:H,8,FALSE))</f>
        <v>4826.0407699999996</v>
      </c>
      <c r="P320" s="46">
        <f t="shared" ref="P320:P324" ca="1" si="22">O320/SUM(O:O)</f>
        <v>4.0926397303429934E-4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input_442104!A$2</f>
        <v>442104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IFERROR(VLOOKUP(B321,input_442104!L:R,7,FALSE),VLOOKUP(tables_442104!C321,input_442104!A:H,8,FALSE))</f>
        <v>4826.0407699999996</v>
      </c>
      <c r="P321" s="46">
        <f t="shared" ca="1" si="22"/>
        <v>4.0926397303429934E-4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input_442104!A$2</f>
        <v>442104</v>
      </c>
      <c r="B322" s="5">
        <v>1139</v>
      </c>
      <c r="C322" s="7" t="str">
        <f t="shared" ref="C322:C331" si="23">D322&amp;J322&amp;E322&amp;F322&amp;G322</f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IFERROR(VLOOKUP(B322,input_442104!L:R,7,FALSE),VLOOKUP(tables_442104!C322,input_442104!A:H,8,FALSE))</f>
        <v>4826.0407699999996</v>
      </c>
      <c r="P322" s="46">
        <f t="shared" ca="1" si="22"/>
        <v>4.0926397303429934E-4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input_442104!A$2</f>
        <v>442104</v>
      </c>
      <c r="B323" s="5">
        <v>1141</v>
      </c>
      <c r="C323" s="7" t="str">
        <f t="shared" si="23"/>
        <v>PremiumSS5R5onlycolor</v>
      </c>
      <c r="D323" s="7" t="str">
        <f t="shared" ref="D323:D331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31" si="25">IF(K323="blue","color","")</f>
        <v>color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IFERROR(VLOOKUP(B323,input_442104!L:R,7,FALSE),VLOOKUP(tables_442104!C323,input_442104!A:H,8,FALSE))</f>
        <v>27212.307690000001</v>
      </c>
      <c r="P323" s="46">
        <f t="shared" ca="1" si="22"/>
        <v>2.3076923075063907E-3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input_442104!A$2</f>
        <v>442104</v>
      </c>
      <c r="B324" s="2">
        <v>1143</v>
      </c>
      <c r="C324" s="100" t="str">
        <f t="shared" si="23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5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IFERROR(VLOOKUP(B324,input_442104!L:R,7,FALSE),VLOOKUP(tables_442104!C324,input_442104!A:H,8,FALSE))</f>
        <v>90769.36</v>
      </c>
      <c r="P324" s="46">
        <f t="shared" ca="1" si="22"/>
        <v>7.6975373134654671E-3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input_442104!A$2</f>
        <v>442104</v>
      </c>
      <c r="B325" s="2">
        <v>1144</v>
      </c>
      <c r="C325" s="100" t="str">
        <f t="shared" si="23"/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5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IFERROR(VLOOKUP(B325,input_442104!L:R,7,FALSE),VLOOKUP(tables_442104!C325,input_442104!A:H,8,FALSE))</f>
        <v>306.416</v>
      </c>
      <c r="P325" s="46">
        <f t="shared" ref="P325:P331" ca="1" si="26">O325/SUM(O:O)</f>
        <v>2.5985074626975826E-5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input_442104!A$2</f>
        <v>442104</v>
      </c>
      <c r="B326" s="2">
        <v>1151</v>
      </c>
      <c r="C326" s="100" t="str">
        <f t="shared" si="23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5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IFERROR(VLOOKUP(B326,input_442104!L:R,7,FALSE),VLOOKUP(tables_442104!C326,input_442104!A:H,8,FALSE))</f>
        <v>90769.36</v>
      </c>
      <c r="P326" s="46">
        <f t="shared" ca="1" si="26"/>
        <v>7.6975373134654671E-3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input_442104!A$2</f>
        <v>442104</v>
      </c>
      <c r="B327" s="2">
        <v>1152</v>
      </c>
      <c r="C327" s="100" t="str">
        <f t="shared" si="23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5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IFERROR(VLOOKUP(B327,input_442104!L:R,7,FALSE),VLOOKUP(tables_442104!C327,input_442104!A:H,8,FALSE))</f>
        <v>306.416</v>
      </c>
      <c r="P327" s="46">
        <f t="shared" ca="1" si="26"/>
        <v>2.5985074626975826E-5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input_442104!A$2</f>
        <v>442104</v>
      </c>
      <c r="B328" s="2">
        <v>1153</v>
      </c>
      <c r="C328" s="100" t="str">
        <f t="shared" si="23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5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IFERROR(VLOOKUP(B328,input_442104!L:R,7,FALSE),VLOOKUP(tables_442104!C328,input_442104!A:H,8,FALSE))</f>
        <v>4826.0407699999996</v>
      </c>
      <c r="P328" s="46">
        <f t="shared" ca="1" si="26"/>
        <v>4.0926397303429934E-4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input_442104!A$2</f>
        <v>442104</v>
      </c>
      <c r="B329" s="2">
        <v>1155</v>
      </c>
      <c r="C329" s="100" t="str">
        <f t="shared" si="23"/>
        <v>PremiumSS5R5onlycolor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5"/>
        <v>color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IFERROR(VLOOKUP(B329,input_442104!L:R,7,FALSE),VLOOKUP(tables_442104!C329,input_442104!A:H,8,FALSE))</f>
        <v>27212.307690000001</v>
      </c>
      <c r="P329" s="46">
        <f t="shared" ca="1" si="26"/>
        <v>2.3076923075063907E-3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input_442104!A$2</f>
        <v>442104</v>
      </c>
      <c r="B330" s="2">
        <v>1157</v>
      </c>
      <c r="C330" s="100" t="str">
        <f t="shared" si="23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5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IFERROR(VLOOKUP(B330,input_442104!L:R,7,FALSE),VLOOKUP(tables_442104!C330,input_442104!A:H,8,FALSE))</f>
        <v>4826.0407699999996</v>
      </c>
      <c r="P330" s="46">
        <f t="shared" ca="1" si="26"/>
        <v>4.0926397303429934E-4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input_442104!A$2</f>
        <v>442104</v>
      </c>
      <c r="B331" s="2">
        <v>1111</v>
      </c>
      <c r="C331" s="100" t="str">
        <f t="shared" si="23"/>
        <v>PremiumSSS5R3lesscolor</v>
      </c>
      <c r="D331" s="7" t="str">
        <f t="shared" si="24"/>
        <v>PremiumSSS</v>
      </c>
      <c r="E331" s="7" t="str">
        <f>IF(COUNTIF('R6追加前'!A:A,B331)=0,IF(OR(I331="PremiumSS",I331="PremiumSSw"),"R5only","R3less"),"")</f>
        <v>R3less</v>
      </c>
      <c r="F331" s="7" t="str">
        <f>IF(COUNTIF('R6開放'!A:A,B331)&gt;0,"R6release","")</f>
        <v/>
      </c>
      <c r="G331" s="7" t="str">
        <f t="shared" si="25"/>
        <v>color</v>
      </c>
      <c r="H331" s="7" t="str">
        <f>VLOOKUP(B331,[1]characters!$A:$C,3,FALSE)</f>
        <v>ウィグナー</v>
      </c>
      <c r="I331" s="7" t="str">
        <f>VLOOKUP(B331,[1]characters!$A:$J,10,FALSE)</f>
        <v>PremiumSSS</v>
      </c>
      <c r="J331" s="7">
        <f>VLOOKUP(B331,[1]characters!$A:$I,9,FALSE)</f>
        <v>5</v>
      </c>
      <c r="K331" s="7" t="str">
        <f>VLOOKUP(B331,[1]characters!$A:$H,8,FALSE)</f>
        <v>blue</v>
      </c>
      <c r="L331" s="7" t="str">
        <f>VLOOKUP(B331,[1]characters!$A:$K,11,FALSE)</f>
        <v>attack</v>
      </c>
      <c r="M331" s="7" t="str">
        <f>VLOOKUP(B331,[1]characters!$A:$M,13,FALSE)</f>
        <v>academia</v>
      </c>
      <c r="N331" s="7" t="str">
        <f>VLOOKUP(B331,[1]characters!$A:$G,7,FALSE)</f>
        <v>不明</v>
      </c>
      <c r="O331" s="45">
        <f ca="1">IFERROR(VLOOKUP(B331,input_442104!L:R,7,FALSE),VLOOKUP(tables_442104!C331,input_442104!A:H,8,FALSE))</f>
        <v>94336</v>
      </c>
      <c r="P331" s="46">
        <f t="shared" ca="1" si="26"/>
        <v>8.0000000000339123E-3</v>
      </c>
      <c r="Q331" s="88">
        <v>80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</sheetData>
  <autoFilter ref="A1:V294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5"/>
  <sheetViews>
    <sheetView topLeftCell="A15" workbookViewId="0">
      <selection activeCell="C51" sqref="C5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442105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VLOOKUP(L3,tables_442105!B:C,2,FALSE)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VLOOKUP(L4,tables_442105!B:C,2,FALSE)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4.5454545454545465E-4</v>
      </c>
      <c r="F5">
        <f>(COUNTIF(tables_442105!C:C,input_442105!A28)+COUNTIF(tables_442105!C:C,input_442105!A29))</f>
        <v>44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VLOOKUP(L5,tables_442105!B:C,2,FALSE)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2.3076923076923075E-3</v>
      </c>
      <c r="F6">
        <f>(COUNTIF(tables_442105!C:C,input_442105!A43)+COUNTIF(tables_442105!C:C,input_442105!A44))</f>
        <v>13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VLOOKUP(L6,tables_442105!B:C,2,FALSE)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5.5999999999999999E-3</v>
      </c>
      <c r="F7">
        <f>(COUNTIF(tables_442105!C:C,input_442105!A26)+COUNTIF(tables_442105!C:C,input_442105!A18)+COUNTIF(tables_442105!C:C,input_442105!A20)+COUNTIF(tables_442105!C:C,input_442105!A22))</f>
        <v>67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VLOOKUP(L7,tables_442105!B:C,2,FALSE)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2.3449999999999999E-2</v>
      </c>
      <c r="F8">
        <f>(COUNTIF(tables_442105!C:C,input_442105!A40)+COUNTIF(tables_442105!C:C,input_442105!A33)+COUNTIF(tables_442105!C:C,input_442105!A35)+COUNTIF(tables_442105!C:C,input_442105!A37))</f>
        <v>24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VLOOKUP(L8,tables_442105!B:C,2,FALSE)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VLOOKUP(L9,tables_442105!B:C,2,FALSE)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0.93799999999999994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VLOOKUP(L10,tables_442105!B:C,2,FALSE)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</f>
        <v>0.05</v>
      </c>
      <c r="C11" t="s">
        <v>275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VLOOKUP(L11,tables_442105!B:C,2,FALSE)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1.2E-2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VLOOKUP(L12,tables_442105!B:C,2,FALSE)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VLOOKUP(L13,tables_442105!B:C,2,FALSE)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VLOOKUP(L14,tables_442105!B:C,2,FALSE)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VLOOKUP(L15,tables_442105!B:C,2,FALSE)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VLOOKUP(L16,tables_442105!B:C,2,FALSE)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COUNTIF(tables_442105!C:C,input_442105!A17)-COUNTIF(Q:Q,A17)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VLOOKUP(L17,tables_442105!B:C,2,FALSE)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8.4000000000000005E-2</v>
      </c>
      <c r="C18" s="86">
        <f t="shared" si="2"/>
        <v>0</v>
      </c>
      <c r="D18" s="75">
        <f t="shared" si="3"/>
        <v>8.4000000000000005E-2</v>
      </c>
      <c r="E18">
        <f>COUNTIF(tables_442105!C:C,input_442105!A18)-COUNTIF(Q:Q,A18)</f>
        <v>15</v>
      </c>
      <c r="F18" s="43">
        <f>IFERROR(B18/E18,0)</f>
        <v>5.5999999999999999E-3</v>
      </c>
      <c r="G18">
        <f t="shared" si="4"/>
        <v>990528.00000000012</v>
      </c>
      <c r="H18">
        <f t="shared" si="5"/>
        <v>66035.199999999997</v>
      </c>
      <c r="I18">
        <f t="shared" si="6"/>
        <v>0.19999999999708962</v>
      </c>
      <c r="J18">
        <f t="shared" si="7"/>
        <v>5.0000000000727596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VLOOKUP(L18,tables_442105!B:C,2,FALSE)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COUNTIF(tables_442105!C:C,input_442105!A19)-COUNTIF(Q:Q,A19)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VLOOKUP(L19,tables_442105!B:C,2,FALSE)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3">
        <f>E$7*E20*B$6+F49-0.02+0.01-G64</f>
        <v>0.19215999999582664</v>
      </c>
      <c r="C20" s="86">
        <f t="shared" si="2"/>
        <v>0</v>
      </c>
      <c r="D20" s="75">
        <f t="shared" si="3"/>
        <v>0.19215999999582664</v>
      </c>
      <c r="E20">
        <f>COUNTIF(tables_442105!C:C,input_442105!A20)-COUNTIF(Q:Q,A20)</f>
        <v>38</v>
      </c>
      <c r="F20" s="43">
        <f t="shared" si="8"/>
        <v>5.0568421051533329E-3</v>
      </c>
      <c r="G20">
        <f t="shared" si="4"/>
        <v>2265950.7199507877</v>
      </c>
      <c r="H20">
        <f t="shared" si="5"/>
        <v>59630.282099999997</v>
      </c>
      <c r="I20">
        <f t="shared" si="6"/>
        <v>0.28209999999671709</v>
      </c>
      <c r="J20">
        <f t="shared" si="7"/>
        <v>3.5448422545609266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VLOOKUP(L20,tables_442105!B:C,2,FALSE)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6.3999999999999994E-4</v>
      </c>
      <c r="C21" s="86">
        <f t="shared" si="2"/>
        <v>0</v>
      </c>
      <c r="D21" s="75">
        <f t="shared" si="3"/>
        <v>6.3999999999999994E-4</v>
      </c>
      <c r="E21">
        <f>COUNTIF(tables_442105!C:C,input_442105!A21)-COUNTIF(Q:Q,A21)</f>
        <v>38</v>
      </c>
      <c r="F21" s="43">
        <f t="shared" si="8"/>
        <v>1.6842105263157893E-5</v>
      </c>
      <c r="G21">
        <f t="shared" si="4"/>
        <v>7546.8799999999992</v>
      </c>
      <c r="H21">
        <f t="shared" si="5"/>
        <v>198.60211000000001</v>
      </c>
      <c r="I21">
        <f t="shared" si="6"/>
        <v>0.60211000000001036</v>
      </c>
      <c r="J21">
        <f t="shared" si="7"/>
        <v>1.6608260948995746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8.2200000000000106E-2</v>
      </c>
      <c r="C22" s="86">
        <f t="shared" si="2"/>
        <v>0</v>
      </c>
      <c r="D22" s="75">
        <f t="shared" si="3"/>
        <v>8.2200000000000106E-2</v>
      </c>
      <c r="E22">
        <f>COUNTIF(tables_442105!C:C,input_442105!A22)-COUNTIF(Q:Q,A22)</f>
        <v>11</v>
      </c>
      <c r="F22" s="43">
        <f t="shared" si="8"/>
        <v>7.4727272727272828E-3</v>
      </c>
      <c r="G22">
        <f t="shared" si="4"/>
        <v>969302.4000000013</v>
      </c>
      <c r="H22">
        <f t="shared" si="5"/>
        <v>88118.399999999994</v>
      </c>
      <c r="I22">
        <f t="shared" si="6"/>
        <v>0.39999999999417923</v>
      </c>
      <c r="J22">
        <f t="shared" si="7"/>
        <v>2.5000000000363798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4.2000000000000006E-3</v>
      </c>
      <c r="C23" s="86">
        <f t="shared" si="2"/>
        <v>0</v>
      </c>
      <c r="D23" s="75">
        <f t="shared" si="3"/>
        <v>4.2000000000000006E-3</v>
      </c>
      <c r="E23">
        <f>COUNTIF(tables_442105!C:C,input_442105!A23)-COUNTIF(Q:Q,A23)</f>
        <v>15</v>
      </c>
      <c r="F23" s="43">
        <f t="shared" si="8"/>
        <v>2.8000000000000003E-4</v>
      </c>
      <c r="G23">
        <f t="shared" si="4"/>
        <v>49526.400000000009</v>
      </c>
      <c r="H23">
        <f t="shared" si="5"/>
        <v>3301.76</v>
      </c>
      <c r="I23">
        <f t="shared" si="6"/>
        <v>0.76000000000021828</v>
      </c>
      <c r="J23">
        <f t="shared" si="7"/>
        <v>1.3157894736838327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COUNTIF(tables_442105!C:C,input_442105!A24)-COUNTIF(Q:Q,A24)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1.5960000000000002E-2</v>
      </c>
      <c r="C25" s="86">
        <f t="shared" si="2"/>
        <v>0</v>
      </c>
      <c r="D25" s="75">
        <f t="shared" si="3"/>
        <v>1.5960000000000002E-2</v>
      </c>
      <c r="E25">
        <f>COUNTIF(tables_442105!C:C,input_442105!A25)-COUNTIF(Q:Q,A25)</f>
        <v>3</v>
      </c>
      <c r="F25" s="43">
        <f t="shared" si="8"/>
        <v>5.3200000000000009E-3</v>
      </c>
      <c r="G25">
        <f t="shared" si="4"/>
        <v>188200.32000000004</v>
      </c>
      <c r="H25">
        <f t="shared" si="5"/>
        <v>62733.440000000002</v>
      </c>
      <c r="I25">
        <f t="shared" si="6"/>
        <v>0.44000000000232831</v>
      </c>
      <c r="J25">
        <f t="shared" si="7"/>
        <v>2.2727272727152465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8.4000000000000003E-4</v>
      </c>
      <c r="C26" s="86">
        <f t="shared" si="2"/>
        <v>0</v>
      </c>
      <c r="D26" s="75">
        <f t="shared" si="3"/>
        <v>8.4000000000000003E-4</v>
      </c>
      <c r="E26">
        <f>COUNTIF(tables_442105!C:C,input_442105!A26)-COUNTIF(Q:Q,A26)</f>
        <v>3</v>
      </c>
      <c r="F26" s="43">
        <f t="shared" si="8"/>
        <v>2.8000000000000003E-4</v>
      </c>
      <c r="G26">
        <f t="shared" si="4"/>
        <v>9905.2800000000007</v>
      </c>
      <c r="H26">
        <f t="shared" si="5"/>
        <v>3301.76</v>
      </c>
      <c r="I26">
        <f t="shared" si="6"/>
        <v>0.76000000000021828</v>
      </c>
      <c r="J26">
        <f t="shared" si="7"/>
        <v>1.3157894736838327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E$5*E27*(B$5+B$6)+G64</f>
        <v>1.0496192597032907E-2</v>
      </c>
      <c r="C27" s="86">
        <f t="shared" si="2"/>
        <v>0</v>
      </c>
      <c r="D27" s="75">
        <f t="shared" si="3"/>
        <v>1.0496192597032907E-2</v>
      </c>
      <c r="E27">
        <f>COUNTIF(tables_442105!C:C,input_442105!A27)-COUNTIF(Q:Q,A27)</f>
        <v>22</v>
      </c>
      <c r="F27" s="43">
        <f>IFERROR(B27/E27,0)</f>
        <v>4.770996635014958E-4</v>
      </c>
      <c r="G27">
        <f t="shared" si="4"/>
        <v>123771.10310421204</v>
      </c>
      <c r="H27">
        <f t="shared" si="5"/>
        <v>5625.9592300000004</v>
      </c>
      <c r="I27">
        <f t="shared" si="6"/>
        <v>0.95923000000038883</v>
      </c>
      <c r="J27">
        <f t="shared" si="7"/>
        <v>1.0425028408198187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5.0000000000000012E-4</v>
      </c>
      <c r="C28" s="86">
        <f t="shared" si="2"/>
        <v>0</v>
      </c>
      <c r="D28" s="75">
        <f t="shared" si="3"/>
        <v>5.0000000000000012E-4</v>
      </c>
      <c r="E28">
        <f>COUNTIF(tables_442105!C:C,input_442105!A28)-COUNTIF(Q:Q,A28)</f>
        <v>22</v>
      </c>
      <c r="F28" s="43">
        <f t="shared" si="8"/>
        <v>2.2727272727272733E-5</v>
      </c>
      <c r="G28">
        <f t="shared" si="4"/>
        <v>5896.0000000000018</v>
      </c>
      <c r="H28">
        <f t="shared" si="5"/>
        <v>268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E$5*E29-F49</f>
        <v>9.0038074071404524E-3</v>
      </c>
      <c r="C29" s="86">
        <f t="shared" si="2"/>
        <v>0</v>
      </c>
      <c r="D29" s="75">
        <f t="shared" si="3"/>
        <v>9.0038074071404524E-3</v>
      </c>
      <c r="E29">
        <f>COUNTIF(tables_442105!C:C,input_442105!A29)-COUNTIF(Q:Q,A29)</f>
        <v>22</v>
      </c>
      <c r="F29" s="43">
        <f t="shared" si="8"/>
        <v>4.0926397305183874E-4</v>
      </c>
      <c r="G29">
        <f t="shared" si="4"/>
        <v>106172.89694500022</v>
      </c>
      <c r="H29">
        <f t="shared" si="5"/>
        <v>4826.0407699999996</v>
      </c>
      <c r="I29">
        <f t="shared" si="6"/>
        <v>4.0769999999611173E-2</v>
      </c>
      <c r="J29">
        <f t="shared" si="7"/>
        <v>24.527839097609444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COUNTIF(tables_442105!C:C,input_442105!A30)-COUNTIF(Q:Q,A30)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COUNTIF(tables_442105!C:C,input_442105!A31)-COUNTIF(Q:Q,A31)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3">
        <f>B$5*0.6-B34-B39</f>
        <v>0</v>
      </c>
      <c r="C32" s="86">
        <f t="shared" si="2"/>
        <v>0</v>
      </c>
      <c r="D32" s="75">
        <f t="shared" si="3"/>
        <v>0</v>
      </c>
      <c r="E32">
        <f>COUNTIF(tables_442105!C:C,input_442105!A32)-COUNTIF(Q:Q,A32)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0.13724999999999998</v>
      </c>
      <c r="C33" s="86">
        <f t="shared" si="2"/>
        <v>0</v>
      </c>
      <c r="D33" s="75">
        <f t="shared" si="3"/>
        <v>0.13724999999999998</v>
      </c>
      <c r="E33">
        <f>COUNTIF(tables_442105!C:C,input_442105!A33)-COUNTIF(Q:Q,A33)</f>
        <v>5</v>
      </c>
      <c r="F33" s="43">
        <f>IFERROR(B33/E33,0)</f>
        <v>2.7449999999999995E-2</v>
      </c>
      <c r="G33">
        <f t="shared" si="4"/>
        <v>1618451.9999999998</v>
      </c>
      <c r="H33">
        <f t="shared" si="5"/>
        <v>323690.40000000002</v>
      </c>
      <c r="I33">
        <f t="shared" si="6"/>
        <v>0.40000000002328306</v>
      </c>
      <c r="J33">
        <f t="shared" si="7"/>
        <v>2.4999999998544808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COUNTIF(tables_442105!C:C,input_442105!A34)-COUNTIF(Q:Q,A34)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0.32288119259285952</v>
      </c>
      <c r="C35" s="86">
        <f t="shared" si="2"/>
        <v>0</v>
      </c>
      <c r="D35" s="75">
        <f t="shared" si="3"/>
        <v>0.32288119259285952</v>
      </c>
      <c r="E35">
        <f>COUNTIF(tables_442105!C:C,input_442105!A35)-COUNTIF(Q:Q,A35)</f>
        <v>14</v>
      </c>
      <c r="F35" s="43">
        <f t="shared" si="9"/>
        <v>2.3062942328061393E-2</v>
      </c>
      <c r="G35">
        <f t="shared" si="4"/>
        <v>3807415.0230549993</v>
      </c>
      <c r="H35">
        <f t="shared" si="5"/>
        <v>271958.21593000001</v>
      </c>
      <c r="I35">
        <f t="shared" si="6"/>
        <v>0.21593000000575557</v>
      </c>
      <c r="J35">
        <f t="shared" si="7"/>
        <v>4.6311304588215867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</f>
        <v>5.4188074071404493E-3</v>
      </c>
      <c r="C36" s="86">
        <f t="shared" si="2"/>
        <v>0</v>
      </c>
      <c r="D36" s="75">
        <f t="shared" si="3"/>
        <v>5.4188074071404493E-3</v>
      </c>
      <c r="E36">
        <f>COUNTIF(tables_442105!C:C,input_442105!A36)-COUNTIF(Q:Q,A36)</f>
        <v>14</v>
      </c>
      <c r="F36" s="43">
        <f t="shared" si="9"/>
        <v>3.870576719386035E-4</v>
      </c>
      <c r="G36">
        <f t="shared" si="4"/>
        <v>63898.576945000175</v>
      </c>
      <c r="H36">
        <f t="shared" si="5"/>
        <v>4564.1840700000002</v>
      </c>
      <c r="I36">
        <f t="shared" si="6"/>
        <v>0.18407000000024709</v>
      </c>
      <c r="J36">
        <f t="shared" si="7"/>
        <v>5.4327158146284438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</f>
        <v>6.1964999999999895E-2</v>
      </c>
      <c r="C37" s="86">
        <f t="shared" si="2"/>
        <v>0</v>
      </c>
      <c r="D37" s="75">
        <f t="shared" si="3"/>
        <v>6.1964999999999895E-2</v>
      </c>
      <c r="E37">
        <f>COUNTIF(tables_442105!C:C,input_442105!A37)-COUNTIF(Q:Q,A37)</f>
        <v>4</v>
      </c>
      <c r="F37" s="43">
        <f t="shared" si="9"/>
        <v>1.5491249999999974E-2</v>
      </c>
      <c r="G37">
        <f t="shared" si="4"/>
        <v>730691.27999999875</v>
      </c>
      <c r="H37">
        <f t="shared" si="5"/>
        <v>182672.82</v>
      </c>
      <c r="I37">
        <f t="shared" si="6"/>
        <v>0.82000000000698492</v>
      </c>
      <c r="J37">
        <f t="shared" si="7"/>
        <v>1.2195121951115633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7.0349999999999996E-3</v>
      </c>
      <c r="C38" s="86">
        <f t="shared" si="2"/>
        <v>0</v>
      </c>
      <c r="D38" s="75">
        <f t="shared" si="3"/>
        <v>7.0349999999999996E-3</v>
      </c>
      <c r="E38">
        <f>COUNTIF(tables_442105!C:C,input_442105!A38)-COUNTIF(Q:Q,A38)</f>
        <v>6</v>
      </c>
      <c r="F38" s="43">
        <f t="shared" si="9"/>
        <v>1.1724999999999999E-3</v>
      </c>
      <c r="G38">
        <f t="shared" si="4"/>
        <v>82956.72</v>
      </c>
      <c r="H38">
        <f t="shared" si="5"/>
        <v>13826.12</v>
      </c>
      <c r="I38">
        <f t="shared" si="6"/>
        <v>0.12000000000080036</v>
      </c>
      <c r="J38">
        <f t="shared" si="7"/>
        <v>8.3333333332777535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COUNTIF(tables_442105!C:C,input_442105!A39)-COUNTIF(Q:Q,A39)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2.2277499999999999E-2</v>
      </c>
      <c r="C40" s="86">
        <f t="shared" si="2"/>
        <v>0</v>
      </c>
      <c r="D40" s="75">
        <f t="shared" si="3"/>
        <v>2.2277499999999999E-2</v>
      </c>
      <c r="E40">
        <f>COUNTIF(tables_442105!C:C,input_442105!A40)-COUNTIF(Q:Q,A40)</f>
        <v>1</v>
      </c>
      <c r="F40" s="43">
        <f t="shared" si="9"/>
        <v>2.2277499999999999E-2</v>
      </c>
      <c r="G40">
        <f t="shared" si="4"/>
        <v>262696.27999999997</v>
      </c>
      <c r="H40">
        <f t="shared" si="5"/>
        <v>262696.28000000003</v>
      </c>
      <c r="I40">
        <f t="shared" si="6"/>
        <v>0.28000000002793968</v>
      </c>
      <c r="J40">
        <f t="shared" si="7"/>
        <v>3.571428571072198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1.1724999999999999E-3</v>
      </c>
      <c r="C41" s="86">
        <f t="shared" si="2"/>
        <v>0</v>
      </c>
      <c r="D41" s="75">
        <f t="shared" si="3"/>
        <v>1.1724999999999999E-3</v>
      </c>
      <c r="E41">
        <f>COUNTIF(tables_442105!C:C,input_442105!A41)-COUNTIF(Q:Q,A41)</f>
        <v>1</v>
      </c>
      <c r="F41" s="43">
        <f t="shared" si="9"/>
        <v>1.1724999999999999E-3</v>
      </c>
      <c r="G41">
        <f t="shared" si="4"/>
        <v>13826.119999999999</v>
      </c>
      <c r="H41">
        <f t="shared" si="5"/>
        <v>13826.12</v>
      </c>
      <c r="I41">
        <f t="shared" si="6"/>
        <v>0.12000000000080036</v>
      </c>
      <c r="J41">
        <f t="shared" si="7"/>
        <v>8.3333333332777535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E$6*E42*(B$5+B$6)+H49</f>
        <v>2.0810114814280894E-2</v>
      </c>
      <c r="C42" s="86">
        <f t="shared" si="2"/>
        <v>0</v>
      </c>
      <c r="D42" s="75">
        <f t="shared" si="3"/>
        <v>2.0810114814280894E-2</v>
      </c>
      <c r="E42">
        <f>COUNTIF(tables_442105!C:C,input_442105!A42)-COUNTIF(Q:Q,A42)</f>
        <v>6</v>
      </c>
      <c r="F42" s="43">
        <f>IFERROR(B42/E42,0)</f>
        <v>3.4683524690468158E-3</v>
      </c>
      <c r="G42">
        <f t="shared" si="4"/>
        <v>245392.87389000031</v>
      </c>
      <c r="H42">
        <f t="shared" si="5"/>
        <v>40898.812319999997</v>
      </c>
      <c r="I42">
        <f t="shared" si="6"/>
        <v>0.81231999999727122</v>
      </c>
      <c r="J42">
        <f t="shared" si="7"/>
        <v>1.2310419539139246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6.9230769230769226E-4</v>
      </c>
      <c r="C43" s="86">
        <f t="shared" si="2"/>
        <v>0</v>
      </c>
      <c r="D43" s="75">
        <f t="shared" si="3"/>
        <v>6.9230769230769226E-4</v>
      </c>
      <c r="E43">
        <f>COUNTIF(tables_442105!C:C,input_442105!A43)-COUNTIF(Q:Q,A43)</f>
        <v>6</v>
      </c>
      <c r="F43" s="43">
        <f t="shared" ref="F43:F46" si="10">IFERROR(B43/E43,0)</f>
        <v>1.1538461538461538E-4</v>
      </c>
      <c r="G43">
        <f t="shared" si="4"/>
        <v>8163.6923076923076</v>
      </c>
      <c r="H43">
        <f t="shared" si="5"/>
        <v>1360.61538</v>
      </c>
      <c r="I43">
        <f t="shared" si="6"/>
        <v>0.61537999999995918</v>
      </c>
      <c r="J43">
        <f t="shared" si="7"/>
        <v>1.6250121875915147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E$6*E44-H49</f>
        <v>8.4975774934114082E-3</v>
      </c>
      <c r="C44" s="86">
        <f t="shared" si="2"/>
        <v>0</v>
      </c>
      <c r="D44" s="75">
        <f t="shared" si="3"/>
        <v>8.4975774934114082E-3</v>
      </c>
      <c r="E44">
        <f>COUNTIF(tables_442105!C:C,input_442105!A44)-COUNTIF(Q:Q,A44)</f>
        <v>7</v>
      </c>
      <c r="F44" s="43">
        <f t="shared" si="10"/>
        <v>1.2139396419159154E-3</v>
      </c>
      <c r="G44">
        <f t="shared" si="4"/>
        <v>100203.43380230732</v>
      </c>
      <c r="H44">
        <f t="shared" si="5"/>
        <v>14314.776260000001</v>
      </c>
      <c r="I44">
        <f t="shared" si="6"/>
        <v>0.77626000000054773</v>
      </c>
      <c r="J44">
        <f t="shared" si="7"/>
        <v>1.2882281709727339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COUNTIF(tables_442105!C:C,input_442105!A45)-COUNTIF(Q:Q,A45)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1.2E-2</v>
      </c>
      <c r="C46" s="86">
        <f t="shared" si="2"/>
        <v>0</v>
      </c>
      <c r="D46" s="75">
        <f t="shared" si="3"/>
        <v>1.2E-2</v>
      </c>
      <c r="E46">
        <f>COUNTIF(tables_442105!C:C,input_442105!A46)-COUNTIF(Q:Q,A46)</f>
        <v>1</v>
      </c>
      <c r="F46" s="43">
        <f t="shared" si="10"/>
        <v>1.2E-2</v>
      </c>
      <c r="G46">
        <f t="shared" si="4"/>
        <v>141504</v>
      </c>
      <c r="H46">
        <f t="shared" si="5"/>
        <v>141504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0.99999999999999978</v>
      </c>
      <c r="C47" s="41">
        <f>SUM(C19:C31)</f>
        <v>0</v>
      </c>
      <c r="D47" s="42">
        <f t="shared" si="3"/>
        <v>0.99999999999999978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2">
        <f>SUM(B32:B46)</f>
        <v>0.59999999999999976</v>
      </c>
      <c r="E49" s="97">
        <f>0.0219923851857191*0.5</f>
        <v>1.099619259285955E-2</v>
      </c>
      <c r="F49" s="107">
        <f>E49-0.01</f>
        <v>9.9619259285954956E-4</v>
      </c>
      <c r="G49" s="108">
        <f ca="1">G57-0.05</f>
        <v>1.6960696735957015E-11</v>
      </c>
      <c r="H49" s="106">
        <v>7.6562686604347424E-3</v>
      </c>
    </row>
    <row r="50" spans="1:8" x14ac:dyDescent="0.15">
      <c r="A50" t="s">
        <v>74</v>
      </c>
      <c r="C50" s="92">
        <v>2.48000000000001E-2</v>
      </c>
      <c r="D50" s="96"/>
      <c r="E50" s="97"/>
      <c r="F50" s="105"/>
      <c r="G50" s="108"/>
      <c r="H50" s="55">
        <f>H57-0.05</f>
        <v>0</v>
      </c>
    </row>
    <row r="51" spans="1:8" x14ac:dyDescent="0.15">
      <c r="A51" s="31">
        <f>LCM(F5-I5,F7-I6)*1000*2*2</f>
        <v>11792000</v>
      </c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4" t="s">
        <v>286</v>
      </c>
    </row>
    <row r="55" spans="1:8" x14ac:dyDescent="0.15">
      <c r="A55" s="33" t="s">
        <v>106</v>
      </c>
      <c r="B55">
        <f ca="1">SUMIF(tables_442105!C:C,input_442105!A55,tables_442105!O:O)</f>
        <v>0</v>
      </c>
      <c r="C55" s="54">
        <f t="shared" ref="C55:C61" ca="1" si="11">B55/B$62</f>
        <v>0</v>
      </c>
      <c r="E55">
        <v>3</v>
      </c>
      <c r="F55">
        <f ca="1">SUMIF(tables_442105!J:J,input_442105!E55,tables_442105!O:O)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SUMIF(tables_442105!C:C,input_442105!A56,tables_442105!O:O)</f>
        <v>2265950.7197999987</v>
      </c>
      <c r="C56" s="54">
        <f t="shared" ca="1" si="11"/>
        <v>0.94290279685515332</v>
      </c>
      <c r="E56">
        <v>4</v>
      </c>
      <c r="F56">
        <f ca="1">SUMIF(tables_442105!J:J,input_442105!E56,tables_442105!O:O)</f>
        <v>11202399.999800012</v>
      </c>
      <c r="G56">
        <f ca="1">F56/A51</f>
        <v>0.9499999999830403</v>
      </c>
      <c r="H56" s="55">
        <f>B18+B20+B22+B25+B27+B30+B33+B35+B37+B40+B42+B45</f>
        <v>0.94999999999999984</v>
      </c>
    </row>
    <row r="57" spans="1:8" x14ac:dyDescent="0.15">
      <c r="A57" s="33" t="s">
        <v>109</v>
      </c>
      <c r="B57">
        <f ca="1">SUMIF(tables_442105!C:C,input_442105!A57,tables_442105!O:O)</f>
        <v>123771.10306000008</v>
      </c>
      <c r="C57" s="54">
        <f t="shared" ca="1" si="11"/>
        <v>5.150337923298802E-2</v>
      </c>
      <c r="E57">
        <v>5</v>
      </c>
      <c r="F57">
        <f ca="1">SUMIF(tables_442105!J:J,input_442105!E57,tables_442105!O:O)</f>
        <v>589600.00020000059</v>
      </c>
      <c r="G57">
        <f ca="1">F57/A51</f>
        <v>5.00000000169607E-2</v>
      </c>
      <c r="H57" s="55">
        <f>B21+B23+B26+B28+B29+B31+B36+B38+B41+B43+B44+B46</f>
        <v>0.05</v>
      </c>
    </row>
    <row r="58" spans="1:8" x14ac:dyDescent="0.15">
      <c r="A58" s="33" t="s">
        <v>113</v>
      </c>
      <c r="B58">
        <f>SUMIF(tables_442105!C:C,input_442105!A58,tables_442105!O:O)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SUMIF(tables_442105!C:C,input_442105!A59,tables_442105!O:O)</f>
        <v>7546.8801799999956</v>
      </c>
      <c r="C59" s="54">
        <f t="shared" ca="1" si="11"/>
        <v>3.1403924044212227E-3</v>
      </c>
      <c r="E59" t="s">
        <v>55</v>
      </c>
      <c r="F59" s="55"/>
    </row>
    <row r="60" spans="1:8" x14ac:dyDescent="0.15">
      <c r="A60" s="33" t="s">
        <v>110</v>
      </c>
      <c r="B60">
        <f ca="1">SUMIF(tables_442105!C:C,input_442105!A60,tables_442105!O:O)</f>
        <v>5896</v>
      </c>
      <c r="C60" s="54">
        <f t="shared" ca="1" si="11"/>
        <v>2.4534315074374933E-3</v>
      </c>
      <c r="E60" t="s">
        <v>210</v>
      </c>
      <c r="F60" s="55">
        <f ca="1">SUMIF(tables_442105!I:I,input_442105!E60,tables_442105!P:P)</f>
        <v>0.22471499999999975</v>
      </c>
    </row>
    <row r="61" spans="1:8" x14ac:dyDescent="0.15">
      <c r="A61" s="33" t="s">
        <v>111</v>
      </c>
      <c r="B61">
        <f>SUMIF(tables_442105!C:C,input_442105!A61,tables_442105!O:O)</f>
        <v>0</v>
      </c>
      <c r="C61" s="54">
        <f t="shared" ca="1" si="11"/>
        <v>0</v>
      </c>
      <c r="E61" t="s">
        <v>211</v>
      </c>
      <c r="F61" s="55">
        <f ca="1">SUMIF(tables_442105!I:I,input_442105!E61,tables_442105!P:P)</f>
        <v>0.1944078947362616</v>
      </c>
    </row>
    <row r="62" spans="1:8" x14ac:dyDescent="0.15">
      <c r="A62" s="39" t="s">
        <v>60</v>
      </c>
      <c r="B62">
        <f ca="1">SUM(B55:B61)</f>
        <v>2403164.7030399987</v>
      </c>
      <c r="C62" s="55">
        <f ca="1">SUM(C55:C61)</f>
        <v>1</v>
      </c>
      <c r="E62" t="s">
        <v>212</v>
      </c>
      <c r="F62" s="55">
        <f ca="1">SUMIF(tables_442105!I:I,input_442105!E62,tables_442105!P:P)</f>
        <v>0.51887710526204156</v>
      </c>
    </row>
    <row r="63" spans="1:8" x14ac:dyDescent="0.15">
      <c r="E63" t="s">
        <v>213</v>
      </c>
      <c r="F63" s="55">
        <f ca="1">SUMIF(tables_442105!I:I,input_442105!E63,tables_442105!P:P)</f>
        <v>4.7558268440468052E-2</v>
      </c>
      <c r="G63" s="98">
        <f ca="1">0.05-F63-F64</f>
        <v>-1.6959966417373629E-12</v>
      </c>
    </row>
    <row r="64" spans="1:8" x14ac:dyDescent="0.15">
      <c r="E64" t="s">
        <v>283</v>
      </c>
      <c r="F64" s="55">
        <f ca="1">SUMIF(tables_442105!I:I,input_442105!E64,tables_442105!P:P)</f>
        <v>2.4417315612279477E-3</v>
      </c>
      <c r="G64">
        <v>9.9619259703290523E-4</v>
      </c>
    </row>
    <row r="65" spans="5:6" x14ac:dyDescent="0.15">
      <c r="E65" t="s">
        <v>284</v>
      </c>
      <c r="F65" s="55">
        <f ca="1">SUMIF(tables_442105!I:I,input_442105!E65,tables_442105!P:P)</f>
        <v>1.1999999999999985E-2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31"/>
  <sheetViews>
    <sheetView showGridLines="0" zoomScale="75" zoomScaleNormal="75" zoomScalePageLayoutView="75" workbookViewId="0">
      <pane ySplit="1" topLeftCell="A283" activePane="bottomLeft" state="frozen"/>
      <selection activeCell="U32" sqref="U32"/>
      <selection pane="bottomLeft" activeCell="C2" sqref="C2:G33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input_442105!A$2</f>
        <v>442105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IFERROR(VLOOKUP(B2,input_442105!L:R,7,FALSE),VLOOKUP(tables_442105!C2,input_442105!A:H,8,FALSE))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input_442105!A$2</f>
        <v>442105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IF(K3="blue","color","")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IFERROR(VLOOKUP(B3,input_442105!L:R,7,FALSE),VLOOKUP(tables_442105!C3,input_442105!A:H,8,FALSE))</f>
        <v>66035.199999999997</v>
      </c>
      <c r="P3" s="46">
        <f t="shared" ca="1" si="1"/>
        <v>5.599999999999993E-3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input_442105!A$2</f>
        <v>442105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IFERROR(VLOOKUP(B4,input_442105!L:R,7,FALSE),VLOOKUP(tables_442105!C4,input_442105!A:H,8,FALSE))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input_442105!A$2</f>
        <v>442105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IFERROR(VLOOKUP(B5,input_442105!L:R,7,FALSE),VLOOKUP(tables_442105!C5,input_442105!A:H,8,FALSE))</f>
        <v>66035.199999999997</v>
      </c>
      <c r="P5" s="46">
        <f t="shared" ca="1" si="1"/>
        <v>5.599999999999993E-3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input_442105!A$2</f>
        <v>442105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IFERROR(VLOOKUP(B6,input_442105!L:R,7,FALSE),VLOOKUP(tables_442105!C6,input_442105!A:H,8,FALSE))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input_442105!A$2</f>
        <v>442105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IFERROR(VLOOKUP(B7,input_442105!L:R,7,FALSE),VLOOKUP(tables_442105!C7,input_442105!A:H,8,FALSE))</f>
        <v>323690.40000000002</v>
      </c>
      <c r="P7" s="46">
        <f t="shared" ca="1" si="1"/>
        <v>2.7449999999999967E-2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input_442105!A$2</f>
        <v>442105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IFERROR(VLOOKUP(B8,input_442105!L:R,7,FALSE),VLOOKUP(tables_442105!C8,input_442105!A:H,8,FALSE))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input_442105!A$2</f>
        <v>442105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IFERROR(VLOOKUP(B9,input_442105!L:R,7,FALSE),VLOOKUP(tables_442105!C9,input_442105!A:H,8,FALSE))</f>
        <v>66035.199999999997</v>
      </c>
      <c r="P9" s="46">
        <f t="shared" ca="1" si="1"/>
        <v>5.599999999999993E-3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input_442105!A$2</f>
        <v>442105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IFERROR(VLOOKUP(B10,input_442105!L:R,7,FALSE),VLOOKUP(tables_442105!C10,input_442105!A:H,8,FALSE))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input_442105!A$2</f>
        <v>442105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IFERROR(VLOOKUP(B11,input_442105!L:R,7,FALSE),VLOOKUP(tables_442105!C11,input_442105!A:H,8,FALSE))</f>
        <v>66035.199999999997</v>
      </c>
      <c r="P11" s="46">
        <f t="shared" ca="1" si="1"/>
        <v>5.599999999999993E-3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input_442105!A$2</f>
        <v>442105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IFERROR(VLOOKUP(B12,input_442105!L:R,7,FALSE),VLOOKUP(tables_442105!C12,input_442105!A:H,8,FALSE))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input_442105!A$2</f>
        <v>442105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IFERROR(VLOOKUP(B13,input_442105!L:R,7,FALSE),VLOOKUP(tables_442105!C13,input_442105!A:H,8,FALSE))</f>
        <v>66035.199999999997</v>
      </c>
      <c r="P13" s="46">
        <f t="shared" ca="1" si="1"/>
        <v>5.599999999999993E-3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input_442105!A$2</f>
        <v>442105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IFERROR(VLOOKUP(B14,input_442105!L:R,7,FALSE),VLOOKUP(tables_442105!C14,input_442105!A:H,8,FALSE))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input_442105!A$2</f>
        <v>442105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IFERROR(VLOOKUP(B15,input_442105!L:R,7,FALSE),VLOOKUP(tables_442105!C15,input_442105!A:H,8,FALSE))</f>
        <v>323690.40000000002</v>
      </c>
      <c r="P15" s="46">
        <f t="shared" ca="1" si="1"/>
        <v>2.7449999999999967E-2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input_442105!A$2</f>
        <v>442105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IFERROR(VLOOKUP(B16,input_442105!L:R,7,FALSE),VLOOKUP(tables_442105!C16,input_442105!A:H,8,FALSE))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input_442105!A$2</f>
        <v>442105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IFERROR(VLOOKUP(B17,input_442105!L:R,7,FALSE),VLOOKUP(tables_442105!C17,input_442105!A:H,8,FALSE))</f>
        <v>66035.199999999997</v>
      </c>
      <c r="P17" s="46">
        <f t="shared" ca="1" si="1"/>
        <v>5.599999999999993E-3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input_442105!A$2</f>
        <v>442105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IFERROR(VLOOKUP(B18,input_442105!L:R,7,FALSE),VLOOKUP(tables_442105!C18,input_442105!A:H,8,FALSE))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input_442105!A$2</f>
        <v>442105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IFERROR(VLOOKUP(B19,input_442105!L:R,7,FALSE),VLOOKUP(tables_442105!C19,input_442105!A:H,8,FALSE))</f>
        <v>66035.199999999997</v>
      </c>
      <c r="P19" s="46">
        <f t="shared" ca="1" si="1"/>
        <v>5.599999999999993E-3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input_442105!A$2</f>
        <v>442105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IFERROR(VLOOKUP(B20,input_442105!L:R,7,FALSE),VLOOKUP(tables_442105!C20,input_442105!A:H,8,FALSE))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input_442105!A$2</f>
        <v>442105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IFERROR(VLOOKUP(B21,input_442105!L:R,7,FALSE),VLOOKUP(tables_442105!C21,input_442105!A:H,8,FALSE))</f>
        <v>66035.199999999997</v>
      </c>
      <c r="P21" s="46">
        <f t="shared" ca="1" si="1"/>
        <v>5.599999999999993E-3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input_442105!A$2</f>
        <v>442105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IFERROR(VLOOKUP(B22,input_442105!L:R,7,FALSE),VLOOKUP(tables_442105!C22,input_442105!A:H,8,FALSE))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input_442105!A$2</f>
        <v>442105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IFERROR(VLOOKUP(B23,input_442105!L:R,7,FALSE),VLOOKUP(tables_442105!C23,input_442105!A:H,8,FALSE))</f>
        <v>323690.40000000002</v>
      </c>
      <c r="P23" s="46">
        <f t="shared" ca="1" si="1"/>
        <v>2.7449999999999967E-2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input_442105!A$2</f>
        <v>442105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IFERROR(VLOOKUP(B24,input_442105!L:R,7,FALSE),VLOOKUP(tables_442105!C24,input_442105!A:H,8,FALSE))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input_442105!A$2</f>
        <v>442105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IFERROR(VLOOKUP(B25,input_442105!L:R,7,FALSE),VLOOKUP(tables_442105!C25,input_442105!A:H,8,FALSE))</f>
        <v>66035.199999999997</v>
      </c>
      <c r="P25" s="46">
        <f t="shared" ca="1" si="1"/>
        <v>5.599999999999993E-3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input_442105!A$2</f>
        <v>442105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IFERROR(VLOOKUP(B26,input_442105!L:R,7,FALSE),VLOOKUP(tables_442105!C26,input_442105!A:H,8,FALSE))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input_442105!A$2</f>
        <v>442105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IFERROR(VLOOKUP(B27,input_442105!L:R,7,FALSE),VLOOKUP(tables_442105!C27,input_442105!A:H,8,FALSE))</f>
        <v>66035.199999999997</v>
      </c>
      <c r="P27" s="46">
        <f t="shared" ca="1" si="1"/>
        <v>5.599999999999993E-3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input_442105!A$2</f>
        <v>442105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IFERROR(VLOOKUP(B28,input_442105!L:R,7,FALSE),VLOOKUP(tables_442105!C28,input_442105!A:H,8,FALSE))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input_442105!A$2</f>
        <v>442105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IFERROR(VLOOKUP(B29,input_442105!L:R,7,FALSE),VLOOKUP(tables_442105!C29,input_442105!A:H,8,FALSE))</f>
        <v>66035.199999999997</v>
      </c>
      <c r="P29" s="46">
        <f t="shared" ca="1" si="1"/>
        <v>5.599999999999993E-3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input_442105!A$2</f>
        <v>442105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IFERROR(VLOOKUP(B30,input_442105!L:R,7,FALSE),VLOOKUP(tables_442105!C30,input_442105!A:H,8,FALSE))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input_442105!A$2</f>
        <v>442105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IFERROR(VLOOKUP(B31,input_442105!L:R,7,FALSE),VLOOKUP(tables_442105!C31,input_442105!A:H,8,FALSE))</f>
        <v>323690.40000000002</v>
      </c>
      <c r="P31" s="46">
        <f t="shared" ca="1" si="1"/>
        <v>2.7449999999999967E-2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input_442105!A$2</f>
        <v>442105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IFERROR(VLOOKUP(B32,input_442105!L:R,7,FALSE),VLOOKUP(tables_442105!C32,input_442105!A:H,8,FALSE))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input_442105!A$2</f>
        <v>442105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IFERROR(VLOOKUP(B33,input_442105!L:R,7,FALSE),VLOOKUP(tables_442105!C33,input_442105!A:H,8,FALSE))</f>
        <v>66035.199999999997</v>
      </c>
      <c r="P33" s="46">
        <f t="shared" ca="1" si="1"/>
        <v>5.599999999999993E-3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input_442105!A$2</f>
        <v>442105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IFERROR(VLOOKUP(B34,input_442105!L:R,7,FALSE),VLOOKUP(tables_442105!C34,input_442105!A:H,8,FALSE))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input_442105!A$2</f>
        <v>442105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IFERROR(VLOOKUP(B35,input_442105!L:R,7,FALSE),VLOOKUP(tables_442105!C35,input_442105!A:H,8,FALSE))</f>
        <v>66035.199999999997</v>
      </c>
      <c r="P35" s="46">
        <f t="shared" ca="1" si="1"/>
        <v>5.599999999999993E-3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input_442105!A$2</f>
        <v>442105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IFERROR(VLOOKUP(B36,input_442105!L:R,7,FALSE),VLOOKUP(tables_442105!C36,input_442105!A:H,8,FALSE))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input_442105!A$2</f>
        <v>442105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IFERROR(VLOOKUP(B37,input_442105!L:R,7,FALSE),VLOOKUP(tables_442105!C37,input_442105!A:H,8,FALSE))</f>
        <v>66035.199999999997</v>
      </c>
      <c r="P37" s="46">
        <f t="shared" ca="1" si="1"/>
        <v>5.599999999999993E-3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input_442105!A$2</f>
        <v>442105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IFERROR(VLOOKUP(B38,input_442105!L:R,7,FALSE),VLOOKUP(tables_442105!C38,input_442105!A:H,8,FALSE))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input_442105!A$2</f>
        <v>442105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IFERROR(VLOOKUP(B39,input_442105!L:R,7,FALSE),VLOOKUP(tables_442105!C39,input_442105!A:H,8,FALSE))</f>
        <v>323690.40000000002</v>
      </c>
      <c r="P39" s="46">
        <f t="shared" ca="1" si="1"/>
        <v>2.7449999999999967E-2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input_442105!A$2</f>
        <v>442105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IFERROR(VLOOKUP(B40,input_442105!L:R,7,FALSE),VLOOKUP(tables_442105!C40,input_442105!A:H,8,FALSE))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input_442105!A$2</f>
        <v>442105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IFERROR(VLOOKUP(B41,input_442105!L:R,7,FALSE),VLOOKUP(tables_442105!C41,input_442105!A:H,8,FALSE))</f>
        <v>66035.199999999997</v>
      </c>
      <c r="P41" s="46">
        <f t="shared" ca="1" si="1"/>
        <v>5.599999999999993E-3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input_442105!A$2</f>
        <v>442105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IFERROR(VLOOKUP(B42,input_442105!L:R,7,FALSE),VLOOKUP(tables_442105!C42,input_442105!A:H,8,FALSE))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input_442105!A$2</f>
        <v>442105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IFERROR(VLOOKUP(B43,input_442105!L:R,7,FALSE),VLOOKUP(tables_442105!C43,input_442105!A:H,8,FALSE))</f>
        <v>62733.440000000002</v>
      </c>
      <c r="P43" s="46">
        <f t="shared" ca="1" si="1"/>
        <v>5.3199999999999931E-3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input_442105!A$2</f>
        <v>442105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IFERROR(VLOOKUP(B44,input_442105!L:R,7,FALSE),VLOOKUP(tables_442105!C44,input_442105!A:H,8,FALSE))</f>
        <v>3301.76</v>
      </c>
      <c r="P44" s="46">
        <f t="shared" ca="1" si="1"/>
        <v>2.7999999999999965E-4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input_442105!A$2</f>
        <v>442105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IFERROR(VLOOKUP(B45,input_442105!L:R,7,FALSE),VLOOKUP(tables_442105!C45,input_442105!A:H,8,FALSE))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input_442105!A$2</f>
        <v>442105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IFERROR(VLOOKUP(B46,input_442105!L:R,7,FALSE),VLOOKUP(tables_442105!C46,input_442105!A:H,8,FALSE))</f>
        <v>62733.440000000002</v>
      </c>
      <c r="P46" s="46">
        <f t="shared" ca="1" si="1"/>
        <v>5.3199999999999931E-3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input_442105!A$2</f>
        <v>442105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IFERROR(VLOOKUP(B47,input_442105!L:R,7,FALSE),VLOOKUP(tables_442105!C47,input_442105!A:H,8,FALSE))</f>
        <v>3301.76</v>
      </c>
      <c r="P47" s="46">
        <f t="shared" ca="1" si="1"/>
        <v>2.7999999999999965E-4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input_442105!A$2</f>
        <v>442105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IFERROR(VLOOKUP(B48,input_442105!L:R,7,FALSE),VLOOKUP(tables_442105!C48,input_442105!A:H,8,FALSE))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input_442105!A$2</f>
        <v>442105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IFERROR(VLOOKUP(B49,input_442105!L:R,7,FALSE),VLOOKUP(tables_442105!C49,input_442105!A:H,8,FALSE))</f>
        <v>262696.28000000003</v>
      </c>
      <c r="P49" s="46">
        <f t="shared" ca="1" si="1"/>
        <v>2.2277499999999974E-2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input_442105!A$2</f>
        <v>442105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IFERROR(VLOOKUP(B50,input_442105!L:R,7,FALSE),VLOOKUP(tables_442105!C50,input_442105!A:H,8,FALSE))</f>
        <v>13826.12</v>
      </c>
      <c r="P50" s="46">
        <f t="shared" ca="1" si="1"/>
        <v>1.1724999999999986E-3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input_442105!A$2</f>
        <v>442105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IFERROR(VLOOKUP(B51,input_442105!L:R,7,FALSE),VLOOKUP(tables_442105!C51,input_442105!A:H,8,FALSE))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input_442105!A$2</f>
        <v>442105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IFERROR(VLOOKUP(B52,input_442105!L:R,7,FALSE),VLOOKUP(tables_442105!C52,input_442105!A:H,8,FALSE))</f>
        <v>59630.282099999997</v>
      </c>
      <c r="P52" s="46">
        <f t="shared" ca="1" si="1"/>
        <v>5.0568421048168182E-3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input_442105!A$2</f>
        <v>442105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IFERROR(VLOOKUP(B53,input_442105!L:R,7,FALSE),VLOOKUP(tables_442105!C53,input_442105!A:H,8,FALSE))</f>
        <v>198.60211000000001</v>
      </c>
      <c r="P53" s="46">
        <f t="shared" ca="1" si="1"/>
        <v>1.6842105664857508E-5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input_442105!A$2</f>
        <v>442105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IFERROR(VLOOKUP(B54,input_442105!L:R,7,FALSE),VLOOKUP(tables_442105!C54,input_442105!A:H,8,FALSE))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input_442105!A$2</f>
        <v>442105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IFERROR(VLOOKUP(B55,input_442105!L:R,7,FALSE),VLOOKUP(tables_442105!C55,input_442105!A:H,8,FALSE))</f>
        <v>59630.282099999997</v>
      </c>
      <c r="P55" s="46">
        <f t="shared" ca="1" si="1"/>
        <v>5.0568421048168182E-3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input_442105!A$2</f>
        <v>442105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IFERROR(VLOOKUP(B56,input_442105!L:R,7,FALSE),VLOOKUP(tables_442105!C56,input_442105!A:H,8,FALSE))</f>
        <v>198.60211000000001</v>
      </c>
      <c r="P56" s="46">
        <f t="shared" ca="1" si="1"/>
        <v>1.6842105664857508E-5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input_442105!A$2</f>
        <v>442105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IFERROR(VLOOKUP(B57,input_442105!L:R,7,FALSE),VLOOKUP(tables_442105!C57,input_442105!A:H,8,FALSE))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input_442105!A$2</f>
        <v>442105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IFERROR(VLOOKUP(B58,input_442105!L:R,7,FALSE),VLOOKUP(tables_442105!C58,input_442105!A:H,8,FALSE))</f>
        <v>59630.282099999997</v>
      </c>
      <c r="P58" s="46">
        <f t="shared" ca="1" si="1"/>
        <v>5.0568421048168182E-3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input_442105!A$2</f>
        <v>442105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IFERROR(VLOOKUP(B59,input_442105!L:R,7,FALSE),VLOOKUP(tables_442105!C59,input_442105!A:H,8,FALSE))</f>
        <v>198.60211000000001</v>
      </c>
      <c r="P59" s="46">
        <f t="shared" ca="1" si="1"/>
        <v>1.6842105664857508E-5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input_442105!A$2</f>
        <v>442105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IFERROR(VLOOKUP(B60,input_442105!L:R,7,FALSE),VLOOKUP(tables_442105!C60,input_442105!A:H,8,FALSE))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input_442105!A$2</f>
        <v>442105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IFERROR(VLOOKUP(B61,input_442105!L:R,7,FALSE),VLOOKUP(tables_442105!C61,input_442105!A:H,8,FALSE))</f>
        <v>271958.21593000001</v>
      </c>
      <c r="P61" s="46">
        <f t="shared" ca="1" si="1"/>
        <v>2.3062942327849362E-2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input_442105!A$2</f>
        <v>442105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IFERROR(VLOOKUP(B62,input_442105!L:R,7,FALSE),VLOOKUP(tables_442105!C62,input_442105!A:H,8,FALSE))</f>
        <v>4564.1840700000002</v>
      </c>
      <c r="P62" s="46">
        <f t="shared" ca="1" si="1"/>
        <v>3.8705767215061013E-4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input_442105!A$2</f>
        <v>442105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IFERROR(VLOOKUP(B63,input_442105!L:R,7,FALSE),VLOOKUP(tables_442105!C63,input_442105!A:H,8,FALSE))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input_442105!A$2</f>
        <v>442105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IFERROR(VLOOKUP(B64,input_442105!L:R,7,FALSE),VLOOKUP(tables_442105!C64,input_442105!A:H,8,FALSE))</f>
        <v>59630.282099999997</v>
      </c>
      <c r="P64" s="46">
        <f t="shared" ca="1" si="1"/>
        <v>5.0568421048168182E-3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input_442105!A$2</f>
        <v>442105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IFERROR(VLOOKUP(B65,input_442105!L:R,7,FALSE),VLOOKUP(tables_442105!C65,input_442105!A:H,8,FALSE))</f>
        <v>198.60211000000001</v>
      </c>
      <c r="P65" s="46">
        <f t="shared" ca="1" si="1"/>
        <v>1.6842105664857508E-5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input_442105!A$2</f>
        <v>442105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IFERROR(VLOOKUP(B66,input_442105!L:R,7,FALSE),VLOOKUP(tables_442105!C66,input_442105!A:H,8,FALSE))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input_442105!A$2</f>
        <v>442105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IF(K67="blue","color","")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IFERROR(VLOOKUP(B67,input_442105!L:R,7,FALSE),VLOOKUP(tables_442105!C67,input_442105!A:H,8,FALSE))</f>
        <v>59630.282099999997</v>
      </c>
      <c r="P67" s="46">
        <f t="shared" ca="1" si="5"/>
        <v>5.0568421048168182E-3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input_442105!A$2</f>
        <v>442105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IFERROR(VLOOKUP(B68,input_442105!L:R,7,FALSE),VLOOKUP(tables_442105!C68,input_442105!A:H,8,FALSE))</f>
        <v>198.60211000000001</v>
      </c>
      <c r="P68" s="46">
        <f t="shared" ca="1" si="5"/>
        <v>1.6842105664857508E-5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input_442105!A$2</f>
        <v>442105</v>
      </c>
      <c r="B69" s="10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IFERROR(VLOOKUP(B69,input_442105!L:R,7,FALSE),VLOOKUP(tables_442105!C69,input_442105!A:H,8,FALSE))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input_442105!A$2</f>
        <v>442105</v>
      </c>
      <c r="B70" s="6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IFERROR(VLOOKUP(B70,input_442105!L:R,7,FALSE),VLOOKUP(tables_442105!C70,input_442105!A:H,8,FALSE))</f>
        <v>59630.282099999997</v>
      </c>
      <c r="P70" s="46">
        <f t="shared" ca="1" si="5"/>
        <v>5.0568421048168182E-3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input_442105!A$2</f>
        <v>442105</v>
      </c>
      <c r="B71" s="10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IFERROR(VLOOKUP(B71,input_442105!L:R,7,FALSE),VLOOKUP(tables_442105!C71,input_442105!A:H,8,FALSE))</f>
        <v>198.60211000000001</v>
      </c>
      <c r="P71" s="46">
        <f t="shared" ca="1" si="5"/>
        <v>1.6842105664857508E-5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input_442105!A$2</f>
        <v>442105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IFERROR(VLOOKUP(B72,input_442105!L:R,7,FALSE),VLOOKUP(tables_442105!C72,input_442105!A:H,8,FALSE))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input_442105!A$2</f>
        <v>442105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IFERROR(VLOOKUP(B73,input_442105!L:R,7,FALSE),VLOOKUP(tables_442105!C73,input_442105!A:H,8,FALSE))</f>
        <v>59630.282099999997</v>
      </c>
      <c r="P73" s="46">
        <f t="shared" ca="1" si="5"/>
        <v>5.0568421048168182E-3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input_442105!A$2</f>
        <v>442105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IFERROR(VLOOKUP(B74,input_442105!L:R,7,FALSE),VLOOKUP(tables_442105!C74,input_442105!A:H,8,FALSE))</f>
        <v>198.60211000000001</v>
      </c>
      <c r="P74" s="46">
        <f t="shared" ca="1" si="5"/>
        <v>1.6842105664857508E-5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input_442105!A$2</f>
        <v>442105</v>
      </c>
      <c r="B75" s="6">
        <v>199</v>
      </c>
      <c r="C75" s="7" t="str">
        <f t="shared" si="4"/>
        <v>Premium3color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IFERROR(VLOOKUP(B75,input_442105!L:R,7,FALSE),VLOOKUP(tables_442105!C75,input_442105!A:H,8,FALSE))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input_442105!A$2</f>
        <v>442105</v>
      </c>
      <c r="B76" s="5">
        <v>200</v>
      </c>
      <c r="C76" s="7" t="str">
        <f t="shared" si="4"/>
        <v>Premium4color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IFERROR(VLOOKUP(B76,input_442105!L:R,7,FALSE),VLOOKUP(tables_442105!C76,input_442105!A:H,8,FALSE))</f>
        <v>271958.21593000001</v>
      </c>
      <c r="P76" s="46">
        <f t="shared" ca="1" si="5"/>
        <v>2.3062942327849362E-2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input_442105!A$2</f>
        <v>442105</v>
      </c>
      <c r="B77" s="5">
        <v>201</v>
      </c>
      <c r="C77" s="7" t="str">
        <f t="shared" si="4"/>
        <v>Premium5color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IFERROR(VLOOKUP(B77,input_442105!L:R,7,FALSE),VLOOKUP(tables_442105!C77,input_442105!A:H,8,FALSE))</f>
        <v>4564.1840700000002</v>
      </c>
      <c r="P77" s="46">
        <f t="shared" ca="1" si="5"/>
        <v>3.8705767215061013E-4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input_442105!A$2</f>
        <v>442105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IFERROR(VLOOKUP(B78,input_442105!L:R,7,FALSE),VLOOKUP(tables_442105!C78,input_442105!A:H,8,FALSE))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input_442105!A$2</f>
        <v>442105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IFERROR(VLOOKUP(B79,input_442105!L:R,7,FALSE),VLOOKUP(tables_442105!C79,input_442105!A:H,8,FALSE))</f>
        <v>59630.282099999997</v>
      </c>
      <c r="P79" s="46">
        <f t="shared" ca="1" si="5"/>
        <v>5.0568421048168182E-3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input_442105!A$2</f>
        <v>442105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IFERROR(VLOOKUP(B80,input_442105!L:R,7,FALSE),VLOOKUP(tables_442105!C80,input_442105!A:H,8,FALSE))</f>
        <v>198.60211000000001</v>
      </c>
      <c r="P80" s="46">
        <f t="shared" ca="1" si="5"/>
        <v>1.6842105664857508E-5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input_442105!A$2</f>
        <v>442105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IFERROR(VLOOKUP(B81,input_442105!L:R,7,FALSE),VLOOKUP(tables_442105!C81,input_442105!A:H,8,FALSE))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input_442105!A$2</f>
        <v>442105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IFERROR(VLOOKUP(B82,input_442105!L:R,7,FALSE),VLOOKUP(tables_442105!C82,input_442105!A:H,8,FALSE))</f>
        <v>59630.282099999997</v>
      </c>
      <c r="P82" s="46">
        <f t="shared" ca="1" si="5"/>
        <v>5.0568421048168182E-3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input_442105!A$2</f>
        <v>442105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IFERROR(VLOOKUP(B83,input_442105!L:R,7,FALSE),VLOOKUP(tables_442105!C83,input_442105!A:H,8,FALSE))</f>
        <v>198.60211000000001</v>
      </c>
      <c r="P83" s="46">
        <f t="shared" ca="1" si="5"/>
        <v>1.6842105664857508E-5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input_442105!A$2</f>
        <v>442105</v>
      </c>
      <c r="B84" s="5">
        <v>208</v>
      </c>
      <c r="C84" s="7" t="str">
        <f t="shared" si="4"/>
        <v>Premium3color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IFERROR(VLOOKUP(B84,input_442105!L:R,7,FALSE),VLOOKUP(tables_442105!C84,input_442105!A:H,8,FALSE))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input_442105!A$2</f>
        <v>442105</v>
      </c>
      <c r="B85" s="5">
        <v>209</v>
      </c>
      <c r="C85" s="7" t="str">
        <f t="shared" si="4"/>
        <v>Premium4color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IFERROR(VLOOKUP(B85,input_442105!L:R,7,FALSE),VLOOKUP(tables_442105!C85,input_442105!A:H,8,FALSE))</f>
        <v>271958.21593000001</v>
      </c>
      <c r="P85" s="46">
        <f t="shared" ca="1" si="5"/>
        <v>2.3062942327849362E-2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input_442105!A$2</f>
        <v>442105</v>
      </c>
      <c r="B86" s="5">
        <v>210</v>
      </c>
      <c r="C86" s="7" t="str">
        <f t="shared" si="4"/>
        <v>Premium5color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IFERROR(VLOOKUP(B86,input_442105!L:R,7,FALSE),VLOOKUP(tables_442105!C86,input_442105!A:H,8,FALSE))</f>
        <v>4564.1840700000002</v>
      </c>
      <c r="P86" s="46">
        <f t="shared" ca="1" si="5"/>
        <v>3.8705767215061013E-4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input_442105!A$2</f>
        <v>442105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IFERROR(VLOOKUP(B87,input_442105!L:R,7,FALSE),VLOOKUP(tables_442105!C87,input_442105!A:H,8,FALSE))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input_442105!A$2</f>
        <v>442105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IFERROR(VLOOKUP(B88,input_442105!L:R,7,FALSE),VLOOKUP(tables_442105!C88,input_442105!A:H,8,FALSE))</f>
        <v>59630.282099999997</v>
      </c>
      <c r="P88" s="46">
        <f t="shared" ca="1" si="5"/>
        <v>5.0568421048168182E-3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input_442105!A$2</f>
        <v>442105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IFERROR(VLOOKUP(B89,input_442105!L:R,7,FALSE),VLOOKUP(tables_442105!C89,input_442105!A:H,8,FALSE))</f>
        <v>198.60211000000001</v>
      </c>
      <c r="P89" s="46">
        <f t="shared" ca="1" si="5"/>
        <v>1.6842105664857508E-5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input_442105!A$2</f>
        <v>442105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IFERROR(VLOOKUP(B90,input_442105!L:R,7,FALSE),VLOOKUP(tables_442105!C90,input_442105!A:H,8,FALSE))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input_442105!A$2</f>
        <v>442105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IFERROR(VLOOKUP(B91,input_442105!L:R,7,FALSE),VLOOKUP(tables_442105!C91,input_442105!A:H,8,FALSE))</f>
        <v>59630.282099999997</v>
      </c>
      <c r="P91" s="46">
        <f t="shared" ca="1" si="5"/>
        <v>5.0568421048168182E-3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input_442105!A$2</f>
        <v>442105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IFERROR(VLOOKUP(B92,input_442105!L:R,7,FALSE),VLOOKUP(tables_442105!C92,input_442105!A:H,8,FALSE))</f>
        <v>198.60211000000001</v>
      </c>
      <c r="P92" s="46">
        <f t="shared" ca="1" si="5"/>
        <v>1.6842105664857508E-5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input_442105!A$2</f>
        <v>442105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IFERROR(VLOOKUP(B93,input_442105!L:R,7,FALSE),VLOOKUP(tables_442105!C93,input_442105!A:H,8,FALSE))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input_442105!A$2</f>
        <v>442105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IFERROR(VLOOKUP(B94,input_442105!L:R,7,FALSE),VLOOKUP(tables_442105!C94,input_442105!A:H,8,FALSE))</f>
        <v>59630.282099999997</v>
      </c>
      <c r="P94" s="46">
        <f t="shared" ca="1" si="5"/>
        <v>5.0568421048168182E-3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input_442105!A$2</f>
        <v>442105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IFERROR(VLOOKUP(B95,input_442105!L:R,7,FALSE),VLOOKUP(tables_442105!C95,input_442105!A:H,8,FALSE))</f>
        <v>198.60211000000001</v>
      </c>
      <c r="P95" s="46">
        <f t="shared" ca="1" si="5"/>
        <v>1.6842105664857508E-5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input_442105!A$2</f>
        <v>442105</v>
      </c>
      <c r="B96" s="5">
        <v>220</v>
      </c>
      <c r="C96" s="7" t="str">
        <f t="shared" si="4"/>
        <v>Premium3color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IFERROR(VLOOKUP(B96,input_442105!L:R,7,FALSE),VLOOKUP(tables_442105!C96,input_442105!A:H,8,FALSE))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input_442105!A$2</f>
        <v>442105</v>
      </c>
      <c r="B97" s="5">
        <v>221</v>
      </c>
      <c r="C97" s="7" t="str">
        <f t="shared" si="4"/>
        <v>Premium4color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IFERROR(VLOOKUP(B97,input_442105!L:R,7,FALSE),VLOOKUP(tables_442105!C97,input_442105!A:H,8,FALSE))</f>
        <v>271958.21593000001</v>
      </c>
      <c r="P97" s="46">
        <f t="shared" ca="1" si="5"/>
        <v>2.3062942327849362E-2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input_442105!A$2</f>
        <v>442105</v>
      </c>
      <c r="B98" s="5">
        <v>222</v>
      </c>
      <c r="C98" s="7" t="str">
        <f t="shared" si="4"/>
        <v>Premium5color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IFERROR(VLOOKUP(B98,input_442105!L:R,7,FALSE),VLOOKUP(tables_442105!C98,input_442105!A:H,8,FALSE))</f>
        <v>4564.1840700000002</v>
      </c>
      <c r="P98" s="46">
        <f t="shared" ca="1" si="5"/>
        <v>3.8705767215061013E-4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input_442105!A$2</f>
        <v>442105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IFERROR(VLOOKUP(B99,input_442105!L:R,7,FALSE),VLOOKUP(tables_442105!C99,input_442105!A:H,8,FALSE))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input_442105!A$2</f>
        <v>442105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IFERROR(VLOOKUP(B100,input_442105!L:R,7,FALSE),VLOOKUP(tables_442105!C100,input_442105!A:H,8,FALSE))</f>
        <v>59630.282099999997</v>
      </c>
      <c r="P100" s="46">
        <f t="shared" ca="1" si="5"/>
        <v>5.0568421048168182E-3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input_442105!A$2</f>
        <v>442105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IFERROR(VLOOKUP(B101,input_442105!L:R,7,FALSE),VLOOKUP(tables_442105!C101,input_442105!A:H,8,FALSE))</f>
        <v>198.60211000000001</v>
      </c>
      <c r="P101" s="46">
        <f t="shared" ca="1" si="5"/>
        <v>1.6842105664857508E-5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input_442105!A$2</f>
        <v>442105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IFERROR(VLOOKUP(B102,input_442105!L:R,7,FALSE),VLOOKUP(tables_442105!C102,input_442105!A:H,8,FALSE))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input_442105!A$2</f>
        <v>442105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IFERROR(VLOOKUP(B103,input_442105!L:R,7,FALSE),VLOOKUP(tables_442105!C103,input_442105!A:H,8,FALSE))</f>
        <v>59630.282099999997</v>
      </c>
      <c r="P103" s="46">
        <f t="shared" ca="1" si="5"/>
        <v>5.0568421048168182E-3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input_442105!A$2</f>
        <v>442105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IFERROR(VLOOKUP(B104,input_442105!L:R,7,FALSE),VLOOKUP(tables_442105!C104,input_442105!A:H,8,FALSE))</f>
        <v>198.60211000000001</v>
      </c>
      <c r="P104" s="46">
        <f t="shared" ca="1" si="5"/>
        <v>1.6842105664857508E-5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input_442105!A$2</f>
        <v>442105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IFERROR(VLOOKUP(B105,input_442105!L:R,7,FALSE),VLOOKUP(tables_442105!C105,input_442105!A:H,8,FALSE))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input_442105!A$2</f>
        <v>442105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IFERROR(VLOOKUP(B106,input_442105!L:R,7,FALSE),VLOOKUP(tables_442105!C106,input_442105!A:H,8,FALSE))</f>
        <v>59630.282099999997</v>
      </c>
      <c r="P106" s="46">
        <f t="shared" ca="1" si="5"/>
        <v>5.0568421048168182E-3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input_442105!A$2</f>
        <v>442105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IFERROR(VLOOKUP(B107,input_442105!L:R,7,FALSE),VLOOKUP(tables_442105!C107,input_442105!A:H,8,FALSE))</f>
        <v>198.60211000000001</v>
      </c>
      <c r="P107" s="46">
        <f t="shared" ca="1" si="5"/>
        <v>1.6842105664857508E-5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input_442105!A$2</f>
        <v>442105</v>
      </c>
      <c r="B108" s="5">
        <v>232</v>
      </c>
      <c r="C108" s="7" t="str">
        <f t="shared" si="4"/>
        <v>Premium3color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IFERROR(VLOOKUP(B108,input_442105!L:R,7,FALSE),VLOOKUP(tables_442105!C108,input_442105!A:H,8,FALSE))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input_442105!A$2</f>
        <v>442105</v>
      </c>
      <c r="B109" s="5">
        <v>233</v>
      </c>
      <c r="C109" s="7" t="str">
        <f t="shared" si="4"/>
        <v>Premium4color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IFERROR(VLOOKUP(B109,input_442105!L:R,7,FALSE),VLOOKUP(tables_442105!C109,input_442105!A:H,8,FALSE))</f>
        <v>271958.21593000001</v>
      </c>
      <c r="P109" s="46">
        <f t="shared" ca="1" si="5"/>
        <v>2.3062942327849362E-2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input_442105!A$2</f>
        <v>442105</v>
      </c>
      <c r="B110" s="5">
        <v>234</v>
      </c>
      <c r="C110" s="7" t="str">
        <f t="shared" si="4"/>
        <v>Premium5color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IFERROR(VLOOKUP(B110,input_442105!L:R,7,FALSE),VLOOKUP(tables_442105!C110,input_442105!A:H,8,FALSE))</f>
        <v>4564.1840700000002</v>
      </c>
      <c r="P110" s="46">
        <f t="shared" ca="1" si="5"/>
        <v>3.8705767215061013E-4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input_442105!A$2</f>
        <v>442105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IFERROR(VLOOKUP(B111,input_442105!L:R,7,FALSE),VLOOKUP(tables_442105!C111,input_442105!A:H,8,FALSE))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input_442105!A$2</f>
        <v>442105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IFERROR(VLOOKUP(B112,input_442105!L:R,7,FALSE),VLOOKUP(tables_442105!C112,input_442105!A:H,8,FALSE))</f>
        <v>62733.440000000002</v>
      </c>
      <c r="P112" s="46">
        <f t="shared" ca="1" si="5"/>
        <v>5.3199999999999931E-3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input_442105!A$2</f>
        <v>442105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IFERROR(VLOOKUP(B113,input_442105!L:R,7,FALSE),VLOOKUP(tables_442105!C113,input_442105!A:H,8,FALSE))</f>
        <v>3301.76</v>
      </c>
      <c r="P113" s="46">
        <f t="shared" ca="1" si="5"/>
        <v>2.7999999999999965E-4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input_442105!A$2</f>
        <v>442105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IFERROR(VLOOKUP(B114,input_442105!L:R,7,FALSE),VLOOKUP(tables_442105!C114,input_442105!A:H,8,FALSE))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input_442105!A$2</f>
        <v>442105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IFERROR(VLOOKUP(B115,input_442105!L:R,7,FALSE),VLOOKUP(tables_442105!C115,input_442105!A:H,8,FALSE))</f>
        <v>59630.282099999997</v>
      </c>
      <c r="P115" s="46">
        <f t="shared" ca="1" si="5"/>
        <v>5.0568421048168182E-3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input_442105!A$2</f>
        <v>442105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IFERROR(VLOOKUP(B116,input_442105!L:R,7,FALSE),VLOOKUP(tables_442105!C116,input_442105!A:H,8,FALSE))</f>
        <v>198.60211000000001</v>
      </c>
      <c r="P116" s="46">
        <f t="shared" ca="1" si="5"/>
        <v>1.6842105664857508E-5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input_442105!A$2</f>
        <v>442105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IFERROR(VLOOKUP(B117,input_442105!L:R,7,FALSE),VLOOKUP(tables_442105!C117,input_442105!A:H,8,FALSE))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input_442105!A$2</f>
        <v>442105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IFERROR(VLOOKUP(B118,input_442105!L:R,7,FALSE),VLOOKUP(tables_442105!C118,input_442105!A:H,8,FALSE))</f>
        <v>59630.282099999997</v>
      </c>
      <c r="P118" s="46">
        <f t="shared" ca="1" si="5"/>
        <v>5.0568421048168182E-3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input_442105!A$2</f>
        <v>442105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IFERROR(VLOOKUP(B119,input_442105!L:R,7,FALSE),VLOOKUP(tables_442105!C119,input_442105!A:H,8,FALSE))</f>
        <v>198.60211000000001</v>
      </c>
      <c r="P119" s="46">
        <f t="shared" ca="1" si="5"/>
        <v>1.6842105664857508E-5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input_442105!A$2</f>
        <v>442105</v>
      </c>
      <c r="B120" s="5">
        <v>244</v>
      </c>
      <c r="C120" s="7" t="str">
        <f t="shared" si="4"/>
        <v>Premium3color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IFERROR(VLOOKUP(B120,input_442105!L:R,7,FALSE),VLOOKUP(tables_442105!C120,input_442105!A:H,8,FALSE))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input_442105!A$2</f>
        <v>442105</v>
      </c>
      <c r="B121" s="5">
        <v>245</v>
      </c>
      <c r="C121" s="7" t="str">
        <f t="shared" si="4"/>
        <v>Premium4color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IFERROR(VLOOKUP(B121,input_442105!L:R,7,FALSE),VLOOKUP(tables_442105!C121,input_442105!A:H,8,FALSE))</f>
        <v>271958.21593000001</v>
      </c>
      <c r="P121" s="46">
        <f t="shared" ca="1" si="5"/>
        <v>2.3062942327849362E-2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input_442105!A$2</f>
        <v>442105</v>
      </c>
      <c r="B122" s="5">
        <v>246</v>
      </c>
      <c r="C122" s="7" t="str">
        <f t="shared" si="4"/>
        <v>Premium5color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IFERROR(VLOOKUP(B122,input_442105!L:R,7,FALSE),VLOOKUP(tables_442105!C122,input_442105!A:H,8,FALSE))</f>
        <v>4564.1840700000002</v>
      </c>
      <c r="P122" s="46">
        <f t="shared" ca="1" si="5"/>
        <v>3.8705767215061013E-4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input_442105!A$2</f>
        <v>442105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IFERROR(VLOOKUP(B123,input_442105!L:R,7,FALSE),VLOOKUP(tables_442105!C123,input_442105!A:H,8,FALSE))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input_442105!A$2</f>
        <v>442105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IFERROR(VLOOKUP(B124,input_442105!L:R,7,FALSE),VLOOKUP(tables_442105!C124,input_442105!A:H,8,FALSE))</f>
        <v>59630.282099999997</v>
      </c>
      <c r="P124" s="46">
        <f t="shared" ca="1" si="5"/>
        <v>5.0568421048168182E-3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input_442105!A$2</f>
        <v>442105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IFERROR(VLOOKUP(B125,input_442105!L:R,7,FALSE),VLOOKUP(tables_442105!C125,input_442105!A:H,8,FALSE))</f>
        <v>198.60211000000001</v>
      </c>
      <c r="P125" s="46">
        <f t="shared" ca="1" si="5"/>
        <v>1.6842105664857508E-5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input_442105!A$2</f>
        <v>442105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IFERROR(VLOOKUP(B126,input_442105!L:R,7,FALSE),VLOOKUP(tables_442105!C126,input_442105!A:H,8,FALSE))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input_442105!A$2</f>
        <v>442105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IFERROR(VLOOKUP(B127,input_442105!L:R,7,FALSE),VLOOKUP(tables_442105!C127,input_442105!A:H,8,FALSE))</f>
        <v>59630.282099999997</v>
      </c>
      <c r="P127" s="46">
        <f t="shared" ca="1" si="5"/>
        <v>5.0568421048168182E-3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input_442105!A$2</f>
        <v>442105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IFERROR(VLOOKUP(B128,input_442105!L:R,7,FALSE),VLOOKUP(tables_442105!C128,input_442105!A:H,8,FALSE))</f>
        <v>198.60211000000001</v>
      </c>
      <c r="P128" s="46">
        <f t="shared" ca="1" si="5"/>
        <v>1.6842105664857508E-5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input_442105!A$2</f>
        <v>442105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IFERROR(VLOOKUP(B129,input_442105!L:R,7,FALSE),VLOOKUP(tables_442105!C129,input_442105!A:H,8,FALSE))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input_442105!A$2</f>
        <v>442105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IFERROR(VLOOKUP(B130,input_442105!L:R,7,FALSE),VLOOKUP(tables_442105!C130,input_442105!A:H,8,FALSE))</f>
        <v>59630.282099999997</v>
      </c>
      <c r="P130" s="46">
        <f t="shared" ref="P130:P193" ca="1" si="9">O130/SUM(O:O)</f>
        <v>5.0568421048168182E-3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input_442105!A$2</f>
        <v>442105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IF(K131="blue","color","")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IFERROR(VLOOKUP(B131,input_442105!L:R,7,FALSE),VLOOKUP(tables_442105!C131,input_442105!A:H,8,FALSE))</f>
        <v>198.60211000000001</v>
      </c>
      <c r="P131" s="46">
        <f t="shared" ca="1" si="9"/>
        <v>1.6842105664857508E-5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input_442105!A$2</f>
        <v>442105</v>
      </c>
      <c r="B132" s="6">
        <v>256</v>
      </c>
      <c r="C132" s="7" t="str">
        <f t="shared" si="8"/>
        <v>Premium3color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IFERROR(VLOOKUP(B132,input_442105!L:R,7,FALSE),VLOOKUP(tables_442105!C132,input_442105!A:H,8,FALSE))</f>
        <v>0</v>
      </c>
      <c r="P132" s="46">
        <f t="shared" ca="1" si="9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input_442105!A$2</f>
        <v>442105</v>
      </c>
      <c r="B133" s="6">
        <v>257</v>
      </c>
      <c r="C133" s="7" t="str">
        <f t="shared" si="8"/>
        <v>Premium4color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IFERROR(VLOOKUP(B133,input_442105!L:R,7,FALSE),VLOOKUP(tables_442105!C133,input_442105!A:H,8,FALSE))</f>
        <v>271958.21593000001</v>
      </c>
      <c r="P133" s="46">
        <f t="shared" ca="1" si="9"/>
        <v>2.3062942327849362E-2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input_442105!A$2</f>
        <v>442105</v>
      </c>
      <c r="B134" s="6">
        <v>258</v>
      </c>
      <c r="C134" s="7" t="str">
        <f t="shared" si="8"/>
        <v>Premium5color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IFERROR(VLOOKUP(B134,input_442105!L:R,7,FALSE),VLOOKUP(tables_442105!C134,input_442105!A:H,8,FALSE))</f>
        <v>4564.1840700000002</v>
      </c>
      <c r="P134" s="46">
        <f t="shared" ca="1" si="9"/>
        <v>3.8705767215061013E-4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input_442105!A$2</f>
        <v>442105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IFERROR(VLOOKUP(B135,input_442105!L:R,7,FALSE),VLOOKUP(tables_442105!C135,input_442105!A:H,8,FALSE))</f>
        <v>0</v>
      </c>
      <c r="P135" s="46">
        <f t="shared" ca="1" si="9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input_442105!A$2</f>
        <v>442105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IFERROR(VLOOKUP(B136,input_442105!L:R,7,FALSE),VLOOKUP(tables_442105!C136,input_442105!A:H,8,FALSE))</f>
        <v>59630.282099999997</v>
      </c>
      <c r="P136" s="46">
        <f t="shared" ca="1" si="9"/>
        <v>5.0568421048168182E-3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input_442105!A$2</f>
        <v>442105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IFERROR(VLOOKUP(B137,input_442105!L:R,7,FALSE),VLOOKUP(tables_442105!C137,input_442105!A:H,8,FALSE))</f>
        <v>198.60211000000001</v>
      </c>
      <c r="P137" s="46">
        <f t="shared" ca="1" si="9"/>
        <v>1.6842105664857508E-5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input_442105!A$2</f>
        <v>442105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IFERROR(VLOOKUP(B138,input_442105!L:R,7,FALSE),VLOOKUP(tables_442105!C138,input_442105!A:H,8,FALSE))</f>
        <v>5625.9592300000004</v>
      </c>
      <c r="P138" s="46">
        <f t="shared" ca="1" si="9"/>
        <v>4.7709966333107137E-4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input_442105!A$2</f>
        <v>442105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IFERROR(VLOOKUP(B139,input_442105!L:R,7,FALSE),VLOOKUP(tables_442105!C139,input_442105!A:H,8,FALSE))</f>
        <v>268</v>
      </c>
      <c r="P139" s="46">
        <f t="shared" ca="1" si="9"/>
        <v>2.2727272727272699E-5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input_442105!A$2</f>
        <v>442105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IFERROR(VLOOKUP(B140,input_442105!L:R,7,FALSE),VLOOKUP(tables_442105!C140,input_442105!A:H,8,FALSE))</f>
        <v>5625.9592300000004</v>
      </c>
      <c r="P140" s="46">
        <f t="shared" ca="1" si="9"/>
        <v>4.7709966333107137E-4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input_442105!A$2</f>
        <v>442105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IFERROR(VLOOKUP(B141,input_442105!L:R,7,FALSE),VLOOKUP(tables_442105!C141,input_442105!A:H,8,FALSE))</f>
        <v>268</v>
      </c>
      <c r="P141" s="46">
        <f t="shared" ca="1" si="9"/>
        <v>2.2727272727272699E-5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input_442105!A$2</f>
        <v>442105</v>
      </c>
      <c r="B142" s="6">
        <v>324</v>
      </c>
      <c r="C142" s="7" t="str">
        <f t="shared" si="8"/>
        <v>PremiumSS4color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IFERROR(VLOOKUP(B142,input_442105!L:R,7,FALSE),VLOOKUP(tables_442105!C142,input_442105!A:H,8,FALSE))</f>
        <v>40898.812319999997</v>
      </c>
      <c r="P142" s="46">
        <f t="shared" ca="1" si="9"/>
        <v>3.468352469470823E-3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input_442105!A$2</f>
        <v>442105</v>
      </c>
      <c r="B143" s="6">
        <v>325</v>
      </c>
      <c r="C143" s="7" t="str">
        <f t="shared" si="8"/>
        <v>PremiumSS5color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IFERROR(VLOOKUP(B143,input_442105!L:R,7,FALSE),VLOOKUP(tables_442105!C143,input_442105!A:H,8,FALSE))</f>
        <v>1360.61538</v>
      </c>
      <c r="P143" s="46">
        <f t="shared" ca="1" si="9"/>
        <v>1.1538461499321559E-4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input_442105!A$2</f>
        <v>442105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IFERROR(VLOOKUP(B144,input_442105!L:R,7,FALSE),VLOOKUP(tables_442105!C144,input_442105!A:H,8,FALSE))</f>
        <v>5625.9592300000004</v>
      </c>
      <c r="P144" s="46">
        <f t="shared" ca="1" si="9"/>
        <v>4.7709966333107137E-4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input_442105!A$2</f>
        <v>442105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IFERROR(VLOOKUP(B145,input_442105!L:R,7,FALSE),VLOOKUP(tables_442105!C145,input_442105!A:H,8,FALSE))</f>
        <v>268</v>
      </c>
      <c r="P145" s="46">
        <f t="shared" ca="1" si="9"/>
        <v>2.2727272727272699E-5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input_442105!A$2</f>
        <v>442105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IFERROR(VLOOKUP(B146,input_442105!L:R,7,FALSE),VLOOKUP(tables_442105!C146,input_442105!A:H,8,FALSE))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input_442105!A$2</f>
        <v>442105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IFERROR(VLOOKUP(B147,input_442105!L:R,7,FALSE),VLOOKUP(tables_442105!C147,input_442105!A:H,8,FALSE))</f>
        <v>59630.282099999997</v>
      </c>
      <c r="P147" s="46">
        <f t="shared" ca="1" si="9"/>
        <v>5.0568421048168182E-3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input_442105!A$2</f>
        <v>442105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IFERROR(VLOOKUP(B148,input_442105!L:R,7,FALSE),VLOOKUP(tables_442105!C148,input_442105!A:H,8,FALSE))</f>
        <v>198.60211000000001</v>
      </c>
      <c r="P148" s="46">
        <f t="shared" ca="1" si="9"/>
        <v>1.6842105664857508E-5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input_442105!A$2</f>
        <v>442105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IFERROR(VLOOKUP(B149,input_442105!L:R,7,FALSE),VLOOKUP(tables_442105!C149,input_442105!A:H,8,FALSE))</f>
        <v>5625.9592300000004</v>
      </c>
      <c r="P149" s="46">
        <f t="shared" ca="1" si="9"/>
        <v>4.7709966333107137E-4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input_442105!A$2</f>
        <v>442105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IFERROR(VLOOKUP(B150,input_442105!L:R,7,FALSE),VLOOKUP(tables_442105!C150,input_442105!A:H,8,FALSE))</f>
        <v>268</v>
      </c>
      <c r="P150" s="46">
        <f t="shared" ca="1" si="9"/>
        <v>2.2727272727272699E-5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input_442105!A$2</f>
        <v>442105</v>
      </c>
      <c r="B151" s="6">
        <v>385</v>
      </c>
      <c r="C151" s="7" t="str">
        <f t="shared" si="8"/>
        <v>PremiumSS4color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IFERROR(VLOOKUP(B151,input_442105!L:R,7,FALSE),VLOOKUP(tables_442105!C151,input_442105!A:H,8,FALSE))</f>
        <v>40898.812319999997</v>
      </c>
      <c r="P151" s="46">
        <f t="shared" ca="1" si="9"/>
        <v>3.468352469470823E-3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input_442105!A$2</f>
        <v>442105</v>
      </c>
      <c r="B152" s="6">
        <v>386</v>
      </c>
      <c r="C152" s="7" t="str">
        <f t="shared" si="8"/>
        <v>PremiumSS5color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IFERROR(VLOOKUP(B152,input_442105!L:R,7,FALSE),VLOOKUP(tables_442105!C152,input_442105!A:H,8,FALSE))</f>
        <v>1360.61538</v>
      </c>
      <c r="P152" s="46">
        <f t="shared" ca="1" si="9"/>
        <v>1.1538461499321559E-4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input_442105!A$2</f>
        <v>442105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IFERROR(VLOOKUP(B153,input_442105!L:R,7,FALSE),VLOOKUP(tables_442105!C153,input_442105!A:H,8,FALSE))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input_442105!A$2</f>
        <v>442105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IFERROR(VLOOKUP(B154,input_442105!L:R,7,FALSE),VLOOKUP(tables_442105!C154,input_442105!A:H,8,FALSE))</f>
        <v>59630.282099999997</v>
      </c>
      <c r="P154" s="46">
        <f t="shared" ca="1" si="9"/>
        <v>5.0568421048168182E-3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input_442105!A$2</f>
        <v>442105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IFERROR(VLOOKUP(B155,input_442105!L:R,7,FALSE),VLOOKUP(tables_442105!C155,input_442105!A:H,8,FALSE))</f>
        <v>198.60211000000001</v>
      </c>
      <c r="P155" s="46">
        <f t="shared" ca="1" si="9"/>
        <v>1.6842105664857508E-5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input_442105!A$2</f>
        <v>442105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IFERROR(VLOOKUP(B156,input_442105!L:R,7,FALSE),VLOOKUP(tables_442105!C156,input_442105!A:H,8,FALSE))</f>
        <v>5625.9592300000004</v>
      </c>
      <c r="P156" s="46">
        <f t="shared" ca="1" si="9"/>
        <v>4.7709966333107137E-4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input_442105!A$2</f>
        <v>442105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IFERROR(VLOOKUP(B157,input_442105!L:R,7,FALSE),VLOOKUP(tables_442105!C157,input_442105!A:H,8,FALSE))</f>
        <v>268</v>
      </c>
      <c r="P157" s="46">
        <f t="shared" ca="1" si="9"/>
        <v>2.2727272727272699E-5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input_442105!A$2</f>
        <v>442105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IFERROR(VLOOKUP(B158,input_442105!L:R,7,FALSE),VLOOKUP(tables_442105!C158,input_442105!A:H,8,FALSE))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input_442105!A$2</f>
        <v>442105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IFERROR(VLOOKUP(B159,input_442105!L:R,7,FALSE),VLOOKUP(tables_442105!C159,input_442105!A:H,8,FALSE))</f>
        <v>59630.282099999997</v>
      </c>
      <c r="P159" s="46">
        <f t="shared" ca="1" si="9"/>
        <v>5.0568421048168182E-3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input_442105!A$2</f>
        <v>442105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IFERROR(VLOOKUP(B160,input_442105!L:R,7,FALSE),VLOOKUP(tables_442105!C160,input_442105!A:H,8,FALSE))</f>
        <v>198.60211000000001</v>
      </c>
      <c r="P160" s="46">
        <f t="shared" ca="1" si="9"/>
        <v>1.6842105664857508E-5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input_442105!A$2</f>
        <v>442105</v>
      </c>
      <c r="B161" s="6">
        <v>395</v>
      </c>
      <c r="C161" s="7" t="str">
        <f t="shared" si="8"/>
        <v>Premium3color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IFERROR(VLOOKUP(B161,input_442105!L:R,7,FALSE),VLOOKUP(tables_442105!C161,input_442105!A:H,8,FALSE))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input_442105!A$2</f>
        <v>442105</v>
      </c>
      <c r="B162" s="6">
        <v>396</v>
      </c>
      <c r="C162" s="7" t="str">
        <f t="shared" si="8"/>
        <v>Premium4color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IFERROR(VLOOKUP(B162,input_442105!L:R,7,FALSE),VLOOKUP(tables_442105!C162,input_442105!A:H,8,FALSE))</f>
        <v>271958.21593000001</v>
      </c>
      <c r="P162" s="46">
        <f t="shared" ca="1" si="9"/>
        <v>2.3062942327849362E-2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input_442105!A$2</f>
        <v>442105</v>
      </c>
      <c r="B163" s="6">
        <v>397</v>
      </c>
      <c r="C163" s="7" t="str">
        <f t="shared" si="8"/>
        <v>Premium5color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IFERROR(VLOOKUP(B163,input_442105!L:R,7,FALSE),VLOOKUP(tables_442105!C163,input_442105!A:H,8,FALSE))</f>
        <v>4564.1840700000002</v>
      </c>
      <c r="P163" s="46">
        <f t="shared" ca="1" si="9"/>
        <v>3.8705767215061013E-4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input_442105!A$2</f>
        <v>442105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IFERROR(VLOOKUP(B164,input_442105!L:R,7,FALSE),VLOOKUP(tables_442105!C164,input_442105!A:H,8,FALSE))</f>
        <v>5625.9592300000004</v>
      </c>
      <c r="P164" s="46">
        <f t="shared" ca="1" si="9"/>
        <v>4.7709966333107137E-4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input_442105!A$2</f>
        <v>442105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IFERROR(VLOOKUP(B165,input_442105!L:R,7,FALSE),VLOOKUP(tables_442105!C165,input_442105!A:H,8,FALSE))</f>
        <v>268</v>
      </c>
      <c r="P165" s="46">
        <f t="shared" ca="1" si="9"/>
        <v>2.2727272727272699E-5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input_442105!A$2</f>
        <v>442105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IFERROR(VLOOKUP(B166,input_442105!L:R,7,FALSE),VLOOKUP(tables_442105!C166,input_442105!A:H,8,FALSE))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input_442105!A$2</f>
        <v>442105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IFERROR(VLOOKUP(B167,input_442105!L:R,7,FALSE),VLOOKUP(tables_442105!C167,input_442105!A:H,8,FALSE))</f>
        <v>59630.282099999997</v>
      </c>
      <c r="P167" s="46">
        <f t="shared" ca="1" si="9"/>
        <v>5.0568421048168182E-3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input_442105!A$2</f>
        <v>442105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IFERROR(VLOOKUP(B168,input_442105!L:R,7,FALSE),VLOOKUP(tables_442105!C168,input_442105!A:H,8,FALSE))</f>
        <v>198.60211000000001</v>
      </c>
      <c r="P168" s="46">
        <f t="shared" ca="1" si="9"/>
        <v>1.6842105664857508E-5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input_442105!A$2</f>
        <v>442105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IFERROR(VLOOKUP(B169,input_442105!L:R,7,FALSE),VLOOKUP(tables_442105!C169,input_442105!A:H,8,FALSE))</f>
        <v>5625.9592300000004</v>
      </c>
      <c r="P169" s="46">
        <f t="shared" ca="1" si="9"/>
        <v>4.7709966333107137E-4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input_442105!A$2</f>
        <v>442105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IFERROR(VLOOKUP(B170,input_442105!L:R,7,FALSE),VLOOKUP(tables_442105!C170,input_442105!A:H,8,FALSE))</f>
        <v>268</v>
      </c>
      <c r="P170" s="46">
        <f t="shared" ca="1" si="9"/>
        <v>2.2727272727272699E-5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input_442105!A$2</f>
        <v>442105</v>
      </c>
      <c r="B171" s="6">
        <v>405</v>
      </c>
      <c r="C171" s="7" t="str">
        <f t="shared" si="8"/>
        <v>Premium3color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IFERROR(VLOOKUP(B171,input_442105!L:R,7,FALSE),VLOOKUP(tables_442105!C171,input_442105!A:H,8,FALSE))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input_442105!A$2</f>
        <v>442105</v>
      </c>
      <c r="B172" s="6">
        <v>406</v>
      </c>
      <c r="C172" s="7" t="str">
        <f t="shared" si="8"/>
        <v>Premium4color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IFERROR(VLOOKUP(B172,input_442105!L:R,7,FALSE),VLOOKUP(tables_442105!C172,input_442105!A:H,8,FALSE))</f>
        <v>271958.21593000001</v>
      </c>
      <c r="P172" s="46">
        <f t="shared" ca="1" si="9"/>
        <v>2.3062942327849362E-2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input_442105!A$2</f>
        <v>442105</v>
      </c>
      <c r="B173" s="6">
        <v>407</v>
      </c>
      <c r="C173" s="7" t="str">
        <f t="shared" si="8"/>
        <v>Premium5color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IFERROR(VLOOKUP(B173,input_442105!L:R,7,FALSE),VLOOKUP(tables_442105!C173,input_442105!A:H,8,FALSE))</f>
        <v>4564.1840700000002</v>
      </c>
      <c r="P173" s="46">
        <f t="shared" ca="1" si="9"/>
        <v>3.8705767215061013E-4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input_442105!A$2</f>
        <v>442105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IFERROR(VLOOKUP(B174,input_442105!L:R,7,FALSE),VLOOKUP(tables_442105!C174,input_442105!A:H,8,FALSE))</f>
        <v>5625.9592300000004</v>
      </c>
      <c r="P174" s="46">
        <f t="shared" ca="1" si="9"/>
        <v>4.7709966333107137E-4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input_442105!A$2</f>
        <v>442105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IFERROR(VLOOKUP(B175,input_442105!L:R,7,FALSE),VLOOKUP(tables_442105!C175,input_442105!A:H,8,FALSE))</f>
        <v>268</v>
      </c>
      <c r="P175" s="46">
        <f t="shared" ca="1" si="9"/>
        <v>2.2727272727272699E-5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input_442105!A$2</f>
        <v>442105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IFERROR(VLOOKUP(B176,input_442105!L:R,7,FALSE),VLOOKUP(tables_442105!C176,input_442105!A:H,8,FALSE))</f>
        <v>5625.9592300000004</v>
      </c>
      <c r="P176" s="46">
        <f t="shared" ca="1" si="9"/>
        <v>4.7709966333107137E-4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input_442105!A$2</f>
        <v>442105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IFERROR(VLOOKUP(B177,input_442105!L:R,7,FALSE),VLOOKUP(tables_442105!C177,input_442105!A:H,8,FALSE))</f>
        <v>268</v>
      </c>
      <c r="P177" s="46">
        <f t="shared" ca="1" si="9"/>
        <v>2.2727272727272699E-5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input_442105!A$2</f>
        <v>442105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IFERROR(VLOOKUP(B178,input_442105!L:R,7,FALSE),VLOOKUP(tables_442105!C178,input_442105!A:H,8,FALSE))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input_442105!A$2</f>
        <v>442105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IFERROR(VLOOKUP(B179,input_442105!L:R,7,FALSE),VLOOKUP(tables_442105!C179,input_442105!A:H,8,FALSE))</f>
        <v>59630.282099999997</v>
      </c>
      <c r="P179" s="46">
        <f t="shared" ca="1" si="9"/>
        <v>5.0568421048168182E-3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input_442105!A$2</f>
        <v>442105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IFERROR(VLOOKUP(B180,input_442105!L:R,7,FALSE),VLOOKUP(tables_442105!C180,input_442105!A:H,8,FALSE))</f>
        <v>198.60211000000001</v>
      </c>
      <c r="P180" s="46">
        <f t="shared" ca="1" si="9"/>
        <v>1.6842105664857508E-5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input_442105!A$2</f>
        <v>442105</v>
      </c>
      <c r="B181" s="6">
        <v>439</v>
      </c>
      <c r="C181" s="7" t="str">
        <f t="shared" si="8"/>
        <v>Premium3color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IFERROR(VLOOKUP(B181,input_442105!L:R,7,FALSE),VLOOKUP(tables_442105!C181,input_442105!A:H,8,FALSE))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input_442105!A$2</f>
        <v>442105</v>
      </c>
      <c r="B182" s="6">
        <v>440</v>
      </c>
      <c r="C182" s="7" t="str">
        <f t="shared" si="8"/>
        <v>Premium4color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IFERROR(VLOOKUP(B182,input_442105!L:R,7,FALSE),VLOOKUP(tables_442105!C182,input_442105!A:H,8,FALSE))</f>
        <v>271958.21593000001</v>
      </c>
      <c r="P182" s="46">
        <f t="shared" ca="1" si="9"/>
        <v>2.3062942327849362E-2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input_442105!A$2</f>
        <v>442105</v>
      </c>
      <c r="B183" s="6">
        <v>441</v>
      </c>
      <c r="C183" s="7" t="str">
        <f t="shared" si="8"/>
        <v>Premium5color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IFERROR(VLOOKUP(B183,input_442105!L:R,7,FALSE),VLOOKUP(tables_442105!C183,input_442105!A:H,8,FALSE))</f>
        <v>4564.1840700000002</v>
      </c>
      <c r="P183" s="46">
        <f t="shared" ca="1" si="9"/>
        <v>3.8705767215061013E-4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input_442105!A$2</f>
        <v>442105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IFERROR(VLOOKUP(B184,input_442105!L:R,7,FALSE),VLOOKUP(tables_442105!C184,input_442105!A:H,8,FALSE))</f>
        <v>5625.9592300000004</v>
      </c>
      <c r="P184" s="46">
        <f t="shared" ca="1" si="9"/>
        <v>4.7709966333107137E-4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input_442105!A$2</f>
        <v>442105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IFERROR(VLOOKUP(B185,input_442105!L:R,7,FALSE),VLOOKUP(tables_442105!C185,input_442105!A:H,8,FALSE))</f>
        <v>268</v>
      </c>
      <c r="P185" s="46">
        <f t="shared" ca="1" si="9"/>
        <v>2.2727272727272699E-5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input_442105!A$2</f>
        <v>442105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IFERROR(VLOOKUP(B186,input_442105!L:R,7,FALSE),VLOOKUP(tables_442105!C186,input_442105!A:H,8,FALSE))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input_442105!A$2</f>
        <v>442105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IFERROR(VLOOKUP(B187,input_442105!L:R,7,FALSE),VLOOKUP(tables_442105!C187,input_442105!A:H,8,FALSE))</f>
        <v>59630.282099999997</v>
      </c>
      <c r="P187" s="46">
        <f t="shared" ca="1" si="9"/>
        <v>5.0568421048168182E-3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input_442105!A$2</f>
        <v>442105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IFERROR(VLOOKUP(B188,input_442105!L:R,7,FALSE),VLOOKUP(tables_442105!C188,input_442105!A:H,8,FALSE))</f>
        <v>198.60211000000001</v>
      </c>
      <c r="P188" s="46">
        <f t="shared" ca="1" si="9"/>
        <v>1.6842105664857508E-5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input_442105!A$2</f>
        <v>442105</v>
      </c>
      <c r="B189" s="6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IFERROR(VLOOKUP(B189,input_442105!L:R,7,FALSE),VLOOKUP(tables_442105!C189,input_442105!A:H,8,FALSE))</f>
        <v>5625.9592300000004</v>
      </c>
      <c r="P189" s="46">
        <f t="shared" ca="1" si="9"/>
        <v>4.7709966333107137E-4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input_442105!A$2</f>
        <v>442105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IFERROR(VLOOKUP(B190,input_442105!L:R,7,FALSE),VLOOKUP(tables_442105!C190,input_442105!A:H,8,FALSE))</f>
        <v>268</v>
      </c>
      <c r="P190" s="46">
        <f t="shared" ca="1" si="9"/>
        <v>2.2727272727272699E-5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input_442105!A$2</f>
        <v>442105</v>
      </c>
      <c r="B191" s="6">
        <v>467</v>
      </c>
      <c r="C191" s="7" t="str">
        <f t="shared" si="8"/>
        <v>PremiumSS4color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IFERROR(VLOOKUP(B191,input_442105!L:R,7,FALSE),VLOOKUP(tables_442105!C191,input_442105!A:H,8,FALSE))</f>
        <v>40898.812319999997</v>
      </c>
      <c r="P191" s="46">
        <f t="shared" ca="1" si="9"/>
        <v>3.468352469470823E-3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input_442105!A$2</f>
        <v>442105</v>
      </c>
      <c r="B192" s="6">
        <v>468</v>
      </c>
      <c r="C192" s="7" t="str">
        <f t="shared" si="8"/>
        <v>PremiumSS5color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IFERROR(VLOOKUP(B192,input_442105!L:R,7,FALSE),VLOOKUP(tables_442105!C192,input_442105!A:H,8,FALSE))</f>
        <v>1360.61538</v>
      </c>
      <c r="P192" s="46">
        <f t="shared" ca="1" si="9"/>
        <v>1.1538461499321559E-4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input_442105!A$2</f>
        <v>442105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IFERROR(VLOOKUP(B193,input_442105!L:R,7,FALSE),VLOOKUP(tables_442105!C193,input_442105!A:H,8,FALSE))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input_442105!A$2</f>
        <v>442105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IFERROR(VLOOKUP(B194,input_442105!L:R,7,FALSE),VLOOKUP(tables_442105!C194,input_442105!A:H,8,FALSE))</f>
        <v>59630.282099999997</v>
      </c>
      <c r="P194" s="46">
        <f t="shared" ref="P194:P257" ca="1" si="13">O194/SUM(O:O)</f>
        <v>5.0568421048168182E-3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input_442105!A$2</f>
        <v>442105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IF(K195="blue","color","")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IFERROR(VLOOKUP(B195,input_442105!L:R,7,FALSE),VLOOKUP(tables_442105!C195,input_442105!A:H,8,FALSE))</f>
        <v>198.60211000000001</v>
      </c>
      <c r="P195" s="46">
        <f t="shared" ca="1" si="13"/>
        <v>1.6842105664857508E-5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input_442105!A$2</f>
        <v>442105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IFERROR(VLOOKUP(B196,input_442105!L:R,7,FALSE),VLOOKUP(tables_442105!C196,input_442105!A:H,8,FALSE))</f>
        <v>5625.9592300000004</v>
      </c>
      <c r="P196" s="46">
        <f t="shared" ca="1" si="13"/>
        <v>4.7709966333107137E-4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input_442105!A$2</f>
        <v>442105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IFERROR(VLOOKUP(B197,input_442105!L:R,7,FALSE),VLOOKUP(tables_442105!C197,input_442105!A:H,8,FALSE))</f>
        <v>268</v>
      </c>
      <c r="P197" s="46">
        <f t="shared" ca="1" si="13"/>
        <v>2.2727272727272699E-5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input_442105!A$2</f>
        <v>442105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IFERROR(VLOOKUP(B198,input_442105!L:R,7,FALSE),VLOOKUP(tables_442105!C198,input_442105!A:H,8,FALSE))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input_442105!A$2</f>
        <v>442105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IFERROR(VLOOKUP(B199,input_442105!L:R,7,FALSE),VLOOKUP(tables_442105!C199,input_442105!A:H,8,FALSE))</f>
        <v>59630.282099999997</v>
      </c>
      <c r="P199" s="46">
        <f t="shared" ca="1" si="13"/>
        <v>5.0568421048168182E-3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input_442105!A$2</f>
        <v>442105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IFERROR(VLOOKUP(B200,input_442105!L:R,7,FALSE),VLOOKUP(tables_442105!C200,input_442105!A:H,8,FALSE))</f>
        <v>198.60211000000001</v>
      </c>
      <c r="P200" s="46">
        <f t="shared" ca="1" si="13"/>
        <v>1.6842105664857508E-5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input_442105!A$2</f>
        <v>442105</v>
      </c>
      <c r="B201" s="6">
        <v>479</v>
      </c>
      <c r="C201" s="7" t="str">
        <f t="shared" si="12"/>
        <v>PremiumSS4color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IFERROR(VLOOKUP(B201,input_442105!L:R,7,FALSE),VLOOKUP(tables_442105!C201,input_442105!A:H,8,FALSE))</f>
        <v>40898.812319999997</v>
      </c>
      <c r="P201" s="46">
        <f t="shared" ca="1" si="13"/>
        <v>3.468352469470823E-3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input_442105!A$2</f>
        <v>442105</v>
      </c>
      <c r="B202" s="6">
        <v>480</v>
      </c>
      <c r="C202" s="7" t="str">
        <f t="shared" si="12"/>
        <v>PremiumSS5color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IFERROR(VLOOKUP(B202,input_442105!L:R,7,FALSE),VLOOKUP(tables_442105!C202,input_442105!A:H,8,FALSE))</f>
        <v>1360.61538</v>
      </c>
      <c r="P202" s="46">
        <f t="shared" ca="1" si="13"/>
        <v>1.1538461499321559E-4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input_442105!A$2</f>
        <v>442105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IFERROR(VLOOKUP(B203,input_442105!L:R,7,FALSE),VLOOKUP(tables_442105!C203,input_442105!A:H,8,FALSE))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input_442105!A$2</f>
        <v>442105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IFERROR(VLOOKUP(B204,input_442105!L:R,7,FALSE),VLOOKUP(tables_442105!C204,input_442105!A:H,8,FALSE))</f>
        <v>59630.282099999997</v>
      </c>
      <c r="P204" s="46">
        <f t="shared" ca="1" si="13"/>
        <v>5.0568421048168182E-3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input_442105!A$2</f>
        <v>442105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IFERROR(VLOOKUP(B205,input_442105!L:R,7,FALSE),VLOOKUP(tables_442105!C205,input_442105!A:H,8,FALSE))</f>
        <v>198.60211000000001</v>
      </c>
      <c r="P205" s="46">
        <f t="shared" ca="1" si="13"/>
        <v>1.6842105664857508E-5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input_442105!A$2</f>
        <v>442105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IFERROR(VLOOKUP(B206,input_442105!L:R,7,FALSE),VLOOKUP(tables_442105!C206,input_442105!A:H,8,FALSE))</f>
        <v>5625.9592300000004</v>
      </c>
      <c r="P206" s="46">
        <f t="shared" ca="1" si="13"/>
        <v>4.7709966333107137E-4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input_442105!A$2</f>
        <v>442105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IFERROR(VLOOKUP(B207,input_442105!L:R,7,FALSE),VLOOKUP(tables_442105!C207,input_442105!A:H,8,FALSE))</f>
        <v>268</v>
      </c>
      <c r="P207" s="46">
        <f t="shared" ca="1" si="13"/>
        <v>2.2727272727272699E-5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input_442105!A$2</f>
        <v>442105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IFERROR(VLOOKUP(B208,input_442105!L:R,7,FALSE),VLOOKUP(tables_442105!C208,input_442105!A:H,8,FALSE))</f>
        <v>5625.9592300000004</v>
      </c>
      <c r="P208" s="46">
        <f t="shared" ca="1" si="13"/>
        <v>4.7709966333107137E-4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input_442105!A$2</f>
        <v>442105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IFERROR(VLOOKUP(B209,input_442105!L:R,7,FALSE),VLOOKUP(tables_442105!C209,input_442105!A:H,8,FALSE))</f>
        <v>268</v>
      </c>
      <c r="P209" s="46">
        <f t="shared" ca="1" si="13"/>
        <v>2.2727272727272699E-5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input_442105!A$2</f>
        <v>442105</v>
      </c>
      <c r="B210" s="6">
        <v>496</v>
      </c>
      <c r="C210" s="7" t="str">
        <f t="shared" si="12"/>
        <v>Premium3color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IFERROR(VLOOKUP(B210,input_442105!L:R,7,FALSE),VLOOKUP(tables_442105!C210,input_442105!A:H,8,FALSE))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input_442105!A$2</f>
        <v>442105</v>
      </c>
      <c r="B211" s="6">
        <v>497</v>
      </c>
      <c r="C211" s="7" t="str">
        <f t="shared" si="12"/>
        <v>Premium4color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IFERROR(VLOOKUP(B211,input_442105!L:R,7,FALSE),VLOOKUP(tables_442105!C211,input_442105!A:H,8,FALSE))</f>
        <v>271958.21593000001</v>
      </c>
      <c r="P211" s="46">
        <f t="shared" ca="1" si="13"/>
        <v>2.3062942327849362E-2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input_442105!A$2</f>
        <v>442105</v>
      </c>
      <c r="B212" s="6">
        <v>498</v>
      </c>
      <c r="C212" s="7" t="str">
        <f t="shared" si="12"/>
        <v>Premium5color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IFERROR(VLOOKUP(B212,input_442105!L:R,7,FALSE),VLOOKUP(tables_442105!C212,input_442105!A:H,8,FALSE))</f>
        <v>4564.1840700000002</v>
      </c>
      <c r="P212" s="46">
        <f t="shared" ca="1" si="13"/>
        <v>3.8705767215061013E-4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input_442105!A$2</f>
        <v>442105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IFERROR(VLOOKUP(B213,input_442105!L:R,7,FALSE),VLOOKUP(tables_442105!C213,input_442105!A:H,8,FALSE))</f>
        <v>5625.9592300000004</v>
      </c>
      <c r="P213" s="46">
        <f t="shared" ca="1" si="13"/>
        <v>4.7709966333107137E-4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input_442105!A$2</f>
        <v>442105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IFERROR(VLOOKUP(B214,input_442105!L:R,7,FALSE),VLOOKUP(tables_442105!C214,input_442105!A:H,8,FALSE))</f>
        <v>268</v>
      </c>
      <c r="P214" s="46">
        <f t="shared" ca="1" si="13"/>
        <v>2.2727272727272699E-5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input_442105!A$2</f>
        <v>442105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IFERROR(VLOOKUP(B215,input_442105!L:R,7,FALSE),VLOOKUP(tables_442105!C215,input_442105!A:H,8,FALSE))</f>
        <v>3301.76</v>
      </c>
      <c r="P215" s="46">
        <f t="shared" ca="1" si="13"/>
        <v>2.7999999999999965E-4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input_442105!A$2</f>
        <v>442105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IFERROR(VLOOKUP(B216,input_442105!L:R,7,FALSE),VLOOKUP(tables_442105!C216,input_442105!A:H,8,FALSE))</f>
        <v>3301.76</v>
      </c>
      <c r="P216" s="46">
        <f t="shared" ca="1" si="13"/>
        <v>2.7999999999999965E-4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input_442105!A$2</f>
        <v>442105</v>
      </c>
      <c r="B217" s="6">
        <v>562</v>
      </c>
      <c r="C217" s="7" t="str">
        <f t="shared" si="12"/>
        <v>premium5R3lesscolor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>color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IFERROR(VLOOKUP(B217,input_442105!L:R,7,FALSE),VLOOKUP(tables_442105!C217,input_442105!A:H,8,FALSE))</f>
        <v>13826.12</v>
      </c>
      <c r="P217" s="46">
        <f t="shared" ca="1" si="13"/>
        <v>1.1724999999999986E-3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input_442105!A$2</f>
        <v>442105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IFERROR(VLOOKUP(B218,input_442105!L:R,7,FALSE),VLOOKUP(tables_442105!C218,input_442105!A:H,8,FALSE))</f>
        <v>3301.76</v>
      </c>
      <c r="P218" s="46">
        <f t="shared" ca="1" si="13"/>
        <v>2.7999999999999965E-4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input_442105!A$2</f>
        <v>442105</v>
      </c>
      <c r="B219" s="6">
        <v>566</v>
      </c>
      <c r="C219" s="7" t="str">
        <f t="shared" si="12"/>
        <v>premium5R3lesscolor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>color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IFERROR(VLOOKUP(B219,input_442105!L:R,7,FALSE),VLOOKUP(tables_442105!C219,input_442105!A:H,8,FALSE))</f>
        <v>13826.12</v>
      </c>
      <c r="P219" s="46">
        <f t="shared" ca="1" si="13"/>
        <v>1.1724999999999986E-3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input_442105!A$2</f>
        <v>442105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IFERROR(VLOOKUP(B220,input_442105!L:R,7,FALSE),VLOOKUP(tables_442105!C220,input_442105!A:H,8,FALSE))</f>
        <v>3301.76</v>
      </c>
      <c r="P220" s="46">
        <f t="shared" ca="1" si="13"/>
        <v>2.7999999999999965E-4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input_442105!A$2</f>
        <v>442105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IFERROR(VLOOKUP(B221,input_442105!L:R,7,FALSE),VLOOKUP(tables_442105!C221,input_442105!A:H,8,FALSE))</f>
        <v>5625.9592300000004</v>
      </c>
      <c r="P221" s="46">
        <f t="shared" ca="1" si="13"/>
        <v>4.7709966333107137E-4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input_442105!A$2</f>
        <v>442105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IFERROR(VLOOKUP(B222,input_442105!L:R,7,FALSE),VLOOKUP(tables_442105!C222,input_442105!A:H,8,FALSE))</f>
        <v>268</v>
      </c>
      <c r="P222" s="46">
        <f t="shared" ca="1" si="13"/>
        <v>2.2727272727272699E-5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input_442105!A$2</f>
        <v>442105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IFERROR(VLOOKUP(B223,input_442105!L:R,7,FALSE),VLOOKUP(tables_442105!C223,input_442105!A:H,8,FALSE))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input_442105!A$2</f>
        <v>442105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IFERROR(VLOOKUP(B224,input_442105!L:R,7,FALSE),VLOOKUP(tables_442105!C224,input_442105!A:H,8,FALSE))</f>
        <v>59630.282099999997</v>
      </c>
      <c r="P224" s="46">
        <f t="shared" ca="1" si="13"/>
        <v>5.0568421048168182E-3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input_442105!A$2</f>
        <v>442105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IFERROR(VLOOKUP(B225,input_442105!L:R,7,FALSE),VLOOKUP(tables_442105!C225,input_442105!A:H,8,FALSE))</f>
        <v>198.60211000000001</v>
      </c>
      <c r="P225" s="46">
        <f t="shared" ca="1" si="13"/>
        <v>1.6842105664857508E-5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input_442105!A$2</f>
        <v>442105</v>
      </c>
      <c r="B226" s="6">
        <v>591</v>
      </c>
      <c r="C226" s="7" t="str">
        <f t="shared" si="12"/>
        <v>Premium3color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>color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IFERROR(VLOOKUP(B226,input_442105!L:R,7,FALSE),VLOOKUP(tables_442105!C226,input_442105!A:H,8,FALSE))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input_442105!A$2</f>
        <v>442105</v>
      </c>
      <c r="B227" s="6">
        <v>592</v>
      </c>
      <c r="C227" s="7" t="str">
        <f t="shared" si="12"/>
        <v>Premium4color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>color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IFERROR(VLOOKUP(B227,input_442105!L:R,7,FALSE),VLOOKUP(tables_442105!C227,input_442105!A:H,8,FALSE))</f>
        <v>271958.21593000001</v>
      </c>
      <c r="P227" s="46">
        <f t="shared" ca="1" si="13"/>
        <v>2.3062942327849362E-2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input_442105!A$2</f>
        <v>442105</v>
      </c>
      <c r="B228" s="6">
        <v>593</v>
      </c>
      <c r="C228" s="7" t="str">
        <f t="shared" si="12"/>
        <v>Premium5color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>color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IFERROR(VLOOKUP(B228,input_442105!L:R,7,FALSE),VLOOKUP(tables_442105!C228,input_442105!A:H,8,FALSE))</f>
        <v>4564.1840700000002</v>
      </c>
      <c r="P228" s="46">
        <f t="shared" ca="1" si="13"/>
        <v>3.8705767215061013E-4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input_442105!A$2</f>
        <v>442105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IFERROR(VLOOKUP(B229,input_442105!L:R,7,FALSE),VLOOKUP(tables_442105!C229,input_442105!A:H,8,FALSE))</f>
        <v>5625.9592300000004</v>
      </c>
      <c r="P229" s="46">
        <f t="shared" ca="1" si="13"/>
        <v>4.7709966333107137E-4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input_442105!A$2</f>
        <v>442105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IFERROR(VLOOKUP(B230,input_442105!L:R,7,FALSE),VLOOKUP(tables_442105!C230,input_442105!A:H,8,FALSE))</f>
        <v>268</v>
      </c>
      <c r="P230" s="46">
        <f t="shared" ca="1" si="13"/>
        <v>2.2727272727272699E-5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input_442105!A$2</f>
        <v>442105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IFERROR(VLOOKUP(B231,input_442105!L:R,7,FALSE),VLOOKUP(tables_442105!C231,input_442105!A:H,8,FALSE))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input_442105!A$2</f>
        <v>442105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IFERROR(VLOOKUP(B232,input_442105!L:R,7,FALSE),VLOOKUP(tables_442105!C232,input_442105!A:H,8,FALSE))</f>
        <v>59630.282099999997</v>
      </c>
      <c r="P232" s="46">
        <f t="shared" ca="1" si="13"/>
        <v>5.0568421048168182E-3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input_442105!A$2</f>
        <v>442105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IFERROR(VLOOKUP(B233,input_442105!L:R,7,FALSE),VLOOKUP(tables_442105!C233,input_442105!A:H,8,FALSE))</f>
        <v>198.60211000000001</v>
      </c>
      <c r="P233" s="46">
        <f t="shared" ca="1" si="13"/>
        <v>1.6842105664857508E-5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input_442105!A$2</f>
        <v>442105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IFERROR(VLOOKUP(B234,input_442105!L:R,7,FALSE),VLOOKUP(tables_442105!C234,input_442105!A:H,8,FALSE))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input_442105!A$2</f>
        <v>442105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IFERROR(VLOOKUP(B235,input_442105!L:R,7,FALSE),VLOOKUP(tables_442105!C235,input_442105!A:H,8,FALSE))</f>
        <v>59630.282099999997</v>
      </c>
      <c r="P235" s="46">
        <f t="shared" ca="1" si="13"/>
        <v>5.0568421048168182E-3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input_442105!A$2</f>
        <v>442105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IFERROR(VLOOKUP(B236,input_442105!L:R,7,FALSE),VLOOKUP(tables_442105!C236,input_442105!A:H,8,FALSE))</f>
        <v>198.60211000000001</v>
      </c>
      <c r="P236" s="46">
        <f t="shared" ca="1" si="13"/>
        <v>1.6842105664857508E-5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input_442105!A$2</f>
        <v>442105</v>
      </c>
      <c r="B237" s="6">
        <v>602</v>
      </c>
      <c r="C237" s="7" t="str">
        <f t="shared" si="12"/>
        <v>PremiumSS4color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>color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IFERROR(VLOOKUP(B237,input_442105!L:R,7,FALSE),VLOOKUP(tables_442105!C237,input_442105!A:H,8,FALSE))</f>
        <v>40898.812319999997</v>
      </c>
      <c r="P237" s="46">
        <f t="shared" ca="1" si="13"/>
        <v>3.468352469470823E-3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input_442105!A$2</f>
        <v>442105</v>
      </c>
      <c r="B238" s="6">
        <v>603</v>
      </c>
      <c r="C238" s="7" t="str">
        <f t="shared" si="12"/>
        <v>PremiumSS5color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>color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IFERROR(VLOOKUP(B238,input_442105!L:R,7,FALSE),VLOOKUP(tables_442105!C238,input_442105!A:H,8,FALSE))</f>
        <v>1360.61538</v>
      </c>
      <c r="P238" s="46">
        <f t="shared" ca="1" si="13"/>
        <v>1.1538461499321559E-4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input_442105!A$2</f>
        <v>442105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IFERROR(VLOOKUP(B239,input_442105!L:R,7,FALSE),VLOOKUP(tables_442105!C239,input_442105!A:H,8,FALSE))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input_442105!A$2</f>
        <v>442105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IFERROR(VLOOKUP(B240,input_442105!L:R,7,FALSE),VLOOKUP(tables_442105!C240,input_442105!A:H,8,FALSE))</f>
        <v>59630.282099999997</v>
      </c>
      <c r="P240" s="46">
        <f t="shared" ca="1" si="13"/>
        <v>5.0568421048168182E-3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input_442105!A$2</f>
        <v>442105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IFERROR(VLOOKUP(B241,input_442105!L:R,7,FALSE),VLOOKUP(tables_442105!C241,input_442105!A:H,8,FALSE))</f>
        <v>198.60211000000001</v>
      </c>
      <c r="P241" s="46">
        <f t="shared" ca="1" si="13"/>
        <v>1.6842105664857508E-5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input_442105!A$2</f>
        <v>442105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IFERROR(VLOOKUP(B242,input_442105!L:R,7,FALSE),VLOOKUP(tables_442105!C242,input_442105!A:H,8,FALSE))</f>
        <v>5625.9592300000004</v>
      </c>
      <c r="P242" s="46">
        <f t="shared" ca="1" si="13"/>
        <v>4.7709966333107137E-4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input_442105!A$2</f>
        <v>442105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IFERROR(VLOOKUP(B243,input_442105!L:R,7,FALSE),VLOOKUP(tables_442105!C243,input_442105!A:H,8,FALSE))</f>
        <v>268</v>
      </c>
      <c r="P243" s="46">
        <f t="shared" ca="1" si="13"/>
        <v>2.2727272727272699E-5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input_442105!A$2</f>
        <v>442105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IFERROR(VLOOKUP(B244,input_442105!L:R,7,FALSE),VLOOKUP(tables_442105!C244,input_442105!A:H,8,FALSE))</f>
        <v>5625.9592300000004</v>
      </c>
      <c r="P244" s="46">
        <f t="shared" ca="1" si="13"/>
        <v>4.7709966333107137E-4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input_442105!A$2</f>
        <v>442105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IFERROR(VLOOKUP(B245,input_442105!L:R,7,FALSE),VLOOKUP(tables_442105!C245,input_442105!A:H,8,FALSE))</f>
        <v>268</v>
      </c>
      <c r="P245" s="46">
        <f t="shared" ca="1" si="13"/>
        <v>2.2727272727272699E-5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input_442105!A$2</f>
        <v>442105</v>
      </c>
      <c r="B246" s="60">
        <v>662</v>
      </c>
      <c r="C246" s="7" t="str">
        <f t="shared" si="12"/>
        <v>Premium3color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>color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IFERROR(VLOOKUP(B246,input_442105!L:R,7,FALSE),VLOOKUP(tables_442105!C246,input_442105!A:H,8,FALSE))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input_442105!A$2</f>
        <v>442105</v>
      </c>
      <c r="B247" s="60">
        <v>663</v>
      </c>
      <c r="C247" s="7" t="str">
        <f t="shared" si="12"/>
        <v>Premium4color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>color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IFERROR(VLOOKUP(B247,input_442105!L:R,7,FALSE),VLOOKUP(tables_442105!C247,input_442105!A:H,8,FALSE))</f>
        <v>271958.21593000001</v>
      </c>
      <c r="P247" s="46">
        <f t="shared" ca="1" si="13"/>
        <v>2.3062942327849362E-2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input_442105!A$2</f>
        <v>442105</v>
      </c>
      <c r="B248" s="60">
        <v>664</v>
      </c>
      <c r="C248" s="7" t="str">
        <f t="shared" si="12"/>
        <v>Premium5color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>color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IFERROR(VLOOKUP(B248,input_442105!L:R,7,FALSE),VLOOKUP(tables_442105!C248,input_442105!A:H,8,FALSE))</f>
        <v>4564.1840700000002</v>
      </c>
      <c r="P248" s="46">
        <f t="shared" ca="1" si="13"/>
        <v>3.8705767215061013E-4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input_442105!A$2</f>
        <v>442105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IFERROR(VLOOKUP(B249,input_442105!L:R,7,FALSE),VLOOKUP(tables_442105!C249,input_442105!A:H,8,FALSE))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input_442105!A$2</f>
        <v>442105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IFERROR(VLOOKUP(B250,input_442105!L:R,7,FALSE),VLOOKUP(tables_442105!C250,input_442105!A:H,8,FALSE))</f>
        <v>59630.282099999997</v>
      </c>
      <c r="P250" s="46">
        <f t="shared" ca="1" si="13"/>
        <v>5.0568421048168182E-3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input_442105!A$2</f>
        <v>442105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IFERROR(VLOOKUP(B251,input_442105!L:R,7,FALSE),VLOOKUP(tables_442105!C251,input_442105!A:H,8,FALSE))</f>
        <v>198.60211000000001</v>
      </c>
      <c r="P251" s="46">
        <f t="shared" ca="1" si="13"/>
        <v>1.6842105664857508E-5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input_442105!A$2</f>
        <v>442105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IFERROR(VLOOKUP(B252,input_442105!L:R,7,FALSE),VLOOKUP(tables_442105!C252,input_442105!A:H,8,FALSE))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input_442105!A$2</f>
        <v>442105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IFERROR(VLOOKUP(B253,input_442105!L:R,7,FALSE),VLOOKUP(tables_442105!C253,input_442105!A:H,8,FALSE))</f>
        <v>59630.282099999997</v>
      </c>
      <c r="P253" s="46">
        <f t="shared" ca="1" si="13"/>
        <v>5.0568421048168182E-3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input_442105!A$2</f>
        <v>442105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IFERROR(VLOOKUP(B254,input_442105!L:R,7,FALSE),VLOOKUP(tables_442105!C254,input_442105!A:H,8,FALSE))</f>
        <v>198.60211000000001</v>
      </c>
      <c r="P254" s="46">
        <f t="shared" ca="1" si="13"/>
        <v>1.6842105664857508E-5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input_442105!A$2</f>
        <v>442105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IFERROR(VLOOKUP(B255,input_442105!L:R,7,FALSE),VLOOKUP(tables_442105!C255,input_442105!A:H,8,FALSE))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input_442105!A$2</f>
        <v>442105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IFERROR(VLOOKUP(B256,input_442105!L:R,7,FALSE),VLOOKUP(tables_442105!C256,input_442105!A:H,8,FALSE))</f>
        <v>59630.282099999997</v>
      </c>
      <c r="P256" s="46">
        <f t="shared" ca="1" si="13"/>
        <v>5.0568421048168182E-3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input_442105!A$2</f>
        <v>442105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IFERROR(VLOOKUP(B257,input_442105!L:R,7,FALSE),VLOOKUP(tables_442105!C257,input_442105!A:H,8,FALSE))</f>
        <v>198.60211000000001</v>
      </c>
      <c r="P257" s="46">
        <f t="shared" ca="1" si="13"/>
        <v>1.6842105664857508E-5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input_442105!A$2</f>
        <v>442105</v>
      </c>
      <c r="B258" s="60">
        <v>674</v>
      </c>
      <c r="C258" s="7" t="str">
        <f t="shared" ref="C258:C321" si="16">D258&amp;J258&amp;E258&amp;F258&amp;G258</f>
        <v>PremiumSS4color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>color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IFERROR(VLOOKUP(B258,input_442105!L:R,7,FALSE),VLOOKUP(tables_442105!C258,input_442105!A:H,8,FALSE))</f>
        <v>40898.812319999997</v>
      </c>
      <c r="P258" s="46">
        <f t="shared" ref="P258:P305" ca="1" si="17">O258/SUM(O:O)</f>
        <v>3.468352469470823E-3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input_442105!A$2</f>
        <v>442105</v>
      </c>
      <c r="B259" s="60">
        <v>675</v>
      </c>
      <c r="C259" s="7" t="str">
        <f t="shared" si="16"/>
        <v>PremiumSS5color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IF(K259="blue","color","")</f>
        <v>color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IFERROR(VLOOKUP(B259,input_442105!L:R,7,FALSE),VLOOKUP(tables_442105!C259,input_442105!A:H,8,FALSE))</f>
        <v>1360.61538</v>
      </c>
      <c r="P259" s="46">
        <f t="shared" ca="1" si="17"/>
        <v>1.1538461499321559E-4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input_442105!A$2</f>
        <v>442105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IFERROR(VLOOKUP(B260,input_442105!L:R,7,FALSE),VLOOKUP(tables_442105!C260,input_442105!A:H,8,FALSE))</f>
        <v>5625.9592300000004</v>
      </c>
      <c r="P260" s="46">
        <f t="shared" ca="1" si="17"/>
        <v>4.7709966333107137E-4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input_442105!A$2</f>
        <v>442105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IFERROR(VLOOKUP(B261,input_442105!L:R,7,FALSE),VLOOKUP(tables_442105!C261,input_442105!A:H,8,FALSE))</f>
        <v>268</v>
      </c>
      <c r="P261" s="46">
        <f t="shared" ca="1" si="17"/>
        <v>2.2727272727272699E-5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input_442105!A$2</f>
        <v>442105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IFERROR(VLOOKUP(B262,input_442105!L:R,7,FALSE),VLOOKUP(tables_442105!C262,input_442105!A:H,8,FALSE))</f>
        <v>88118.399999999994</v>
      </c>
      <c r="P262" s="46">
        <f t="shared" ca="1" si="17"/>
        <v>7.4727272727272628E-3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input_442105!A$2</f>
        <v>442105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IFERROR(VLOOKUP(B263,input_442105!L:R,7,FALSE),VLOOKUP(tables_442105!C263,input_442105!A:H,8,FALSE))</f>
        <v>3301.76</v>
      </c>
      <c r="P263" s="46">
        <f t="shared" ca="1" si="17"/>
        <v>2.7999999999999965E-4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input_442105!A$2</f>
        <v>442105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IFERROR(VLOOKUP(B264,input_442105!L:R,7,FALSE),VLOOKUP(tables_442105!C264,input_442105!A:H,8,FALSE))</f>
        <v>88118.399999999994</v>
      </c>
      <c r="P264" s="46">
        <f t="shared" ca="1" si="17"/>
        <v>7.4727272727272628E-3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input_442105!A$2</f>
        <v>442105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IFERROR(VLOOKUP(B265,input_442105!L:R,7,FALSE),VLOOKUP(tables_442105!C265,input_442105!A:H,8,FALSE))</f>
        <v>3301.76</v>
      </c>
      <c r="P265" s="46">
        <f t="shared" ca="1" si="17"/>
        <v>2.7999999999999965E-4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input_442105!A$2</f>
        <v>442105</v>
      </c>
      <c r="B266" s="60">
        <v>732</v>
      </c>
      <c r="C266" s="7" t="str">
        <f t="shared" si="16"/>
        <v>PremiumSS5R5onlycolor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>color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IFERROR(VLOOKUP(B266,input_442105!L:R,7,FALSE),VLOOKUP(tables_442105!C266,input_442105!A:H,8,FALSE))</f>
        <v>14314.776260000001</v>
      </c>
      <c r="P266" s="46">
        <f t="shared" ca="1" si="17"/>
        <v>1.2139396421302563E-3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input_442105!A$2</f>
        <v>442105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IFERROR(VLOOKUP(B267,input_442105!L:R,7,FALSE),VLOOKUP(tables_442105!C267,input_442105!A:H,8,FALSE))</f>
        <v>4826.0407699999996</v>
      </c>
      <c r="P267" s="46">
        <f t="shared" ca="1" si="17"/>
        <v>4.0926397303256391E-4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input_442105!A$2</f>
        <v>442105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IFERROR(VLOOKUP(B268,input_442105!L:R,7,FALSE),VLOOKUP(tables_442105!C268,input_442105!A:H,8,FALSE))</f>
        <v>4826.0407699999996</v>
      </c>
      <c r="P268" s="46">
        <f t="shared" ca="1" si="17"/>
        <v>4.0926397303256391E-4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input_442105!A$2</f>
        <v>442105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IFERROR(VLOOKUP(B269,input_442105!L:R,7,FALSE),VLOOKUP(tables_442105!C269,input_442105!A:H,8,FALSE))</f>
        <v>4826.0407699999996</v>
      </c>
      <c r="P269" s="46">
        <f t="shared" ca="1" si="17"/>
        <v>4.0926397303256391E-4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input_442105!A$2</f>
        <v>442105</v>
      </c>
      <c r="B270" s="60">
        <v>746</v>
      </c>
      <c r="C270" s="7" t="str">
        <f t="shared" si="16"/>
        <v>Premium4R3lesscolor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>color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IFERROR(VLOOKUP(B270,input_442105!L:R,7,FALSE),VLOOKUP(tables_442105!C270,input_442105!A:H,8,FALSE))</f>
        <v>182672.82</v>
      </c>
      <c r="P270" s="46">
        <f t="shared" ca="1" si="17"/>
        <v>1.5491249999999981E-2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input_442105!A$2</f>
        <v>442105</v>
      </c>
      <c r="B271" s="82">
        <v>747</v>
      </c>
      <c r="C271" s="7" t="str">
        <f t="shared" si="16"/>
        <v>Premium5R3lesscolor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>color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IFERROR(VLOOKUP(B271,input_442105!L:R,7,FALSE),VLOOKUP(tables_442105!C271,input_442105!A:H,8,FALSE))</f>
        <v>13826.12</v>
      </c>
      <c r="P271" s="46">
        <f t="shared" ca="1" si="17"/>
        <v>1.1724999999999986E-3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input_442105!A$2</f>
        <v>442105</v>
      </c>
      <c r="B272" s="8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IFERROR(VLOOKUP(B272,input_442105!L:R,7,FALSE),VLOOKUP(tables_442105!C272,input_442105!A:H,8,FALSE))</f>
        <v>88118.399999999994</v>
      </c>
      <c r="P272" s="46">
        <f t="shared" ca="1" si="17"/>
        <v>7.4727272727272628E-3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input_442105!A$2</f>
        <v>442105</v>
      </c>
      <c r="B273" s="8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IFERROR(VLOOKUP(B273,input_442105!L:R,7,FALSE),VLOOKUP(tables_442105!C273,input_442105!A:H,8,FALSE))</f>
        <v>3301.76</v>
      </c>
      <c r="P273" s="46">
        <f t="shared" ca="1" si="17"/>
        <v>2.7999999999999965E-4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input_442105!A$2</f>
        <v>442105</v>
      </c>
      <c r="B274" s="82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IFERROR(VLOOKUP(B274,input_442105!L:R,7,FALSE),VLOOKUP(tables_442105!C274,input_442105!A:H,8,FALSE))</f>
        <v>5625.9592300000004</v>
      </c>
      <c r="P274" s="46">
        <f t="shared" ca="1" si="17"/>
        <v>4.7709966333107137E-4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input_442105!A$2</f>
        <v>442105</v>
      </c>
      <c r="B275" s="82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IFERROR(VLOOKUP(B275,input_442105!L:R,7,FALSE),VLOOKUP(tables_442105!C275,input_442105!A:H,8,FALSE))</f>
        <v>268</v>
      </c>
      <c r="P275" s="46">
        <f t="shared" ca="1" si="17"/>
        <v>2.2727272727272699E-5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input_442105!A$2</f>
        <v>442105</v>
      </c>
      <c r="B276" s="82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IFERROR(VLOOKUP(B276,input_442105!L:R,7,FALSE),VLOOKUP(tables_442105!C276,input_442105!A:H,8,FALSE))</f>
        <v>5625.9592300000004</v>
      </c>
      <c r="P276" s="46">
        <f t="shared" ca="1" si="17"/>
        <v>4.7709966333107137E-4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input_442105!A$2</f>
        <v>442105</v>
      </c>
      <c r="B277" s="82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IFERROR(VLOOKUP(B277,input_442105!L:R,7,FALSE),VLOOKUP(tables_442105!C277,input_442105!A:H,8,FALSE))</f>
        <v>268</v>
      </c>
      <c r="P277" s="46">
        <f t="shared" ca="1" si="17"/>
        <v>2.2727272727272699E-5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input_442105!A$2</f>
        <v>442105</v>
      </c>
      <c r="B278" s="82">
        <v>774</v>
      </c>
      <c r="C278" s="7" t="str">
        <f t="shared" si="16"/>
        <v>Premium3color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>color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IFERROR(VLOOKUP(B278,input_442105!L:R,7,FALSE),VLOOKUP(tables_442105!C278,input_442105!A:H,8,FALSE))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input_442105!A$2</f>
        <v>442105</v>
      </c>
      <c r="B279" s="82">
        <v>775</v>
      </c>
      <c r="C279" s="7" t="str">
        <f t="shared" si="16"/>
        <v>Premium4color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>color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IFERROR(VLOOKUP(B279,input_442105!L:R,7,FALSE),VLOOKUP(tables_442105!C279,input_442105!A:H,8,FALSE))</f>
        <v>271958.21593000001</v>
      </c>
      <c r="P279" s="46">
        <f t="shared" ca="1" si="17"/>
        <v>2.3062942327849362E-2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input_442105!A$2</f>
        <v>442105</v>
      </c>
      <c r="B280" s="82">
        <v>776</v>
      </c>
      <c r="C280" s="7" t="str">
        <f t="shared" si="16"/>
        <v>Premium5color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>color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IFERROR(VLOOKUP(B280,input_442105!L:R,7,FALSE),VLOOKUP(tables_442105!C280,input_442105!A:H,8,FALSE))</f>
        <v>4564.1840700000002</v>
      </c>
      <c r="P280" s="46">
        <f t="shared" ca="1" si="17"/>
        <v>3.8705767215061013E-4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input_442105!A$2</f>
        <v>442105</v>
      </c>
      <c r="B281" s="8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IFERROR(VLOOKUP(B281,input_442105!L:R,7,FALSE),VLOOKUP(tables_442105!C281,input_442105!A:H,8,FALSE))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input_442105!A$2</f>
        <v>442105</v>
      </c>
      <c r="B282" s="8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IFERROR(VLOOKUP(B282,input_442105!L:R,7,FALSE),VLOOKUP(tables_442105!C282,input_442105!A:H,8,FALSE))</f>
        <v>59630.282099999997</v>
      </c>
      <c r="P282" s="46">
        <f t="shared" ca="1" si="17"/>
        <v>5.0568421048168182E-3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input_442105!A$2</f>
        <v>442105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IFERROR(VLOOKUP(B283,input_442105!L:R,7,FALSE),VLOOKUP(tables_442105!C283,input_442105!A:H,8,FALSE))</f>
        <v>198.60211000000001</v>
      </c>
      <c r="P283" s="46">
        <f t="shared" ca="1" si="17"/>
        <v>1.6842105664857508E-5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input_442105!A$2</f>
        <v>442105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IFERROR(VLOOKUP(B284,input_442105!L:R,7,FALSE),VLOOKUP(tables_442105!C284,input_442105!A:H,8,FALSE))</f>
        <v>4826.0407699999996</v>
      </c>
      <c r="P284" s="46">
        <f t="shared" ca="1" si="17"/>
        <v>4.0926397303256391E-4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input_442105!A$2</f>
        <v>442105</v>
      </c>
      <c r="B285" s="5">
        <v>850</v>
      </c>
      <c r="C285" s="7" t="str">
        <f t="shared" si="16"/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IFERROR(VLOOKUP(B285,input_442105!L:R,7,FALSE),VLOOKUP(tables_442105!C285,input_442105!A:H,8,FALSE))</f>
        <v>4826.0407699999996</v>
      </c>
      <c r="P285" s="46">
        <f t="shared" ca="1" si="17"/>
        <v>4.0926397303256391E-4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input_442105!A$2</f>
        <v>442105</v>
      </c>
      <c r="B286" s="5">
        <v>852</v>
      </c>
      <c r="C286" s="7" t="str">
        <f t="shared" si="16"/>
        <v>Premium4R3lesscolor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>color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IFERROR(VLOOKUP(B286,input_442105!L:R,7,FALSE),VLOOKUP(tables_442105!C286,input_442105!A:H,8,FALSE))</f>
        <v>182672.82</v>
      </c>
      <c r="P286" s="46">
        <f t="shared" ca="1" si="17"/>
        <v>1.5491249999999981E-2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input_442105!A$2</f>
        <v>442105</v>
      </c>
      <c r="B287" s="5">
        <v>853</v>
      </c>
      <c r="C287" s="7" t="str">
        <f t="shared" si="16"/>
        <v>Premium5R3lesscolor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>color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IFERROR(VLOOKUP(B287,input_442105!L:R,7,FALSE),VLOOKUP(tables_442105!C287,input_442105!A:H,8,FALSE))</f>
        <v>13826.12</v>
      </c>
      <c r="P287" s="46">
        <f t="shared" ca="1" si="17"/>
        <v>1.1724999999999986E-3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input_442105!A$2</f>
        <v>442105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IFERROR(VLOOKUP(B288,input_442105!L:R,7,FALSE),VLOOKUP(tables_442105!C288,input_442105!A:H,8,FALSE))</f>
        <v>88118.399999999994</v>
      </c>
      <c r="P288" s="46">
        <f t="shared" ca="1" si="17"/>
        <v>7.4727272727272628E-3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input_442105!A$2</f>
        <v>442105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IFERROR(VLOOKUP(B289,input_442105!L:R,7,FALSE),VLOOKUP(tables_442105!C289,input_442105!A:H,8,FALSE))</f>
        <v>3301.76</v>
      </c>
      <c r="P289" s="46">
        <f t="shared" ca="1" si="17"/>
        <v>2.7999999999999965E-4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input_442105!A$2</f>
        <v>442105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IFERROR(VLOOKUP(B290,input_442105!L:R,7,FALSE),VLOOKUP(tables_442105!C290,input_442105!A:H,8,FALSE))</f>
        <v>88118.399999999994</v>
      </c>
      <c r="P290" s="46">
        <f t="shared" ca="1" si="17"/>
        <v>7.4727272727272628E-3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input_442105!A$2</f>
        <v>442105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IFERROR(VLOOKUP(B291,input_442105!L:R,7,FALSE),VLOOKUP(tables_442105!C291,input_442105!A:H,8,FALSE))</f>
        <v>3301.76</v>
      </c>
      <c r="P291" s="46">
        <f t="shared" ca="1" si="17"/>
        <v>2.7999999999999965E-4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input_442105!A$2</f>
        <v>442105</v>
      </c>
      <c r="B292" s="5">
        <v>864</v>
      </c>
      <c r="C292" s="7" t="str">
        <f t="shared" si="16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IFERROR(VLOOKUP(B292,input_442105!L:R,7,FALSE),VLOOKUP(tables_442105!C292,input_442105!A:H,8,FALSE))</f>
        <v>88118.399999999994</v>
      </c>
      <c r="P292" s="46">
        <f t="shared" ca="1" si="17"/>
        <v>7.4727272727272628E-3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input_442105!A$2</f>
        <v>442105</v>
      </c>
      <c r="B293" s="5">
        <v>865</v>
      </c>
      <c r="C293" s="7" t="str">
        <f t="shared" si="16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IFERROR(VLOOKUP(B293,input_442105!L:R,7,FALSE),VLOOKUP(tables_442105!C293,input_442105!A:H,8,FALSE))</f>
        <v>3301.76</v>
      </c>
      <c r="P293" s="46">
        <f t="shared" ca="1" si="17"/>
        <v>2.7999999999999965E-4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input_442105!A$2</f>
        <v>442105</v>
      </c>
      <c r="B294" s="5">
        <v>866</v>
      </c>
      <c r="C294" s="7" t="str">
        <f t="shared" si="16"/>
        <v>PremiumSS5R5onlycolor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>color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IFERROR(VLOOKUP(B294,input_442105!L:R,7,FALSE),VLOOKUP(tables_442105!C294,input_442105!A:H,8,FALSE))</f>
        <v>14314.776260000001</v>
      </c>
      <c r="P294" s="46">
        <f t="shared" ca="1" si="17"/>
        <v>1.2139396421302563E-3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input_442105!A$2</f>
        <v>442105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IFERROR(VLOOKUP(B295,input_442105!L:R,7,FALSE),VLOOKUP(tables_442105!C295,input_442105!A:H,8,FALSE))</f>
        <v>4826.0407699999996</v>
      </c>
      <c r="P295" s="46">
        <f t="shared" ca="1" si="17"/>
        <v>4.0926397303256391E-4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input_442105!A$2</f>
        <v>442105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IFERROR(VLOOKUP(B296,input_442105!L:R,7,FALSE),VLOOKUP(tables_442105!C296,input_442105!A:H,8,FALSE))</f>
        <v>4826.0407699999996</v>
      </c>
      <c r="P296" s="46">
        <f t="shared" ca="1" si="17"/>
        <v>4.0926397303256391E-4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input_442105!A$2</f>
        <v>442105</v>
      </c>
      <c r="B297" s="5">
        <v>939</v>
      </c>
      <c r="C297" s="7" t="str">
        <f t="shared" si="16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IFERROR(VLOOKUP(B297,input_442105!L:R,7,FALSE),VLOOKUP(tables_442105!C297,input_442105!A:H,8,FALSE))</f>
        <v>88118.399999999994</v>
      </c>
      <c r="P297" s="46">
        <f t="shared" ca="1" si="17"/>
        <v>7.4727272727272628E-3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input_442105!A$2</f>
        <v>442105</v>
      </c>
      <c r="B298" s="5">
        <v>940</v>
      </c>
      <c r="C298" s="7" t="str">
        <f t="shared" si="16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IFERROR(VLOOKUP(B298,input_442105!L:R,7,FALSE),VLOOKUP(tables_442105!C298,input_442105!A:H,8,FALSE))</f>
        <v>3301.76</v>
      </c>
      <c r="P298" s="46">
        <f t="shared" ca="1" si="17"/>
        <v>2.7999999999999965E-4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input_442105!A$2</f>
        <v>442105</v>
      </c>
      <c r="B299" s="5">
        <v>941</v>
      </c>
      <c r="C299" s="7" t="str">
        <f t="shared" si="16"/>
        <v>PremiumSS5R5onlycolor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>color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IFERROR(VLOOKUP(B299,input_442105!L:R,7,FALSE),VLOOKUP(tables_442105!C299,input_442105!A:H,8,FALSE))</f>
        <v>14314.776260000001</v>
      </c>
      <c r="P299" s="46">
        <f t="shared" ca="1" si="17"/>
        <v>1.2139396421302563E-3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input_442105!A$2</f>
        <v>442105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IFERROR(VLOOKUP(B300,input_442105!L:R,7,FALSE),VLOOKUP(tables_442105!C300,input_442105!A:H,8,FALSE))</f>
        <v>4826.0407699999996</v>
      </c>
      <c r="P300" s="46">
        <f t="shared" ca="1" si="17"/>
        <v>4.0926397303256391E-4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input_442105!A$2</f>
        <v>442105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IFERROR(VLOOKUP(B301,input_442105!L:R,7,FALSE),VLOOKUP(tables_442105!C301,input_442105!A:H,8,FALSE))</f>
        <v>4826.0407699999996</v>
      </c>
      <c r="P301" s="46">
        <f t="shared" ca="1" si="17"/>
        <v>4.0926397303256391E-4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input_442105!A$2</f>
        <v>442105</v>
      </c>
      <c r="B302" s="5">
        <v>1014</v>
      </c>
      <c r="C302" s="7" t="str">
        <f t="shared" si="1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IFERROR(VLOOKUP(B302,input_442105!L:R,7,FALSE),VLOOKUP(tables_442105!C302,input_442105!A:H,8,FALSE))</f>
        <v>4826.0407699999996</v>
      </c>
      <c r="P302" s="46">
        <f t="shared" ca="1" si="17"/>
        <v>4.0926397303256391E-4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input_442105!A$2</f>
        <v>442105</v>
      </c>
      <c r="B303" s="5">
        <v>1016</v>
      </c>
      <c r="C303" s="7" t="str">
        <f t="shared" si="16"/>
        <v>Premium4R3lesscolor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>color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IFERROR(VLOOKUP(B303,input_442105!L:R,7,FALSE),VLOOKUP(tables_442105!C303,input_442105!A:H,8,FALSE))</f>
        <v>182672.82</v>
      </c>
      <c r="P303" s="46">
        <f t="shared" ca="1" si="17"/>
        <v>1.5491249999999981E-2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input_442105!A$2</f>
        <v>442105</v>
      </c>
      <c r="B304" s="5">
        <v>1017</v>
      </c>
      <c r="C304" s="7" t="str">
        <f t="shared" si="16"/>
        <v>Premium5R3lesscolor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>color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IFERROR(VLOOKUP(B304,input_442105!L:R,7,FALSE),VLOOKUP(tables_442105!C304,input_442105!A:H,8,FALSE))</f>
        <v>13826.12</v>
      </c>
      <c r="P304" s="46">
        <f t="shared" ca="1" si="17"/>
        <v>1.1724999999999986E-3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input_442105!A$2</f>
        <v>442105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IFERROR(VLOOKUP(B305,input_442105!L:R,7,FALSE),VLOOKUP(tables_442105!C305,input_442105!A:H,8,FALSE))</f>
        <v>4826.0407699999996</v>
      </c>
      <c r="P305" s="46">
        <f t="shared" ca="1" si="17"/>
        <v>4.0926397303256391E-4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input_442105!A$2</f>
        <v>442105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IFERROR(VLOOKUP(B306,input_442105!L:R,7,FALSE),VLOOKUP(tables_442105!C306,input_442105!A:H,8,FALSE))</f>
        <v>88118.399999999994</v>
      </c>
      <c r="P306" s="46">
        <f t="shared" ref="P306:P310" ca="1" si="20">O306/SUM(O:O)</f>
        <v>7.4727272727272628E-3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input_442105!A$2</f>
        <v>442105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IFERROR(VLOOKUP(B307,input_442105!L:R,7,FALSE),VLOOKUP(tables_442105!C307,input_442105!A:H,8,FALSE))</f>
        <v>3301.76</v>
      </c>
      <c r="P307" s="46">
        <f t="shared" ca="1" si="20"/>
        <v>2.7999999999999965E-4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input_442105!A$2</f>
        <v>442105</v>
      </c>
      <c r="B308" s="5">
        <v>1028</v>
      </c>
      <c r="C308" s="7" t="str">
        <f t="shared" si="16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IFERROR(VLOOKUP(B308,input_442105!L:R,7,FALSE),VLOOKUP(tables_442105!C308,input_442105!A:H,8,FALSE))</f>
        <v>4826.0407699999996</v>
      </c>
      <c r="P308" s="46">
        <f t="shared" ca="1" si="20"/>
        <v>4.0926397303256391E-4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input_442105!A$2</f>
        <v>442105</v>
      </c>
      <c r="B309" s="5">
        <v>1031</v>
      </c>
      <c r="C309" s="7" t="str">
        <f t="shared" si="16"/>
        <v>PremiumSS5R5onlycolor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>color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IFERROR(VLOOKUP(B309,input_442105!L:R,7,FALSE),VLOOKUP(tables_442105!C309,input_442105!A:H,8,FALSE))</f>
        <v>14314.776260000001</v>
      </c>
      <c r="P309" s="46">
        <f t="shared" ca="1" si="20"/>
        <v>1.2139396421302563E-3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input_442105!A$2</f>
        <v>442105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IFERROR(VLOOKUP(B310,input_442105!L:R,7,FALSE),VLOOKUP(tables_442105!C310,input_442105!A:H,8,FALSE))</f>
        <v>4826.0407699999996</v>
      </c>
      <c r="P310" s="46">
        <f t="shared" ca="1" si="20"/>
        <v>4.0926397303256391E-4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input_442105!A$2</f>
        <v>442105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IFERROR(VLOOKUP(B311,input_442105!L:R,7,FALSE),VLOOKUP(tables_442105!C311,input_442105!A:H,8,FALSE))</f>
        <v>88118.399999999994</v>
      </c>
      <c r="P311" s="46">
        <f t="shared" ref="P311:P319" ca="1" si="21">O311/SUM(O:O)</f>
        <v>7.4727272727272628E-3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input_442105!A$2</f>
        <v>442105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IFERROR(VLOOKUP(B312,input_442105!L:R,7,FALSE),VLOOKUP(tables_442105!C312,input_442105!A:H,8,FALSE))</f>
        <v>3301.76</v>
      </c>
      <c r="P312" s="46">
        <f t="shared" ca="1" si="21"/>
        <v>2.7999999999999965E-4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input_442105!A$2</f>
        <v>442105</v>
      </c>
      <c r="B313" s="5">
        <v>1069</v>
      </c>
      <c r="C313" s="7" t="str">
        <f t="shared" si="16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IFERROR(VLOOKUP(B313,input_442105!L:R,7,FALSE),VLOOKUP(tables_442105!C313,input_442105!A:H,8,FALSE))</f>
        <v>4826.0407699999996</v>
      </c>
      <c r="P313" s="46">
        <f t="shared" ca="1" si="21"/>
        <v>4.0926397303256391E-4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input_442105!A$2</f>
        <v>442105</v>
      </c>
      <c r="B314" s="5">
        <v>1072</v>
      </c>
      <c r="C314" s="7" t="str">
        <f t="shared" si="16"/>
        <v>PremiumSS5R5onlycolor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>color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IFERROR(VLOOKUP(B314,input_442105!L:R,7,FALSE),VLOOKUP(tables_442105!C314,input_442105!A:H,8,FALSE))</f>
        <v>14314.776260000001</v>
      </c>
      <c r="P314" s="46">
        <f t="shared" ca="1" si="21"/>
        <v>1.2139396421302563E-3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input_442105!A$2</f>
        <v>442105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IFERROR(VLOOKUP(B315,input_442105!L:R,7,FALSE),VLOOKUP(tables_442105!C315,input_442105!A:H,8,FALSE))</f>
        <v>4826.0407699999996</v>
      </c>
      <c r="P315" s="46">
        <f t="shared" ca="1" si="21"/>
        <v>4.0926397303256391E-4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input_442105!A$2</f>
        <v>442105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IFERROR(VLOOKUP(B316,input_442105!L:R,7,FALSE),VLOOKUP(tables_442105!C316,input_442105!A:H,8,FALSE))</f>
        <v>4826.0407699999996</v>
      </c>
      <c r="P316" s="46">
        <f t="shared" ca="1" si="21"/>
        <v>4.0926397303256391E-4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input_442105!A$2</f>
        <v>442105</v>
      </c>
      <c r="B317" s="5">
        <v>1102</v>
      </c>
      <c r="C317" s="7" t="str">
        <f t="shared" si="16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IFERROR(VLOOKUP(B317,input_442105!L:R,7,FALSE),VLOOKUP(tables_442105!C317,input_442105!A:H,8,FALSE))</f>
        <v>4826.0407699999996</v>
      </c>
      <c r="P317" s="46">
        <f t="shared" ca="1" si="21"/>
        <v>4.0926397303256391E-4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input_442105!A$2</f>
        <v>442105</v>
      </c>
      <c r="B318" s="5">
        <v>1104</v>
      </c>
      <c r="C318" s="7" t="str">
        <f t="shared" si="16"/>
        <v>Premium4R3lesscolor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>color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IFERROR(VLOOKUP(B318,input_442105!L:R,7,FALSE),VLOOKUP(tables_442105!C318,input_442105!A:H,8,FALSE))</f>
        <v>182672.82</v>
      </c>
      <c r="P318" s="46">
        <f t="shared" ca="1" si="21"/>
        <v>1.5491249999999981E-2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input_442105!A$2</f>
        <v>442105</v>
      </c>
      <c r="B319" s="5">
        <v>1105</v>
      </c>
      <c r="C319" s="7" t="str">
        <f t="shared" si="16"/>
        <v>Premium5R3lesscolor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>color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IFERROR(VLOOKUP(B319,input_442105!L:R,7,FALSE),VLOOKUP(tables_442105!C319,input_442105!A:H,8,FALSE))</f>
        <v>13826.12</v>
      </c>
      <c r="P319" s="46">
        <f t="shared" ca="1" si="21"/>
        <v>1.1724999999999986E-3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input_442105!A$2</f>
        <v>442105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IFERROR(VLOOKUP(B320,input_442105!L:R,7,FALSE),VLOOKUP(tables_442105!C320,input_442105!A:H,8,FALSE))</f>
        <v>4826.0407699999996</v>
      </c>
      <c r="P320" s="46">
        <f t="shared" ref="P320:P324" ca="1" si="22">O320/SUM(O:O)</f>
        <v>4.0926397303256391E-4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input_442105!A$2</f>
        <v>442105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IFERROR(VLOOKUP(B321,input_442105!L:R,7,FALSE),VLOOKUP(tables_442105!C321,input_442105!A:H,8,FALSE))</f>
        <v>4826.0407699999996</v>
      </c>
      <c r="P321" s="46">
        <f t="shared" ca="1" si="22"/>
        <v>4.0926397303256391E-4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input_442105!A$2</f>
        <v>442105</v>
      </c>
      <c r="B322" s="5">
        <v>1139</v>
      </c>
      <c r="C322" s="7" t="str">
        <f t="shared" ref="C322:C324" si="23">D322&amp;J322&amp;E322&amp;F322&amp;G322</f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IFERROR(VLOOKUP(B322,input_442105!L:R,7,FALSE),VLOOKUP(tables_442105!C322,input_442105!A:H,8,FALSE))</f>
        <v>4826.0407699999996</v>
      </c>
      <c r="P322" s="46">
        <f t="shared" ca="1" si="22"/>
        <v>4.0926397303256391E-4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input_442105!A$2</f>
        <v>442105</v>
      </c>
      <c r="B323" s="5">
        <v>1141</v>
      </c>
      <c r="C323" s="7" t="str">
        <f t="shared" si="23"/>
        <v>PremiumSS5R5onlycolor</v>
      </c>
      <c r="D323" s="7" t="str">
        <f t="shared" ref="D323:D324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24" si="25">IF(K323="blue","color","")</f>
        <v>color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IFERROR(VLOOKUP(B323,input_442105!L:R,7,FALSE),VLOOKUP(tables_442105!C323,input_442105!A:H,8,FALSE))</f>
        <v>14314.776260000001</v>
      </c>
      <c r="P323" s="46">
        <f t="shared" ca="1" si="22"/>
        <v>1.2139396421302563E-3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input_442105!A$2</f>
        <v>442105</v>
      </c>
      <c r="B324" s="2">
        <v>1143</v>
      </c>
      <c r="C324" s="7" t="str">
        <f t="shared" si="23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5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IFERROR(VLOOKUP(B324,input_442105!L:R,7,FALSE),VLOOKUP(tables_442105!C324,input_442105!A:H,8,FALSE))</f>
        <v>88118.399999999994</v>
      </c>
      <c r="P324" s="46">
        <f t="shared" ca="1" si="22"/>
        <v>7.4727272727272628E-3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input_442105!A$2</f>
        <v>442105</v>
      </c>
      <c r="B325" s="2">
        <v>1144</v>
      </c>
      <c r="C325" s="7" t="str">
        <f t="shared" ref="C325:C331" si="26">D325&amp;J325&amp;E325&amp;F325&amp;G325</f>
        <v>Premium5R3less</v>
      </c>
      <c r="D325" s="7" t="str">
        <f t="shared" ref="D325:D331" si="27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ref="G325:G331" si="28">IF(K325="blue","color","")</f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IFERROR(VLOOKUP(B325,input_442105!L:R,7,FALSE),VLOOKUP(tables_442105!C325,input_442105!A:H,8,FALSE))</f>
        <v>3301.76</v>
      </c>
      <c r="P325" s="46">
        <f t="shared" ref="P325:P331" ca="1" si="29">O325/SUM(O:O)</f>
        <v>2.7999999999999965E-4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input_442105!A$2</f>
        <v>442105</v>
      </c>
      <c r="B326" s="2">
        <v>1151</v>
      </c>
      <c r="C326" s="7" t="str">
        <f t="shared" si="26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8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IFERROR(VLOOKUP(B326,input_442105!L:R,7,FALSE),VLOOKUP(tables_442105!C326,input_442105!A:H,8,FALSE))</f>
        <v>88118.399999999994</v>
      </c>
      <c r="P326" s="46">
        <f t="shared" ca="1" si="29"/>
        <v>7.4727272727272628E-3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input_442105!A$2</f>
        <v>442105</v>
      </c>
      <c r="B327" s="2">
        <v>1152</v>
      </c>
      <c r="C327" s="7" t="str">
        <f t="shared" si="26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8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IFERROR(VLOOKUP(B327,input_442105!L:R,7,FALSE),VLOOKUP(tables_442105!C327,input_442105!A:H,8,FALSE))</f>
        <v>3301.76</v>
      </c>
      <c r="P327" s="46">
        <f t="shared" ca="1" si="29"/>
        <v>2.7999999999999965E-4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input_442105!A$2</f>
        <v>442105</v>
      </c>
      <c r="B328" s="2">
        <v>1153</v>
      </c>
      <c r="C328" s="7" t="str">
        <f t="shared" si="26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8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IFERROR(VLOOKUP(B328,input_442105!L:R,7,FALSE),VLOOKUP(tables_442105!C328,input_442105!A:H,8,FALSE))</f>
        <v>4826.0407699999996</v>
      </c>
      <c r="P328" s="46">
        <f t="shared" ca="1" si="29"/>
        <v>4.0926397303256391E-4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input_442105!A$2</f>
        <v>442105</v>
      </c>
      <c r="B329" s="2">
        <v>1155</v>
      </c>
      <c r="C329" s="7" t="str">
        <f t="shared" si="26"/>
        <v>PremiumSS5R5onlycolor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8"/>
        <v>color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IFERROR(VLOOKUP(B329,input_442105!L:R,7,FALSE),VLOOKUP(tables_442105!C329,input_442105!A:H,8,FALSE))</f>
        <v>14314.776260000001</v>
      </c>
      <c r="P329" s="46">
        <f t="shared" ca="1" si="29"/>
        <v>1.2139396421302563E-3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input_442105!A$2</f>
        <v>442105</v>
      </c>
      <c r="B330" s="2">
        <v>1157</v>
      </c>
      <c r="C330" s="7" t="str">
        <f t="shared" si="26"/>
        <v>PremiumSS5R5only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8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IFERROR(VLOOKUP(B330,input_442105!L:R,7,FALSE),VLOOKUP(tables_442105!C330,input_442105!A:H,8,FALSE))</f>
        <v>4826.0407699999996</v>
      </c>
      <c r="P330" s="46">
        <f t="shared" ca="1" si="29"/>
        <v>4.0926397303256391E-4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input_442105!A$2</f>
        <v>442105</v>
      </c>
      <c r="B331" s="2">
        <v>1111</v>
      </c>
      <c r="C331" s="7" t="str">
        <f t="shared" si="26"/>
        <v>PremiumSSS5R3lesscolor</v>
      </c>
      <c r="D331" s="7" t="str">
        <f t="shared" si="27"/>
        <v>PremiumSSS</v>
      </c>
      <c r="E331" s="7" t="str">
        <f>IF(COUNTIF('R6追加前'!A:A,B331)=0,IF(OR(I331="PremiumSS",I331="PremiumSSw"),"R5only","R3less"),"")</f>
        <v>R3less</v>
      </c>
      <c r="F331" s="7" t="str">
        <f>IF(COUNTIF('R6開放'!A:A,B331)&gt;0,"R6release","")</f>
        <v/>
      </c>
      <c r="G331" s="7" t="str">
        <f t="shared" si="28"/>
        <v>color</v>
      </c>
      <c r="H331" s="7" t="str">
        <f>VLOOKUP(B331,[1]characters!$A:$C,3,FALSE)</f>
        <v>ウィグナー</v>
      </c>
      <c r="I331" s="7" t="str">
        <f>VLOOKUP(B331,[1]characters!$A:$J,10,FALSE)</f>
        <v>PremiumSSS</v>
      </c>
      <c r="J331" s="7">
        <f>VLOOKUP(B331,[1]characters!$A:$I,9,FALSE)</f>
        <v>5</v>
      </c>
      <c r="K331" s="7" t="str">
        <f>VLOOKUP(B331,[1]characters!$A:$H,8,FALSE)</f>
        <v>blue</v>
      </c>
      <c r="L331" s="7" t="str">
        <f>VLOOKUP(B331,[1]characters!$A:$K,11,FALSE)</f>
        <v>attack</v>
      </c>
      <c r="M331" s="7" t="str">
        <f>VLOOKUP(B331,[1]characters!$A:$M,13,FALSE)</f>
        <v>academia</v>
      </c>
      <c r="N331" s="7" t="str">
        <f>VLOOKUP(B331,[1]characters!$A:$G,7,FALSE)</f>
        <v>不明</v>
      </c>
      <c r="O331" s="45">
        <f ca="1">IFERROR(VLOOKUP(B331,input_442105!L:R,7,FALSE),VLOOKUP(tables_442105!C331,input_442105!A:H,8,FALSE))</f>
        <v>141504</v>
      </c>
      <c r="P331" s="46">
        <f t="shared" ca="1" si="29"/>
        <v>1.1999999999999985E-2</v>
      </c>
      <c r="Q331" s="88">
        <v>80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5"/>
  <sheetViews>
    <sheetView topLeftCell="A11" workbookViewId="0">
      <selection activeCell="F53" sqref="F5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442100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VLOOKUP(L3,tables_442100!B:C,2,FALSE)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VLOOKUP(L4,tables_442100!B:C,2,FALSE)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4.5454545454545465E-4</v>
      </c>
      <c r="F5">
        <f>(COUNTIF(tables_442100!C:C,input_442100!A28)+COUNTIF(tables_442100!C:C,input_442100!A29))</f>
        <v>44</v>
      </c>
      <c r="H5" s="85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VLOOKUP(L5,tables_442100!B:C,2,FALSE)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2.3076923076923075E-3</v>
      </c>
      <c r="F6">
        <f>(COUNTIF(tables_442100!C:C,input_442100!A43)+COUNTIF(tables_442100!C:C,input_442100!A44))</f>
        <v>13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VLOOKUP(L6,tables_442100!B:C,2,FALSE)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5.5522388059701493E-3</v>
      </c>
      <c r="F7">
        <f>(COUNTIF(tables_442100!C:C,input_442100!A25)+COUNTIF(tables_442100!C:C,input_442100!A18)+COUNTIF(tables_442100!C:C,input_442100!A20)+COUNTIF(tables_442100!C:C,input_442100!A22))</f>
        <v>67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VLOOKUP(L7,tables_442100!B:C,2,FALSE)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2.3249999999999996E-2</v>
      </c>
      <c r="F8">
        <f>(COUNTIF(tables_442100!C:C,input_442100!A40)+COUNTIF(tables_442100!C:C,input_442100!A33)+COUNTIF(tables_442100!C:C,input_442100!A35)+COUNTIF(tables_442100!C:C,input_442100!A37))</f>
        <v>24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VLOOKUP(L8,tables_442100!B:C,2,FALSE)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VLOOKUP(L9,tables_442100!B:C,2,FALSE)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0.92999999999999994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VLOOKUP(L10,tables_442100!B:C,2,FALSE)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91">
        <f>5%</f>
        <v>0.05</v>
      </c>
      <c r="C11" t="s">
        <v>276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VLOOKUP(L11,tables_442100!B:C,2,FALSE)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0.02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VLOOKUP(L12,tables_442100!B:C,2,FALSE)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VLOOKUP(L13,tables_442100!B:C,2,FALSE)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VLOOKUP(L14,tables_442100!B:C,2,FALSE)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VLOOKUP(L15,tables_442100!B:C,2,FALSE)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VLOOKUP(L16,tables_442100!B:C,2,FALSE)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93">
        <f>B$5*0.4-B19-B24</f>
        <v>0</v>
      </c>
      <c r="C17" s="86">
        <f t="shared" ref="C17:C46" si="2">SUMIF(Q:Q,A17,N:N)</f>
        <v>0</v>
      </c>
      <c r="D17" s="75">
        <f t="shared" ref="D17:D47" si="3">B17-C17</f>
        <v>0</v>
      </c>
      <c r="E17">
        <f>COUNTIF(tables_442100!C:C,input_442100!A17)-COUNTIF(Q:Q,A17)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VLOOKUP(L17,tables_442100!B:C,2,FALSE)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8.3283582089552236E-2</v>
      </c>
      <c r="C18" s="86">
        <f t="shared" si="2"/>
        <v>0</v>
      </c>
      <c r="D18" s="75">
        <f t="shared" si="3"/>
        <v>8.3283582089552236E-2</v>
      </c>
      <c r="E18">
        <f>COUNTIF(tables_442100!C:C,input_442100!A18)-COUNTIF(Q:Q,A18)</f>
        <v>15</v>
      </c>
      <c r="F18" s="43">
        <f>IFERROR(B18/E18,0)</f>
        <v>5.5522388059701493E-3</v>
      </c>
      <c r="G18">
        <f t="shared" si="4"/>
        <v>982080</v>
      </c>
      <c r="H18">
        <f t="shared" si="5"/>
        <v>65472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VLOOKUP(L18,tables_442100!B:C,2,FALSE)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83">
        <f>E$7*E19*B$5</f>
        <v>0</v>
      </c>
      <c r="C19" s="86">
        <f t="shared" si="2"/>
        <v>0</v>
      </c>
      <c r="D19" s="75">
        <f t="shared" si="3"/>
        <v>0</v>
      </c>
      <c r="E19">
        <f>COUNTIF(tables_442100!C:C,input_442100!A19)-COUNTIF(Q:Q,A19)</f>
        <v>38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VLOOKUP(L19,tables_442100!B:C,2,FALSE)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93">
        <f>E$7*E20*B$6+F49-0.02+0.01-G64</f>
        <v>0.19043582089134903</v>
      </c>
      <c r="C20" s="86">
        <f t="shared" si="2"/>
        <v>0</v>
      </c>
      <c r="D20" s="75">
        <f t="shared" si="3"/>
        <v>0.19043582089134903</v>
      </c>
      <c r="E20">
        <f>COUNTIF(tables_442100!C:C,input_442100!A20)-COUNTIF(Q:Q,A20)</f>
        <v>38</v>
      </c>
      <c r="F20" s="43">
        <f t="shared" si="8"/>
        <v>5.0114689708249741E-3</v>
      </c>
      <c r="G20">
        <f t="shared" si="4"/>
        <v>2245619.1999507877</v>
      </c>
      <c r="H20">
        <f t="shared" si="5"/>
        <v>59095.242100000003</v>
      </c>
      <c r="I20">
        <f t="shared" si="6"/>
        <v>0.24210000000311993</v>
      </c>
      <c r="J20">
        <f t="shared" si="7"/>
        <v>4.1305245765680008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VLOOKUP(L20,tables_442100!B:C,2,FALSE)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E$7*E21*B$7-0.01</f>
        <v>5.4925373134328409E-4</v>
      </c>
      <c r="C21" s="86">
        <f t="shared" si="2"/>
        <v>0</v>
      </c>
      <c r="D21" s="75">
        <f t="shared" si="3"/>
        <v>5.4925373134328409E-4</v>
      </c>
      <c r="E21">
        <f>COUNTIF(tables_442100!C:C,input_442100!A21)-COUNTIF(Q:Q,A21)</f>
        <v>38</v>
      </c>
      <c r="F21" s="43">
        <f t="shared" si="8"/>
        <v>1.4454045561665371E-5</v>
      </c>
      <c r="G21">
        <f t="shared" si="4"/>
        <v>6476.8000000000056</v>
      </c>
      <c r="H21">
        <f t="shared" si="5"/>
        <v>170.44211000000001</v>
      </c>
      <c r="I21">
        <f t="shared" si="6"/>
        <v>0.44211000000001377</v>
      </c>
      <c r="J21">
        <f t="shared" si="7"/>
        <v>2.2618805274704687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E$7*E22-B23+C50</f>
        <v>8.4910447761194136E-2</v>
      </c>
      <c r="C22" s="86">
        <f t="shared" si="2"/>
        <v>0</v>
      </c>
      <c r="D22" s="75">
        <f t="shared" si="3"/>
        <v>8.4910447761194136E-2</v>
      </c>
      <c r="E22">
        <f>COUNTIF(tables_442100!C:C,input_442100!A22)-COUNTIF(Q:Q,A22)</f>
        <v>11</v>
      </c>
      <c r="F22" s="43">
        <f t="shared" si="8"/>
        <v>7.7191316146540123E-3</v>
      </c>
      <c r="G22">
        <f t="shared" si="4"/>
        <v>1001264.0000000013</v>
      </c>
      <c r="H22">
        <f t="shared" si="5"/>
        <v>91024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E23*E7*B7</f>
        <v>4.1641791044776119E-3</v>
      </c>
      <c r="C23" s="86">
        <f t="shared" si="2"/>
        <v>0</v>
      </c>
      <c r="D23" s="75">
        <f t="shared" si="3"/>
        <v>4.1641791044776119E-3</v>
      </c>
      <c r="E23">
        <f>COUNTIF(tables_442100!C:C,input_442100!A23)-COUNTIF(Q:Q,A23)</f>
        <v>15</v>
      </c>
      <c r="F23" s="43">
        <f t="shared" si="8"/>
        <v>2.7761194029850744E-4</v>
      </c>
      <c r="G23">
        <f t="shared" si="4"/>
        <v>49104</v>
      </c>
      <c r="H23">
        <f t="shared" si="5"/>
        <v>3273.6</v>
      </c>
      <c r="I23">
        <f t="shared" si="6"/>
        <v>0.59999999999990905</v>
      </c>
      <c r="J23">
        <f t="shared" si="7"/>
        <v>1.6666666666669192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E$7*E24*B$5</f>
        <v>0</v>
      </c>
      <c r="C24" s="86">
        <f t="shared" si="2"/>
        <v>0</v>
      </c>
      <c r="D24" s="75">
        <f t="shared" si="3"/>
        <v>0</v>
      </c>
      <c r="E24">
        <f>COUNTIF(tables_442100!C:C,input_442100!A24)-COUNTIF(Q:Q,A24)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E$7*B$6*E25</f>
        <v>1.5823880597014922E-2</v>
      </c>
      <c r="C25" s="86">
        <f t="shared" si="2"/>
        <v>0</v>
      </c>
      <c r="D25" s="75">
        <f t="shared" si="3"/>
        <v>1.5823880597014922E-2</v>
      </c>
      <c r="E25">
        <f>COUNTIF(tables_442100!C:C,input_442100!A25)-COUNTIF(Q:Q,A25)</f>
        <v>3</v>
      </c>
      <c r="F25" s="43">
        <f t="shared" si="8"/>
        <v>5.2746268656716404E-3</v>
      </c>
      <c r="G25">
        <f t="shared" si="4"/>
        <v>186595.19999999995</v>
      </c>
      <c r="H25">
        <f t="shared" si="5"/>
        <v>62198.400000000001</v>
      </c>
      <c r="I25">
        <f t="shared" si="6"/>
        <v>0.40000000000145519</v>
      </c>
      <c r="J25">
        <f t="shared" si="7"/>
        <v>2.4999999999909051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E$7*B$7*E26</f>
        <v>8.3283582089552243E-4</v>
      </c>
      <c r="C26" s="86">
        <f t="shared" si="2"/>
        <v>0</v>
      </c>
      <c r="D26" s="75">
        <f t="shared" si="3"/>
        <v>8.3283582089552243E-4</v>
      </c>
      <c r="E26">
        <f>COUNTIF(tables_442100!C:C,input_442100!A26)-COUNTIF(Q:Q,A26)</f>
        <v>3</v>
      </c>
      <c r="F26" s="43">
        <f t="shared" si="8"/>
        <v>2.776119402985075E-4</v>
      </c>
      <c r="G26">
        <f t="shared" si="4"/>
        <v>9820.8000000000011</v>
      </c>
      <c r="H26">
        <f t="shared" si="5"/>
        <v>3273.6</v>
      </c>
      <c r="I26">
        <f t="shared" si="6"/>
        <v>0.59999999999990905</v>
      </c>
      <c r="J26">
        <f t="shared" si="7"/>
        <v>1.6666666666669192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E$5*E27*(B$5+B$6)+G64</f>
        <v>1.0496192597032907E-2</v>
      </c>
      <c r="C27" s="86">
        <f t="shared" si="2"/>
        <v>0</v>
      </c>
      <c r="D27" s="75">
        <f t="shared" si="3"/>
        <v>1.0496192597032907E-2</v>
      </c>
      <c r="E27">
        <f>COUNTIF(tables_442100!C:C,input_442100!A27)-COUNTIF(Q:Q,A27)</f>
        <v>22</v>
      </c>
      <c r="F27" s="43">
        <f>IFERROR(B27/E27,0)</f>
        <v>4.770996635014958E-4</v>
      </c>
      <c r="G27">
        <f t="shared" si="4"/>
        <v>123771.10310421204</v>
      </c>
      <c r="H27">
        <f t="shared" si="5"/>
        <v>5625.9592300000004</v>
      </c>
      <c r="I27">
        <f t="shared" si="6"/>
        <v>0.95923000000038883</v>
      </c>
      <c r="J27">
        <f t="shared" si="7"/>
        <v>1.0425028408198187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5.0000000000000012E-4</v>
      </c>
      <c r="C28" s="86">
        <f t="shared" si="2"/>
        <v>0</v>
      </c>
      <c r="D28" s="75">
        <f t="shared" si="3"/>
        <v>5.0000000000000012E-4</v>
      </c>
      <c r="E28">
        <f>COUNTIF(tables_442100!C:C,input_442100!A28)-COUNTIF(Q:Q,A28)</f>
        <v>22</v>
      </c>
      <c r="F28" s="43">
        <f t="shared" si="8"/>
        <v>2.2727272727272733E-5</v>
      </c>
      <c r="G28">
        <f t="shared" si="4"/>
        <v>5896.0000000000018</v>
      </c>
      <c r="H28">
        <f t="shared" si="5"/>
        <v>268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E$5*E29-F49</f>
        <v>9.0038074071404524E-3</v>
      </c>
      <c r="C29" s="86">
        <f t="shared" si="2"/>
        <v>0</v>
      </c>
      <c r="D29" s="75">
        <f t="shared" si="3"/>
        <v>9.0038074071404524E-3</v>
      </c>
      <c r="E29">
        <f>COUNTIF(tables_442100!C:C,input_442100!A29)-COUNTIF(Q:Q,A29)</f>
        <v>22</v>
      </c>
      <c r="F29" s="43">
        <f t="shared" si="8"/>
        <v>4.0926397305183874E-4</v>
      </c>
      <c r="G29">
        <f t="shared" si="4"/>
        <v>106172.89694500022</v>
      </c>
      <c r="H29">
        <f t="shared" si="5"/>
        <v>4826.0407699999996</v>
      </c>
      <c r="I29">
        <f t="shared" si="6"/>
        <v>4.0769999999611173E-2</v>
      </c>
      <c r="J29">
        <f t="shared" si="7"/>
        <v>24.527839097609444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266</v>
      </c>
      <c r="B30" s="56">
        <v>0</v>
      </c>
      <c r="C30" s="86">
        <f t="shared" si="2"/>
        <v>0</v>
      </c>
      <c r="D30" s="75">
        <f t="shared" si="3"/>
        <v>0</v>
      </c>
      <c r="E30">
        <f>COUNTIF(tables_442100!C:C,input_442100!A30)-COUNTIF(Q:Q,A30)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267</v>
      </c>
      <c r="B31" s="56">
        <v>0</v>
      </c>
      <c r="C31" s="86">
        <f t="shared" si="2"/>
        <v>0</v>
      </c>
      <c r="D31" s="75">
        <f t="shared" si="3"/>
        <v>0</v>
      </c>
      <c r="E31">
        <f>COUNTIF(tables_442100!C:C,input_442100!A31)-COUNTIF(Q:Q,A31)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93">
        <f>B$5*0.6-B34-B39</f>
        <v>0</v>
      </c>
      <c r="C32" s="86">
        <f t="shared" si="2"/>
        <v>0</v>
      </c>
      <c r="D32" s="75">
        <f t="shared" si="3"/>
        <v>0</v>
      </c>
      <c r="E32">
        <f>COUNTIF(tables_442100!C:C,input_442100!A32)-COUNTIF(Q:Q,A32)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E$8*E33-B32+0.02</f>
        <v>0.13624999999999998</v>
      </c>
      <c r="C33" s="86">
        <f t="shared" si="2"/>
        <v>0</v>
      </c>
      <c r="D33" s="75">
        <f t="shared" si="3"/>
        <v>0.13624999999999998</v>
      </c>
      <c r="E33">
        <f>COUNTIF(tables_442100!C:C,input_442100!A33)-COUNTIF(Q:Q,A33)</f>
        <v>5</v>
      </c>
      <c r="F33" s="43">
        <f>IFERROR(B33/E33,0)</f>
        <v>2.7249999999999996E-2</v>
      </c>
      <c r="G33">
        <f t="shared" si="4"/>
        <v>1606659.9999999998</v>
      </c>
      <c r="H33">
        <f t="shared" si="5"/>
        <v>321332</v>
      </c>
      <c r="I33">
        <f t="shared" si="6"/>
        <v>0</v>
      </c>
      <c r="J33">
        <f t="shared" si="7"/>
        <v>1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83">
        <f>E$8*E34*B$5</f>
        <v>0</v>
      </c>
      <c r="C34" s="86">
        <f t="shared" si="2"/>
        <v>0</v>
      </c>
      <c r="D34" s="75">
        <f t="shared" si="3"/>
        <v>0</v>
      </c>
      <c r="E34">
        <f>COUNTIF(tables_442100!C:C,input_442100!A34)-COUNTIF(Q:Q,A34)</f>
        <v>14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E$8*E35*B$6+E49</f>
        <v>0.32022119259285947</v>
      </c>
      <c r="C35" s="86">
        <f t="shared" si="2"/>
        <v>0</v>
      </c>
      <c r="D35" s="75">
        <f t="shared" si="3"/>
        <v>0.32022119259285947</v>
      </c>
      <c r="E35">
        <f>COUNTIF(tables_442100!C:C,input_442100!A35)-COUNTIF(Q:Q,A35)</f>
        <v>14</v>
      </c>
      <c r="F35" s="43">
        <f t="shared" si="9"/>
        <v>2.2872942328061391E-2</v>
      </c>
      <c r="G35">
        <f t="shared" si="4"/>
        <v>3776048.3030549991</v>
      </c>
      <c r="H35">
        <f t="shared" si="5"/>
        <v>269717.73593000002</v>
      </c>
      <c r="I35">
        <f t="shared" si="6"/>
        <v>0.73593000002438203</v>
      </c>
      <c r="J35">
        <f t="shared" si="7"/>
        <v>1.3588248881916338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E$8*E36*B$7-E49</f>
        <v>5.278807407140448E-3</v>
      </c>
      <c r="C36" s="86">
        <f t="shared" si="2"/>
        <v>0</v>
      </c>
      <c r="D36" s="75">
        <f t="shared" si="3"/>
        <v>5.278807407140448E-3</v>
      </c>
      <c r="E36">
        <f>COUNTIF(tables_442100!C:C,input_442100!A36)-COUNTIF(Q:Q,A36)</f>
        <v>14</v>
      </c>
      <c r="F36" s="43">
        <f t="shared" si="9"/>
        <v>3.7705767193860342E-4</v>
      </c>
      <c r="G36">
        <f t="shared" si="4"/>
        <v>62247.696945000163</v>
      </c>
      <c r="H36">
        <f t="shared" si="5"/>
        <v>4446.2640700000002</v>
      </c>
      <c r="I36">
        <f t="shared" si="6"/>
        <v>0.26407000000017433</v>
      </c>
      <c r="J36">
        <f t="shared" si="7"/>
        <v>3.7868746923139311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E$8*E37-B38-C50</f>
        <v>5.8024999999999889E-2</v>
      </c>
      <c r="C37" s="86">
        <f t="shared" si="2"/>
        <v>0</v>
      </c>
      <c r="D37" s="75">
        <f t="shared" si="3"/>
        <v>5.8024999999999889E-2</v>
      </c>
      <c r="E37">
        <f>COUNTIF(tables_442100!C:C,input_442100!A37)-COUNTIF(Q:Q,A37)</f>
        <v>4</v>
      </c>
      <c r="F37" s="43">
        <f t="shared" si="9"/>
        <v>1.4506249999999972E-2</v>
      </c>
      <c r="G37">
        <f t="shared" si="4"/>
        <v>684230.79999999865</v>
      </c>
      <c r="H37">
        <f t="shared" si="5"/>
        <v>171057.7</v>
      </c>
      <c r="I37">
        <f t="shared" si="6"/>
        <v>0.70000000001164153</v>
      </c>
      <c r="J37">
        <f t="shared" si="7"/>
        <v>1.4285714285476703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E38*E8*B7</f>
        <v>6.9749999999999994E-3</v>
      </c>
      <c r="C38" s="86">
        <f t="shared" si="2"/>
        <v>0</v>
      </c>
      <c r="D38" s="75">
        <f t="shared" si="3"/>
        <v>6.9749999999999994E-3</v>
      </c>
      <c r="E38">
        <f>COUNTIF(tables_442100!C:C,input_442100!A38)-COUNTIF(Q:Q,A38)</f>
        <v>6</v>
      </c>
      <c r="F38" s="43">
        <f t="shared" si="9"/>
        <v>1.1624999999999999E-3</v>
      </c>
      <c r="G38">
        <f t="shared" si="4"/>
        <v>82249.2</v>
      </c>
      <c r="H38">
        <f t="shared" si="5"/>
        <v>13708.2</v>
      </c>
      <c r="I38">
        <f t="shared" si="6"/>
        <v>0.2000000000007276</v>
      </c>
      <c r="J38">
        <f t="shared" si="7"/>
        <v>4.9999999999818101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E$8*E39*B$5</f>
        <v>0</v>
      </c>
      <c r="C39" s="86">
        <f t="shared" si="2"/>
        <v>0</v>
      </c>
      <c r="D39" s="75">
        <f t="shared" si="3"/>
        <v>0</v>
      </c>
      <c r="E39">
        <f>COUNTIF(tables_442100!C:C,input_442100!A39)-COUNTIF(Q:Q,A39)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E$8*B$6*E40</f>
        <v>2.2087499999999996E-2</v>
      </c>
      <c r="C40" s="86">
        <f t="shared" si="2"/>
        <v>0</v>
      </c>
      <c r="D40" s="75">
        <f t="shared" si="3"/>
        <v>2.2087499999999996E-2</v>
      </c>
      <c r="E40">
        <f>COUNTIF(tables_442100!C:C,input_442100!A40)-COUNTIF(Q:Q,A40)</f>
        <v>1</v>
      </c>
      <c r="F40" s="43">
        <f t="shared" si="9"/>
        <v>2.2087499999999996E-2</v>
      </c>
      <c r="G40">
        <f t="shared" si="4"/>
        <v>260455.79999999996</v>
      </c>
      <c r="H40">
        <f t="shared" si="5"/>
        <v>260455.8</v>
      </c>
      <c r="I40">
        <f t="shared" si="6"/>
        <v>0.79999999998835847</v>
      </c>
      <c r="J40">
        <f t="shared" si="7"/>
        <v>1.2500000000181899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E$8*B$7*E41</f>
        <v>1.1624999999999999E-3</v>
      </c>
      <c r="C41" s="86">
        <f t="shared" si="2"/>
        <v>0</v>
      </c>
      <c r="D41" s="75">
        <f t="shared" si="3"/>
        <v>1.1624999999999999E-3</v>
      </c>
      <c r="E41">
        <f>COUNTIF(tables_442100!C:C,input_442100!A41)-COUNTIF(Q:Q,A41)</f>
        <v>1</v>
      </c>
      <c r="F41" s="43">
        <f t="shared" si="9"/>
        <v>1.1624999999999999E-3</v>
      </c>
      <c r="G41">
        <f t="shared" si="4"/>
        <v>13708.199999999999</v>
      </c>
      <c r="H41">
        <f t="shared" si="5"/>
        <v>13708.2</v>
      </c>
      <c r="I41">
        <f t="shared" si="6"/>
        <v>0.2000000000007276</v>
      </c>
      <c r="J41">
        <f t="shared" si="7"/>
        <v>4.9999999999818101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E$6*E42*(B$5+B$6)+H49</f>
        <v>2.8466383470997305E-2</v>
      </c>
      <c r="C42" s="86">
        <f t="shared" si="2"/>
        <v>0</v>
      </c>
      <c r="D42" s="75">
        <f t="shared" si="3"/>
        <v>2.8466383470997305E-2</v>
      </c>
      <c r="E42">
        <f>COUNTIF(tables_442100!C:C,input_442100!A42)-COUNTIF(Q:Q,A42)</f>
        <v>6</v>
      </c>
      <c r="F42" s="43">
        <f>IFERROR(B42/E42,0)</f>
        <v>4.7443972451662172E-3</v>
      </c>
      <c r="G42">
        <f t="shared" si="4"/>
        <v>335675.59389000019</v>
      </c>
      <c r="H42">
        <f t="shared" si="5"/>
        <v>55945.93232</v>
      </c>
      <c r="I42">
        <f t="shared" si="6"/>
        <v>0.93231999999989057</v>
      </c>
      <c r="J42">
        <f t="shared" si="7"/>
        <v>1.0725931010812997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6.9230769230769226E-4</v>
      </c>
      <c r="C43" s="86">
        <f t="shared" si="2"/>
        <v>0</v>
      </c>
      <c r="D43" s="75">
        <f t="shared" si="3"/>
        <v>6.9230769230769226E-4</v>
      </c>
      <c r="E43">
        <f>COUNTIF(tables_442100!C:C,input_442100!A43)-COUNTIF(Q:Q,A43)</f>
        <v>6</v>
      </c>
      <c r="F43" s="43">
        <f t="shared" ref="F43:F46" si="10">IFERROR(B43/E43,0)</f>
        <v>1.1538461538461538E-4</v>
      </c>
      <c r="G43">
        <f t="shared" si="4"/>
        <v>8163.6923076923076</v>
      </c>
      <c r="H43">
        <f t="shared" si="5"/>
        <v>1360.61538</v>
      </c>
      <c r="I43">
        <f t="shared" si="6"/>
        <v>0.61537999999995918</v>
      </c>
      <c r="J43">
        <f t="shared" si="7"/>
        <v>1.6250121875915147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E$6*E44-H49</f>
        <v>8.4130883669499695E-4</v>
      </c>
      <c r="C44" s="86">
        <f t="shared" si="2"/>
        <v>0</v>
      </c>
      <c r="D44" s="75">
        <f t="shared" si="3"/>
        <v>8.4130883669499695E-4</v>
      </c>
      <c r="E44">
        <f>COUNTIF(tables_442100!C:C,input_442100!A44)-COUNTIF(Q:Q,A44)</f>
        <v>7</v>
      </c>
      <c r="F44" s="43">
        <f t="shared" si="10"/>
        <v>1.2018697667071384E-4</v>
      </c>
      <c r="G44">
        <f t="shared" si="4"/>
        <v>9920.713802307404</v>
      </c>
      <c r="H44">
        <f t="shared" si="5"/>
        <v>1417.2448300000001</v>
      </c>
      <c r="I44">
        <f t="shared" si="6"/>
        <v>0.2448300000000927</v>
      </c>
      <c r="J44">
        <f t="shared" si="7"/>
        <v>4.0844667728612567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264</v>
      </c>
      <c r="B45" s="56">
        <v>0</v>
      </c>
      <c r="C45" s="86">
        <f t="shared" si="2"/>
        <v>0</v>
      </c>
      <c r="D45" s="75">
        <f t="shared" si="3"/>
        <v>0</v>
      </c>
      <c r="E45">
        <f>COUNTIF(tables_442100!C:C,input_442100!A45)-COUNTIF(Q:Q,A45)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265</v>
      </c>
      <c r="B46" s="56">
        <f>B12</f>
        <v>0.02</v>
      </c>
      <c r="C46" s="86">
        <f t="shared" si="2"/>
        <v>0</v>
      </c>
      <c r="D46" s="75">
        <f t="shared" si="3"/>
        <v>0.02</v>
      </c>
      <c r="E46">
        <f>COUNTIF(tables_442100!C:C,input_442100!A46)-COUNTIF(Q:Q,A46)</f>
        <v>1</v>
      </c>
      <c r="F46" s="43">
        <f t="shared" si="10"/>
        <v>0.02</v>
      </c>
      <c r="G46">
        <f t="shared" si="4"/>
        <v>235840</v>
      </c>
      <c r="H46">
        <f t="shared" si="5"/>
        <v>235840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0.99999999999999989</v>
      </c>
      <c r="C47" s="41">
        <f>SUM(C19:C31)</f>
        <v>0</v>
      </c>
      <c r="D47" s="42">
        <f t="shared" si="3"/>
        <v>0.99999999999999989</v>
      </c>
      <c r="L47" s="57"/>
      <c r="M47" s="57"/>
      <c r="N47" s="57"/>
      <c r="O47" s="57"/>
      <c r="P47" s="57"/>
      <c r="Q47" s="57"/>
      <c r="R47" s="59"/>
    </row>
    <row r="49" spans="1:8" x14ac:dyDescent="0.15">
      <c r="B49" t="s">
        <v>53</v>
      </c>
      <c r="C49" s="92">
        <f>SUM(B32:B46)</f>
        <v>0.59999999999999964</v>
      </c>
      <c r="E49" s="97">
        <f>0.0219923851857191*0.5</f>
        <v>1.099619259285955E-2</v>
      </c>
      <c r="F49" s="107">
        <f>E49-0.01</f>
        <v>9.9619259285954956E-4</v>
      </c>
      <c r="G49" s="108">
        <f ca="1">G57-0.05</f>
        <v>1.6112639000809281E-11</v>
      </c>
      <c r="H49" s="106">
        <v>1.5312537317151154E-2</v>
      </c>
    </row>
    <row r="50" spans="1:8" x14ac:dyDescent="0.15">
      <c r="A50" t="s">
        <v>74</v>
      </c>
      <c r="C50" s="92">
        <v>2.8000000000000101E-2</v>
      </c>
      <c r="D50" s="96"/>
      <c r="E50" s="97"/>
      <c r="F50" s="105"/>
      <c r="G50" s="108"/>
      <c r="H50" s="55">
        <f>H57-0.05</f>
        <v>0</v>
      </c>
    </row>
    <row r="51" spans="1:8" x14ac:dyDescent="0.15">
      <c r="A51" s="31">
        <f>LCM(F5-I5,F7-I6)*1000*2*2</f>
        <v>11792000</v>
      </c>
    </row>
    <row r="53" spans="1:8" x14ac:dyDescent="0.15">
      <c r="A53" s="47" t="s">
        <v>78</v>
      </c>
    </row>
    <row r="54" spans="1:8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  <c r="H54" s="104" t="s">
        <v>286</v>
      </c>
    </row>
    <row r="55" spans="1:8" x14ac:dyDescent="0.15">
      <c r="A55" s="33" t="s">
        <v>106</v>
      </c>
      <c r="B55">
        <f ca="1">SUMIF(tables_442100!C:C,input_442100!A55,tables_442100!O:O)</f>
        <v>0</v>
      </c>
      <c r="C55" s="54">
        <f t="shared" ref="C55:C61" ca="1" si="11">B55/B$62</f>
        <v>0</v>
      </c>
      <c r="E55">
        <v>3</v>
      </c>
      <c r="F55">
        <f ca="1">SUMIF(tables_442100!J:J,input_442100!E55,tables_442100!O:O)</f>
        <v>0</v>
      </c>
      <c r="G55">
        <f ca="1">F55/A51</f>
        <v>0</v>
      </c>
      <c r="H55" s="55">
        <f>B17+B19+B24+B32+B34+B39</f>
        <v>0</v>
      </c>
    </row>
    <row r="56" spans="1:8" x14ac:dyDescent="0.15">
      <c r="A56" s="33" t="s">
        <v>107</v>
      </c>
      <c r="B56">
        <f ca="1">SUMIF(tables_442100!C:C,input_442100!A56,tables_442100!O:O)</f>
        <v>2245619.1997999987</v>
      </c>
      <c r="C56" s="54">
        <f t="shared" ca="1" si="11"/>
        <v>0.94283902413878584</v>
      </c>
      <c r="E56">
        <v>4</v>
      </c>
      <c r="F56">
        <f ca="1">SUMIF(tables_442100!J:J,input_442100!E56,tables_442100!O:O)</f>
        <v>11202399.999800013</v>
      </c>
      <c r="G56">
        <f ca="1">F56/A51</f>
        <v>0.94999999998304052</v>
      </c>
      <c r="H56" s="55">
        <f>B18+B20+B22+B25+B27+B30+B33+B35+B37+B40+B42+B45</f>
        <v>0.94999999999999984</v>
      </c>
    </row>
    <row r="57" spans="1:8" x14ac:dyDescent="0.15">
      <c r="A57" s="33" t="s">
        <v>109</v>
      </c>
      <c r="B57">
        <f ca="1">SUMIF(tables_442100!C:C,input_442100!A57,tables_442100!O:O)</f>
        <v>123771.10306000008</v>
      </c>
      <c r="C57" s="54">
        <f t="shared" ca="1" si="11"/>
        <v>5.1966168634497281E-2</v>
      </c>
      <c r="E57">
        <v>5</v>
      </c>
      <c r="F57">
        <f ca="1">SUMIF(tables_442100!J:J,input_442100!E57,tables_442100!O:O)</f>
        <v>589600.00019000028</v>
      </c>
      <c r="G57">
        <f ca="1">F57/A51</f>
        <v>5.0000000016112642E-2</v>
      </c>
      <c r="H57" s="55">
        <f>B21+B23+B26+B28+B29+B31+B36+B38+B41+B43+B44+B46</f>
        <v>0.05</v>
      </c>
    </row>
    <row r="58" spans="1:8" x14ac:dyDescent="0.15">
      <c r="A58" s="33" t="s">
        <v>113</v>
      </c>
      <c r="B58">
        <f>SUMIF(tables_442100!C:C,input_442100!A58,tables_442100!O:O)</f>
        <v>0</v>
      </c>
      <c r="C58" s="54">
        <f t="shared" ca="1" si="11"/>
        <v>0</v>
      </c>
      <c r="F58" s="55"/>
    </row>
    <row r="59" spans="1:8" x14ac:dyDescent="0.15">
      <c r="A59" s="33" t="s">
        <v>108</v>
      </c>
      <c r="B59">
        <f ca="1">SUMIF(tables_442100!C:C,input_442100!A59,tables_442100!O:O)</f>
        <v>6476.8001799999993</v>
      </c>
      <c r="C59" s="54">
        <f t="shared" ca="1" si="11"/>
        <v>2.7193301347784083E-3</v>
      </c>
      <c r="E59" t="s">
        <v>55</v>
      </c>
      <c r="F59" s="55"/>
    </row>
    <row r="60" spans="1:8" x14ac:dyDescent="0.15">
      <c r="A60" s="33" t="s">
        <v>110</v>
      </c>
      <c r="B60">
        <f ca="1">SUMIF(tables_442100!C:C,input_442100!A60,tables_442100!O:O)</f>
        <v>5896</v>
      </c>
      <c r="C60" s="54">
        <f t="shared" ca="1" si="11"/>
        <v>2.4754770919385529E-3</v>
      </c>
      <c r="E60" t="s">
        <v>210</v>
      </c>
      <c r="F60" s="55">
        <f ca="1">SUMIF(tables_442100!I:I,input_442100!E60,tables_442100!P:P)</f>
        <v>0.22296902985093534</v>
      </c>
    </row>
    <row r="61" spans="1:8" x14ac:dyDescent="0.15">
      <c r="A61" s="33" t="s">
        <v>111</v>
      </c>
      <c r="B61">
        <f>SUMIF(tables_442100!C:C,input_442100!A61,tables_442100!O:O)</f>
        <v>0</v>
      </c>
      <c r="C61" s="54">
        <f t="shared" ca="1" si="11"/>
        <v>0</v>
      </c>
      <c r="E61" t="s">
        <v>211</v>
      </c>
      <c r="F61" s="55">
        <f ca="1">SUMIF(tables_442100!I:I,input_442100!E61,tables_442100!P:P)</f>
        <v>0.19269147682597743</v>
      </c>
    </row>
    <row r="62" spans="1:8" x14ac:dyDescent="0.15">
      <c r="A62" s="39" t="s">
        <v>60</v>
      </c>
      <c r="B62">
        <f ca="1">SUM(B55:B61)</f>
        <v>2381763.1030399986</v>
      </c>
      <c r="C62" s="55">
        <f ca="1">SUM(C55:C61)</f>
        <v>1.0000000000000002</v>
      </c>
      <c r="E62" t="s">
        <v>212</v>
      </c>
      <c r="F62" s="55">
        <f ca="1">SUMIF(tables_442100!I:I,input_442100!E62,tables_442100!P:P)</f>
        <v>0.51433949332217954</v>
      </c>
    </row>
    <row r="63" spans="1:8" x14ac:dyDescent="0.15">
      <c r="E63" t="s">
        <v>213</v>
      </c>
      <c r="F63" s="55">
        <f ca="1">SUMIF(tables_442100!I:I,input_442100!E63,tables_442100!P:P)</f>
        <v>4.8652021105027671E-2</v>
      </c>
      <c r="G63" s="98">
        <f ca="1">0.05-F63-F64</f>
        <v>-8.9041187617544537E-13</v>
      </c>
    </row>
    <row r="64" spans="1:8" x14ac:dyDescent="0.15">
      <c r="E64" t="s">
        <v>283</v>
      </c>
      <c r="F64" s="55">
        <f ca="1">SUMIF(tables_442100!I:I,input_442100!E64,tables_442100!P:P)</f>
        <v>1.3479788958627439E-3</v>
      </c>
      <c r="G64">
        <v>9.9619259703290523E-4</v>
      </c>
    </row>
    <row r="65" spans="5:6" x14ac:dyDescent="0.15">
      <c r="E65" t="s">
        <v>285</v>
      </c>
      <c r="F65" s="55">
        <f ca="1">SUMIF(tables_442100!I:I,input_442100!E65,tables_442100!P:P)</f>
        <v>2.0000000000016956E-2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31"/>
  <sheetViews>
    <sheetView showGridLines="0" zoomScale="70" zoomScaleNormal="70" zoomScalePageLayoutView="70" workbookViewId="0">
      <pane ySplit="1" topLeftCell="A279" activePane="bottomLeft" state="frozen"/>
      <selection activeCell="Q291" sqref="Q291"/>
      <selection pane="bottomLeft" activeCell="B2" sqref="B2:G33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input_442100!A$2</f>
        <v>442100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IF(K2="blue","color","")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IFERROR(VLOOKUP(B2,input_442100!L:R,7,FALSE),VLOOKUP(tables_442100!C2,input_442100!A:H,8,FALSE))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input_442100!A$2</f>
        <v>442100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IF(K3="blue","color","")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IFERROR(VLOOKUP(B3,input_442100!L:R,7,FALSE),VLOOKUP(tables_442100!C3,input_442100!A:H,8,FALSE))</f>
        <v>65472</v>
      </c>
      <c r="P3" s="46">
        <f t="shared" ca="1" si="1"/>
        <v>5.5522388059748564E-3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input_442100!A$2</f>
        <v>442100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IFERROR(VLOOKUP(B4,input_442100!L:R,7,FALSE),VLOOKUP(tables_442100!C4,input_442100!A:H,8,FALSE))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input_442100!A$2</f>
        <v>442100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IFERROR(VLOOKUP(B5,input_442100!L:R,7,FALSE),VLOOKUP(tables_442100!C5,input_442100!A:H,8,FALSE))</f>
        <v>65472</v>
      </c>
      <c r="P5" s="46">
        <f t="shared" ca="1" si="1"/>
        <v>5.5522388059748564E-3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input_442100!A$2</f>
        <v>442100</v>
      </c>
      <c r="B6" s="6">
        <v>130</v>
      </c>
      <c r="C6" s="7" t="str">
        <f t="shared" si="0"/>
        <v>PremiumW3color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>color</v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IFERROR(VLOOKUP(B6,input_442100!L:R,7,FALSE),VLOOKUP(tables_442100!C6,input_442100!A:H,8,FALSE))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input_442100!A$2</f>
        <v>442100</v>
      </c>
      <c r="B7" s="6">
        <v>131</v>
      </c>
      <c r="C7" s="7" t="str">
        <f t="shared" si="0"/>
        <v>PremiumW4color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>color</v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IFERROR(VLOOKUP(B7,input_442100!L:R,7,FALSE),VLOOKUP(tables_442100!C7,input_442100!A:H,8,FALSE))</f>
        <v>321332</v>
      </c>
      <c r="P7" s="46">
        <f t="shared" ca="1" si="1"/>
        <v>2.7250000000023103E-2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input_442100!A$2</f>
        <v>442100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IFERROR(VLOOKUP(B8,input_442100!L:R,7,FALSE),VLOOKUP(tables_442100!C8,input_442100!A:H,8,FALSE))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input_442100!A$2</f>
        <v>442100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IFERROR(VLOOKUP(B9,input_442100!L:R,7,FALSE),VLOOKUP(tables_442100!C9,input_442100!A:H,8,FALSE))</f>
        <v>65472</v>
      </c>
      <c r="P9" s="46">
        <f t="shared" ca="1" si="1"/>
        <v>5.5522388059748564E-3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input_442100!A$2</f>
        <v>442100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IFERROR(VLOOKUP(B10,input_442100!L:R,7,FALSE),VLOOKUP(tables_442100!C10,input_442100!A:H,8,FALSE))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input_442100!A$2</f>
        <v>442100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IFERROR(VLOOKUP(B11,input_442100!L:R,7,FALSE),VLOOKUP(tables_442100!C11,input_442100!A:H,8,FALSE))</f>
        <v>65472</v>
      </c>
      <c r="P11" s="46">
        <f t="shared" ca="1" si="1"/>
        <v>5.5522388059748564E-3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input_442100!A$2</f>
        <v>442100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IFERROR(VLOOKUP(B12,input_442100!L:R,7,FALSE),VLOOKUP(tables_442100!C12,input_442100!A:H,8,FALSE))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input_442100!A$2</f>
        <v>442100</v>
      </c>
      <c r="B13" s="6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IFERROR(VLOOKUP(B13,input_442100!L:R,7,FALSE),VLOOKUP(tables_442100!C13,input_442100!A:H,8,FALSE))</f>
        <v>65472</v>
      </c>
      <c r="P13" s="46">
        <f t="shared" ca="1" si="1"/>
        <v>5.5522388059748564E-3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input_442100!A$2</f>
        <v>442100</v>
      </c>
      <c r="B14" s="6">
        <v>138</v>
      </c>
      <c r="C14" s="7" t="str">
        <f t="shared" si="0"/>
        <v>PremiumW3color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>color</v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IFERROR(VLOOKUP(B14,input_442100!L:R,7,FALSE),VLOOKUP(tables_442100!C14,input_442100!A:H,8,FALSE))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input_442100!A$2</f>
        <v>442100</v>
      </c>
      <c r="B15" s="10">
        <v>139</v>
      </c>
      <c r="C15" s="7" t="str">
        <f t="shared" si="0"/>
        <v>PremiumW4color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>color</v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IFERROR(VLOOKUP(B15,input_442100!L:R,7,FALSE),VLOOKUP(tables_442100!C15,input_442100!A:H,8,FALSE))</f>
        <v>321332</v>
      </c>
      <c r="P15" s="46">
        <f t="shared" ca="1" si="1"/>
        <v>2.7250000000023103E-2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input_442100!A$2</f>
        <v>442100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IFERROR(VLOOKUP(B16,input_442100!L:R,7,FALSE),VLOOKUP(tables_442100!C16,input_442100!A:H,8,FALSE))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input_442100!A$2</f>
        <v>442100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IFERROR(VLOOKUP(B17,input_442100!L:R,7,FALSE),VLOOKUP(tables_442100!C17,input_442100!A:H,8,FALSE))</f>
        <v>65472</v>
      </c>
      <c r="P17" s="46">
        <f t="shared" ca="1" si="1"/>
        <v>5.5522388059748564E-3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input_442100!A$2</f>
        <v>442100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IFERROR(VLOOKUP(B18,input_442100!L:R,7,FALSE),VLOOKUP(tables_442100!C18,input_442100!A:H,8,FALSE))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input_442100!A$2</f>
        <v>442100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IFERROR(VLOOKUP(B19,input_442100!L:R,7,FALSE),VLOOKUP(tables_442100!C19,input_442100!A:H,8,FALSE))</f>
        <v>65472</v>
      </c>
      <c r="P19" s="46">
        <f t="shared" ca="1" si="1"/>
        <v>5.5522388059748564E-3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input_442100!A$2</f>
        <v>442100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IFERROR(VLOOKUP(B20,input_442100!L:R,7,FALSE),VLOOKUP(tables_442100!C20,input_442100!A:H,8,FALSE))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input_442100!A$2</f>
        <v>442100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IFERROR(VLOOKUP(B21,input_442100!L:R,7,FALSE),VLOOKUP(tables_442100!C21,input_442100!A:H,8,FALSE))</f>
        <v>65472</v>
      </c>
      <c r="P21" s="46">
        <f t="shared" ca="1" si="1"/>
        <v>5.5522388059748564E-3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input_442100!A$2</f>
        <v>442100</v>
      </c>
      <c r="B22" s="6">
        <v>146</v>
      </c>
      <c r="C22" s="7" t="str">
        <f t="shared" si="0"/>
        <v>PremiumW3color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>color</v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IFERROR(VLOOKUP(B22,input_442100!L:R,7,FALSE),VLOOKUP(tables_442100!C22,input_442100!A:H,8,FALSE))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input_442100!A$2</f>
        <v>442100</v>
      </c>
      <c r="B23" s="6">
        <v>147</v>
      </c>
      <c r="C23" s="7" t="str">
        <f t="shared" si="0"/>
        <v>PremiumW4color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>color</v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IFERROR(VLOOKUP(B23,input_442100!L:R,7,FALSE),VLOOKUP(tables_442100!C23,input_442100!A:H,8,FALSE))</f>
        <v>321332</v>
      </c>
      <c r="P23" s="46">
        <f t="shared" ca="1" si="1"/>
        <v>2.7250000000023103E-2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input_442100!A$2</f>
        <v>442100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IFERROR(VLOOKUP(B24,input_442100!L:R,7,FALSE),VLOOKUP(tables_442100!C24,input_442100!A:H,8,FALSE))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input_442100!A$2</f>
        <v>442100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IFERROR(VLOOKUP(B25,input_442100!L:R,7,FALSE),VLOOKUP(tables_442100!C25,input_442100!A:H,8,FALSE))</f>
        <v>65472</v>
      </c>
      <c r="P25" s="46">
        <f t="shared" ca="1" si="1"/>
        <v>5.5522388059748564E-3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input_442100!A$2</f>
        <v>442100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IFERROR(VLOOKUP(B26,input_442100!L:R,7,FALSE),VLOOKUP(tables_442100!C26,input_442100!A:H,8,FALSE))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input_442100!A$2</f>
        <v>442100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IFERROR(VLOOKUP(B27,input_442100!L:R,7,FALSE),VLOOKUP(tables_442100!C27,input_442100!A:H,8,FALSE))</f>
        <v>65472</v>
      </c>
      <c r="P27" s="46">
        <f t="shared" ca="1" si="1"/>
        <v>5.5522388059748564E-3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input_442100!A$2</f>
        <v>442100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IFERROR(VLOOKUP(B28,input_442100!L:R,7,FALSE),VLOOKUP(tables_442100!C28,input_442100!A:H,8,FALSE))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input_442100!A$2</f>
        <v>442100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IFERROR(VLOOKUP(B29,input_442100!L:R,7,FALSE),VLOOKUP(tables_442100!C29,input_442100!A:H,8,FALSE))</f>
        <v>65472</v>
      </c>
      <c r="P29" s="46">
        <f t="shared" ca="1" si="1"/>
        <v>5.5522388059748564E-3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input_442100!A$2</f>
        <v>442100</v>
      </c>
      <c r="B30" s="6">
        <v>154</v>
      </c>
      <c r="C30" s="7" t="str">
        <f t="shared" si="0"/>
        <v>PremiumW3color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>color</v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IFERROR(VLOOKUP(B30,input_442100!L:R,7,FALSE),VLOOKUP(tables_442100!C30,input_442100!A:H,8,FALSE))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input_442100!A$2</f>
        <v>442100</v>
      </c>
      <c r="B31" s="6">
        <v>155</v>
      </c>
      <c r="C31" s="7" t="str">
        <f t="shared" si="0"/>
        <v>PremiumW4color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>color</v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IFERROR(VLOOKUP(B31,input_442100!L:R,7,FALSE),VLOOKUP(tables_442100!C31,input_442100!A:H,8,FALSE))</f>
        <v>321332</v>
      </c>
      <c r="P31" s="46">
        <f t="shared" ca="1" si="1"/>
        <v>2.7250000000023103E-2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input_442100!A$2</f>
        <v>442100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IFERROR(VLOOKUP(B32,input_442100!L:R,7,FALSE),VLOOKUP(tables_442100!C32,input_442100!A:H,8,FALSE))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input_442100!A$2</f>
        <v>442100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IFERROR(VLOOKUP(B33,input_442100!L:R,7,FALSE),VLOOKUP(tables_442100!C33,input_442100!A:H,8,FALSE))</f>
        <v>65472</v>
      </c>
      <c r="P33" s="46">
        <f t="shared" ca="1" si="1"/>
        <v>5.5522388059748564E-3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input_442100!A$2</f>
        <v>442100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IFERROR(VLOOKUP(B34,input_442100!L:R,7,FALSE),VLOOKUP(tables_442100!C34,input_442100!A:H,8,FALSE))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input_442100!A$2</f>
        <v>442100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IFERROR(VLOOKUP(B35,input_442100!L:R,7,FALSE),VLOOKUP(tables_442100!C35,input_442100!A:H,8,FALSE))</f>
        <v>65472</v>
      </c>
      <c r="P35" s="46">
        <f t="shared" ca="1" si="1"/>
        <v>5.5522388059748564E-3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input_442100!A$2</f>
        <v>442100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IFERROR(VLOOKUP(B36,input_442100!L:R,7,FALSE),VLOOKUP(tables_442100!C36,input_442100!A:H,8,FALSE))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input_442100!A$2</f>
        <v>442100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IFERROR(VLOOKUP(B37,input_442100!L:R,7,FALSE),VLOOKUP(tables_442100!C37,input_442100!A:H,8,FALSE))</f>
        <v>65472</v>
      </c>
      <c r="P37" s="46">
        <f t="shared" ca="1" si="1"/>
        <v>5.5522388059748564E-3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input_442100!A$2</f>
        <v>442100</v>
      </c>
      <c r="B38" s="6">
        <v>162</v>
      </c>
      <c r="C38" s="7" t="str">
        <f t="shared" si="0"/>
        <v>PremiumW3color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>color</v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IFERROR(VLOOKUP(B38,input_442100!L:R,7,FALSE),VLOOKUP(tables_442100!C38,input_442100!A:H,8,FALSE))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input_442100!A$2</f>
        <v>442100</v>
      </c>
      <c r="B39" s="6">
        <v>163</v>
      </c>
      <c r="C39" s="7" t="str">
        <f t="shared" si="0"/>
        <v>PremiumW4color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>color</v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IFERROR(VLOOKUP(B39,input_442100!L:R,7,FALSE),VLOOKUP(tables_442100!C39,input_442100!A:H,8,FALSE))</f>
        <v>321332</v>
      </c>
      <c r="P39" s="46">
        <f t="shared" ca="1" si="1"/>
        <v>2.7250000000023103E-2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input_442100!A$2</f>
        <v>442100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IFERROR(VLOOKUP(B40,input_442100!L:R,7,FALSE),VLOOKUP(tables_442100!C40,input_442100!A:H,8,FALSE))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input_442100!A$2</f>
        <v>442100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IFERROR(VLOOKUP(B41,input_442100!L:R,7,FALSE),VLOOKUP(tables_442100!C41,input_442100!A:H,8,FALSE))</f>
        <v>65472</v>
      </c>
      <c r="P41" s="46">
        <f t="shared" ca="1" si="1"/>
        <v>5.5522388059748564E-3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input_442100!A$2</f>
        <v>442100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IFERROR(VLOOKUP(B42,input_442100!L:R,7,FALSE),VLOOKUP(tables_442100!C42,input_442100!A:H,8,FALSE))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input_442100!A$2</f>
        <v>442100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IFERROR(VLOOKUP(B43,input_442100!L:R,7,FALSE),VLOOKUP(tables_442100!C43,input_442100!A:H,8,FALSE))</f>
        <v>62198.400000000001</v>
      </c>
      <c r="P43" s="46">
        <f t="shared" ca="1" si="1"/>
        <v>5.2746268656761134E-3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input_442100!A$2</f>
        <v>442100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IFERROR(VLOOKUP(B44,input_442100!L:R,7,FALSE),VLOOKUP(tables_442100!C44,input_442100!A:H,8,FALSE))</f>
        <v>3273.6</v>
      </c>
      <c r="P44" s="46">
        <f t="shared" ca="1" si="1"/>
        <v>2.7761194029874282E-4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input_442100!A$2</f>
        <v>442100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IFERROR(VLOOKUP(B45,input_442100!L:R,7,FALSE),VLOOKUP(tables_442100!C45,input_442100!A:H,8,FALSE))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input_442100!A$2</f>
        <v>442100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IFERROR(VLOOKUP(B46,input_442100!L:R,7,FALSE),VLOOKUP(tables_442100!C46,input_442100!A:H,8,FALSE))</f>
        <v>62198.400000000001</v>
      </c>
      <c r="P46" s="46">
        <f t="shared" ca="1" si="1"/>
        <v>5.2746268656761134E-3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input_442100!A$2</f>
        <v>442100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IFERROR(VLOOKUP(B47,input_442100!L:R,7,FALSE),VLOOKUP(tables_442100!C47,input_442100!A:H,8,FALSE))</f>
        <v>3273.6</v>
      </c>
      <c r="P47" s="46">
        <f t="shared" ca="1" si="1"/>
        <v>2.7761194029874282E-4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input_442100!A$2</f>
        <v>442100</v>
      </c>
      <c r="B48" s="6">
        <v>172</v>
      </c>
      <c r="C48" s="7" t="str">
        <f t="shared" si="0"/>
        <v>Premium3R6releasecolor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>color</v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IFERROR(VLOOKUP(B48,input_442100!L:R,7,FALSE),VLOOKUP(tables_442100!C48,input_442100!A:H,8,FALSE))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input_442100!A$2</f>
        <v>442100</v>
      </c>
      <c r="B49" s="6">
        <v>173</v>
      </c>
      <c r="C49" s="7" t="str">
        <f t="shared" si="0"/>
        <v>Premium4R6releasecolor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>color</v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IFERROR(VLOOKUP(B49,input_442100!L:R,7,FALSE),VLOOKUP(tables_442100!C49,input_442100!A:H,8,FALSE))</f>
        <v>260455.8</v>
      </c>
      <c r="P49" s="46">
        <f t="shared" ca="1" si="1"/>
        <v>2.2087500000018724E-2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input_442100!A$2</f>
        <v>442100</v>
      </c>
      <c r="B50" s="6">
        <v>174</v>
      </c>
      <c r="C50" s="7" t="str">
        <f t="shared" si="0"/>
        <v>Premium5R6releasecolor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>color</v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IFERROR(VLOOKUP(B50,input_442100!L:R,7,FALSE),VLOOKUP(tables_442100!C50,input_442100!A:H,8,FALSE))</f>
        <v>13708.2</v>
      </c>
      <c r="P50" s="46">
        <f t="shared" ca="1" si="1"/>
        <v>1.1625000000009857E-3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input_442100!A$2</f>
        <v>442100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IFERROR(VLOOKUP(B51,input_442100!L:R,7,FALSE),VLOOKUP(tables_442100!C51,input_442100!A:H,8,FALSE))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input_442100!A$2</f>
        <v>442100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IFERROR(VLOOKUP(B52,input_442100!L:R,7,FALSE),VLOOKUP(tables_442100!C52,input_442100!A:H,8,FALSE))</f>
        <v>59095.242100000003</v>
      </c>
      <c r="P52" s="46">
        <f t="shared" ca="1" si="1"/>
        <v>5.0114689704927155E-3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input_442100!A$2</f>
        <v>442100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IFERROR(VLOOKUP(B53,input_442100!L:R,7,FALSE),VLOOKUP(tables_442100!C53,input_442100!A:H,8,FALSE))</f>
        <v>170.44211000000001</v>
      </c>
      <c r="P53" s="46">
        <f t="shared" ca="1" si="1"/>
        <v>1.4454045963377248E-5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input_442100!A$2</f>
        <v>442100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IFERROR(VLOOKUP(B54,input_442100!L:R,7,FALSE),VLOOKUP(tables_442100!C54,input_442100!A:H,8,FALSE))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input_442100!A$2</f>
        <v>442100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IFERROR(VLOOKUP(B55,input_442100!L:R,7,FALSE),VLOOKUP(tables_442100!C55,input_442100!A:H,8,FALSE))</f>
        <v>59095.242100000003</v>
      </c>
      <c r="P55" s="46">
        <f t="shared" ca="1" si="1"/>
        <v>5.0114689704927155E-3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input_442100!A$2</f>
        <v>442100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IFERROR(VLOOKUP(B56,input_442100!L:R,7,FALSE),VLOOKUP(tables_442100!C56,input_442100!A:H,8,FALSE))</f>
        <v>170.44211000000001</v>
      </c>
      <c r="P56" s="46">
        <f t="shared" ca="1" si="1"/>
        <v>1.4454045963377248E-5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input_442100!A$2</f>
        <v>442100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IFERROR(VLOOKUP(B57,input_442100!L:R,7,FALSE),VLOOKUP(tables_442100!C57,input_442100!A:H,8,FALSE))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input_442100!A$2</f>
        <v>442100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IFERROR(VLOOKUP(B58,input_442100!L:R,7,FALSE),VLOOKUP(tables_442100!C58,input_442100!A:H,8,FALSE))</f>
        <v>59095.242100000003</v>
      </c>
      <c r="P58" s="46">
        <f t="shared" ca="1" si="1"/>
        <v>5.0114689704927155E-3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input_442100!A$2</f>
        <v>442100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IFERROR(VLOOKUP(B59,input_442100!L:R,7,FALSE),VLOOKUP(tables_442100!C59,input_442100!A:H,8,FALSE))</f>
        <v>170.44211000000001</v>
      </c>
      <c r="P59" s="46">
        <f t="shared" ca="1" si="1"/>
        <v>1.4454045963377248E-5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input_442100!A$2</f>
        <v>442100</v>
      </c>
      <c r="B60" s="6">
        <v>184</v>
      </c>
      <c r="C60" s="7" t="str">
        <f t="shared" si="0"/>
        <v>Premium3color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>color</v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IFERROR(VLOOKUP(B60,input_442100!L:R,7,FALSE),VLOOKUP(tables_442100!C60,input_442100!A:H,8,FALSE))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input_442100!A$2</f>
        <v>442100</v>
      </c>
      <c r="B61" s="8">
        <v>185</v>
      </c>
      <c r="C61" s="7" t="str">
        <f t="shared" si="0"/>
        <v>Premium4color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>color</v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IFERROR(VLOOKUP(B61,input_442100!L:R,7,FALSE),VLOOKUP(tables_442100!C61,input_442100!A:H,8,FALSE))</f>
        <v>269717.73593000002</v>
      </c>
      <c r="P61" s="46">
        <f t="shared" ca="1" si="1"/>
        <v>2.2872942327868781E-2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input_442100!A$2</f>
        <v>442100</v>
      </c>
      <c r="B62" s="8">
        <v>186</v>
      </c>
      <c r="C62" s="7" t="str">
        <f t="shared" si="0"/>
        <v>Premium5color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>color</v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IFERROR(VLOOKUP(B62,input_442100!L:R,7,FALSE),VLOOKUP(tables_442100!C62,input_442100!A:H,8,FALSE))</f>
        <v>4446.2640700000002</v>
      </c>
      <c r="P62" s="46">
        <f t="shared" ca="1" si="1"/>
        <v>3.7705767215093027E-4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input_442100!A$2</f>
        <v>442100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IFERROR(VLOOKUP(B63,input_442100!L:R,7,FALSE),VLOOKUP(tables_442100!C63,input_442100!A:H,8,FALSE))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input_442100!A$2</f>
        <v>442100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IFERROR(VLOOKUP(B64,input_442100!L:R,7,FALSE),VLOOKUP(tables_442100!C64,input_442100!A:H,8,FALSE))</f>
        <v>59095.242100000003</v>
      </c>
      <c r="P64" s="46">
        <f t="shared" ca="1" si="1"/>
        <v>5.0114689704927155E-3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input_442100!A$2</f>
        <v>442100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IFERROR(VLOOKUP(B65,input_442100!L:R,7,FALSE),VLOOKUP(tables_442100!C65,input_442100!A:H,8,FALSE))</f>
        <v>170.44211000000001</v>
      </c>
      <c r="P65" s="46">
        <f t="shared" ca="1" si="1"/>
        <v>1.4454045963377248E-5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input_442100!A$2</f>
        <v>442100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IFERROR(VLOOKUP(B66,input_442100!L:R,7,FALSE),VLOOKUP(tables_442100!C66,input_442100!A:H,8,FALSE))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input_442100!A$2</f>
        <v>442100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IF(K67="blue","color","")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IFERROR(VLOOKUP(B67,input_442100!L:R,7,FALSE),VLOOKUP(tables_442100!C67,input_442100!A:H,8,FALSE))</f>
        <v>59095.242100000003</v>
      </c>
      <c r="P67" s="46">
        <f t="shared" ca="1" si="5"/>
        <v>5.0114689704927155E-3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input_442100!A$2</f>
        <v>442100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IFERROR(VLOOKUP(B68,input_442100!L:R,7,FALSE),VLOOKUP(tables_442100!C68,input_442100!A:H,8,FALSE))</f>
        <v>170.44211000000001</v>
      </c>
      <c r="P68" s="46">
        <f t="shared" ca="1" si="5"/>
        <v>1.4454045963377248E-5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input_442100!A$2</f>
        <v>442100</v>
      </c>
      <c r="B69" s="10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IFERROR(VLOOKUP(B69,input_442100!L:R,7,FALSE),VLOOKUP(tables_442100!C69,input_442100!A:H,8,FALSE))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input_442100!A$2</f>
        <v>442100</v>
      </c>
      <c r="B70" s="6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IFERROR(VLOOKUP(B70,input_442100!L:R,7,FALSE),VLOOKUP(tables_442100!C70,input_442100!A:H,8,FALSE))</f>
        <v>59095.242100000003</v>
      </c>
      <c r="P70" s="46">
        <f t="shared" ca="1" si="5"/>
        <v>5.0114689704927155E-3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input_442100!A$2</f>
        <v>442100</v>
      </c>
      <c r="B71" s="10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IFERROR(VLOOKUP(B71,input_442100!L:R,7,FALSE),VLOOKUP(tables_442100!C71,input_442100!A:H,8,FALSE))</f>
        <v>170.44211000000001</v>
      </c>
      <c r="P71" s="46">
        <f t="shared" ca="1" si="5"/>
        <v>1.4454045963377248E-5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input_442100!A$2</f>
        <v>442100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IFERROR(VLOOKUP(B72,input_442100!L:R,7,FALSE),VLOOKUP(tables_442100!C72,input_442100!A:H,8,FALSE))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input_442100!A$2</f>
        <v>442100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IFERROR(VLOOKUP(B73,input_442100!L:R,7,FALSE),VLOOKUP(tables_442100!C73,input_442100!A:H,8,FALSE))</f>
        <v>59095.242100000003</v>
      </c>
      <c r="P73" s="46">
        <f t="shared" ca="1" si="5"/>
        <v>5.0114689704927155E-3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input_442100!A$2</f>
        <v>442100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IFERROR(VLOOKUP(B74,input_442100!L:R,7,FALSE),VLOOKUP(tables_442100!C74,input_442100!A:H,8,FALSE))</f>
        <v>170.44211000000001</v>
      </c>
      <c r="P74" s="46">
        <f t="shared" ca="1" si="5"/>
        <v>1.4454045963377248E-5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input_442100!A$2</f>
        <v>442100</v>
      </c>
      <c r="B75" s="6">
        <v>199</v>
      </c>
      <c r="C75" s="7" t="str">
        <f t="shared" si="4"/>
        <v>Premium3color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>color</v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IFERROR(VLOOKUP(B75,input_442100!L:R,7,FALSE),VLOOKUP(tables_442100!C75,input_442100!A:H,8,FALSE))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input_442100!A$2</f>
        <v>442100</v>
      </c>
      <c r="B76" s="5">
        <v>200</v>
      </c>
      <c r="C76" s="7" t="str">
        <f t="shared" si="4"/>
        <v>Premium4color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>color</v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IFERROR(VLOOKUP(B76,input_442100!L:R,7,FALSE),VLOOKUP(tables_442100!C76,input_442100!A:H,8,FALSE))</f>
        <v>269717.73593000002</v>
      </c>
      <c r="P76" s="46">
        <f t="shared" ca="1" si="5"/>
        <v>2.2872942327868781E-2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input_442100!A$2</f>
        <v>442100</v>
      </c>
      <c r="B77" s="5">
        <v>201</v>
      </c>
      <c r="C77" s="7" t="str">
        <f t="shared" si="4"/>
        <v>Premium5color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>color</v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IFERROR(VLOOKUP(B77,input_442100!L:R,7,FALSE),VLOOKUP(tables_442100!C77,input_442100!A:H,8,FALSE))</f>
        <v>4446.2640700000002</v>
      </c>
      <c r="P77" s="46">
        <f t="shared" ca="1" si="5"/>
        <v>3.7705767215093027E-4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input_442100!A$2</f>
        <v>442100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IFERROR(VLOOKUP(B78,input_442100!L:R,7,FALSE),VLOOKUP(tables_442100!C78,input_442100!A:H,8,FALSE))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input_442100!A$2</f>
        <v>442100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IFERROR(VLOOKUP(B79,input_442100!L:R,7,FALSE),VLOOKUP(tables_442100!C79,input_442100!A:H,8,FALSE))</f>
        <v>59095.242100000003</v>
      </c>
      <c r="P79" s="46">
        <f t="shared" ca="1" si="5"/>
        <v>5.0114689704927155E-3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input_442100!A$2</f>
        <v>442100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IFERROR(VLOOKUP(B80,input_442100!L:R,7,FALSE),VLOOKUP(tables_442100!C80,input_442100!A:H,8,FALSE))</f>
        <v>170.44211000000001</v>
      </c>
      <c r="P80" s="46">
        <f t="shared" ca="1" si="5"/>
        <v>1.4454045963377248E-5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input_442100!A$2</f>
        <v>442100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IFERROR(VLOOKUP(B81,input_442100!L:R,7,FALSE),VLOOKUP(tables_442100!C81,input_442100!A:H,8,FALSE))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input_442100!A$2</f>
        <v>442100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IFERROR(VLOOKUP(B82,input_442100!L:R,7,FALSE),VLOOKUP(tables_442100!C82,input_442100!A:H,8,FALSE))</f>
        <v>59095.242100000003</v>
      </c>
      <c r="P82" s="46">
        <f t="shared" ca="1" si="5"/>
        <v>5.0114689704927155E-3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input_442100!A$2</f>
        <v>442100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IFERROR(VLOOKUP(B83,input_442100!L:R,7,FALSE),VLOOKUP(tables_442100!C83,input_442100!A:H,8,FALSE))</f>
        <v>170.44211000000001</v>
      </c>
      <c r="P83" s="46">
        <f t="shared" ca="1" si="5"/>
        <v>1.4454045963377248E-5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input_442100!A$2</f>
        <v>442100</v>
      </c>
      <c r="B84" s="5">
        <v>208</v>
      </c>
      <c r="C84" s="7" t="str">
        <f t="shared" si="4"/>
        <v>Premium3color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>color</v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IFERROR(VLOOKUP(B84,input_442100!L:R,7,FALSE),VLOOKUP(tables_442100!C84,input_442100!A:H,8,FALSE))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input_442100!A$2</f>
        <v>442100</v>
      </c>
      <c r="B85" s="5">
        <v>209</v>
      </c>
      <c r="C85" s="7" t="str">
        <f t="shared" si="4"/>
        <v>Premium4color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>color</v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IFERROR(VLOOKUP(B85,input_442100!L:R,7,FALSE),VLOOKUP(tables_442100!C85,input_442100!A:H,8,FALSE))</f>
        <v>269717.73593000002</v>
      </c>
      <c r="P85" s="46">
        <f t="shared" ca="1" si="5"/>
        <v>2.2872942327868781E-2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input_442100!A$2</f>
        <v>442100</v>
      </c>
      <c r="B86" s="5">
        <v>210</v>
      </c>
      <c r="C86" s="7" t="str">
        <f t="shared" si="4"/>
        <v>Premium5color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>color</v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IFERROR(VLOOKUP(B86,input_442100!L:R,7,FALSE),VLOOKUP(tables_442100!C86,input_442100!A:H,8,FALSE))</f>
        <v>4446.2640700000002</v>
      </c>
      <c r="P86" s="46">
        <f t="shared" ca="1" si="5"/>
        <v>3.7705767215093027E-4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input_442100!A$2</f>
        <v>442100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IFERROR(VLOOKUP(B87,input_442100!L:R,7,FALSE),VLOOKUP(tables_442100!C87,input_442100!A:H,8,FALSE))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input_442100!A$2</f>
        <v>442100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IFERROR(VLOOKUP(B88,input_442100!L:R,7,FALSE),VLOOKUP(tables_442100!C88,input_442100!A:H,8,FALSE))</f>
        <v>59095.242100000003</v>
      </c>
      <c r="P88" s="46">
        <f t="shared" ca="1" si="5"/>
        <v>5.0114689704927155E-3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input_442100!A$2</f>
        <v>442100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IFERROR(VLOOKUP(B89,input_442100!L:R,7,FALSE),VLOOKUP(tables_442100!C89,input_442100!A:H,8,FALSE))</f>
        <v>170.44211000000001</v>
      </c>
      <c r="P89" s="46">
        <f t="shared" ca="1" si="5"/>
        <v>1.4454045963377248E-5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input_442100!A$2</f>
        <v>442100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IFERROR(VLOOKUP(B90,input_442100!L:R,7,FALSE),VLOOKUP(tables_442100!C90,input_442100!A:H,8,FALSE))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input_442100!A$2</f>
        <v>442100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IFERROR(VLOOKUP(B91,input_442100!L:R,7,FALSE),VLOOKUP(tables_442100!C91,input_442100!A:H,8,FALSE))</f>
        <v>59095.242100000003</v>
      </c>
      <c r="P91" s="46">
        <f t="shared" ca="1" si="5"/>
        <v>5.0114689704927155E-3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input_442100!A$2</f>
        <v>442100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IFERROR(VLOOKUP(B92,input_442100!L:R,7,FALSE),VLOOKUP(tables_442100!C92,input_442100!A:H,8,FALSE))</f>
        <v>170.44211000000001</v>
      </c>
      <c r="P92" s="46">
        <f t="shared" ca="1" si="5"/>
        <v>1.4454045963377248E-5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input_442100!A$2</f>
        <v>442100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IFERROR(VLOOKUP(B93,input_442100!L:R,7,FALSE),VLOOKUP(tables_442100!C93,input_442100!A:H,8,FALSE))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input_442100!A$2</f>
        <v>442100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IFERROR(VLOOKUP(B94,input_442100!L:R,7,FALSE),VLOOKUP(tables_442100!C94,input_442100!A:H,8,FALSE))</f>
        <v>59095.242100000003</v>
      </c>
      <c r="P94" s="46">
        <f t="shared" ca="1" si="5"/>
        <v>5.0114689704927155E-3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input_442100!A$2</f>
        <v>442100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IFERROR(VLOOKUP(B95,input_442100!L:R,7,FALSE),VLOOKUP(tables_442100!C95,input_442100!A:H,8,FALSE))</f>
        <v>170.44211000000001</v>
      </c>
      <c r="P95" s="46">
        <f t="shared" ca="1" si="5"/>
        <v>1.4454045963377248E-5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input_442100!A$2</f>
        <v>442100</v>
      </c>
      <c r="B96" s="5">
        <v>220</v>
      </c>
      <c r="C96" s="7" t="str">
        <f t="shared" si="4"/>
        <v>Premium3color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>color</v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IFERROR(VLOOKUP(B96,input_442100!L:R,7,FALSE),VLOOKUP(tables_442100!C96,input_442100!A:H,8,FALSE))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input_442100!A$2</f>
        <v>442100</v>
      </c>
      <c r="B97" s="5">
        <v>221</v>
      </c>
      <c r="C97" s="7" t="str">
        <f t="shared" si="4"/>
        <v>Premium4color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>color</v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IFERROR(VLOOKUP(B97,input_442100!L:R,7,FALSE),VLOOKUP(tables_442100!C97,input_442100!A:H,8,FALSE))</f>
        <v>269717.73593000002</v>
      </c>
      <c r="P97" s="46">
        <f t="shared" ca="1" si="5"/>
        <v>2.2872942327868781E-2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input_442100!A$2</f>
        <v>442100</v>
      </c>
      <c r="B98" s="5">
        <v>222</v>
      </c>
      <c r="C98" s="7" t="str">
        <f t="shared" si="4"/>
        <v>Premium5color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>color</v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IFERROR(VLOOKUP(B98,input_442100!L:R,7,FALSE),VLOOKUP(tables_442100!C98,input_442100!A:H,8,FALSE))</f>
        <v>4446.2640700000002</v>
      </c>
      <c r="P98" s="46">
        <f t="shared" ca="1" si="5"/>
        <v>3.7705767215093027E-4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input_442100!A$2</f>
        <v>442100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IFERROR(VLOOKUP(B99,input_442100!L:R,7,FALSE),VLOOKUP(tables_442100!C99,input_442100!A:H,8,FALSE))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input_442100!A$2</f>
        <v>442100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IFERROR(VLOOKUP(B100,input_442100!L:R,7,FALSE),VLOOKUP(tables_442100!C100,input_442100!A:H,8,FALSE))</f>
        <v>59095.242100000003</v>
      </c>
      <c r="P100" s="46">
        <f t="shared" ca="1" si="5"/>
        <v>5.0114689704927155E-3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input_442100!A$2</f>
        <v>442100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IFERROR(VLOOKUP(B101,input_442100!L:R,7,FALSE),VLOOKUP(tables_442100!C101,input_442100!A:H,8,FALSE))</f>
        <v>170.44211000000001</v>
      </c>
      <c r="P101" s="46">
        <f t="shared" ca="1" si="5"/>
        <v>1.4454045963377248E-5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input_442100!A$2</f>
        <v>442100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IFERROR(VLOOKUP(B102,input_442100!L:R,7,FALSE),VLOOKUP(tables_442100!C102,input_442100!A:H,8,FALSE))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input_442100!A$2</f>
        <v>442100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IFERROR(VLOOKUP(B103,input_442100!L:R,7,FALSE),VLOOKUP(tables_442100!C103,input_442100!A:H,8,FALSE))</f>
        <v>59095.242100000003</v>
      </c>
      <c r="P103" s="46">
        <f t="shared" ca="1" si="5"/>
        <v>5.0114689704927155E-3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input_442100!A$2</f>
        <v>442100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IFERROR(VLOOKUP(B104,input_442100!L:R,7,FALSE),VLOOKUP(tables_442100!C104,input_442100!A:H,8,FALSE))</f>
        <v>170.44211000000001</v>
      </c>
      <c r="P104" s="46">
        <f t="shared" ca="1" si="5"/>
        <v>1.4454045963377248E-5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input_442100!A$2</f>
        <v>442100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IFERROR(VLOOKUP(B105,input_442100!L:R,7,FALSE),VLOOKUP(tables_442100!C105,input_442100!A:H,8,FALSE))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input_442100!A$2</f>
        <v>442100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IFERROR(VLOOKUP(B106,input_442100!L:R,7,FALSE),VLOOKUP(tables_442100!C106,input_442100!A:H,8,FALSE))</f>
        <v>59095.242100000003</v>
      </c>
      <c r="P106" s="46">
        <f t="shared" ca="1" si="5"/>
        <v>5.0114689704927155E-3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input_442100!A$2</f>
        <v>442100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IFERROR(VLOOKUP(B107,input_442100!L:R,7,FALSE),VLOOKUP(tables_442100!C107,input_442100!A:H,8,FALSE))</f>
        <v>170.44211000000001</v>
      </c>
      <c r="P107" s="46">
        <f t="shared" ca="1" si="5"/>
        <v>1.4454045963377248E-5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input_442100!A$2</f>
        <v>442100</v>
      </c>
      <c r="B108" s="5">
        <v>232</v>
      </c>
      <c r="C108" s="7" t="str">
        <f t="shared" si="4"/>
        <v>Premium3color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>color</v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IFERROR(VLOOKUP(B108,input_442100!L:R,7,FALSE),VLOOKUP(tables_442100!C108,input_442100!A:H,8,FALSE))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input_442100!A$2</f>
        <v>442100</v>
      </c>
      <c r="B109" s="5">
        <v>233</v>
      </c>
      <c r="C109" s="7" t="str">
        <f t="shared" si="4"/>
        <v>Premium4color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>color</v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IFERROR(VLOOKUP(B109,input_442100!L:R,7,FALSE),VLOOKUP(tables_442100!C109,input_442100!A:H,8,FALSE))</f>
        <v>269717.73593000002</v>
      </c>
      <c r="P109" s="46">
        <f t="shared" ca="1" si="5"/>
        <v>2.2872942327868781E-2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input_442100!A$2</f>
        <v>442100</v>
      </c>
      <c r="B110" s="5">
        <v>234</v>
      </c>
      <c r="C110" s="7" t="str">
        <f t="shared" si="4"/>
        <v>Premium5color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>color</v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IFERROR(VLOOKUP(B110,input_442100!L:R,7,FALSE),VLOOKUP(tables_442100!C110,input_442100!A:H,8,FALSE))</f>
        <v>4446.2640700000002</v>
      </c>
      <c r="P110" s="46">
        <f t="shared" ca="1" si="5"/>
        <v>3.7705767215093027E-4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input_442100!A$2</f>
        <v>442100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IFERROR(VLOOKUP(B111,input_442100!L:R,7,FALSE),VLOOKUP(tables_442100!C111,input_442100!A:H,8,FALSE))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input_442100!A$2</f>
        <v>442100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IFERROR(VLOOKUP(B112,input_442100!L:R,7,FALSE),VLOOKUP(tables_442100!C112,input_442100!A:H,8,FALSE))</f>
        <v>62198.400000000001</v>
      </c>
      <c r="P112" s="46">
        <f t="shared" ca="1" si="5"/>
        <v>5.2746268656761134E-3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input_442100!A$2</f>
        <v>442100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IFERROR(VLOOKUP(B113,input_442100!L:R,7,FALSE),VLOOKUP(tables_442100!C113,input_442100!A:H,8,FALSE))</f>
        <v>3273.6</v>
      </c>
      <c r="P113" s="46">
        <f t="shared" ca="1" si="5"/>
        <v>2.7761194029874282E-4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input_442100!A$2</f>
        <v>442100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IFERROR(VLOOKUP(B114,input_442100!L:R,7,FALSE),VLOOKUP(tables_442100!C114,input_442100!A:H,8,FALSE))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input_442100!A$2</f>
        <v>442100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IFERROR(VLOOKUP(B115,input_442100!L:R,7,FALSE),VLOOKUP(tables_442100!C115,input_442100!A:H,8,FALSE))</f>
        <v>59095.242100000003</v>
      </c>
      <c r="P115" s="46">
        <f t="shared" ca="1" si="5"/>
        <v>5.0114689704927155E-3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input_442100!A$2</f>
        <v>442100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IFERROR(VLOOKUP(B116,input_442100!L:R,7,FALSE),VLOOKUP(tables_442100!C116,input_442100!A:H,8,FALSE))</f>
        <v>170.44211000000001</v>
      </c>
      <c r="P116" s="46">
        <f t="shared" ca="1" si="5"/>
        <v>1.4454045963377248E-5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input_442100!A$2</f>
        <v>442100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IFERROR(VLOOKUP(B117,input_442100!L:R,7,FALSE),VLOOKUP(tables_442100!C117,input_442100!A:H,8,FALSE))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input_442100!A$2</f>
        <v>442100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IFERROR(VLOOKUP(B118,input_442100!L:R,7,FALSE),VLOOKUP(tables_442100!C118,input_442100!A:H,8,FALSE))</f>
        <v>59095.242100000003</v>
      </c>
      <c r="P118" s="46">
        <f t="shared" ca="1" si="5"/>
        <v>5.0114689704927155E-3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input_442100!A$2</f>
        <v>442100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IFERROR(VLOOKUP(B119,input_442100!L:R,7,FALSE),VLOOKUP(tables_442100!C119,input_442100!A:H,8,FALSE))</f>
        <v>170.44211000000001</v>
      </c>
      <c r="P119" s="46">
        <f t="shared" ca="1" si="5"/>
        <v>1.4454045963377248E-5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input_442100!A$2</f>
        <v>442100</v>
      </c>
      <c r="B120" s="5">
        <v>244</v>
      </c>
      <c r="C120" s="7" t="str">
        <f t="shared" si="4"/>
        <v>Premium3color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>color</v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IFERROR(VLOOKUP(B120,input_442100!L:R,7,FALSE),VLOOKUP(tables_442100!C120,input_442100!A:H,8,FALSE))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input_442100!A$2</f>
        <v>442100</v>
      </c>
      <c r="B121" s="5">
        <v>245</v>
      </c>
      <c r="C121" s="7" t="str">
        <f t="shared" si="4"/>
        <v>Premium4color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>color</v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IFERROR(VLOOKUP(B121,input_442100!L:R,7,FALSE),VLOOKUP(tables_442100!C121,input_442100!A:H,8,FALSE))</f>
        <v>269717.73593000002</v>
      </c>
      <c r="P121" s="46">
        <f t="shared" ca="1" si="5"/>
        <v>2.2872942327868781E-2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input_442100!A$2</f>
        <v>442100</v>
      </c>
      <c r="B122" s="5">
        <v>246</v>
      </c>
      <c r="C122" s="7" t="str">
        <f t="shared" si="4"/>
        <v>Premium5color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>color</v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IFERROR(VLOOKUP(B122,input_442100!L:R,7,FALSE),VLOOKUP(tables_442100!C122,input_442100!A:H,8,FALSE))</f>
        <v>4446.2640700000002</v>
      </c>
      <c r="P122" s="46">
        <f t="shared" ca="1" si="5"/>
        <v>3.7705767215093027E-4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input_442100!A$2</f>
        <v>442100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IFERROR(VLOOKUP(B123,input_442100!L:R,7,FALSE),VLOOKUP(tables_442100!C123,input_442100!A:H,8,FALSE))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input_442100!A$2</f>
        <v>442100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IFERROR(VLOOKUP(B124,input_442100!L:R,7,FALSE),VLOOKUP(tables_442100!C124,input_442100!A:H,8,FALSE))</f>
        <v>59095.242100000003</v>
      </c>
      <c r="P124" s="46">
        <f t="shared" ca="1" si="5"/>
        <v>5.0114689704927155E-3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input_442100!A$2</f>
        <v>442100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IFERROR(VLOOKUP(B125,input_442100!L:R,7,FALSE),VLOOKUP(tables_442100!C125,input_442100!A:H,8,FALSE))</f>
        <v>170.44211000000001</v>
      </c>
      <c r="P125" s="46">
        <f t="shared" ca="1" si="5"/>
        <v>1.4454045963377248E-5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input_442100!A$2</f>
        <v>442100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IFERROR(VLOOKUP(B126,input_442100!L:R,7,FALSE),VLOOKUP(tables_442100!C126,input_442100!A:H,8,FALSE))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input_442100!A$2</f>
        <v>442100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IFERROR(VLOOKUP(B127,input_442100!L:R,7,FALSE),VLOOKUP(tables_442100!C127,input_442100!A:H,8,FALSE))</f>
        <v>59095.242100000003</v>
      </c>
      <c r="P127" s="46">
        <f t="shared" ca="1" si="5"/>
        <v>5.0114689704927155E-3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input_442100!A$2</f>
        <v>442100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IFERROR(VLOOKUP(B128,input_442100!L:R,7,FALSE),VLOOKUP(tables_442100!C128,input_442100!A:H,8,FALSE))</f>
        <v>170.44211000000001</v>
      </c>
      <c r="P128" s="46">
        <f t="shared" ca="1" si="5"/>
        <v>1.4454045963377248E-5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input_442100!A$2</f>
        <v>442100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IFERROR(VLOOKUP(B129,input_442100!L:R,7,FALSE),VLOOKUP(tables_442100!C129,input_442100!A:H,8,FALSE))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input_442100!A$2</f>
        <v>442100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IFERROR(VLOOKUP(B130,input_442100!L:R,7,FALSE),VLOOKUP(tables_442100!C130,input_442100!A:H,8,FALSE))</f>
        <v>59095.242100000003</v>
      </c>
      <c r="P130" s="46">
        <f t="shared" ref="P130:P193" ca="1" si="9">O130/SUM(O:O)</f>
        <v>5.0114689704927155E-3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input_442100!A$2</f>
        <v>442100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IF(K131="blue","color","")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IFERROR(VLOOKUP(B131,input_442100!L:R,7,FALSE),VLOOKUP(tables_442100!C131,input_442100!A:H,8,FALSE))</f>
        <v>170.44211000000001</v>
      </c>
      <c r="P131" s="46">
        <f t="shared" ca="1" si="9"/>
        <v>1.4454045963377248E-5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input_442100!A$2</f>
        <v>442100</v>
      </c>
      <c r="B132" s="6">
        <v>256</v>
      </c>
      <c r="C132" s="7" t="str">
        <f t="shared" si="8"/>
        <v>Premium3color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>color</v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IFERROR(VLOOKUP(B132,input_442100!L:R,7,FALSE),VLOOKUP(tables_442100!C132,input_442100!A:H,8,FALSE))</f>
        <v>0</v>
      </c>
      <c r="P132" s="46">
        <f t="shared" ca="1" si="9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input_442100!A$2</f>
        <v>442100</v>
      </c>
      <c r="B133" s="6">
        <v>257</v>
      </c>
      <c r="C133" s="7" t="str">
        <f t="shared" si="8"/>
        <v>Premium4color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>color</v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IFERROR(VLOOKUP(B133,input_442100!L:R,7,FALSE),VLOOKUP(tables_442100!C133,input_442100!A:H,8,FALSE))</f>
        <v>269717.73593000002</v>
      </c>
      <c r="P133" s="46">
        <f t="shared" ca="1" si="9"/>
        <v>2.2872942327868781E-2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input_442100!A$2</f>
        <v>442100</v>
      </c>
      <c r="B134" s="6">
        <v>258</v>
      </c>
      <c r="C134" s="7" t="str">
        <f t="shared" si="8"/>
        <v>Premium5color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>color</v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IFERROR(VLOOKUP(B134,input_442100!L:R,7,FALSE),VLOOKUP(tables_442100!C134,input_442100!A:H,8,FALSE))</f>
        <v>4446.2640700000002</v>
      </c>
      <c r="P134" s="46">
        <f t="shared" ca="1" si="9"/>
        <v>3.7705767215093027E-4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input_442100!A$2</f>
        <v>442100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IFERROR(VLOOKUP(B135,input_442100!L:R,7,FALSE),VLOOKUP(tables_442100!C135,input_442100!A:H,8,FALSE))</f>
        <v>0</v>
      </c>
      <c r="P135" s="46">
        <f t="shared" ca="1" si="9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input_442100!A$2</f>
        <v>442100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IFERROR(VLOOKUP(B136,input_442100!L:R,7,FALSE),VLOOKUP(tables_442100!C136,input_442100!A:H,8,FALSE))</f>
        <v>59095.242100000003</v>
      </c>
      <c r="P136" s="46">
        <f t="shared" ca="1" si="9"/>
        <v>5.0114689704927155E-3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input_442100!A$2</f>
        <v>442100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IFERROR(VLOOKUP(B137,input_442100!L:R,7,FALSE),VLOOKUP(tables_442100!C137,input_442100!A:H,8,FALSE))</f>
        <v>170.44211000000001</v>
      </c>
      <c r="P137" s="46">
        <f t="shared" ca="1" si="9"/>
        <v>1.4454045963377248E-5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input_442100!A$2</f>
        <v>442100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IFERROR(VLOOKUP(B138,input_442100!L:R,7,FALSE),VLOOKUP(tables_442100!C138,input_442100!A:H,8,FALSE))</f>
        <v>5625.9592300000004</v>
      </c>
      <c r="P138" s="46">
        <f t="shared" ca="1" si="9"/>
        <v>4.7709966333147642E-4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input_442100!A$2</f>
        <v>442100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IFERROR(VLOOKUP(B139,input_442100!L:R,7,FALSE),VLOOKUP(tables_442100!C139,input_442100!A:H,8,FALSE))</f>
        <v>268</v>
      </c>
      <c r="P139" s="46">
        <f t="shared" ca="1" si="9"/>
        <v>2.2727272727291994E-5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input_442100!A$2</f>
        <v>442100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IFERROR(VLOOKUP(B140,input_442100!L:R,7,FALSE),VLOOKUP(tables_442100!C140,input_442100!A:H,8,FALSE))</f>
        <v>5625.9592300000004</v>
      </c>
      <c r="P140" s="46">
        <f t="shared" ca="1" si="9"/>
        <v>4.7709966333147642E-4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input_442100!A$2</f>
        <v>442100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IFERROR(VLOOKUP(B141,input_442100!L:R,7,FALSE),VLOOKUP(tables_442100!C141,input_442100!A:H,8,FALSE))</f>
        <v>268</v>
      </c>
      <c r="P141" s="46">
        <f t="shared" ca="1" si="9"/>
        <v>2.2727272727291994E-5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input_442100!A$2</f>
        <v>442100</v>
      </c>
      <c r="B142" s="6">
        <v>324</v>
      </c>
      <c r="C142" s="7" t="str">
        <f t="shared" si="8"/>
        <v>PremiumSS4color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>color</v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IFERROR(VLOOKUP(B142,input_442100!L:R,7,FALSE),VLOOKUP(tables_442100!C142,input_442100!A:H,8,FALSE))</f>
        <v>55945.93232</v>
      </c>
      <c r="P142" s="46">
        <f t="shared" ca="1" si="9"/>
        <v>4.7443972455942524E-3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input_442100!A$2</f>
        <v>442100</v>
      </c>
      <c r="B143" s="6">
        <v>325</v>
      </c>
      <c r="C143" s="7" t="str">
        <f t="shared" si="8"/>
        <v>PremiumSS5color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>color</v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IFERROR(VLOOKUP(B143,input_442100!L:R,7,FALSE),VLOOKUP(tables_442100!C143,input_442100!A:H,8,FALSE))</f>
        <v>1360.61538</v>
      </c>
      <c r="P143" s="46">
        <f t="shared" ca="1" si="9"/>
        <v>1.1538461499331355E-4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input_442100!A$2</f>
        <v>442100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IFERROR(VLOOKUP(B144,input_442100!L:R,7,FALSE),VLOOKUP(tables_442100!C144,input_442100!A:H,8,FALSE))</f>
        <v>5625.9592300000004</v>
      </c>
      <c r="P144" s="46">
        <f t="shared" ca="1" si="9"/>
        <v>4.7709966333147642E-4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input_442100!A$2</f>
        <v>442100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IFERROR(VLOOKUP(B145,input_442100!L:R,7,FALSE),VLOOKUP(tables_442100!C145,input_442100!A:H,8,FALSE))</f>
        <v>268</v>
      </c>
      <c r="P145" s="46">
        <f t="shared" ca="1" si="9"/>
        <v>2.2727272727291994E-5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input_442100!A$2</f>
        <v>442100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IFERROR(VLOOKUP(B146,input_442100!L:R,7,FALSE),VLOOKUP(tables_442100!C146,input_442100!A:H,8,FALSE))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input_442100!A$2</f>
        <v>442100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IFERROR(VLOOKUP(B147,input_442100!L:R,7,FALSE),VLOOKUP(tables_442100!C147,input_442100!A:H,8,FALSE))</f>
        <v>59095.242100000003</v>
      </c>
      <c r="P147" s="46">
        <f t="shared" ca="1" si="9"/>
        <v>5.0114689704927155E-3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input_442100!A$2</f>
        <v>442100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IFERROR(VLOOKUP(B148,input_442100!L:R,7,FALSE),VLOOKUP(tables_442100!C148,input_442100!A:H,8,FALSE))</f>
        <v>170.44211000000001</v>
      </c>
      <c r="P148" s="46">
        <f t="shared" ca="1" si="9"/>
        <v>1.4454045963377248E-5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input_442100!A$2</f>
        <v>442100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IFERROR(VLOOKUP(B149,input_442100!L:R,7,FALSE),VLOOKUP(tables_442100!C149,input_442100!A:H,8,FALSE))</f>
        <v>5625.9592300000004</v>
      </c>
      <c r="P149" s="46">
        <f t="shared" ca="1" si="9"/>
        <v>4.7709966333147642E-4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input_442100!A$2</f>
        <v>442100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IFERROR(VLOOKUP(B150,input_442100!L:R,7,FALSE),VLOOKUP(tables_442100!C150,input_442100!A:H,8,FALSE))</f>
        <v>268</v>
      </c>
      <c r="P150" s="46">
        <f t="shared" ca="1" si="9"/>
        <v>2.2727272727291994E-5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input_442100!A$2</f>
        <v>442100</v>
      </c>
      <c r="B151" s="6">
        <v>385</v>
      </c>
      <c r="C151" s="7" t="str">
        <f t="shared" si="8"/>
        <v>PremiumSS4color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>color</v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IFERROR(VLOOKUP(B151,input_442100!L:R,7,FALSE),VLOOKUP(tables_442100!C151,input_442100!A:H,8,FALSE))</f>
        <v>55945.93232</v>
      </c>
      <c r="P151" s="46">
        <f t="shared" ca="1" si="9"/>
        <v>4.7443972455942524E-3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input_442100!A$2</f>
        <v>442100</v>
      </c>
      <c r="B152" s="6">
        <v>386</v>
      </c>
      <c r="C152" s="7" t="str">
        <f t="shared" si="8"/>
        <v>PremiumSS5color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>color</v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IFERROR(VLOOKUP(B152,input_442100!L:R,7,FALSE),VLOOKUP(tables_442100!C152,input_442100!A:H,8,FALSE))</f>
        <v>1360.61538</v>
      </c>
      <c r="P152" s="46">
        <f t="shared" ca="1" si="9"/>
        <v>1.1538461499331355E-4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input_442100!A$2</f>
        <v>442100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IFERROR(VLOOKUP(B153,input_442100!L:R,7,FALSE),VLOOKUP(tables_442100!C153,input_442100!A:H,8,FALSE))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input_442100!A$2</f>
        <v>442100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IFERROR(VLOOKUP(B154,input_442100!L:R,7,FALSE),VLOOKUP(tables_442100!C154,input_442100!A:H,8,FALSE))</f>
        <v>59095.242100000003</v>
      </c>
      <c r="P154" s="46">
        <f t="shared" ca="1" si="9"/>
        <v>5.0114689704927155E-3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input_442100!A$2</f>
        <v>442100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IFERROR(VLOOKUP(B155,input_442100!L:R,7,FALSE),VLOOKUP(tables_442100!C155,input_442100!A:H,8,FALSE))</f>
        <v>170.44211000000001</v>
      </c>
      <c r="P155" s="46">
        <f t="shared" ca="1" si="9"/>
        <v>1.4454045963377248E-5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input_442100!A$2</f>
        <v>442100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IFERROR(VLOOKUP(B156,input_442100!L:R,7,FALSE),VLOOKUP(tables_442100!C156,input_442100!A:H,8,FALSE))</f>
        <v>5625.9592300000004</v>
      </c>
      <c r="P156" s="46">
        <f t="shared" ca="1" si="9"/>
        <v>4.7709966333147642E-4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input_442100!A$2</f>
        <v>442100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IFERROR(VLOOKUP(B157,input_442100!L:R,7,FALSE),VLOOKUP(tables_442100!C157,input_442100!A:H,8,FALSE))</f>
        <v>268</v>
      </c>
      <c r="P157" s="46">
        <f t="shared" ca="1" si="9"/>
        <v>2.2727272727291994E-5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input_442100!A$2</f>
        <v>442100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IFERROR(VLOOKUP(B158,input_442100!L:R,7,FALSE),VLOOKUP(tables_442100!C158,input_442100!A:H,8,FALSE))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input_442100!A$2</f>
        <v>442100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IFERROR(VLOOKUP(B159,input_442100!L:R,7,FALSE),VLOOKUP(tables_442100!C159,input_442100!A:H,8,FALSE))</f>
        <v>59095.242100000003</v>
      </c>
      <c r="P159" s="46">
        <f t="shared" ca="1" si="9"/>
        <v>5.0114689704927155E-3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input_442100!A$2</f>
        <v>442100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IFERROR(VLOOKUP(B160,input_442100!L:R,7,FALSE),VLOOKUP(tables_442100!C160,input_442100!A:H,8,FALSE))</f>
        <v>170.44211000000001</v>
      </c>
      <c r="P160" s="46">
        <f t="shared" ca="1" si="9"/>
        <v>1.4454045963377248E-5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input_442100!A$2</f>
        <v>442100</v>
      </c>
      <c r="B161" s="6">
        <v>395</v>
      </c>
      <c r="C161" s="7" t="str">
        <f t="shared" si="8"/>
        <v>Premium3color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>color</v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IFERROR(VLOOKUP(B161,input_442100!L:R,7,FALSE),VLOOKUP(tables_442100!C161,input_442100!A:H,8,FALSE))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input_442100!A$2</f>
        <v>442100</v>
      </c>
      <c r="B162" s="6">
        <v>396</v>
      </c>
      <c r="C162" s="7" t="str">
        <f t="shared" si="8"/>
        <v>Premium4color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>color</v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IFERROR(VLOOKUP(B162,input_442100!L:R,7,FALSE),VLOOKUP(tables_442100!C162,input_442100!A:H,8,FALSE))</f>
        <v>269717.73593000002</v>
      </c>
      <c r="P162" s="46">
        <f t="shared" ca="1" si="9"/>
        <v>2.2872942327868781E-2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input_442100!A$2</f>
        <v>442100</v>
      </c>
      <c r="B163" s="6">
        <v>397</v>
      </c>
      <c r="C163" s="7" t="str">
        <f t="shared" si="8"/>
        <v>Premium5color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>color</v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IFERROR(VLOOKUP(B163,input_442100!L:R,7,FALSE),VLOOKUP(tables_442100!C163,input_442100!A:H,8,FALSE))</f>
        <v>4446.2640700000002</v>
      </c>
      <c r="P163" s="46">
        <f t="shared" ca="1" si="9"/>
        <v>3.7705767215093027E-4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input_442100!A$2</f>
        <v>442100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IFERROR(VLOOKUP(B164,input_442100!L:R,7,FALSE),VLOOKUP(tables_442100!C164,input_442100!A:H,8,FALSE))</f>
        <v>5625.9592300000004</v>
      </c>
      <c r="P164" s="46">
        <f t="shared" ca="1" si="9"/>
        <v>4.7709966333147642E-4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input_442100!A$2</f>
        <v>442100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IFERROR(VLOOKUP(B165,input_442100!L:R,7,FALSE),VLOOKUP(tables_442100!C165,input_442100!A:H,8,FALSE))</f>
        <v>268</v>
      </c>
      <c r="P165" s="46">
        <f t="shared" ca="1" si="9"/>
        <v>2.2727272727291994E-5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input_442100!A$2</f>
        <v>442100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IFERROR(VLOOKUP(B166,input_442100!L:R,7,FALSE),VLOOKUP(tables_442100!C166,input_442100!A:H,8,FALSE))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input_442100!A$2</f>
        <v>442100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IFERROR(VLOOKUP(B167,input_442100!L:R,7,FALSE),VLOOKUP(tables_442100!C167,input_442100!A:H,8,FALSE))</f>
        <v>59095.242100000003</v>
      </c>
      <c r="P167" s="46">
        <f t="shared" ca="1" si="9"/>
        <v>5.0114689704927155E-3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input_442100!A$2</f>
        <v>442100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IFERROR(VLOOKUP(B168,input_442100!L:R,7,FALSE),VLOOKUP(tables_442100!C168,input_442100!A:H,8,FALSE))</f>
        <v>170.44211000000001</v>
      </c>
      <c r="P168" s="46">
        <f t="shared" ca="1" si="9"/>
        <v>1.4454045963377248E-5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input_442100!A$2</f>
        <v>442100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IFERROR(VLOOKUP(B169,input_442100!L:R,7,FALSE),VLOOKUP(tables_442100!C169,input_442100!A:H,8,FALSE))</f>
        <v>5625.9592300000004</v>
      </c>
      <c r="P169" s="46">
        <f t="shared" ca="1" si="9"/>
        <v>4.7709966333147642E-4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input_442100!A$2</f>
        <v>442100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IFERROR(VLOOKUP(B170,input_442100!L:R,7,FALSE),VLOOKUP(tables_442100!C170,input_442100!A:H,8,FALSE))</f>
        <v>268</v>
      </c>
      <c r="P170" s="46">
        <f t="shared" ca="1" si="9"/>
        <v>2.2727272727291994E-5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input_442100!A$2</f>
        <v>442100</v>
      </c>
      <c r="B171" s="6">
        <v>405</v>
      </c>
      <c r="C171" s="7" t="str">
        <f t="shared" si="8"/>
        <v>Premium3color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>color</v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IFERROR(VLOOKUP(B171,input_442100!L:R,7,FALSE),VLOOKUP(tables_442100!C171,input_442100!A:H,8,FALSE))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input_442100!A$2</f>
        <v>442100</v>
      </c>
      <c r="B172" s="6">
        <v>406</v>
      </c>
      <c r="C172" s="7" t="str">
        <f t="shared" si="8"/>
        <v>Premium4color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>color</v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IFERROR(VLOOKUP(B172,input_442100!L:R,7,FALSE),VLOOKUP(tables_442100!C172,input_442100!A:H,8,FALSE))</f>
        <v>269717.73593000002</v>
      </c>
      <c r="P172" s="46">
        <f t="shared" ca="1" si="9"/>
        <v>2.2872942327868781E-2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input_442100!A$2</f>
        <v>442100</v>
      </c>
      <c r="B173" s="6">
        <v>407</v>
      </c>
      <c r="C173" s="7" t="str">
        <f t="shared" si="8"/>
        <v>Premium5color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>color</v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IFERROR(VLOOKUP(B173,input_442100!L:R,7,FALSE),VLOOKUP(tables_442100!C173,input_442100!A:H,8,FALSE))</f>
        <v>4446.2640700000002</v>
      </c>
      <c r="P173" s="46">
        <f t="shared" ca="1" si="9"/>
        <v>3.7705767215093027E-4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input_442100!A$2</f>
        <v>442100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IFERROR(VLOOKUP(B174,input_442100!L:R,7,FALSE),VLOOKUP(tables_442100!C174,input_442100!A:H,8,FALSE))</f>
        <v>5625.9592300000004</v>
      </c>
      <c r="P174" s="46">
        <f t="shared" ca="1" si="9"/>
        <v>4.7709966333147642E-4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input_442100!A$2</f>
        <v>442100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IFERROR(VLOOKUP(B175,input_442100!L:R,7,FALSE),VLOOKUP(tables_442100!C175,input_442100!A:H,8,FALSE))</f>
        <v>268</v>
      </c>
      <c r="P175" s="46">
        <f t="shared" ca="1" si="9"/>
        <v>2.2727272727291994E-5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input_442100!A$2</f>
        <v>442100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IFERROR(VLOOKUP(B176,input_442100!L:R,7,FALSE),VLOOKUP(tables_442100!C176,input_442100!A:H,8,FALSE))</f>
        <v>5625.9592300000004</v>
      </c>
      <c r="P176" s="46">
        <f t="shared" ca="1" si="9"/>
        <v>4.7709966333147642E-4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input_442100!A$2</f>
        <v>442100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IFERROR(VLOOKUP(B177,input_442100!L:R,7,FALSE),VLOOKUP(tables_442100!C177,input_442100!A:H,8,FALSE))</f>
        <v>268</v>
      </c>
      <c r="P177" s="46">
        <f t="shared" ca="1" si="9"/>
        <v>2.2727272727291994E-5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input_442100!A$2</f>
        <v>442100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IFERROR(VLOOKUP(B178,input_442100!L:R,7,FALSE),VLOOKUP(tables_442100!C178,input_442100!A:H,8,FALSE))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input_442100!A$2</f>
        <v>442100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IFERROR(VLOOKUP(B179,input_442100!L:R,7,FALSE),VLOOKUP(tables_442100!C179,input_442100!A:H,8,FALSE))</f>
        <v>59095.242100000003</v>
      </c>
      <c r="P179" s="46">
        <f t="shared" ca="1" si="9"/>
        <v>5.0114689704927155E-3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input_442100!A$2</f>
        <v>442100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IFERROR(VLOOKUP(B180,input_442100!L:R,7,FALSE),VLOOKUP(tables_442100!C180,input_442100!A:H,8,FALSE))</f>
        <v>170.44211000000001</v>
      </c>
      <c r="P180" s="46">
        <f t="shared" ca="1" si="9"/>
        <v>1.4454045963377248E-5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input_442100!A$2</f>
        <v>442100</v>
      </c>
      <c r="B181" s="6">
        <v>439</v>
      </c>
      <c r="C181" s="7" t="str">
        <f t="shared" si="8"/>
        <v>Premium3color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>color</v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IFERROR(VLOOKUP(B181,input_442100!L:R,7,FALSE),VLOOKUP(tables_442100!C181,input_442100!A:H,8,FALSE))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input_442100!A$2</f>
        <v>442100</v>
      </c>
      <c r="B182" s="6">
        <v>440</v>
      </c>
      <c r="C182" s="7" t="str">
        <f t="shared" si="8"/>
        <v>Premium4color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>color</v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IFERROR(VLOOKUP(B182,input_442100!L:R,7,FALSE),VLOOKUP(tables_442100!C182,input_442100!A:H,8,FALSE))</f>
        <v>269717.73593000002</v>
      </c>
      <c r="P182" s="46">
        <f t="shared" ca="1" si="9"/>
        <v>2.2872942327868781E-2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input_442100!A$2</f>
        <v>442100</v>
      </c>
      <c r="B183" s="6">
        <v>441</v>
      </c>
      <c r="C183" s="7" t="str">
        <f t="shared" si="8"/>
        <v>Premium5color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>color</v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IFERROR(VLOOKUP(B183,input_442100!L:R,7,FALSE),VLOOKUP(tables_442100!C183,input_442100!A:H,8,FALSE))</f>
        <v>4446.2640700000002</v>
      </c>
      <c r="P183" s="46">
        <f t="shared" ca="1" si="9"/>
        <v>3.7705767215093027E-4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input_442100!A$2</f>
        <v>442100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IFERROR(VLOOKUP(B184,input_442100!L:R,7,FALSE),VLOOKUP(tables_442100!C184,input_442100!A:H,8,FALSE))</f>
        <v>5625.9592300000004</v>
      </c>
      <c r="P184" s="46">
        <f t="shared" ca="1" si="9"/>
        <v>4.7709966333147642E-4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input_442100!A$2</f>
        <v>442100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IFERROR(VLOOKUP(B185,input_442100!L:R,7,FALSE),VLOOKUP(tables_442100!C185,input_442100!A:H,8,FALSE))</f>
        <v>268</v>
      </c>
      <c r="P185" s="46">
        <f t="shared" ca="1" si="9"/>
        <v>2.2727272727291994E-5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input_442100!A$2</f>
        <v>442100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IFERROR(VLOOKUP(B186,input_442100!L:R,7,FALSE),VLOOKUP(tables_442100!C186,input_442100!A:H,8,FALSE))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input_442100!A$2</f>
        <v>442100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IFERROR(VLOOKUP(B187,input_442100!L:R,7,FALSE),VLOOKUP(tables_442100!C187,input_442100!A:H,8,FALSE))</f>
        <v>59095.242100000003</v>
      </c>
      <c r="P187" s="46">
        <f t="shared" ca="1" si="9"/>
        <v>5.0114689704927155E-3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input_442100!A$2</f>
        <v>442100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IFERROR(VLOOKUP(B188,input_442100!L:R,7,FALSE),VLOOKUP(tables_442100!C188,input_442100!A:H,8,FALSE))</f>
        <v>170.44211000000001</v>
      </c>
      <c r="P188" s="46">
        <f t="shared" ca="1" si="9"/>
        <v>1.4454045963377248E-5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input_442100!A$2</f>
        <v>442100</v>
      </c>
      <c r="B189" s="6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IFERROR(VLOOKUP(B189,input_442100!L:R,7,FALSE),VLOOKUP(tables_442100!C189,input_442100!A:H,8,FALSE))</f>
        <v>5625.9592300000004</v>
      </c>
      <c r="P189" s="46">
        <f t="shared" ca="1" si="9"/>
        <v>4.7709966333147642E-4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input_442100!A$2</f>
        <v>442100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IFERROR(VLOOKUP(B190,input_442100!L:R,7,FALSE),VLOOKUP(tables_442100!C190,input_442100!A:H,8,FALSE))</f>
        <v>268</v>
      </c>
      <c r="P190" s="46">
        <f t="shared" ca="1" si="9"/>
        <v>2.2727272727291994E-5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input_442100!A$2</f>
        <v>442100</v>
      </c>
      <c r="B191" s="6">
        <v>467</v>
      </c>
      <c r="C191" s="7" t="str">
        <f t="shared" si="8"/>
        <v>PremiumSS4color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>color</v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IFERROR(VLOOKUP(B191,input_442100!L:R,7,FALSE),VLOOKUP(tables_442100!C191,input_442100!A:H,8,FALSE))</f>
        <v>55945.93232</v>
      </c>
      <c r="P191" s="46">
        <f t="shared" ca="1" si="9"/>
        <v>4.7443972455942524E-3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input_442100!A$2</f>
        <v>442100</v>
      </c>
      <c r="B192" s="6">
        <v>468</v>
      </c>
      <c r="C192" s="7" t="str">
        <f t="shared" si="8"/>
        <v>PremiumSS5color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>color</v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IFERROR(VLOOKUP(B192,input_442100!L:R,7,FALSE),VLOOKUP(tables_442100!C192,input_442100!A:H,8,FALSE))</f>
        <v>1360.61538</v>
      </c>
      <c r="P192" s="46">
        <f t="shared" ca="1" si="9"/>
        <v>1.1538461499331355E-4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input_442100!A$2</f>
        <v>442100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IFERROR(VLOOKUP(B193,input_442100!L:R,7,FALSE),VLOOKUP(tables_442100!C193,input_442100!A:H,8,FALSE))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input_442100!A$2</f>
        <v>442100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IFERROR(VLOOKUP(B194,input_442100!L:R,7,FALSE),VLOOKUP(tables_442100!C194,input_442100!A:H,8,FALSE))</f>
        <v>59095.242100000003</v>
      </c>
      <c r="P194" s="46">
        <f t="shared" ref="P194:P257" ca="1" si="13">O194/SUM(O:O)</f>
        <v>5.0114689704927155E-3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input_442100!A$2</f>
        <v>442100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IF(K195="blue","color","")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IFERROR(VLOOKUP(B195,input_442100!L:R,7,FALSE),VLOOKUP(tables_442100!C195,input_442100!A:H,8,FALSE))</f>
        <v>170.44211000000001</v>
      </c>
      <c r="P195" s="46">
        <f t="shared" ca="1" si="13"/>
        <v>1.4454045963377248E-5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input_442100!A$2</f>
        <v>442100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IFERROR(VLOOKUP(B196,input_442100!L:R,7,FALSE),VLOOKUP(tables_442100!C196,input_442100!A:H,8,FALSE))</f>
        <v>5625.9592300000004</v>
      </c>
      <c r="P196" s="46">
        <f t="shared" ca="1" si="13"/>
        <v>4.7709966333147642E-4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input_442100!A$2</f>
        <v>442100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IFERROR(VLOOKUP(B197,input_442100!L:R,7,FALSE),VLOOKUP(tables_442100!C197,input_442100!A:H,8,FALSE))</f>
        <v>268</v>
      </c>
      <c r="P197" s="46">
        <f t="shared" ca="1" si="13"/>
        <v>2.2727272727291994E-5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input_442100!A$2</f>
        <v>442100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IFERROR(VLOOKUP(B198,input_442100!L:R,7,FALSE),VLOOKUP(tables_442100!C198,input_442100!A:H,8,FALSE))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input_442100!A$2</f>
        <v>442100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IFERROR(VLOOKUP(B199,input_442100!L:R,7,FALSE),VLOOKUP(tables_442100!C199,input_442100!A:H,8,FALSE))</f>
        <v>59095.242100000003</v>
      </c>
      <c r="P199" s="46">
        <f t="shared" ca="1" si="13"/>
        <v>5.0114689704927155E-3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input_442100!A$2</f>
        <v>442100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IFERROR(VLOOKUP(B200,input_442100!L:R,7,FALSE),VLOOKUP(tables_442100!C200,input_442100!A:H,8,FALSE))</f>
        <v>170.44211000000001</v>
      </c>
      <c r="P200" s="46">
        <f t="shared" ca="1" si="13"/>
        <v>1.4454045963377248E-5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input_442100!A$2</f>
        <v>442100</v>
      </c>
      <c r="B201" s="6">
        <v>479</v>
      </c>
      <c r="C201" s="7" t="str">
        <f t="shared" si="12"/>
        <v>PremiumSS4color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>color</v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IFERROR(VLOOKUP(B201,input_442100!L:R,7,FALSE),VLOOKUP(tables_442100!C201,input_442100!A:H,8,FALSE))</f>
        <v>55945.93232</v>
      </c>
      <c r="P201" s="46">
        <f t="shared" ca="1" si="13"/>
        <v>4.7443972455942524E-3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input_442100!A$2</f>
        <v>442100</v>
      </c>
      <c r="B202" s="6">
        <v>480</v>
      </c>
      <c r="C202" s="7" t="str">
        <f t="shared" si="12"/>
        <v>PremiumSS5color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>color</v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IFERROR(VLOOKUP(B202,input_442100!L:R,7,FALSE),VLOOKUP(tables_442100!C202,input_442100!A:H,8,FALSE))</f>
        <v>1360.61538</v>
      </c>
      <c r="P202" s="46">
        <f t="shared" ca="1" si="13"/>
        <v>1.1538461499331355E-4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input_442100!A$2</f>
        <v>442100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IFERROR(VLOOKUP(B203,input_442100!L:R,7,FALSE),VLOOKUP(tables_442100!C203,input_442100!A:H,8,FALSE))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input_442100!A$2</f>
        <v>442100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IFERROR(VLOOKUP(B204,input_442100!L:R,7,FALSE),VLOOKUP(tables_442100!C204,input_442100!A:H,8,FALSE))</f>
        <v>59095.242100000003</v>
      </c>
      <c r="P204" s="46">
        <f t="shared" ca="1" si="13"/>
        <v>5.0114689704927155E-3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input_442100!A$2</f>
        <v>442100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IFERROR(VLOOKUP(B205,input_442100!L:R,7,FALSE),VLOOKUP(tables_442100!C205,input_442100!A:H,8,FALSE))</f>
        <v>170.44211000000001</v>
      </c>
      <c r="P205" s="46">
        <f t="shared" ca="1" si="13"/>
        <v>1.4454045963377248E-5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input_442100!A$2</f>
        <v>442100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IFERROR(VLOOKUP(B206,input_442100!L:R,7,FALSE),VLOOKUP(tables_442100!C206,input_442100!A:H,8,FALSE))</f>
        <v>5625.9592300000004</v>
      </c>
      <c r="P206" s="46">
        <f t="shared" ca="1" si="13"/>
        <v>4.7709966333147642E-4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input_442100!A$2</f>
        <v>442100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IFERROR(VLOOKUP(B207,input_442100!L:R,7,FALSE),VLOOKUP(tables_442100!C207,input_442100!A:H,8,FALSE))</f>
        <v>268</v>
      </c>
      <c r="P207" s="46">
        <f t="shared" ca="1" si="13"/>
        <v>2.2727272727291994E-5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input_442100!A$2</f>
        <v>442100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IFERROR(VLOOKUP(B208,input_442100!L:R,7,FALSE),VLOOKUP(tables_442100!C208,input_442100!A:H,8,FALSE))</f>
        <v>5625.9592300000004</v>
      </c>
      <c r="P208" s="46">
        <f t="shared" ca="1" si="13"/>
        <v>4.7709966333147642E-4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input_442100!A$2</f>
        <v>442100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IFERROR(VLOOKUP(B209,input_442100!L:R,7,FALSE),VLOOKUP(tables_442100!C209,input_442100!A:H,8,FALSE))</f>
        <v>268</v>
      </c>
      <c r="P209" s="46">
        <f t="shared" ca="1" si="13"/>
        <v>2.2727272727291994E-5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input_442100!A$2</f>
        <v>442100</v>
      </c>
      <c r="B210" s="6">
        <v>496</v>
      </c>
      <c r="C210" s="7" t="str">
        <f t="shared" si="12"/>
        <v>Premium3color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>color</v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IFERROR(VLOOKUP(B210,input_442100!L:R,7,FALSE),VLOOKUP(tables_442100!C210,input_442100!A:H,8,FALSE))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input_442100!A$2</f>
        <v>442100</v>
      </c>
      <c r="B211" s="6">
        <v>497</v>
      </c>
      <c r="C211" s="7" t="str">
        <f t="shared" si="12"/>
        <v>Premium4color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>color</v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IFERROR(VLOOKUP(B211,input_442100!L:R,7,FALSE),VLOOKUP(tables_442100!C211,input_442100!A:H,8,FALSE))</f>
        <v>269717.73593000002</v>
      </c>
      <c r="P211" s="46">
        <f t="shared" ca="1" si="13"/>
        <v>2.2872942327868781E-2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input_442100!A$2</f>
        <v>442100</v>
      </c>
      <c r="B212" s="6">
        <v>498</v>
      </c>
      <c r="C212" s="7" t="str">
        <f t="shared" si="12"/>
        <v>Premium5color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>color</v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IFERROR(VLOOKUP(B212,input_442100!L:R,7,FALSE),VLOOKUP(tables_442100!C212,input_442100!A:H,8,FALSE))</f>
        <v>4446.2640700000002</v>
      </c>
      <c r="P212" s="46">
        <f t="shared" ca="1" si="13"/>
        <v>3.7705767215093027E-4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input_442100!A$2</f>
        <v>442100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IFERROR(VLOOKUP(B213,input_442100!L:R,7,FALSE),VLOOKUP(tables_442100!C213,input_442100!A:H,8,FALSE))</f>
        <v>5625.9592300000004</v>
      </c>
      <c r="P213" s="46">
        <f t="shared" ca="1" si="13"/>
        <v>4.7709966333147642E-4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input_442100!A$2</f>
        <v>442100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IFERROR(VLOOKUP(B214,input_442100!L:R,7,FALSE),VLOOKUP(tables_442100!C214,input_442100!A:H,8,FALSE))</f>
        <v>268</v>
      </c>
      <c r="P214" s="46">
        <f t="shared" ca="1" si="13"/>
        <v>2.2727272727291994E-5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input_442100!A$2</f>
        <v>442100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IFERROR(VLOOKUP(B215,input_442100!L:R,7,FALSE),VLOOKUP(tables_442100!C215,input_442100!A:H,8,FALSE))</f>
        <v>3273.6</v>
      </c>
      <c r="P215" s="46">
        <f t="shared" ca="1" si="13"/>
        <v>2.7761194029874282E-4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input_442100!A$2</f>
        <v>442100</v>
      </c>
      <c r="B216" s="6">
        <v>561</v>
      </c>
      <c r="C216" s="7" t="str">
        <f t="shared" si="12"/>
        <v>premium5R3less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IFERROR(VLOOKUP(B216,input_442100!L:R,7,FALSE),VLOOKUP(tables_442100!C216,input_442100!A:H,8,FALSE))</f>
        <v>3273.6</v>
      </c>
      <c r="P216" s="46">
        <f t="shared" ca="1" si="13"/>
        <v>2.7761194029874282E-4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input_442100!A$2</f>
        <v>442100</v>
      </c>
      <c r="B217" s="6">
        <v>562</v>
      </c>
      <c r="C217" s="7" t="str">
        <f t="shared" si="12"/>
        <v>premium5R3lesscolor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>color</v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IFERROR(VLOOKUP(B217,input_442100!L:R,7,FALSE),VLOOKUP(tables_442100!C217,input_442100!A:H,8,FALSE))</f>
        <v>13708.2</v>
      </c>
      <c r="P217" s="46">
        <f t="shared" ca="1" si="13"/>
        <v>1.1625000000009857E-3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input_442100!A$2</f>
        <v>442100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IFERROR(VLOOKUP(B218,input_442100!L:R,7,FALSE),VLOOKUP(tables_442100!C218,input_442100!A:H,8,FALSE))</f>
        <v>3273.6</v>
      </c>
      <c r="P218" s="46">
        <f t="shared" ca="1" si="13"/>
        <v>2.7761194029874282E-4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input_442100!A$2</f>
        <v>442100</v>
      </c>
      <c r="B219" s="6">
        <v>566</v>
      </c>
      <c r="C219" s="7" t="str">
        <f t="shared" si="12"/>
        <v>premium5R3lesscolor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>color</v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IFERROR(VLOOKUP(B219,input_442100!L:R,7,FALSE),VLOOKUP(tables_442100!C219,input_442100!A:H,8,FALSE))</f>
        <v>13708.2</v>
      </c>
      <c r="P219" s="46">
        <f t="shared" ca="1" si="13"/>
        <v>1.1625000000009857E-3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input_442100!A$2</f>
        <v>442100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IFERROR(VLOOKUP(B220,input_442100!L:R,7,FALSE),VLOOKUP(tables_442100!C220,input_442100!A:H,8,FALSE))</f>
        <v>3273.6</v>
      </c>
      <c r="P220" s="46">
        <f t="shared" ca="1" si="13"/>
        <v>2.7761194029874282E-4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input_442100!A$2</f>
        <v>442100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IFERROR(VLOOKUP(B221,input_442100!L:R,7,FALSE),VLOOKUP(tables_442100!C221,input_442100!A:H,8,FALSE))</f>
        <v>5625.9592300000004</v>
      </c>
      <c r="P221" s="46">
        <f t="shared" ca="1" si="13"/>
        <v>4.7709966333147642E-4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input_442100!A$2</f>
        <v>442100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IFERROR(VLOOKUP(B222,input_442100!L:R,7,FALSE),VLOOKUP(tables_442100!C222,input_442100!A:H,8,FALSE))</f>
        <v>268</v>
      </c>
      <c r="P222" s="46">
        <f t="shared" ca="1" si="13"/>
        <v>2.2727272727291994E-5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input_442100!A$2</f>
        <v>442100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IFERROR(VLOOKUP(B223,input_442100!L:R,7,FALSE),VLOOKUP(tables_442100!C223,input_442100!A:H,8,FALSE))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input_442100!A$2</f>
        <v>442100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IFERROR(VLOOKUP(B224,input_442100!L:R,7,FALSE),VLOOKUP(tables_442100!C224,input_442100!A:H,8,FALSE))</f>
        <v>59095.242100000003</v>
      </c>
      <c r="P224" s="46">
        <f t="shared" ca="1" si="13"/>
        <v>5.0114689704927155E-3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input_442100!A$2</f>
        <v>442100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IFERROR(VLOOKUP(B225,input_442100!L:R,7,FALSE),VLOOKUP(tables_442100!C225,input_442100!A:H,8,FALSE))</f>
        <v>170.44211000000001</v>
      </c>
      <c r="P225" s="46">
        <f t="shared" ca="1" si="13"/>
        <v>1.4454045963377248E-5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input_442100!A$2</f>
        <v>442100</v>
      </c>
      <c r="B226" s="6">
        <v>591</v>
      </c>
      <c r="C226" s="7" t="str">
        <f t="shared" si="12"/>
        <v>Premium3color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>color</v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IFERROR(VLOOKUP(B226,input_442100!L:R,7,FALSE),VLOOKUP(tables_442100!C226,input_442100!A:H,8,FALSE))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input_442100!A$2</f>
        <v>442100</v>
      </c>
      <c r="B227" s="6">
        <v>592</v>
      </c>
      <c r="C227" s="7" t="str">
        <f t="shared" si="12"/>
        <v>Premium4color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>color</v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IFERROR(VLOOKUP(B227,input_442100!L:R,7,FALSE),VLOOKUP(tables_442100!C227,input_442100!A:H,8,FALSE))</f>
        <v>269717.73593000002</v>
      </c>
      <c r="P227" s="46">
        <f t="shared" ca="1" si="13"/>
        <v>2.2872942327868781E-2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input_442100!A$2</f>
        <v>442100</v>
      </c>
      <c r="B228" s="6">
        <v>593</v>
      </c>
      <c r="C228" s="7" t="str">
        <f t="shared" si="12"/>
        <v>Premium5color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>color</v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IFERROR(VLOOKUP(B228,input_442100!L:R,7,FALSE),VLOOKUP(tables_442100!C228,input_442100!A:H,8,FALSE))</f>
        <v>4446.2640700000002</v>
      </c>
      <c r="P228" s="46">
        <f t="shared" ca="1" si="13"/>
        <v>3.7705767215093027E-4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input_442100!A$2</f>
        <v>442100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IFERROR(VLOOKUP(B229,input_442100!L:R,7,FALSE),VLOOKUP(tables_442100!C229,input_442100!A:H,8,FALSE))</f>
        <v>5625.9592300000004</v>
      </c>
      <c r="P229" s="46">
        <f t="shared" ca="1" si="13"/>
        <v>4.7709966333147642E-4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input_442100!A$2</f>
        <v>442100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IFERROR(VLOOKUP(B230,input_442100!L:R,7,FALSE),VLOOKUP(tables_442100!C230,input_442100!A:H,8,FALSE))</f>
        <v>268</v>
      </c>
      <c r="P230" s="46">
        <f t="shared" ca="1" si="13"/>
        <v>2.2727272727291994E-5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input_442100!A$2</f>
        <v>442100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IFERROR(VLOOKUP(B231,input_442100!L:R,7,FALSE),VLOOKUP(tables_442100!C231,input_442100!A:H,8,FALSE))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input_442100!A$2</f>
        <v>442100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IFERROR(VLOOKUP(B232,input_442100!L:R,7,FALSE),VLOOKUP(tables_442100!C232,input_442100!A:H,8,FALSE))</f>
        <v>59095.242100000003</v>
      </c>
      <c r="P232" s="46">
        <f t="shared" ca="1" si="13"/>
        <v>5.0114689704927155E-3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input_442100!A$2</f>
        <v>442100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IFERROR(VLOOKUP(B233,input_442100!L:R,7,FALSE),VLOOKUP(tables_442100!C233,input_442100!A:H,8,FALSE))</f>
        <v>170.44211000000001</v>
      </c>
      <c r="P233" s="46">
        <f t="shared" ca="1" si="13"/>
        <v>1.4454045963377248E-5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input_442100!A$2</f>
        <v>442100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IFERROR(VLOOKUP(B234,input_442100!L:R,7,FALSE),VLOOKUP(tables_442100!C234,input_442100!A:H,8,FALSE))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input_442100!A$2</f>
        <v>442100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IFERROR(VLOOKUP(B235,input_442100!L:R,7,FALSE),VLOOKUP(tables_442100!C235,input_442100!A:H,8,FALSE))</f>
        <v>59095.242100000003</v>
      </c>
      <c r="P235" s="46">
        <f t="shared" ca="1" si="13"/>
        <v>5.0114689704927155E-3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input_442100!A$2</f>
        <v>442100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IFERROR(VLOOKUP(B236,input_442100!L:R,7,FALSE),VLOOKUP(tables_442100!C236,input_442100!A:H,8,FALSE))</f>
        <v>170.44211000000001</v>
      </c>
      <c r="P236" s="46">
        <f t="shared" ca="1" si="13"/>
        <v>1.4454045963377248E-5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input_442100!A$2</f>
        <v>442100</v>
      </c>
      <c r="B237" s="6">
        <v>602</v>
      </c>
      <c r="C237" s="7" t="str">
        <f t="shared" si="12"/>
        <v>PremiumSS4color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>color</v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IFERROR(VLOOKUP(B237,input_442100!L:R,7,FALSE),VLOOKUP(tables_442100!C237,input_442100!A:H,8,FALSE))</f>
        <v>55945.93232</v>
      </c>
      <c r="P237" s="46">
        <f t="shared" ca="1" si="13"/>
        <v>4.7443972455942524E-3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input_442100!A$2</f>
        <v>442100</v>
      </c>
      <c r="B238" s="6">
        <v>603</v>
      </c>
      <c r="C238" s="7" t="str">
        <f t="shared" si="12"/>
        <v>PremiumSS5color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>color</v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IFERROR(VLOOKUP(B238,input_442100!L:R,7,FALSE),VLOOKUP(tables_442100!C238,input_442100!A:H,8,FALSE))</f>
        <v>1360.61538</v>
      </c>
      <c r="P238" s="46">
        <f t="shared" ca="1" si="13"/>
        <v>1.1538461499331355E-4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input_442100!A$2</f>
        <v>442100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IFERROR(VLOOKUP(B239,input_442100!L:R,7,FALSE),VLOOKUP(tables_442100!C239,input_442100!A:H,8,FALSE))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input_442100!A$2</f>
        <v>442100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IFERROR(VLOOKUP(B240,input_442100!L:R,7,FALSE),VLOOKUP(tables_442100!C240,input_442100!A:H,8,FALSE))</f>
        <v>59095.242100000003</v>
      </c>
      <c r="P240" s="46">
        <f t="shared" ca="1" si="13"/>
        <v>5.0114689704927155E-3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input_442100!A$2</f>
        <v>442100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IFERROR(VLOOKUP(B241,input_442100!L:R,7,FALSE),VLOOKUP(tables_442100!C241,input_442100!A:H,8,FALSE))</f>
        <v>170.44211000000001</v>
      </c>
      <c r="P241" s="46">
        <f t="shared" ca="1" si="13"/>
        <v>1.4454045963377248E-5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input_442100!A$2</f>
        <v>442100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IFERROR(VLOOKUP(B242,input_442100!L:R,7,FALSE),VLOOKUP(tables_442100!C242,input_442100!A:H,8,FALSE))</f>
        <v>5625.9592300000004</v>
      </c>
      <c r="P242" s="46">
        <f t="shared" ca="1" si="13"/>
        <v>4.7709966333147642E-4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input_442100!A$2</f>
        <v>442100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IFERROR(VLOOKUP(B243,input_442100!L:R,7,FALSE),VLOOKUP(tables_442100!C243,input_442100!A:H,8,FALSE))</f>
        <v>268</v>
      </c>
      <c r="P243" s="46">
        <f t="shared" ca="1" si="13"/>
        <v>2.2727272727291994E-5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input_442100!A$2</f>
        <v>442100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IFERROR(VLOOKUP(B244,input_442100!L:R,7,FALSE),VLOOKUP(tables_442100!C244,input_442100!A:H,8,FALSE))</f>
        <v>5625.9592300000004</v>
      </c>
      <c r="P244" s="46">
        <f t="shared" ca="1" si="13"/>
        <v>4.7709966333147642E-4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input_442100!A$2</f>
        <v>442100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IFERROR(VLOOKUP(B245,input_442100!L:R,7,FALSE),VLOOKUP(tables_442100!C245,input_442100!A:H,8,FALSE))</f>
        <v>268</v>
      </c>
      <c r="P245" s="46">
        <f t="shared" ca="1" si="13"/>
        <v>2.2727272727291994E-5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input_442100!A$2</f>
        <v>442100</v>
      </c>
      <c r="B246" s="60">
        <v>662</v>
      </c>
      <c r="C246" s="7" t="str">
        <f t="shared" si="12"/>
        <v>Premium3color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>color</v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IFERROR(VLOOKUP(B246,input_442100!L:R,7,FALSE),VLOOKUP(tables_442100!C246,input_442100!A:H,8,FALSE))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input_442100!A$2</f>
        <v>442100</v>
      </c>
      <c r="B247" s="60">
        <v>663</v>
      </c>
      <c r="C247" s="7" t="str">
        <f t="shared" si="12"/>
        <v>Premium4color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>color</v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IFERROR(VLOOKUP(B247,input_442100!L:R,7,FALSE),VLOOKUP(tables_442100!C247,input_442100!A:H,8,FALSE))</f>
        <v>269717.73593000002</v>
      </c>
      <c r="P247" s="46">
        <f t="shared" ca="1" si="13"/>
        <v>2.2872942327868781E-2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input_442100!A$2</f>
        <v>442100</v>
      </c>
      <c r="B248" s="60">
        <v>664</v>
      </c>
      <c r="C248" s="7" t="str">
        <f t="shared" si="12"/>
        <v>Premium5color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>color</v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IFERROR(VLOOKUP(B248,input_442100!L:R,7,FALSE),VLOOKUP(tables_442100!C248,input_442100!A:H,8,FALSE))</f>
        <v>4446.2640700000002</v>
      </c>
      <c r="P248" s="46">
        <f t="shared" ca="1" si="13"/>
        <v>3.7705767215093027E-4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input_442100!A$2</f>
        <v>442100</v>
      </c>
      <c r="B249" s="60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IFERROR(VLOOKUP(B249,input_442100!L:R,7,FALSE),VLOOKUP(tables_442100!C249,input_442100!A:H,8,FALSE))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input_442100!A$2</f>
        <v>442100</v>
      </c>
      <c r="B250" s="60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IFERROR(VLOOKUP(B250,input_442100!L:R,7,FALSE),VLOOKUP(tables_442100!C250,input_442100!A:H,8,FALSE))</f>
        <v>59095.242100000003</v>
      </c>
      <c r="P250" s="46">
        <f t="shared" ca="1" si="13"/>
        <v>5.0114689704927155E-3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input_442100!A$2</f>
        <v>442100</v>
      </c>
      <c r="B251" s="60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IFERROR(VLOOKUP(B251,input_442100!L:R,7,FALSE),VLOOKUP(tables_442100!C251,input_442100!A:H,8,FALSE))</f>
        <v>170.44211000000001</v>
      </c>
      <c r="P251" s="46">
        <f t="shared" ca="1" si="13"/>
        <v>1.4454045963377248E-5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input_442100!A$2</f>
        <v>442100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IFERROR(VLOOKUP(B252,input_442100!L:R,7,FALSE),VLOOKUP(tables_442100!C252,input_442100!A:H,8,FALSE))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input_442100!A$2</f>
        <v>442100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IFERROR(VLOOKUP(B253,input_442100!L:R,7,FALSE),VLOOKUP(tables_442100!C253,input_442100!A:H,8,FALSE))</f>
        <v>59095.242100000003</v>
      </c>
      <c r="P253" s="46">
        <f t="shared" ca="1" si="13"/>
        <v>5.0114689704927155E-3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input_442100!A$2</f>
        <v>442100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IFERROR(VLOOKUP(B254,input_442100!L:R,7,FALSE),VLOOKUP(tables_442100!C254,input_442100!A:H,8,FALSE))</f>
        <v>170.44211000000001</v>
      </c>
      <c r="P254" s="46">
        <f t="shared" ca="1" si="13"/>
        <v>1.4454045963377248E-5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input_442100!A$2</f>
        <v>442100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IFERROR(VLOOKUP(B255,input_442100!L:R,7,FALSE),VLOOKUP(tables_442100!C255,input_442100!A:H,8,FALSE))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input_442100!A$2</f>
        <v>442100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IFERROR(VLOOKUP(B256,input_442100!L:R,7,FALSE),VLOOKUP(tables_442100!C256,input_442100!A:H,8,FALSE))</f>
        <v>59095.242100000003</v>
      </c>
      <c r="P256" s="46">
        <f t="shared" ca="1" si="13"/>
        <v>5.0114689704927155E-3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input_442100!A$2</f>
        <v>442100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IFERROR(VLOOKUP(B257,input_442100!L:R,7,FALSE),VLOOKUP(tables_442100!C257,input_442100!A:H,8,FALSE))</f>
        <v>170.44211000000001</v>
      </c>
      <c r="P257" s="46">
        <f t="shared" ca="1" si="13"/>
        <v>1.4454045963377248E-5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input_442100!A$2</f>
        <v>442100</v>
      </c>
      <c r="B258" s="60">
        <v>674</v>
      </c>
      <c r="C258" s="7" t="str">
        <f t="shared" ref="C258:C284" si="16">D258&amp;J258&amp;E258&amp;F258&amp;G258</f>
        <v>PremiumSS4color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>color</v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IFERROR(VLOOKUP(B258,input_442100!L:R,7,FALSE),VLOOKUP(tables_442100!C258,input_442100!A:H,8,FALSE))</f>
        <v>55945.93232</v>
      </c>
      <c r="P258" s="46">
        <f t="shared" ref="P258:P305" ca="1" si="17">O258/SUM(O:O)</f>
        <v>4.7443972455942524E-3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input_442100!A$2</f>
        <v>442100</v>
      </c>
      <c r="B259" s="60">
        <v>675</v>
      </c>
      <c r="C259" s="7" t="str">
        <f t="shared" si="16"/>
        <v>PremiumSS5color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IF(K259="blue","color","")</f>
        <v>color</v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IFERROR(VLOOKUP(B259,input_442100!L:R,7,FALSE),VLOOKUP(tables_442100!C259,input_442100!A:H,8,FALSE))</f>
        <v>1360.61538</v>
      </c>
      <c r="P259" s="46">
        <f t="shared" ca="1" si="17"/>
        <v>1.1538461499331355E-4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input_442100!A$2</f>
        <v>442100</v>
      </c>
      <c r="B260" s="60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IFERROR(VLOOKUP(B260,input_442100!L:R,7,FALSE),VLOOKUP(tables_442100!C260,input_442100!A:H,8,FALSE))</f>
        <v>5625.9592300000004</v>
      </c>
      <c r="P260" s="46">
        <f t="shared" ca="1" si="17"/>
        <v>4.7709966333147642E-4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input_442100!A$2</f>
        <v>442100</v>
      </c>
      <c r="B261" s="60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IFERROR(VLOOKUP(B261,input_442100!L:R,7,FALSE),VLOOKUP(tables_442100!C261,input_442100!A:H,8,FALSE))</f>
        <v>268</v>
      </c>
      <c r="P261" s="46">
        <f t="shared" ca="1" si="17"/>
        <v>2.2727272727291994E-5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input_442100!A$2</f>
        <v>442100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IFERROR(VLOOKUP(B262,input_442100!L:R,7,FALSE),VLOOKUP(tables_442100!C262,input_442100!A:H,8,FALSE))</f>
        <v>91024</v>
      </c>
      <c r="P262" s="46">
        <f t="shared" ca="1" si="17"/>
        <v>7.719131614660547E-3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input_442100!A$2</f>
        <v>442100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IFERROR(VLOOKUP(B263,input_442100!L:R,7,FALSE),VLOOKUP(tables_442100!C263,input_442100!A:H,8,FALSE))</f>
        <v>3273.6</v>
      </c>
      <c r="P263" s="46">
        <f t="shared" ca="1" si="17"/>
        <v>2.7761194029874282E-4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input_442100!A$2</f>
        <v>442100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IFERROR(VLOOKUP(B264,input_442100!L:R,7,FALSE),VLOOKUP(tables_442100!C264,input_442100!A:H,8,FALSE))</f>
        <v>91024</v>
      </c>
      <c r="P264" s="46">
        <f t="shared" ca="1" si="17"/>
        <v>7.719131614660547E-3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input_442100!A$2</f>
        <v>442100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IFERROR(VLOOKUP(B265,input_442100!L:R,7,FALSE),VLOOKUP(tables_442100!C265,input_442100!A:H,8,FALSE))</f>
        <v>3273.6</v>
      </c>
      <c r="P265" s="46">
        <f t="shared" ca="1" si="17"/>
        <v>2.7761194029874282E-4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input_442100!A$2</f>
        <v>442100</v>
      </c>
      <c r="B266" s="60">
        <v>732</v>
      </c>
      <c r="C266" s="7" t="str">
        <f t="shared" si="16"/>
        <v>PremiumSS5R5onlycolor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>color</v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IFERROR(VLOOKUP(B266,input_442100!L:R,7,FALSE),VLOOKUP(tables_442100!C266,input_442100!A:H,8,FALSE))</f>
        <v>1417.2448300000001</v>
      </c>
      <c r="P266" s="46">
        <f t="shared" ca="1" si="17"/>
        <v>1.2018697676400963E-4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input_442100!A$2</f>
        <v>442100</v>
      </c>
      <c r="B267" s="60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IFERROR(VLOOKUP(B267,input_442100!L:R,7,FALSE),VLOOKUP(tables_442100!C267,input_442100!A:H,8,FALSE))</f>
        <v>4826.0407699999996</v>
      </c>
      <c r="P267" s="46">
        <f t="shared" ca="1" si="17"/>
        <v>4.0926397303291139E-4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input_442100!A$2</f>
        <v>442100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IFERROR(VLOOKUP(B268,input_442100!L:R,7,FALSE),VLOOKUP(tables_442100!C268,input_442100!A:H,8,FALSE))</f>
        <v>4826.0407699999996</v>
      </c>
      <c r="P268" s="46">
        <f t="shared" ca="1" si="17"/>
        <v>4.0926397303291139E-4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input_442100!A$2</f>
        <v>442100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IFERROR(VLOOKUP(B269,input_442100!L:R,7,FALSE),VLOOKUP(tables_442100!C269,input_442100!A:H,8,FALSE))</f>
        <v>4826.0407699999996</v>
      </c>
      <c r="P269" s="46">
        <f t="shared" ca="1" si="17"/>
        <v>4.0926397303291139E-4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input_442100!A$2</f>
        <v>442100</v>
      </c>
      <c r="B270" s="60">
        <v>746</v>
      </c>
      <c r="C270" s="7" t="str">
        <f t="shared" si="16"/>
        <v>Premium4R3lesscolor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>color</v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IFERROR(VLOOKUP(B270,input_442100!L:R,7,FALSE),VLOOKUP(tables_442100!C270,input_442100!A:H,8,FALSE))</f>
        <v>171057.7</v>
      </c>
      <c r="P270" s="46">
        <f t="shared" ca="1" si="17"/>
        <v>1.4506250000012299E-2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input_442100!A$2</f>
        <v>442100</v>
      </c>
      <c r="B271" s="82">
        <v>747</v>
      </c>
      <c r="C271" s="7" t="str">
        <f t="shared" si="16"/>
        <v>Premium5R3lesscolor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>color</v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IFERROR(VLOOKUP(B271,input_442100!L:R,7,FALSE),VLOOKUP(tables_442100!C271,input_442100!A:H,8,FALSE))</f>
        <v>13708.2</v>
      </c>
      <c r="P271" s="46">
        <f t="shared" ca="1" si="17"/>
        <v>1.1625000000009857E-3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input_442100!A$2</f>
        <v>442100</v>
      </c>
      <c r="B272" s="8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IFERROR(VLOOKUP(B272,input_442100!L:R,7,FALSE),VLOOKUP(tables_442100!C272,input_442100!A:H,8,FALSE))</f>
        <v>91024</v>
      </c>
      <c r="P272" s="46">
        <f t="shared" ca="1" si="17"/>
        <v>7.719131614660547E-3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input_442100!A$2</f>
        <v>442100</v>
      </c>
      <c r="B273" s="8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IFERROR(VLOOKUP(B273,input_442100!L:R,7,FALSE),VLOOKUP(tables_442100!C273,input_442100!A:H,8,FALSE))</f>
        <v>3273.6</v>
      </c>
      <c r="P273" s="46">
        <f t="shared" ca="1" si="17"/>
        <v>2.7761194029874282E-4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input_442100!A$2</f>
        <v>442100</v>
      </c>
      <c r="B274" s="82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IFERROR(VLOOKUP(B274,input_442100!L:R,7,FALSE),VLOOKUP(tables_442100!C274,input_442100!A:H,8,FALSE))</f>
        <v>5625.9592300000004</v>
      </c>
      <c r="P274" s="46">
        <f t="shared" ca="1" si="17"/>
        <v>4.7709966333147642E-4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input_442100!A$2</f>
        <v>442100</v>
      </c>
      <c r="B275" s="82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IFERROR(VLOOKUP(B275,input_442100!L:R,7,FALSE),VLOOKUP(tables_442100!C275,input_442100!A:H,8,FALSE))</f>
        <v>268</v>
      </c>
      <c r="P275" s="46">
        <f t="shared" ca="1" si="17"/>
        <v>2.2727272727291994E-5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input_442100!A$2</f>
        <v>442100</v>
      </c>
      <c r="B276" s="82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IFERROR(VLOOKUP(B276,input_442100!L:R,7,FALSE),VLOOKUP(tables_442100!C276,input_442100!A:H,8,FALSE))</f>
        <v>5625.9592300000004</v>
      </c>
      <c r="P276" s="46">
        <f t="shared" ca="1" si="17"/>
        <v>4.7709966333147642E-4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input_442100!A$2</f>
        <v>442100</v>
      </c>
      <c r="B277" s="82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IFERROR(VLOOKUP(B277,input_442100!L:R,7,FALSE),VLOOKUP(tables_442100!C277,input_442100!A:H,8,FALSE))</f>
        <v>268</v>
      </c>
      <c r="P277" s="46">
        <f t="shared" ca="1" si="17"/>
        <v>2.2727272727291994E-5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input_442100!A$2</f>
        <v>442100</v>
      </c>
      <c r="B278" s="82">
        <v>774</v>
      </c>
      <c r="C278" s="7" t="str">
        <f t="shared" si="16"/>
        <v>Premium3color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>color</v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IFERROR(VLOOKUP(B278,input_442100!L:R,7,FALSE),VLOOKUP(tables_442100!C278,input_442100!A:H,8,FALSE))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input_442100!A$2</f>
        <v>442100</v>
      </c>
      <c r="B279" s="82">
        <v>775</v>
      </c>
      <c r="C279" s="7" t="str">
        <f t="shared" si="16"/>
        <v>Premium4color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>color</v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IFERROR(VLOOKUP(B279,input_442100!L:R,7,FALSE),VLOOKUP(tables_442100!C279,input_442100!A:H,8,FALSE))</f>
        <v>269717.73593000002</v>
      </c>
      <c r="P279" s="46">
        <f t="shared" ca="1" si="17"/>
        <v>2.2872942327868781E-2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input_442100!A$2</f>
        <v>442100</v>
      </c>
      <c r="B280" s="82">
        <v>776</v>
      </c>
      <c r="C280" s="7" t="str">
        <f t="shared" si="16"/>
        <v>Premium5color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>color</v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IFERROR(VLOOKUP(B280,input_442100!L:R,7,FALSE),VLOOKUP(tables_442100!C280,input_442100!A:H,8,FALSE))</f>
        <v>4446.2640700000002</v>
      </c>
      <c r="P280" s="46">
        <f t="shared" ca="1" si="17"/>
        <v>3.7705767215093027E-4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input_442100!A$2</f>
        <v>442100</v>
      </c>
      <c r="B281" s="8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IFERROR(VLOOKUP(B281,input_442100!L:R,7,FALSE),VLOOKUP(tables_442100!C281,input_442100!A:H,8,FALSE))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input_442100!A$2</f>
        <v>442100</v>
      </c>
      <c r="B282" s="8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IFERROR(VLOOKUP(B282,input_442100!L:R,7,FALSE),VLOOKUP(tables_442100!C282,input_442100!A:H,8,FALSE))</f>
        <v>59095.242100000003</v>
      </c>
      <c r="P282" s="46">
        <f t="shared" ca="1" si="17"/>
        <v>5.0114689704927155E-3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input_442100!A$2</f>
        <v>442100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IFERROR(VLOOKUP(B283,input_442100!L:R,7,FALSE),VLOOKUP(tables_442100!C283,input_442100!A:H,8,FALSE))</f>
        <v>170.44211000000001</v>
      </c>
      <c r="P283" s="46">
        <f t="shared" ca="1" si="17"/>
        <v>1.4454045963377248E-5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input_442100!A$2</f>
        <v>442100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IFERROR(VLOOKUP(B284,input_442100!L:R,7,FALSE),VLOOKUP(tables_442100!C284,input_442100!A:H,8,FALSE))</f>
        <v>4826.0407699999996</v>
      </c>
      <c r="P284" s="46">
        <f t="shared" ca="1" si="17"/>
        <v>4.0926397303291139E-4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input_442100!A$2</f>
        <v>442100</v>
      </c>
      <c r="B285" s="5">
        <v>850</v>
      </c>
      <c r="C285" s="7" t="str">
        <f t="shared" ref="C285:C290" si="20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IFERROR(VLOOKUP(B285,input_442100!L:R,7,FALSE),VLOOKUP(tables_442100!C285,input_442100!A:H,8,FALSE))</f>
        <v>4826.0407699999996</v>
      </c>
      <c r="P285" s="46">
        <f t="shared" ca="1" si="17"/>
        <v>4.0926397303291139E-4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input_442100!A$2</f>
        <v>442100</v>
      </c>
      <c r="B286" s="5">
        <v>852</v>
      </c>
      <c r="C286" s="7" t="str">
        <f t="shared" si="20"/>
        <v>Premium4R3lesscolor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>color</v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IFERROR(VLOOKUP(B286,input_442100!L:R,7,FALSE),VLOOKUP(tables_442100!C286,input_442100!A:H,8,FALSE))</f>
        <v>171057.7</v>
      </c>
      <c r="P286" s="46">
        <f t="shared" ca="1" si="17"/>
        <v>1.4506250000012299E-2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input_442100!A$2</f>
        <v>442100</v>
      </c>
      <c r="B287" s="5">
        <v>853</v>
      </c>
      <c r="C287" s="7" t="str">
        <f t="shared" si="20"/>
        <v>Premium5R3lesscolor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>color</v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IFERROR(VLOOKUP(B287,input_442100!L:R,7,FALSE),VLOOKUP(tables_442100!C287,input_442100!A:H,8,FALSE))</f>
        <v>13708.2</v>
      </c>
      <c r="P287" s="46">
        <f t="shared" ca="1" si="17"/>
        <v>1.1625000000009857E-3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input_442100!A$2</f>
        <v>442100</v>
      </c>
      <c r="B288" s="5">
        <v>854</v>
      </c>
      <c r="C288" s="7" t="str">
        <f t="shared" si="20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IFERROR(VLOOKUP(B288,input_442100!L:R,7,FALSE),VLOOKUP(tables_442100!C288,input_442100!A:H,8,FALSE))</f>
        <v>91024</v>
      </c>
      <c r="P288" s="46">
        <f t="shared" ca="1" si="17"/>
        <v>7.719131614660547E-3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input_442100!A$2</f>
        <v>442100</v>
      </c>
      <c r="B289" s="5">
        <v>855</v>
      </c>
      <c r="C289" s="7" t="str">
        <f t="shared" si="20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IFERROR(VLOOKUP(B289,input_442100!L:R,7,FALSE),VLOOKUP(tables_442100!C289,input_442100!A:H,8,FALSE))</f>
        <v>3273.6</v>
      </c>
      <c r="P289" s="46">
        <f t="shared" ca="1" si="17"/>
        <v>2.7761194029874282E-4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input_442100!A$2</f>
        <v>442100</v>
      </c>
      <c r="B290" s="5">
        <v>862</v>
      </c>
      <c r="C290" s="7" t="str">
        <f t="shared" si="20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IFERROR(VLOOKUP(B290,input_442100!L:R,7,FALSE),VLOOKUP(tables_442100!C290,input_442100!A:H,8,FALSE))</f>
        <v>91024</v>
      </c>
      <c r="P290" s="46">
        <f t="shared" ca="1" si="17"/>
        <v>7.719131614660547E-3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input_442100!A$2</f>
        <v>442100</v>
      </c>
      <c r="B291" s="5">
        <v>863</v>
      </c>
      <c r="C291" s="7" t="str">
        <f t="shared" ref="C291:C300" si="21">D291&amp;J291&amp;E291&amp;F291&amp;G291</f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IFERROR(VLOOKUP(B291,input_442100!L:R,7,FALSE),VLOOKUP(tables_442100!C291,input_442100!A:H,8,FALSE))</f>
        <v>3273.6</v>
      </c>
      <c r="P291" s="46">
        <f t="shared" ca="1" si="17"/>
        <v>2.7761194029874282E-4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input_442100!A$2</f>
        <v>442100</v>
      </c>
      <c r="B292" s="5">
        <v>864</v>
      </c>
      <c r="C292" s="7" t="str">
        <f t="shared" si="21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IFERROR(VLOOKUP(B292,input_442100!L:R,7,FALSE),VLOOKUP(tables_442100!C292,input_442100!A:H,8,FALSE))</f>
        <v>91024</v>
      </c>
      <c r="P292" s="46">
        <f t="shared" ca="1" si="17"/>
        <v>7.719131614660547E-3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input_442100!A$2</f>
        <v>442100</v>
      </c>
      <c r="B293" s="5">
        <v>865</v>
      </c>
      <c r="C293" s="7" t="str">
        <f t="shared" si="21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IFERROR(VLOOKUP(B293,input_442100!L:R,7,FALSE),VLOOKUP(tables_442100!C293,input_442100!A:H,8,FALSE))</f>
        <v>3273.6</v>
      </c>
      <c r="P293" s="46">
        <f t="shared" ca="1" si="17"/>
        <v>2.7761194029874282E-4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input_442100!A$2</f>
        <v>442100</v>
      </c>
      <c r="B294" s="5">
        <v>866</v>
      </c>
      <c r="C294" s="7" t="str">
        <f t="shared" si="21"/>
        <v>PremiumSS5R5onlycolor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>color</v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IFERROR(VLOOKUP(B294,input_442100!L:R,7,FALSE),VLOOKUP(tables_442100!C294,input_442100!A:H,8,FALSE))</f>
        <v>1417.2448300000001</v>
      </c>
      <c r="P294" s="46">
        <f t="shared" ca="1" si="17"/>
        <v>1.2018697676400963E-4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input_442100!A$2</f>
        <v>442100</v>
      </c>
      <c r="B295" s="5">
        <v>868</v>
      </c>
      <c r="C295" s="7" t="str">
        <f t="shared" si="21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IFERROR(VLOOKUP(B295,input_442100!L:R,7,FALSE),VLOOKUP(tables_442100!C295,input_442100!A:H,8,FALSE))</f>
        <v>4826.0407699999996</v>
      </c>
      <c r="P295" s="46">
        <f t="shared" ca="1" si="17"/>
        <v>4.0926397303291139E-4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input_442100!A$2</f>
        <v>442100</v>
      </c>
      <c r="B296" s="5">
        <v>937</v>
      </c>
      <c r="C296" s="7" t="str">
        <f t="shared" si="21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IFERROR(VLOOKUP(B296,input_442100!L:R,7,FALSE),VLOOKUP(tables_442100!C296,input_442100!A:H,8,FALSE))</f>
        <v>4826.0407699999996</v>
      </c>
      <c r="P296" s="46">
        <f t="shared" ca="1" si="17"/>
        <v>4.0926397303291139E-4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input_442100!A$2</f>
        <v>442100</v>
      </c>
      <c r="B297" s="5">
        <v>939</v>
      </c>
      <c r="C297" s="7" t="str">
        <f t="shared" si="21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IFERROR(VLOOKUP(B297,input_442100!L:R,7,FALSE),VLOOKUP(tables_442100!C297,input_442100!A:H,8,FALSE))</f>
        <v>91024</v>
      </c>
      <c r="P297" s="46">
        <f t="shared" ca="1" si="17"/>
        <v>7.719131614660547E-3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input_442100!A$2</f>
        <v>442100</v>
      </c>
      <c r="B298" s="5">
        <v>940</v>
      </c>
      <c r="C298" s="7" t="str">
        <f t="shared" si="21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IFERROR(VLOOKUP(B298,input_442100!L:R,7,FALSE),VLOOKUP(tables_442100!C298,input_442100!A:H,8,FALSE))</f>
        <v>3273.6</v>
      </c>
      <c r="P298" s="46">
        <f t="shared" ca="1" si="17"/>
        <v>2.7761194029874282E-4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input_442100!A$2</f>
        <v>442100</v>
      </c>
      <c r="B299" s="5">
        <v>941</v>
      </c>
      <c r="C299" s="7" t="str">
        <f t="shared" si="21"/>
        <v>PremiumSS5R5onlycolor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>color</v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IFERROR(VLOOKUP(B299,input_442100!L:R,7,FALSE),VLOOKUP(tables_442100!C299,input_442100!A:H,8,FALSE))</f>
        <v>1417.2448300000001</v>
      </c>
      <c r="P299" s="46">
        <f t="shared" ca="1" si="17"/>
        <v>1.2018697676400963E-4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input_442100!A$2</f>
        <v>442100</v>
      </c>
      <c r="B300" s="5">
        <v>943</v>
      </c>
      <c r="C300" s="7" t="str">
        <f t="shared" si="21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IFERROR(VLOOKUP(B300,input_442100!L:R,7,FALSE),VLOOKUP(tables_442100!C300,input_442100!A:H,8,FALSE))</f>
        <v>4826.0407699999996</v>
      </c>
      <c r="P300" s="46">
        <f t="shared" ca="1" si="17"/>
        <v>4.0926397303291139E-4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input_442100!A$2</f>
        <v>442100</v>
      </c>
      <c r="B301" s="5">
        <v>1012</v>
      </c>
      <c r="C301" s="7" t="str">
        <f t="shared" ref="C301:C305" si="22">D301&amp;J301&amp;E301&amp;F301&amp;G301</f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IFERROR(VLOOKUP(B301,input_442100!L:R,7,FALSE),VLOOKUP(tables_442100!C301,input_442100!A:H,8,FALSE))</f>
        <v>4826.0407699999996</v>
      </c>
      <c r="P301" s="46">
        <f t="shared" ca="1" si="17"/>
        <v>4.0926397303291139E-4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input_442100!A$2</f>
        <v>442100</v>
      </c>
      <c r="B302" s="5">
        <v>1014</v>
      </c>
      <c r="C302" s="7" t="str">
        <f t="shared" si="22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IFERROR(VLOOKUP(B302,input_442100!L:R,7,FALSE),VLOOKUP(tables_442100!C302,input_442100!A:H,8,FALSE))</f>
        <v>4826.0407699999996</v>
      </c>
      <c r="P302" s="46">
        <f t="shared" ca="1" si="17"/>
        <v>4.0926397303291139E-4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input_442100!A$2</f>
        <v>442100</v>
      </c>
      <c r="B303" s="5">
        <v>1016</v>
      </c>
      <c r="C303" s="7" t="str">
        <f t="shared" si="22"/>
        <v>Premium4R3lesscolor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>color</v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IFERROR(VLOOKUP(B303,input_442100!L:R,7,FALSE),VLOOKUP(tables_442100!C303,input_442100!A:H,8,FALSE))</f>
        <v>171057.7</v>
      </c>
      <c r="P303" s="46">
        <f t="shared" ca="1" si="17"/>
        <v>1.4506250000012299E-2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input_442100!A$2</f>
        <v>442100</v>
      </c>
      <c r="B304" s="5">
        <v>1017</v>
      </c>
      <c r="C304" s="7" t="str">
        <f t="shared" si="22"/>
        <v>Premium5R3lesscolor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>color</v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IFERROR(VLOOKUP(B304,input_442100!L:R,7,FALSE),VLOOKUP(tables_442100!C304,input_442100!A:H,8,FALSE))</f>
        <v>13708.2</v>
      </c>
      <c r="P304" s="46">
        <f t="shared" ca="1" si="17"/>
        <v>1.1625000000009857E-3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input_442100!A$2</f>
        <v>442100</v>
      </c>
      <c r="B305" s="5">
        <v>1018</v>
      </c>
      <c r="C305" s="7" t="str">
        <f t="shared" si="22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IFERROR(VLOOKUP(B305,input_442100!L:R,7,FALSE),VLOOKUP(tables_442100!C305,input_442100!A:H,8,FALSE))</f>
        <v>4826.0407699999996</v>
      </c>
      <c r="P305" s="46">
        <f t="shared" ca="1" si="17"/>
        <v>4.0926397303291139E-4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input_442100!A$2</f>
        <v>442100</v>
      </c>
      <c r="B306" s="5">
        <v>1026</v>
      </c>
      <c r="C306" s="7" t="str">
        <f t="shared" ref="C306:C310" si="23">D306&amp;J306&amp;E306&amp;F306&amp;G306</f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IFERROR(VLOOKUP(B306,input_442100!L:R,7,FALSE),VLOOKUP(tables_442100!C306,input_442100!A:H,8,FALSE))</f>
        <v>91024</v>
      </c>
      <c r="P306" s="46">
        <f t="shared" ref="P306:P310" ca="1" si="24">O306/SUM(O:O)</f>
        <v>7.719131614660547E-3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input_442100!A$2</f>
        <v>442100</v>
      </c>
      <c r="B307" s="5">
        <v>1027</v>
      </c>
      <c r="C307" s="7" t="str">
        <f t="shared" si="23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IFERROR(VLOOKUP(B307,input_442100!L:R,7,FALSE),VLOOKUP(tables_442100!C307,input_442100!A:H,8,FALSE))</f>
        <v>3273.6</v>
      </c>
      <c r="P307" s="46">
        <f t="shared" ca="1" si="24"/>
        <v>2.7761194029874282E-4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input_442100!A$2</f>
        <v>442100</v>
      </c>
      <c r="B308" s="5">
        <v>1028</v>
      </c>
      <c r="C308" s="7" t="str">
        <f t="shared" si="23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IFERROR(VLOOKUP(B308,input_442100!L:R,7,FALSE),VLOOKUP(tables_442100!C308,input_442100!A:H,8,FALSE))</f>
        <v>4826.0407699999996</v>
      </c>
      <c r="P308" s="46">
        <f t="shared" ca="1" si="24"/>
        <v>4.0926397303291139E-4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input_442100!A$2</f>
        <v>442100</v>
      </c>
      <c r="B309" s="5">
        <v>1031</v>
      </c>
      <c r="C309" s="7" t="str">
        <f t="shared" si="23"/>
        <v>PremiumSS5R5onlycolor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>color</v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IFERROR(VLOOKUP(B309,input_442100!L:R,7,FALSE),VLOOKUP(tables_442100!C309,input_442100!A:H,8,FALSE))</f>
        <v>1417.2448300000001</v>
      </c>
      <c r="P309" s="46">
        <f t="shared" ca="1" si="24"/>
        <v>1.2018697676400963E-4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input_442100!A$2</f>
        <v>442100</v>
      </c>
      <c r="B310" s="5">
        <v>1033</v>
      </c>
      <c r="C310" s="7" t="str">
        <f t="shared" si="23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IFERROR(VLOOKUP(B310,input_442100!L:R,7,FALSE),VLOOKUP(tables_442100!C310,input_442100!A:H,8,FALSE))</f>
        <v>4826.0407699999996</v>
      </c>
      <c r="P310" s="46">
        <f t="shared" ca="1" si="24"/>
        <v>4.0926397303291139E-4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input_442100!A$2</f>
        <v>442100</v>
      </c>
      <c r="B311" s="5">
        <v>1067</v>
      </c>
      <c r="C311" s="7" t="str">
        <f t="shared" ref="C311:C319" si="25">D311&amp;J311&amp;E311&amp;F311&amp;G311</f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IFERROR(VLOOKUP(B311,input_442100!L:R,7,FALSE),VLOOKUP(tables_442100!C311,input_442100!A:H,8,FALSE))</f>
        <v>91024</v>
      </c>
      <c r="P311" s="46">
        <f t="shared" ref="P311:P319" ca="1" si="26">O311/SUM(O:O)</f>
        <v>7.719131614660547E-3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input_442100!A$2</f>
        <v>442100</v>
      </c>
      <c r="B312" s="5">
        <v>1068</v>
      </c>
      <c r="C312" s="7" t="str">
        <f t="shared" si="25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IFERROR(VLOOKUP(B312,input_442100!L:R,7,FALSE),VLOOKUP(tables_442100!C312,input_442100!A:H,8,FALSE))</f>
        <v>3273.6</v>
      </c>
      <c r="P312" s="46">
        <f t="shared" ca="1" si="26"/>
        <v>2.7761194029874282E-4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input_442100!A$2</f>
        <v>442100</v>
      </c>
      <c r="B313" s="5">
        <v>1069</v>
      </c>
      <c r="C313" s="7" t="str">
        <f t="shared" si="25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IFERROR(VLOOKUP(B313,input_442100!L:R,7,FALSE),VLOOKUP(tables_442100!C313,input_442100!A:H,8,FALSE))</f>
        <v>4826.0407699999996</v>
      </c>
      <c r="P313" s="46">
        <f t="shared" ca="1" si="26"/>
        <v>4.0926397303291139E-4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input_442100!A$2</f>
        <v>442100</v>
      </c>
      <c r="B314" s="5">
        <v>1072</v>
      </c>
      <c r="C314" s="7" t="str">
        <f t="shared" si="25"/>
        <v>PremiumSS5R5onlycolor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>color</v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IFERROR(VLOOKUP(B314,input_442100!L:R,7,FALSE),VLOOKUP(tables_442100!C314,input_442100!A:H,8,FALSE))</f>
        <v>1417.2448300000001</v>
      </c>
      <c r="P314" s="46">
        <f t="shared" ca="1" si="26"/>
        <v>1.2018697676400963E-4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input_442100!A$2</f>
        <v>442100</v>
      </c>
      <c r="B315" s="5">
        <v>1074</v>
      </c>
      <c r="C315" s="7" t="str">
        <f t="shared" si="25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IFERROR(VLOOKUP(B315,input_442100!L:R,7,FALSE),VLOOKUP(tables_442100!C315,input_442100!A:H,8,FALSE))</f>
        <v>4826.0407699999996</v>
      </c>
      <c r="P315" s="46">
        <f t="shared" ca="1" si="26"/>
        <v>4.0926397303291139E-4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input_442100!A$2</f>
        <v>442100</v>
      </c>
      <c r="B316" s="5">
        <v>1100</v>
      </c>
      <c r="C316" s="7" t="str">
        <f t="shared" si="25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IFERROR(VLOOKUP(B316,input_442100!L:R,7,FALSE),VLOOKUP(tables_442100!C316,input_442100!A:H,8,FALSE))</f>
        <v>4826.0407699999996</v>
      </c>
      <c r="P316" s="46">
        <f t="shared" ca="1" si="26"/>
        <v>4.0926397303291139E-4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input_442100!A$2</f>
        <v>442100</v>
      </c>
      <c r="B317" s="5">
        <v>1102</v>
      </c>
      <c r="C317" s="7" t="str">
        <f t="shared" si="25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IFERROR(VLOOKUP(B317,input_442100!L:R,7,FALSE),VLOOKUP(tables_442100!C317,input_442100!A:H,8,FALSE))</f>
        <v>4826.0407699999996</v>
      </c>
      <c r="P317" s="46">
        <f t="shared" ca="1" si="26"/>
        <v>4.0926397303291139E-4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input_442100!A$2</f>
        <v>442100</v>
      </c>
      <c r="B318" s="5">
        <v>1104</v>
      </c>
      <c r="C318" s="7" t="str">
        <f t="shared" si="25"/>
        <v>Premium4R3lesscolor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>color</v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IFERROR(VLOOKUP(B318,input_442100!L:R,7,FALSE),VLOOKUP(tables_442100!C318,input_442100!A:H,8,FALSE))</f>
        <v>171057.7</v>
      </c>
      <c r="P318" s="46">
        <f t="shared" ca="1" si="26"/>
        <v>1.4506250000012299E-2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input_442100!A$2</f>
        <v>442100</v>
      </c>
      <c r="B319" s="5">
        <v>1105</v>
      </c>
      <c r="C319" s="7" t="str">
        <f t="shared" si="25"/>
        <v>Premium5R3lesscolor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>color</v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IFERROR(VLOOKUP(B319,input_442100!L:R,7,FALSE),VLOOKUP(tables_442100!C319,input_442100!A:H,8,FALSE))</f>
        <v>13708.2</v>
      </c>
      <c r="P319" s="46">
        <f t="shared" ca="1" si="26"/>
        <v>1.1625000000009857E-3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input_442100!A$2</f>
        <v>442100</v>
      </c>
      <c r="B320" s="5">
        <v>1106</v>
      </c>
      <c r="C320" s="7" t="str">
        <f t="shared" ref="C320:C324" si="27">D320&amp;J320&amp;E320&amp;F320&amp;G320</f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IFERROR(VLOOKUP(B320,input_442100!L:R,7,FALSE),VLOOKUP(tables_442100!C320,input_442100!A:H,8,FALSE))</f>
        <v>4826.0407699999996</v>
      </c>
      <c r="P320" s="46">
        <f t="shared" ref="P320:P324" ca="1" si="28">O320/SUM(O:O)</f>
        <v>4.0926397303291139E-4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input_442100!A$2</f>
        <v>442100</v>
      </c>
      <c r="B321" s="5">
        <v>1137</v>
      </c>
      <c r="C321" s="7" t="str">
        <f t="shared" si="27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IFERROR(VLOOKUP(B321,input_442100!L:R,7,FALSE),VLOOKUP(tables_442100!C321,input_442100!A:H,8,FALSE))</f>
        <v>4826.0407699999996</v>
      </c>
      <c r="P321" s="46">
        <f t="shared" ca="1" si="28"/>
        <v>4.0926397303291139E-4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input_442100!A$2</f>
        <v>442100</v>
      </c>
      <c r="B322" s="5">
        <v>1139</v>
      </c>
      <c r="C322" s="7" t="str">
        <f t="shared" si="27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IFERROR(VLOOKUP(B322,input_442100!L:R,7,FALSE),VLOOKUP(tables_442100!C322,input_442100!A:H,8,FALSE))</f>
        <v>4826.0407699999996</v>
      </c>
      <c r="P322" s="46">
        <f t="shared" ca="1" si="28"/>
        <v>4.0926397303291139E-4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input_442100!A$2</f>
        <v>442100</v>
      </c>
      <c r="B323" s="5">
        <v>1141</v>
      </c>
      <c r="C323" s="7" t="str">
        <f t="shared" si="27"/>
        <v>PremiumSS5R5onlycolor</v>
      </c>
      <c r="D323" s="7" t="str">
        <f t="shared" ref="D323:D331" si="2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31" si="30">IF(K323="blue","color","")</f>
        <v>color</v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IFERROR(VLOOKUP(B323,input_442100!L:R,7,FALSE),VLOOKUP(tables_442100!C323,input_442100!A:H,8,FALSE))</f>
        <v>1417.2448300000001</v>
      </c>
      <c r="P323" s="46">
        <f t="shared" ca="1" si="28"/>
        <v>1.2018697676400963E-4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input_442100!A$2</f>
        <v>442100</v>
      </c>
      <c r="B324" s="2">
        <v>1143</v>
      </c>
      <c r="C324" s="7" t="str">
        <f t="shared" si="27"/>
        <v>Premium4R3less</v>
      </c>
      <c r="D324" s="7" t="str">
        <f t="shared" si="2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30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IFERROR(VLOOKUP(B324,input_442100!L:R,7,FALSE),VLOOKUP(tables_442100!C324,input_442100!A:H,8,FALSE))</f>
        <v>91024</v>
      </c>
      <c r="P324" s="46">
        <f t="shared" ca="1" si="28"/>
        <v>7.719131614660547E-3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input_442100!A$2</f>
        <v>442100</v>
      </c>
      <c r="B325" s="2">
        <v>1144</v>
      </c>
      <c r="C325" s="7" t="str">
        <f t="shared" ref="C325:C330" si="31">D325&amp;J325&amp;E325&amp;F325&amp;G325</f>
        <v>Premium5R3less</v>
      </c>
      <c r="D325" s="7" t="str">
        <f t="shared" si="2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30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IFERROR(VLOOKUP(B325,input_442100!L:R,7,FALSE),VLOOKUP(tables_442100!C325,input_442100!A:H,8,FALSE))</f>
        <v>3273.6</v>
      </c>
      <c r="P325" s="46">
        <f t="shared" ref="P325:P330" ca="1" si="32">O325/SUM(O:O)</f>
        <v>2.7761194029874282E-4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input_442100!A$2</f>
        <v>442100</v>
      </c>
      <c r="B326" s="2">
        <v>1151</v>
      </c>
      <c r="C326" s="7" t="str">
        <f t="shared" si="31"/>
        <v>Premium4R3less</v>
      </c>
      <c r="D326" s="7" t="str">
        <f t="shared" si="2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30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IFERROR(VLOOKUP(B326,input_442100!L:R,7,FALSE),VLOOKUP(tables_442100!C326,input_442100!A:H,8,FALSE))</f>
        <v>91024</v>
      </c>
      <c r="P326" s="46">
        <f t="shared" ca="1" si="32"/>
        <v>7.719131614660547E-3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input_442100!A$2</f>
        <v>442100</v>
      </c>
      <c r="B327" s="2">
        <v>1152</v>
      </c>
      <c r="C327" s="7" t="str">
        <f t="shared" si="31"/>
        <v>Premium5R3less</v>
      </c>
      <c r="D327" s="7" t="str">
        <f t="shared" si="2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30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IFERROR(VLOOKUP(B327,input_442100!L:R,7,FALSE),VLOOKUP(tables_442100!C327,input_442100!A:H,8,FALSE))</f>
        <v>3273.6</v>
      </c>
      <c r="P327" s="46">
        <f t="shared" ca="1" si="32"/>
        <v>2.7761194029874282E-4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input_442100!A$2</f>
        <v>442100</v>
      </c>
      <c r="B328" s="2">
        <v>1153</v>
      </c>
      <c r="C328" s="7" t="str">
        <f t="shared" si="31"/>
        <v>PremiumSS5R5only</v>
      </c>
      <c r="D328" s="7" t="str">
        <f t="shared" si="2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30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IFERROR(VLOOKUP(B328,input_442100!L:R,7,FALSE),VLOOKUP(tables_442100!C328,input_442100!A:H,8,FALSE))</f>
        <v>4826.0407699999996</v>
      </c>
      <c r="P328" s="46">
        <f t="shared" ca="1" si="32"/>
        <v>4.0926397303291139E-4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input_442100!A$2</f>
        <v>442100</v>
      </c>
      <c r="B329" s="2">
        <v>1155</v>
      </c>
      <c r="C329" s="7" t="str">
        <f t="shared" si="31"/>
        <v>PremiumSS5R5onlycolor</v>
      </c>
      <c r="D329" s="7" t="str">
        <f t="shared" si="2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30"/>
        <v>color</v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IFERROR(VLOOKUP(B329,input_442100!L:R,7,FALSE),VLOOKUP(tables_442100!C329,input_442100!A:H,8,FALSE))</f>
        <v>1417.2448300000001</v>
      </c>
      <c r="P329" s="46">
        <f t="shared" ca="1" si="32"/>
        <v>1.2018697676400963E-4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input_442100!A$2</f>
        <v>442100</v>
      </c>
      <c r="B330" s="2">
        <v>1157</v>
      </c>
      <c r="C330" s="7" t="str">
        <f t="shared" si="31"/>
        <v>PremiumSS5R5only</v>
      </c>
      <c r="D330" s="7" t="str">
        <f t="shared" si="2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30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IFERROR(VLOOKUP(B330,input_442100!L:R,7,FALSE),VLOOKUP(tables_442100!C330,input_442100!A:H,8,FALSE))</f>
        <v>4826.0407699999996</v>
      </c>
      <c r="P330" s="46">
        <f t="shared" ca="1" si="32"/>
        <v>4.0926397303291139E-4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input_442100!A$2</f>
        <v>442100</v>
      </c>
      <c r="B331" s="2">
        <v>1111</v>
      </c>
      <c r="C331" s="7" t="str">
        <f t="shared" ref="C331" si="33">D331&amp;J331&amp;E331&amp;F331&amp;G331</f>
        <v>PremiumSSS5R3lesscolor</v>
      </c>
      <c r="D331" s="7" t="str">
        <f t="shared" si="29"/>
        <v>PremiumSSS</v>
      </c>
      <c r="E331" s="7" t="str">
        <f>IF(COUNTIF('R6追加前'!A:A,B331)=0,IF(OR(I331="PremiumSS",I331="PremiumSSw"),"R5only","R3less"),"")</f>
        <v>R3less</v>
      </c>
      <c r="F331" s="7" t="str">
        <f>IF(COUNTIF('R6開放'!A:A,B331)&gt;0,"R6release","")</f>
        <v/>
      </c>
      <c r="G331" s="7" t="str">
        <f t="shared" si="30"/>
        <v>color</v>
      </c>
      <c r="H331" s="7" t="str">
        <f>VLOOKUP(B331,[1]characters!$A:$C,3,FALSE)</f>
        <v>ウィグナー</v>
      </c>
      <c r="I331" s="7" t="str">
        <f>VLOOKUP(B331,[1]characters!$A:$J,10,FALSE)</f>
        <v>PremiumSSS</v>
      </c>
      <c r="J331" s="7">
        <f>VLOOKUP(B331,[1]characters!$A:$I,9,FALSE)</f>
        <v>5</v>
      </c>
      <c r="K331" s="7" t="str">
        <f>VLOOKUP(B331,[1]characters!$A:$H,8,FALSE)</f>
        <v>blue</v>
      </c>
      <c r="L331" s="7" t="str">
        <f>VLOOKUP(B331,[1]characters!$A:$K,11,FALSE)</f>
        <v>attack</v>
      </c>
      <c r="M331" s="7" t="str">
        <f>VLOOKUP(B331,[1]characters!$A:$M,13,FALSE)</f>
        <v>academia</v>
      </c>
      <c r="N331" s="7" t="str">
        <f>VLOOKUP(B331,[1]characters!$A:$G,7,FALSE)</f>
        <v>不明</v>
      </c>
      <c r="O331" s="45">
        <f ca="1">IFERROR(VLOOKUP(B331,input_442100!L:R,7,FALSE),VLOOKUP(tables_442100!C331,input_442100!A:H,8,FALSE))</f>
        <v>235840</v>
      </c>
      <c r="P331" s="46">
        <f t="shared" ref="P331" ca="1" si="34">O331/SUM(O:O)</f>
        <v>2.0000000000016956E-2</v>
      </c>
      <c r="Q331" s="88">
        <v>80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</sheetData>
  <autoFilter ref="A1:V30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I15" sqref="I1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293</v>
      </c>
      <c r="B2" s="79" t="s">
        <v>294</v>
      </c>
      <c r="C2" s="80" t="s">
        <v>268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270</v>
      </c>
      <c r="P2" s="80" t="s">
        <v>271</v>
      </c>
      <c r="Q2" s="81" t="s">
        <v>272</v>
      </c>
    </row>
    <row r="3" spans="1:17" ht="21" customHeight="1" x14ac:dyDescent="0.15">
      <c r="A3" s="79" t="s">
        <v>295</v>
      </c>
      <c r="B3" s="79" t="s">
        <v>296</v>
      </c>
      <c r="C3" s="1" t="s">
        <v>248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221</v>
      </c>
      <c r="O3" s="80" t="s">
        <v>269</v>
      </c>
      <c r="P3" s="80" t="s">
        <v>271</v>
      </c>
      <c r="Q3" s="81" t="s">
        <v>273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確率の考え方</vt:lpstr>
      <vt:lpstr>Sheet1</vt:lpstr>
      <vt:lpstr>output</vt:lpstr>
      <vt:lpstr>input_442101</vt:lpstr>
      <vt:lpstr>tables_442101</vt:lpstr>
      <vt:lpstr>input_442103</vt:lpstr>
      <vt:lpstr>tables_442103</vt:lpstr>
      <vt:lpstr>tables_settle_442103</vt:lpstr>
      <vt:lpstr>input_442104</vt:lpstr>
      <vt:lpstr>tables_442104</vt:lpstr>
      <vt:lpstr>input_442105</vt:lpstr>
      <vt:lpstr>tables_442105</vt:lpstr>
      <vt:lpstr>input_442100</vt:lpstr>
      <vt:lpstr>tables_442100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2016-11-01T07:41:38Z</dcterms:modified>
</cp:coreProperties>
</file>