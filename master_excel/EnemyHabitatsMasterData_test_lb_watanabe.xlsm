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8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1-028/BULL_data/master_excel/"/>
    </mc:Choice>
  </mc:AlternateContent>
  <bookViews>
    <workbookView xWindow="3380" yWindow="460" windowWidth="33880" windowHeight="1954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6" i="11" l="1"/>
  <c r="O6" i="9"/>
  <c r="N6" i="9"/>
  <c r="M6" i="9"/>
  <c r="L6" i="9"/>
  <c r="K6" i="9"/>
  <c r="J6" i="9"/>
  <c r="I6" i="9"/>
  <c r="H6" i="9"/>
  <c r="G6" i="9"/>
  <c r="E6" i="9"/>
  <c r="D6" i="9"/>
  <c r="A6" i="9"/>
  <c r="J6" i="11"/>
  <c r="M6" i="10"/>
  <c r="T6" i="10"/>
  <c r="W6" i="10"/>
  <c r="V6" i="10"/>
  <c r="X6" i="10"/>
  <c r="U6" i="10"/>
  <c r="Y6" i="10"/>
  <c r="M23" i="10"/>
  <c r="N23" i="10"/>
  <c r="Q23" i="10"/>
  <c r="P23" i="10"/>
  <c r="R23" i="10"/>
  <c r="O23" i="10"/>
  <c r="S23" i="10"/>
  <c r="N6" i="10"/>
  <c r="Q6" i="10"/>
  <c r="P6" i="10"/>
  <c r="R6" i="10"/>
  <c r="O6" i="10"/>
  <c r="S6" i="10"/>
  <c r="G6" i="10"/>
  <c r="J6" i="10"/>
  <c r="I6" i="10"/>
  <c r="K6" i="10"/>
  <c r="H6" i="10"/>
  <c r="L6" i="10"/>
  <c r="J27" i="11"/>
  <c r="O31" i="9"/>
  <c r="N31" i="9"/>
  <c r="M31" i="9"/>
  <c r="L31" i="9"/>
  <c r="K31" i="9"/>
  <c r="J31" i="9"/>
  <c r="I31" i="9"/>
  <c r="H31" i="9"/>
  <c r="G31" i="9"/>
  <c r="E31" i="9"/>
  <c r="D31" i="9"/>
  <c r="A31" i="9"/>
  <c r="J25" i="11"/>
  <c r="O30" i="9"/>
  <c r="N30" i="9"/>
  <c r="M30" i="9"/>
  <c r="L30" i="9"/>
  <c r="K30" i="9"/>
  <c r="J30" i="9"/>
  <c r="I30" i="9"/>
  <c r="H30" i="9"/>
  <c r="G30" i="9"/>
  <c r="E30" i="9"/>
  <c r="D30" i="9"/>
  <c r="A30" i="9"/>
  <c r="J24" i="11"/>
  <c r="O29" i="9"/>
  <c r="N29" i="9"/>
  <c r="M29" i="9"/>
  <c r="L29" i="9"/>
  <c r="K29" i="9"/>
  <c r="J29" i="9"/>
  <c r="I29" i="9"/>
  <c r="H29" i="9"/>
  <c r="G29" i="9"/>
  <c r="E29" i="9"/>
  <c r="D29" i="9"/>
  <c r="A29" i="9"/>
  <c r="J23" i="11"/>
  <c r="O28" i="9"/>
  <c r="N28" i="9"/>
  <c r="M28" i="9"/>
  <c r="L28" i="9"/>
  <c r="K28" i="9"/>
  <c r="J28" i="9"/>
  <c r="I28" i="9"/>
  <c r="H28" i="9"/>
  <c r="G28" i="9"/>
  <c r="E28" i="9"/>
  <c r="D28" i="9"/>
  <c r="A28" i="9"/>
  <c r="J31" i="11"/>
  <c r="J30" i="11"/>
  <c r="J29" i="11"/>
  <c r="J28" i="11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J21" i="11"/>
  <c r="O27" i="9"/>
  <c r="N27" i="9"/>
  <c r="M27" i="9"/>
  <c r="L27" i="9"/>
  <c r="K27" i="9"/>
  <c r="J27" i="9"/>
  <c r="I27" i="9"/>
  <c r="H27" i="9"/>
  <c r="G27" i="9"/>
  <c r="E27" i="9"/>
  <c r="D27" i="9"/>
  <c r="A27" i="9"/>
  <c r="J20" i="11"/>
  <c r="O26" i="9"/>
  <c r="N26" i="9"/>
  <c r="M26" i="9"/>
  <c r="L26" i="9"/>
  <c r="K26" i="9"/>
  <c r="J26" i="9"/>
  <c r="I26" i="9"/>
  <c r="H26" i="9"/>
  <c r="G26" i="9"/>
  <c r="E26" i="9"/>
  <c r="D26" i="9"/>
  <c r="A26" i="9"/>
  <c r="J19" i="11"/>
  <c r="O25" i="9"/>
  <c r="N25" i="9"/>
  <c r="M25" i="9"/>
  <c r="L25" i="9"/>
  <c r="K25" i="9"/>
  <c r="J25" i="9"/>
  <c r="I25" i="9"/>
  <c r="H25" i="9"/>
  <c r="G25" i="9"/>
  <c r="E25" i="9"/>
  <c r="D25" i="9"/>
  <c r="A25" i="9"/>
  <c r="J18" i="11"/>
  <c r="O24" i="9"/>
  <c r="N24" i="9"/>
  <c r="M24" i="9"/>
  <c r="L24" i="9"/>
  <c r="K24" i="9"/>
  <c r="J24" i="9"/>
  <c r="I24" i="9"/>
  <c r="H24" i="9"/>
  <c r="G24" i="9"/>
  <c r="E24" i="9"/>
  <c r="D24" i="9"/>
  <c r="A24" i="9"/>
  <c r="J17" i="11"/>
  <c r="J22" i="11"/>
  <c r="O23" i="9"/>
  <c r="N23" i="9"/>
  <c r="M23" i="9"/>
  <c r="L23" i="9"/>
  <c r="K23" i="9"/>
  <c r="J23" i="9"/>
  <c r="I23" i="9"/>
  <c r="H23" i="9"/>
  <c r="G23" i="9"/>
  <c r="E23" i="9"/>
  <c r="D23" i="9"/>
  <c r="A23" i="9"/>
  <c r="M5" i="10"/>
  <c r="T5" i="10"/>
  <c r="W5" i="10"/>
  <c r="V5" i="10"/>
  <c r="X5" i="10"/>
  <c r="U5" i="10"/>
  <c r="Y5" i="10"/>
  <c r="M25" i="10"/>
  <c r="N25" i="10"/>
  <c r="Q25" i="10"/>
  <c r="P25" i="10"/>
  <c r="R25" i="10"/>
  <c r="O25" i="10"/>
  <c r="S25" i="10"/>
  <c r="N5" i="10"/>
  <c r="Q5" i="10"/>
  <c r="P5" i="10"/>
  <c r="R5" i="10"/>
  <c r="O5" i="10"/>
  <c r="S5" i="10"/>
  <c r="G5" i="10"/>
  <c r="J5" i="10"/>
  <c r="I5" i="10"/>
  <c r="K5" i="10"/>
  <c r="H5" i="10"/>
  <c r="L5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T23" i="10"/>
  <c r="W23" i="10"/>
  <c r="V23" i="10"/>
  <c r="X23" i="10"/>
  <c r="U23" i="10"/>
  <c r="Y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J11" i="11"/>
  <c r="J10" i="11"/>
  <c r="O11" i="9"/>
  <c r="N11" i="9"/>
  <c r="M11" i="9"/>
  <c r="L11" i="9"/>
  <c r="K11" i="9"/>
  <c r="J11" i="9"/>
  <c r="I11" i="9"/>
  <c r="H11" i="9"/>
  <c r="G11" i="9"/>
  <c r="E11" i="9"/>
  <c r="D11" i="9"/>
  <c r="A11" i="9"/>
  <c r="M10" i="10"/>
  <c r="T10" i="10"/>
  <c r="W10" i="10"/>
  <c r="V10" i="10"/>
  <c r="X10" i="10"/>
  <c r="U10" i="10"/>
  <c r="Y10" i="10"/>
  <c r="M30" i="10"/>
  <c r="N30" i="10"/>
  <c r="Q30" i="10"/>
  <c r="P30" i="10"/>
  <c r="R30" i="10"/>
  <c r="O30" i="10"/>
  <c r="S3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J4" i="11"/>
  <c r="O4" i="9"/>
  <c r="N4" i="9"/>
  <c r="M4" i="9"/>
  <c r="L4" i="9"/>
  <c r="K4" i="9"/>
  <c r="J4" i="9"/>
  <c r="I4" i="9"/>
  <c r="H4" i="9"/>
  <c r="G4" i="9"/>
  <c r="E4" i="9"/>
  <c r="D4" i="9"/>
  <c r="A4" i="9"/>
  <c r="M4" i="10"/>
  <c r="T4" i="10"/>
  <c r="W4" i="10"/>
  <c r="V4" i="10"/>
  <c r="X4" i="10"/>
  <c r="U4" i="10"/>
  <c r="Y4" i="10"/>
  <c r="M24" i="10"/>
  <c r="N24" i="10"/>
  <c r="Q24" i="10"/>
  <c r="P24" i="10"/>
  <c r="R24" i="10"/>
  <c r="O24" i="10"/>
  <c r="S24" i="10"/>
  <c r="N4" i="10"/>
  <c r="Q4" i="10"/>
  <c r="P4" i="10"/>
  <c r="R4" i="10"/>
  <c r="O4" i="10"/>
  <c r="S4" i="10"/>
  <c r="G4" i="10"/>
  <c r="J4" i="10"/>
  <c r="I4" i="10"/>
  <c r="K4" i="10"/>
  <c r="H4" i="10"/>
  <c r="L4" i="10"/>
  <c r="H22" i="9"/>
  <c r="D3" i="9"/>
  <c r="O22" i="9"/>
  <c r="N22" i="9"/>
  <c r="M22" i="9"/>
  <c r="L22" i="9"/>
  <c r="K22" i="9"/>
  <c r="J22" i="9"/>
  <c r="I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J16" i="11"/>
  <c r="O17" i="9"/>
  <c r="N17" i="9"/>
  <c r="M17" i="9"/>
  <c r="L17" i="9"/>
  <c r="K17" i="9"/>
  <c r="J17" i="9"/>
  <c r="I17" i="9"/>
  <c r="H17" i="9"/>
  <c r="G17" i="9"/>
  <c r="E17" i="9"/>
  <c r="D17" i="9"/>
  <c r="A17" i="9"/>
  <c r="J15" i="11"/>
  <c r="O16" i="9"/>
  <c r="N16" i="9"/>
  <c r="M16" i="9"/>
  <c r="L16" i="9"/>
  <c r="K16" i="9"/>
  <c r="J16" i="9"/>
  <c r="I16" i="9"/>
  <c r="H16" i="9"/>
  <c r="G16" i="9"/>
  <c r="E16" i="9"/>
  <c r="D16" i="9"/>
  <c r="A16" i="9"/>
  <c r="J14" i="11"/>
  <c r="O15" i="9"/>
  <c r="N15" i="9"/>
  <c r="M15" i="9"/>
  <c r="L15" i="9"/>
  <c r="K15" i="9"/>
  <c r="J15" i="9"/>
  <c r="I15" i="9"/>
  <c r="H15" i="9"/>
  <c r="G15" i="9"/>
  <c r="E15" i="9"/>
  <c r="D15" i="9"/>
  <c r="A15" i="9"/>
  <c r="J13" i="11"/>
  <c r="O14" i="9"/>
  <c r="N14" i="9"/>
  <c r="M14" i="9"/>
  <c r="L14" i="9"/>
  <c r="K14" i="9"/>
  <c r="J14" i="9"/>
  <c r="I14" i="9"/>
  <c r="H14" i="9"/>
  <c r="G14" i="9"/>
  <c r="E14" i="9"/>
  <c r="D14" i="9"/>
  <c r="A14" i="9"/>
  <c r="J12" i="11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J9" i="11"/>
  <c r="O10" i="9"/>
  <c r="N10" i="9"/>
  <c r="M10" i="9"/>
  <c r="L10" i="9"/>
  <c r="K10" i="9"/>
  <c r="J10" i="9"/>
  <c r="I10" i="9"/>
  <c r="H10" i="9"/>
  <c r="G10" i="9"/>
  <c r="E10" i="9"/>
  <c r="D10" i="9"/>
  <c r="A10" i="9"/>
  <c r="J8" i="11"/>
  <c r="O9" i="9"/>
  <c r="N9" i="9"/>
  <c r="M9" i="9"/>
  <c r="L9" i="9"/>
  <c r="K9" i="9"/>
  <c r="J9" i="9"/>
  <c r="I9" i="9"/>
  <c r="H9" i="9"/>
  <c r="G9" i="9"/>
  <c r="E9" i="9"/>
  <c r="D9" i="9"/>
  <c r="A9" i="9"/>
  <c r="J7" i="11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3" i="11"/>
  <c r="O3" i="9"/>
  <c r="N3" i="9"/>
  <c r="M3" i="9"/>
  <c r="L3" i="9"/>
  <c r="K3" i="9"/>
  <c r="J3" i="9"/>
  <c r="I3" i="9"/>
  <c r="H3" i="9"/>
  <c r="G3" i="9"/>
  <c r="E3" i="9"/>
  <c r="A3" i="9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T30" i="10"/>
  <c r="W30" i="10"/>
  <c r="V30" i="10"/>
  <c r="X30" i="10"/>
  <c r="U30" i="10"/>
  <c r="Y30" i="10"/>
  <c r="G30" i="10"/>
  <c r="J30" i="10"/>
  <c r="I30" i="10"/>
  <c r="K30" i="10"/>
  <c r="H30" i="10"/>
  <c r="L30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F9" i="1"/>
  <c r="AI9" i="1"/>
  <c r="AG9" i="1"/>
  <c r="AE9" i="1"/>
  <c r="E2" i="9"/>
  <c r="X9" i="1"/>
  <c r="V9" i="1"/>
  <c r="T9" i="1"/>
  <c r="Q9" i="1"/>
  <c r="P9" i="1"/>
  <c r="O9" i="1"/>
  <c r="N9" i="1"/>
  <c r="M9" i="1"/>
  <c r="H9" i="1"/>
  <c r="G2" i="2"/>
  <c r="A2" i="2"/>
  <c r="G3" i="2"/>
  <c r="A3" i="2"/>
  <c r="G4" i="2"/>
  <c r="A4" i="2"/>
  <c r="G5" i="2"/>
  <c r="A5" i="2"/>
  <c r="J9" i="1"/>
  <c r="I9" i="1"/>
  <c r="D9" i="1"/>
  <c r="F9" i="1"/>
  <c r="E9" i="1"/>
  <c r="A9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Y2" i="7"/>
  <c r="X2" i="1"/>
  <c r="H5" i="2"/>
  <c r="E5" i="2"/>
  <c r="D5" i="2"/>
  <c r="H3" i="1"/>
  <c r="H2" i="1"/>
  <c r="B5" i="2"/>
  <c r="H4" i="2"/>
  <c r="E4" i="2"/>
  <c r="D4" i="2"/>
  <c r="B4" i="2"/>
  <c r="H3" i="2"/>
  <c r="E3" i="2"/>
  <c r="D3" i="2"/>
  <c r="B3" i="2"/>
  <c r="A3" i="22"/>
  <c r="A2" i="22"/>
  <c r="B2" i="21"/>
  <c r="B5" i="19"/>
  <c r="A2" i="18"/>
  <c r="C2" i="18"/>
  <c r="A2" i="9"/>
  <c r="A2" i="7"/>
  <c r="A3" i="1"/>
  <c r="A2" i="1"/>
  <c r="B13" i="19"/>
  <c r="W2" i="7"/>
  <c r="U2" i="7"/>
  <c r="V3" i="1"/>
  <c r="V2" i="1"/>
  <c r="T3" i="1"/>
  <c r="T2" i="1"/>
  <c r="N3" i="22"/>
  <c r="G3" i="22"/>
  <c r="F3" i="22"/>
  <c r="D3" i="22"/>
  <c r="C3" i="22"/>
  <c r="E13" i="16"/>
  <c r="N2" i="22"/>
  <c r="G2" i="22"/>
  <c r="F2" i="22"/>
  <c r="D2" i="22"/>
  <c r="C2" i="22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I2" i="21"/>
  <c r="J2" i="21"/>
  <c r="G2" i="21"/>
  <c r="F2" i="21"/>
  <c r="D2" i="21"/>
  <c r="C2" i="21"/>
  <c r="E12" i="16"/>
  <c r="E11" i="16"/>
  <c r="B2" i="19"/>
  <c r="G2" i="19"/>
  <c r="F2" i="19"/>
  <c r="D2" i="19"/>
  <c r="C2" i="19"/>
  <c r="E10" i="16"/>
  <c r="D2" i="18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G3" i="1"/>
  <c r="AF3" i="1"/>
  <c r="AE3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I3" i="1"/>
  <c r="J3" i="1"/>
  <c r="I3" i="1"/>
  <c r="D3" i="1"/>
  <c r="F3" i="1"/>
  <c r="E3" i="1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<sst xmlns="http://schemas.openxmlformats.org/spreadsheetml/2006/main" count="1242" uniqueCount="352">
  <si>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</si>
  <si>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</si>
  <si>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</si>
  <si>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</si>
  <si>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</si>
  <si>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</si>
  <si>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</si>
  <si>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</si>
  <si>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</si>
  <si>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</si>
  <si>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</si>
  <si>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</si>
  <si>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</si>
  <si>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</si>
  <si>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</si>
  <si>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</si>
  <si>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</si>
  <si>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</si>
  <si>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</si>
  <si>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</si>
  <si>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</si>
  <si>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</si>
  <si>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</si>
  <si>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</si>
  <si>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</si>
  <si>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</si>
  <si>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</si>
  <si>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</si>
  <si>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</si>
  <si>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</si>
  <si>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</si>
  <si>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</si>
  <si>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</si>
  <si>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</si>
  <si>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</si>
  <si>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</si>
  <si>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</si>
  <si>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</si>
  <si>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</si>
  <si>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</si>
  <si>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</si>
  <si>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</si>
  <si>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</si>
  <si>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</si>
  <si>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</si>
  <si>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</si>
  <si>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</si>
  <si>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</si>
  <si>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</si>
  <si>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</si>
  <si>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</si>
  <si>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</si>
  <si>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</si>
  <si>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</si>
  <si>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</si>
  <si>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</si>
  <si>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</si>
  <si>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</si>
  <si>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</si>
  <si>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</si>
  <si>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</si>
  <si>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</si>
  <si>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</si>
  <si>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</si>
  <si>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</si>
  <si>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</si>
  <si>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</si>
  <si>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</si>
  <si>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</si>
  <si>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</si>
  <si>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</si>
  <si>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</si>
  <si>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</si>
  <si>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</si>
  <si>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</si>
  <si>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</si>
  <si>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</si>
  <si>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</si>
  <si>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</si>
  <si>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</si>
  <si>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</si>
  <si>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</si>
  <si>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</si>
  <si>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</si>
  <si>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</si>
  <si>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</si>
  <si>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</si>
  <si>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</si>
  <si>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</si>
  <si>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</si>
  <si>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</si>
  <si>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</si>
  <si>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</si>
  <si>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</si>
  <si>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</si>
  <si>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</si>
  <si>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</si>
  <si>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</si>
  <si>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</si>
  <si>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</si>
  <si>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</si>
  <si>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</si>
  <si>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</si>
  <si>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</si>
  <si>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</si>
  <si>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</si>
  <si>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</si>
  <si>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</si>
  <si>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</si>
  <si>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</si>
  <si>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</si>
  <si>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</si>
  <si>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</si>
  <si>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</si>
  <si>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</si>
  <si>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</si>
  <si>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</si>
  <si>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</si>
  <si>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</si>
  <si>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</si>
  <si>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</si>
  <si>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</si>
  <si>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</si>
  <si>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</si>
  <si>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</si>
  <si>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</si>
  <si>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</si>
  <si>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</si>
  <si>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</si>
  <si>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</si>
  <si>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</si>
  <si>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</si>
  <si>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</si>
  <si>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</si>
  <si>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</si>
  <si>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</si>
  <si>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</si>
  <si>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</si>
  <si>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</si>
  <si>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</si>
  <si>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</si>
  <si>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</si>
  <si>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</si>
  <si>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</si>
  <si>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</si>
  <si>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</si>
  <si>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</si>
  <si>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</si>
  <si>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</si>
  <si>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</si>
  <si>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</si>
  <si>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</si>
  <si>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</si>
  <si>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</si>
  <si>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</si>
  <si>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</si>
  <si>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</si>
  <si>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</si>
  <si>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</si>
  <si>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</si>
  <si>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</si>
  <si>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</si>
  <si>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</si>
  <si>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</si>
  <si>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</si>
  <si>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</si>
  <si>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</si>
  <si>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</si>
  <si>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</si>
  <si>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</si>
  <si>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</si>
  <si>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</si>
  <si>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</si>
  <si>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</si>
  <si>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</si>
  <si>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</si>
  <si>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</si>
  <si>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</si>
  <si>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</si>
  <si>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</si>
  <si>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</si>
  <si>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</si>
  <si>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</si>
  <si>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</si>
  <si>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</si>
  <si>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</si>
  <si>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</si>
  <si>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</si>
  <si>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</si>
  <si>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</si>
  <si>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</si>
  <si>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</si>
  <si>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</si>
  <si>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</si>
  <si>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</si>
  <si>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</si>
  <si>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</si>
  <si>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</si>
  <si>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</si>
  <si>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</si>
  <si>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</si>
  <si>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</si>
  <si>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</si>
  <si>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</si>
  <si>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</si>
  <si>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</si>
  <si>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</si>
  <si>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</si>
  <si>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</si>
  <si>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</si>
  <si>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</si>
  <si>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</si>
  <si>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</si>
  <si>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</si>
  <si>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</si>
  <si>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</si>
  <si>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</si>
  <si>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</si>
  <si>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</si>
  <si>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</si>
  <si>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</si>
  <si>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</si>
  <si>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</si>
  <si>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</si>
  <si>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</si>
  <si>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</si>
  <si>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</si>
  <si>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</si>
  <si>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</si>
  <si>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</si>
  <si>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</si>
  <si>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</si>
  <si>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</si>
  <si>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</si>
  <si>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</si>
  <si>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</si>
  <si>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</si>
  <si>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</si>
  <si>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</si>
  <si>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</si>
  <si>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</si>
  <si>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</si>
  <si>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</si>
  <si>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</si>
  <si>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</si>
  <si>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</si>
  <si>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</si>
  <si>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</si>
  <si>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</si>
  <si>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</si>
  <si>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</si>
  <si>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</si>
  <si>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</si>
  <si>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</si>
  <si>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</si>
  <si>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</si>
  <si>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</si>
  <si>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</si>
  <si>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</si>
  <si>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</si>
  <si>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</si>
  <si>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</si>
  <si>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</si>
  <si>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</si>
  <si>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</si>
  <si>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</si>
  <si>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</si>
  <si>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old</t>
  </si>
  <si>
    <t>青パネルをダメージパネルに4個変換</t>
    <phoneticPr fontId="5"/>
  </si>
  <si>
    <t xml:space="preserve">[effect:enemy_message, val1:2, val2:1.8, dead_type:suicide]    </t>
    <phoneticPr fontId="5"/>
  </si>
  <si>
    <t>行動を2ターンに固定</t>
    <rPh sb="0" eb="2">
      <t>コウド</t>
    </rPh>
    <phoneticPr fontId="5"/>
  </si>
  <si>
    <t>緑パネルをダメージパネルに3個変換</t>
    <phoneticPr fontId="5"/>
  </si>
  <si>
    <t>青パネルをダメージパネルに4個変換</t>
    <rPh sb="0" eb="1">
      <t>アオパn</t>
    </rPh>
    <phoneticPr fontId="5"/>
  </si>
  <si>
    <t>3回連続攻撃</t>
    <phoneticPr fontId="5"/>
  </si>
  <si>
    <t>青パネルをダメージパネルに3個変換</t>
    <phoneticPr fontId="5"/>
  </si>
  <si>
    <t>青パネルドロップ率UP+２ターンに固定</t>
    <phoneticPr fontId="5"/>
  </si>
  <si>
    <t>全体攻撃</t>
    <rPh sb="0" eb="4">
      <t>ゼンタイコウ</t>
    </rPh>
    <phoneticPr fontId="5"/>
  </si>
  <si>
    <t>[effect:enemy_message, val1:2, val2:1.8,],[effect:fix_speed, target:enemy_one, turn:3]</t>
    <phoneticPr fontId="5"/>
  </si>
  <si>
    <t xml:space="preserve">[effect:enemy_message, val1:2, val2:1.8],[effect:fix_speed, target:enemy_one, turn:1],[effect:tolerance, target:enemy_one, turn:-1, count:-1, tolerance_effect:all, animation:enemy_tolerance]    </t>
    <phoneticPr fontId="5"/>
  </si>
  <si>
    <t xml:space="preserve">[effect:enemy_message, val1:2, val2:1.8],[effect:fix_speed, target:enemy_one, turn:2],[effect:change_panel_ratio, turn:-1, block_type:blue, val:0.8, animation:block_incidence04]    </t>
    <phoneticPr fontId="5"/>
  </si>
  <si>
    <t xml:space="preserve">[effect:enemy_message, val1:2, val2:1.8],[effect:fix_speed, target:enemy_one, turn:2],[effect:force_change_block, new_block:damage, target:block_blue, ignore01:crash, ignore02:crack_bomb, ignore03:damage, count:5, val:0.06, animation:change_block]       </t>
    <phoneticPr fontId="5"/>
  </si>
  <si>
    <t xml:space="preserve">[effect:enemy_message, val1:2, val2:1.8],[effect:force_change_block, new_block:damage, target:block_blue, ignore01:crash, ignore02:crack_bomb, ignore03:damage, count:3, val:0.06, animation:change_block]   </t>
    <phoneticPr fontId="5"/>
  </si>
  <si>
    <t xml:space="preserve">[effect:enemy_message, val1:2, val2:1.8],[effect:force_change_block, new_block:damage, target:block_blue, ignore01:crash, ignore02:crack_bomb, ignore03:damage, count:4, val:0.06, animation:change_block]   </t>
    <phoneticPr fontId="5"/>
  </si>
  <si>
    <t xml:space="preserve">[effect:enemy_message, val1:2, val2:1.8],[effect:spread, val:0.35]    </t>
    <phoneticPr fontId="5"/>
  </si>
  <si>
    <t xml:space="preserve">[effect:enemy_message, val1:2, val2:1.8],[effect:force_change_block, new_block:damage, target:block_blue, ignore01:crash, ignore02:crack_bomb, ignore03:damage, count:4, val:0.06, animation:change_block]     </t>
    <phoneticPr fontId="5"/>
  </si>
  <si>
    <t xml:space="preserve">[effect:enemy_message, val1:2, val2:1.8],[effect:rush, count:3, val:0.4]    </t>
    <phoneticPr fontId="5"/>
  </si>
  <si>
    <t>全体攻撃＋緑パネルをダメージパネルに2個変換</t>
    <rPh sb="0" eb="4">
      <t>ゼンタ</t>
    </rPh>
    <phoneticPr fontId="5"/>
  </si>
  <si>
    <t xml:space="preserve">[effect:enemy_message, val1:2, val2:1.8],[effect:force_change_block, new_block:damage, target:block_blue, ignore01:crash, ignore02:crack_bomb, ignore03:damage, count:4, val:0.06, animation:change_block]      </t>
    <phoneticPr fontId="5"/>
  </si>
  <si>
    <t>ランダムで青パネルに7個変換＋単体攻撃</t>
    <rPh sb="5" eb="6">
      <t>アオパ</t>
    </rPh>
    <rPh sb="15" eb="19">
      <t>タンタ</t>
    </rPh>
    <phoneticPr fontId="5"/>
  </si>
  <si>
    <t xml:space="preserve">[effect:enemy_message, val1:2, val2:1.8],[effect:force_change_block, new_block:block_blue, target:block_all, ignore01:crash, ignore02:crack_bomb, ignore03:damage, ignore04:block_blue, count:7, val:0, animation:change_block],[effect:rush, count:1, val:0.9]    </t>
    <phoneticPr fontId="5"/>
  </si>
  <si>
    <t>青パネルをダメージパネルに2個変換＋クリティカル攻撃</t>
    <rPh sb="14" eb="17">
      <t>k</t>
    </rPh>
    <phoneticPr fontId="5"/>
  </si>
  <si>
    <t xml:space="preserve">[effect:enemy_message, val1:2, val2:1.8],[effect:sleep, target:unit_one, turn:2, rate:1, animation:sleep01]    </t>
    <phoneticPr fontId="5"/>
  </si>
  <si>
    <t>ユニット単体に2ターンスリープ</t>
    <phoneticPr fontId="5"/>
  </si>
  <si>
    <t xml:space="preserve">[effect:enemy_message, val1:2, val2:1.8],[effect:freq_turn, target:enemy_one, turn:3, val:1, animation:enemy_freq_turn]    </t>
    <phoneticPr fontId="5"/>
  </si>
  <si>
    <t xml:space="preserve">[effect:enemy_message, val1:2, val2:1.8],[effect:critical, val:1.2]    </t>
    <phoneticPr fontId="5"/>
  </si>
  <si>
    <t xml:space="preserve">[effect:enemy_message, val1:2, val2:1.8],[effect:force_change_block, new_block:damage, target:block_blue, ignore01:crash, ignore02:crack_bomb, ignore03:damage, count:2, val:0.06, animation:change_block],[effect:critical, val:1.2, animation:enemy_critical]    </t>
    <phoneticPr fontId="5"/>
  </si>
  <si>
    <t xml:space="preserve">[effect:enemy_message, val1:2, val2:1.8],[effect:kamikaze, val:1.5]    </t>
    <phoneticPr fontId="5"/>
  </si>
  <si>
    <t>青パネルをダメージパネルに2個変換＋6回連続攻撃</t>
    <rPh sb="19" eb="24">
      <t>k</t>
    </rPh>
    <phoneticPr fontId="5"/>
  </si>
  <si>
    <t xml:space="preserve">[effect:enemy_message, val1:2, val2:1.8],[effect:force_change_block, new_block:damage, target:block_green, ignore01:crash, ignore02:crack_bomb, ignore03:damage, count:3, val:0.06, animation:change_block]       </t>
    <phoneticPr fontId="5"/>
  </si>
  <si>
    <t xml:space="preserve">[effect:enemy_message, val1:2, val2:1.8],[effect:rush, count:4, val:0.35],[effect:force_change_block, new_block:damage, target:block_blue, ignore01:crash, ignore02:crack_bomb, ignore03:damage, count:3, val:0.06, animation:change_block] </t>
    <phoneticPr fontId="5"/>
  </si>
  <si>
    <t>青パネルをダメージパネルに3個変換+4回連続攻撃</t>
    <phoneticPr fontId="5"/>
  </si>
  <si>
    <t xml:space="preserve">[effect:enemy_message, val1:2, val2:1.8],[effect:spread, val:0.26],[effect:force_change_block, new_block:damage, target:block_green, ignore01:crash, ignore02:crack_bomb, ignore03:damage, count:2, val:0.06, animation:change_block]  </t>
    <phoneticPr fontId="5"/>
  </si>
  <si>
    <t>[effect:enemy_message, val1:2, val2:1.8],[effect:rush, count:6, val:0.18],[effect:force_change_block, new_block:damage, target:block_blue, ignore01:crash, ignore02:crack_bomb, ignore03:damage, count:2, val:0.06, animation:change_block]</t>
    <phoneticPr fontId="5"/>
  </si>
  <si>
    <t>青パネルをダメージパネルに2個変換＋5回連続攻撃</t>
    <rPh sb="0" eb="1">
      <t>ア</t>
    </rPh>
    <rPh sb="14" eb="15">
      <t>k</t>
    </rPh>
    <rPh sb="15" eb="17">
      <t>ヘンカn</t>
    </rPh>
    <rPh sb="19" eb="20">
      <t>k</t>
    </rPh>
    <rPh sb="20" eb="24">
      <t>レンゾk</t>
    </rPh>
    <phoneticPr fontId="5"/>
  </si>
  <si>
    <t>青パネルをダメージパネルに2個変換＋単体攻撃</t>
    <rPh sb="18" eb="22">
      <t>タンタ</t>
    </rPh>
    <phoneticPr fontId="5"/>
  </si>
  <si>
    <t xml:space="preserve">[effect:enemy_message, val1:2, val2:1.8],[effect:force_change_block, new_block:damage, target:block_blue, ignore01:crash, ignore02:crack_bomb, ignore03:damage, count:2, val:0.06, animation:change_block],[effect:rush, count:1, val:0.9]    </t>
    <phoneticPr fontId="5"/>
  </si>
  <si>
    <t xml:space="preserve">[effect:enemy_message, val1:2, val2:1.8],[effect:force_change_block, new_block:damage, target:block_blue, ignore01:crash, ignore02:crack_bomb, ignore03:damage, count:2, val:0.06, animation:change_block],[effect:rush, count:5, val:0.25] </t>
    <phoneticPr fontId="5"/>
  </si>
  <si>
    <t>3ターン後に自爆するつもりだ！</t>
    <rPh sb="6" eb="8">
      <t>ジバk</t>
    </rPh>
    <phoneticPr fontId="5"/>
  </si>
  <si>
    <t>青パネルをダメージパネルに5個変換</t>
    <phoneticPr fontId="5"/>
  </si>
  <si>
    <t>どうせ食べられるなら…</t>
    <rPh sb="3" eb="4">
      <t>タベラレ</t>
    </rPh>
    <phoneticPr fontId="5"/>
  </si>
  <si>
    <t>ハデにハジけるぜー！</t>
    <phoneticPr fontId="5"/>
  </si>
  <si>
    <t>りんごは爆発四散した！</t>
    <rPh sb="4" eb="8">
      <t>バクハt</t>
    </rPh>
    <phoneticPr fontId="5"/>
  </si>
  <si>
    <t>りんごの果汁が降り注いだ</t>
    <rPh sb="4" eb="6">
      <t>カジュウg</t>
    </rPh>
    <rPh sb="7" eb="8">
      <t>フリソソg</t>
    </rPh>
    <phoneticPr fontId="5"/>
  </si>
  <si>
    <t>ファイヤー！</t>
    <phoneticPr fontId="5"/>
  </si>
  <si>
    <t>夢路への誘い</t>
    <rPh sb="0" eb="2">
      <t>ユm</t>
    </rPh>
    <phoneticPr fontId="5"/>
  </si>
  <si>
    <t>旋律が途切れた…</t>
    <rPh sb="0" eb="2">
      <t>センリツガt</t>
    </rPh>
    <phoneticPr fontId="5"/>
  </si>
  <si>
    <t>クリティカル！</t>
    <phoneticPr fontId="5"/>
  </si>
  <si>
    <t>みずみずしさがウリなの★</t>
    <phoneticPr fontId="5"/>
  </si>
  <si>
    <t>りんごは穏やかな顔で砕け散った…</t>
    <rPh sb="4" eb="5">
      <t>オダヤk</t>
    </rPh>
    <rPh sb="10" eb="11">
      <t>クダk</t>
    </rPh>
    <phoneticPr fontId="5"/>
  </si>
  <si>
    <t>ボクの音色が聞きたいのかい？</t>
    <rPh sb="6" eb="7">
      <t>キキt</t>
    </rPh>
    <phoneticPr fontId="5"/>
  </si>
  <si>
    <t>一刀両断</t>
    <rPh sb="0" eb="4">
      <t>イットウリョウダn</t>
    </rPh>
    <phoneticPr fontId="5"/>
  </si>
  <si>
    <t>空腹の主張</t>
    <rPh sb="0" eb="2">
      <t>クウフk</t>
    </rPh>
    <rPh sb="3" eb="5">
      <t>シュチョ</t>
    </rPh>
    <phoneticPr fontId="5"/>
  </si>
  <si>
    <t>最終楽章だ…</t>
    <rPh sb="0" eb="4">
      <t>サイシュ</t>
    </rPh>
    <phoneticPr fontId="5"/>
  </si>
  <si>
    <t>激情即興曲</t>
    <rPh sb="0" eb="5">
      <t>ゲキジョ</t>
    </rPh>
    <phoneticPr fontId="5"/>
  </si>
  <si>
    <t>混沌奇想曲</t>
    <rPh sb="0" eb="2">
      <t>コントn</t>
    </rPh>
    <rPh sb="2" eb="5">
      <t>キソウキョk</t>
    </rPh>
    <phoneticPr fontId="5"/>
  </si>
  <si>
    <t>崩壊スタッカート</t>
    <rPh sb="0" eb="2">
      <t>ホウカ</t>
    </rPh>
    <phoneticPr fontId="5"/>
  </si>
  <si>
    <t>急襲フォルテッシモ</t>
    <rPh sb="0" eb="2">
      <t>キュ</t>
    </rPh>
    <phoneticPr fontId="5"/>
  </si>
  <si>
    <t>潤ってるー？</t>
    <rPh sb="0" eb="1">
      <t>ウルオッt</t>
    </rPh>
    <phoneticPr fontId="5"/>
  </si>
  <si>
    <t>終末は…すぐそこに…</t>
    <rPh sb="0" eb="2">
      <t>シュ</t>
    </rPh>
    <phoneticPr fontId="5"/>
  </si>
  <si>
    <t>状態異常耐性</t>
    <rPh sb="0" eb="6">
      <t>ジョウタ</t>
    </rPh>
    <phoneticPr fontId="5"/>
  </si>
  <si>
    <t>響き渡れ…！</t>
    <rPh sb="0" eb="1">
      <t>ヒb</t>
    </rPh>
    <phoneticPr fontId="5"/>
  </si>
  <si>
    <t>全ニャン進撃！</t>
    <rPh sb="0" eb="1">
      <t>ゼン</t>
    </rPh>
    <rPh sb="4" eb="6">
      <t>シンゲk</t>
    </rPh>
    <phoneticPr fontId="5"/>
  </si>
  <si>
    <t>これもまた人生…</t>
    <rPh sb="5" eb="7">
      <t>ジンセ</t>
    </rPh>
    <phoneticPr fontId="5"/>
  </si>
  <si>
    <t>3ターン自身の行動頻度UP</t>
    <rPh sb="7" eb="9">
      <t>コウド</t>
    </rPh>
    <phoneticPr fontId="5"/>
  </si>
  <si>
    <t>解明を急がなければ</t>
    <rPh sb="0" eb="2">
      <t>カイメ</t>
    </rPh>
    <phoneticPr fontId="5"/>
  </si>
  <si>
    <t>どちらが先に真相にたどり着けるかな</t>
    <rPh sb="4" eb="5">
      <t>サk</t>
    </rPh>
    <phoneticPr fontId="5"/>
  </si>
  <si>
    <t>[effect:enemy_message, val1:2.7, val2:0],[effect:fix_speed, target:enemy_one, turn:2]</t>
    <phoneticPr fontId="5"/>
  </si>
  <si>
    <t>今回は君たちに任せることにするよ</t>
    <rPh sb="0" eb="2">
      <t>コンカ</t>
    </rPh>
    <rPh sb="7" eb="8">
      <t>マカs</t>
    </rPh>
    <phoneticPr fontId="5"/>
  </si>
  <si>
    <t>[effect:enemy_message, val1:2.5, val2:0]</t>
    <phoneticPr fontId="5"/>
  </si>
  <si>
    <t>ちょっと遊んで行かない？</t>
    <rPh sb="4" eb="5">
      <t>アソn</t>
    </rPh>
    <phoneticPr fontId="5"/>
  </si>
  <si>
    <t>終焉演奏会へようこそ</t>
    <rPh sb="0" eb="2">
      <t>シュウエn</t>
    </rPh>
    <rPh sb="2" eb="5">
      <t>エンソ</t>
    </rPh>
    <phoneticPr fontId="5"/>
  </si>
  <si>
    <t>もっと聞かせてあげるよ</t>
    <phoneticPr fontId="5"/>
  </si>
  <si>
    <t>歪で美しい旋律だ</t>
    <rPh sb="0" eb="1">
      <t>イビツデウツクs</t>
    </rPh>
    <phoneticPr fontId="5"/>
  </si>
  <si>
    <t>綺麗な音色だろう？</t>
    <rPh sb="0" eb="2">
      <t>キレイ</t>
    </rPh>
    <phoneticPr fontId="5"/>
  </si>
  <si>
    <t>第一の手がかり</t>
    <rPh sb="0" eb="2">
      <t>ダイイt</t>
    </rPh>
    <phoneticPr fontId="5"/>
  </si>
  <si>
    <t>第二の手がかり</t>
    <rPh sb="0" eb="2">
      <t>ダイn</t>
    </rPh>
    <phoneticPr fontId="5"/>
  </si>
  <si>
    <t>もっと遊ぼー！</t>
    <rPh sb="3" eb="4">
      <t>アソb</t>
    </rPh>
    <phoneticPr fontId="5"/>
  </si>
  <si>
    <t>楽しいね！</t>
    <rPh sb="0" eb="1">
      <t>タノs</t>
    </rPh>
    <phoneticPr fontId="5"/>
  </si>
  <si>
    <t>全ニャン突撃！</t>
    <rPh sb="0" eb="1">
      <t>ゼン</t>
    </rPh>
    <rPh sb="4" eb="6">
      <t>トツゲk</t>
    </rPh>
    <phoneticPr fontId="5"/>
  </si>
  <si>
    <t>穏やかな顔で砕け散った…</t>
    <rPh sb="0" eb="1">
      <t>オダヤk</t>
    </rPh>
    <rPh sb="6" eb="7">
      <t>クダk</t>
    </rPh>
    <phoneticPr fontId="5"/>
  </si>
  <si>
    <t>粉々に砕けた！</t>
    <rPh sb="0" eb="1">
      <t>コナゴn</t>
    </rPh>
    <rPh sb="3" eb="4">
      <t>クダk</t>
    </rPh>
    <phoneticPr fontId="5"/>
  </si>
  <si>
    <t>「--深刻な損傷を確認　ギャラルホルン・機能停止--」</t>
    <rPh sb="3" eb="5">
      <t>シンコk</t>
    </rPh>
    <rPh sb="6" eb="8">
      <t>ソンショ</t>
    </rPh>
    <rPh sb="20" eb="22">
      <t>キノ</t>
    </rPh>
    <rPh sb="22" eb="24">
      <t>テイs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</si>
</sst>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70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11" fillId="0" borderId="7" xfId="0" applyFont="1" applyBorder="1" applyAlignment="1">
      <alignment vertical="center"/>
    </xf>
    <xf numFmtId="0" fontId="11" fillId="0" borderId="12" xfId="0" applyFont="1" applyBorder="1" applyAlignment="1">
      <alignment vertical="center"/>
    </xf>
  </cellXfs>
  <cellStyles count="70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赤字強調" xfId="431"/>
    <cellStyle name="青字強調" xfId="43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20022</v>
          </cell>
        </row>
        <row r="128">
          <cell r="A128">
            <v>30001</v>
          </cell>
        </row>
        <row r="129">
          <cell r="A129">
            <v>30002</v>
          </cell>
        </row>
        <row r="130">
          <cell r="A130">
            <v>30003</v>
          </cell>
        </row>
        <row r="131">
          <cell r="A131">
            <v>30004</v>
          </cell>
        </row>
        <row r="132">
          <cell r="A132">
            <v>30005</v>
          </cell>
        </row>
        <row r="133">
          <cell r="A133">
            <v>30006</v>
          </cell>
        </row>
        <row r="134">
          <cell r="A134">
            <v>30007</v>
          </cell>
        </row>
        <row r="135">
          <cell r="A135">
            <v>30008</v>
          </cell>
        </row>
        <row r="136">
          <cell r="A136">
            <v>30009</v>
          </cell>
        </row>
        <row r="137">
          <cell r="A137">
            <v>30010</v>
          </cell>
        </row>
        <row r="138">
          <cell r="A138">
            <v>30011</v>
          </cell>
        </row>
        <row r="139">
          <cell r="A139">
            <v>30012</v>
          </cell>
        </row>
        <row r="140">
          <cell r="A140">
            <v>30013</v>
          </cell>
        </row>
        <row r="141">
          <cell r="A141">
            <v>30014</v>
          </cell>
        </row>
        <row r="142">
          <cell r="A142">
            <v>30015</v>
          </cell>
        </row>
        <row r="143">
          <cell r="A143">
            <v>30016</v>
          </cell>
        </row>
        <row r="144">
          <cell r="A144">
            <v>30017</v>
          </cell>
        </row>
        <row r="145">
          <cell r="A145">
            <v>30018</v>
          </cell>
        </row>
        <row r="146">
          <cell r="A146">
            <v>30019</v>
          </cell>
        </row>
        <row r="147">
          <cell r="A147">
            <v>30020</v>
          </cell>
        </row>
        <row r="148">
          <cell r="A148">
            <v>30021</v>
          </cell>
        </row>
        <row r="149">
          <cell r="A149">
            <v>30022</v>
          </cell>
        </row>
        <row r="150">
          <cell r="A150">
            <v>30023</v>
          </cell>
        </row>
        <row r="151">
          <cell r="A151">
            <v>30024</v>
          </cell>
        </row>
        <row r="152">
          <cell r="A152">
            <v>30025</v>
          </cell>
        </row>
        <row r="153">
          <cell r="A153">
            <v>30026</v>
          </cell>
        </row>
        <row r="154">
          <cell r="A154">
            <v>30027</v>
          </cell>
        </row>
        <row r="155">
          <cell r="A155">
            <v>30028</v>
          </cell>
        </row>
        <row r="156">
          <cell r="A156">
            <v>30029</v>
          </cell>
        </row>
        <row r="157">
          <cell r="A157">
            <v>30030</v>
          </cell>
        </row>
        <row r="158">
          <cell r="A158">
            <v>30031</v>
          </cell>
        </row>
        <row r="159">
          <cell r="A159">
            <v>30032</v>
          </cell>
        </row>
        <row r="160">
          <cell r="A160">
            <v>30033</v>
          </cell>
        </row>
        <row r="161">
          <cell r="A161">
            <v>30034</v>
          </cell>
        </row>
        <row r="162">
          <cell r="A162">
            <v>30035</v>
          </cell>
        </row>
        <row r="163">
          <cell r="A163">
            <v>30036</v>
          </cell>
        </row>
        <row r="164">
          <cell r="A164">
            <v>30037</v>
          </cell>
        </row>
        <row r="165">
          <cell r="A165">
            <v>30038</v>
          </cell>
        </row>
        <row r="166">
          <cell r="A166">
            <v>30039</v>
          </cell>
        </row>
        <row r="167">
          <cell r="A167">
            <v>30040</v>
          </cell>
        </row>
        <row r="168">
          <cell r="A168">
            <v>30041</v>
          </cell>
        </row>
        <row r="169">
          <cell r="A169">
            <v>30042</v>
          </cell>
        </row>
        <row r="170">
          <cell r="A170">
            <v>30043</v>
          </cell>
        </row>
        <row r="171">
          <cell r="A171">
            <v>30044</v>
          </cell>
        </row>
        <row r="172">
          <cell r="A172">
            <v>30045</v>
          </cell>
        </row>
        <row r="173">
          <cell r="A173">
            <v>30046</v>
          </cell>
        </row>
        <row r="174">
          <cell r="A174">
            <v>30047</v>
          </cell>
        </row>
        <row r="175">
          <cell r="A175">
            <v>39001</v>
          </cell>
        </row>
        <row r="176">
          <cell r="A176">
            <v>39002</v>
          </cell>
        </row>
        <row r="177">
          <cell r="A177">
            <v>39003</v>
          </cell>
        </row>
        <row r="178">
          <cell r="A178">
            <v>39004</v>
          </cell>
        </row>
        <row r="179">
          <cell r="A179">
            <v>39005</v>
          </cell>
        </row>
        <row r="180">
          <cell r="A180">
            <v>39006</v>
          </cell>
        </row>
        <row r="181">
          <cell r="A181">
            <v>39007</v>
          </cell>
        </row>
        <row r="182">
          <cell r="A182">
            <v>39008</v>
          </cell>
        </row>
        <row r="183">
          <cell r="A183">
            <v>39009</v>
          </cell>
        </row>
        <row r="184">
          <cell r="A184">
            <v>39010</v>
          </cell>
        </row>
        <row r="185">
          <cell r="A185">
            <v>39011</v>
          </cell>
        </row>
        <row r="186">
          <cell r="A186">
            <v>40001</v>
          </cell>
        </row>
        <row r="187">
          <cell r="A187">
            <v>40002</v>
          </cell>
        </row>
        <row r="188">
          <cell r="A188">
            <v>40003</v>
          </cell>
        </row>
        <row r="189">
          <cell r="A189">
            <v>40004</v>
          </cell>
        </row>
        <row r="190">
          <cell r="A190">
            <v>40005</v>
          </cell>
        </row>
        <row r="191">
          <cell r="A191">
            <v>40006</v>
          </cell>
        </row>
        <row r="192">
          <cell r="A192">
            <v>40007</v>
          </cell>
        </row>
        <row r="193">
          <cell r="A193">
            <v>40008</v>
          </cell>
        </row>
        <row r="194">
          <cell r="A194">
            <v>40009</v>
          </cell>
        </row>
        <row r="195">
          <cell r="A195">
            <v>40010</v>
          </cell>
        </row>
        <row r="196">
          <cell r="A196">
            <v>40011</v>
          </cell>
        </row>
        <row r="197">
          <cell r="A197">
            <v>40012</v>
          </cell>
        </row>
        <row r="198">
          <cell r="A198">
            <v>40013</v>
          </cell>
        </row>
        <row r="199">
          <cell r="A199">
            <v>40014</v>
          </cell>
        </row>
        <row r="200">
          <cell r="A200">
            <v>40015</v>
          </cell>
        </row>
        <row r="201">
          <cell r="A201">
            <v>40016</v>
          </cell>
        </row>
        <row r="202">
          <cell r="A202">
            <v>40017</v>
          </cell>
        </row>
        <row r="203">
          <cell r="A203">
            <v>40018</v>
          </cell>
        </row>
        <row r="204">
          <cell r="A204">
            <v>40019</v>
          </cell>
        </row>
        <row r="205">
          <cell r="A205">
            <v>40021</v>
          </cell>
        </row>
        <row r="206">
          <cell r="A206">
            <v>40022</v>
          </cell>
        </row>
        <row r="207">
          <cell r="A207">
            <v>40023</v>
          </cell>
        </row>
        <row r="208">
          <cell r="A208">
            <v>40024</v>
          </cell>
        </row>
        <row r="209">
          <cell r="A209">
            <v>40025</v>
          </cell>
        </row>
        <row r="210">
          <cell r="A210">
            <v>40026</v>
          </cell>
        </row>
        <row r="211">
          <cell r="A211">
            <v>40027</v>
          </cell>
        </row>
        <row r="212">
          <cell r="A212">
            <v>40028</v>
          </cell>
        </row>
        <row r="213">
          <cell r="A213">
            <v>40029</v>
          </cell>
        </row>
        <row r="214">
          <cell r="A214">
            <v>40030</v>
          </cell>
        </row>
        <row r="215">
          <cell r="A215">
            <v>40031</v>
          </cell>
        </row>
        <row r="216">
          <cell r="A216">
            <v>40032</v>
          </cell>
        </row>
        <row r="217">
          <cell r="A217">
            <v>40033</v>
          </cell>
        </row>
        <row r="218">
          <cell r="A218">
            <v>40034</v>
          </cell>
        </row>
        <row r="219">
          <cell r="A219">
            <v>40035</v>
          </cell>
        </row>
        <row r="220">
          <cell r="A220">
            <v>40036</v>
          </cell>
        </row>
        <row r="221">
          <cell r="A221">
            <v>40037</v>
          </cell>
        </row>
        <row r="222">
          <cell r="A222">
            <v>40038</v>
          </cell>
        </row>
        <row r="223">
          <cell r="A223">
            <v>40039</v>
          </cell>
        </row>
        <row r="224">
          <cell r="A224">
            <v>40040</v>
          </cell>
        </row>
        <row r="225">
          <cell r="A225">
            <v>40041</v>
          </cell>
        </row>
        <row r="226">
          <cell r="A226">
            <v>40042</v>
          </cell>
        </row>
        <row r="227">
          <cell r="A227">
            <v>48001</v>
          </cell>
        </row>
        <row r="228">
          <cell r="A228">
            <v>48002</v>
          </cell>
        </row>
        <row r="229">
          <cell r="A229">
            <v>48003</v>
          </cell>
        </row>
        <row r="230">
          <cell r="A230">
            <v>48004</v>
          </cell>
        </row>
        <row r="231">
          <cell r="A231">
            <v>48005</v>
          </cell>
        </row>
        <row r="232">
          <cell r="A232">
            <v>48006</v>
          </cell>
        </row>
        <row r="233">
          <cell r="A233">
            <v>48007</v>
          </cell>
        </row>
        <row r="234">
          <cell r="A234">
            <v>48008</v>
          </cell>
        </row>
        <row r="235">
          <cell r="A235">
            <v>48009</v>
          </cell>
        </row>
        <row r="236">
          <cell r="A236">
            <v>48010</v>
          </cell>
        </row>
        <row r="237">
          <cell r="A237">
            <v>48501</v>
          </cell>
        </row>
        <row r="238">
          <cell r="A238">
            <v>41001</v>
          </cell>
        </row>
        <row r="239">
          <cell r="A239">
            <v>41002</v>
          </cell>
        </row>
        <row r="240">
          <cell r="A240">
            <v>41003</v>
          </cell>
        </row>
        <row r="241">
          <cell r="A241">
            <v>41004</v>
          </cell>
        </row>
        <row r="242">
          <cell r="A242">
            <v>41005</v>
          </cell>
        </row>
        <row r="243">
          <cell r="A243">
            <v>41006</v>
          </cell>
        </row>
        <row r="244">
          <cell r="A244">
            <v>41007</v>
          </cell>
        </row>
        <row r="245">
          <cell r="A245">
            <v>41008</v>
          </cell>
        </row>
        <row r="246">
          <cell r="A246">
            <v>41009</v>
          </cell>
        </row>
        <row r="247">
          <cell r="A247">
            <v>41010</v>
          </cell>
        </row>
        <row r="248">
          <cell r="A248">
            <v>41011</v>
          </cell>
        </row>
        <row r="249">
          <cell r="A249">
            <v>41012</v>
          </cell>
        </row>
        <row r="250">
          <cell r="A250">
            <v>41013</v>
          </cell>
        </row>
        <row r="251">
          <cell r="A251">
            <v>41014</v>
          </cell>
        </row>
        <row r="252">
          <cell r="A252">
            <v>41015</v>
          </cell>
        </row>
        <row r="253">
          <cell r="A253">
            <v>47001</v>
          </cell>
        </row>
        <row r="254">
          <cell r="A254">
            <v>47002</v>
          </cell>
        </row>
        <row r="255">
          <cell r="A255">
            <v>47003</v>
          </cell>
        </row>
        <row r="256">
          <cell r="A256">
            <v>47004</v>
          </cell>
        </row>
        <row r="257">
          <cell r="A257">
            <v>47005</v>
          </cell>
        </row>
        <row r="258">
          <cell r="A258">
            <v>47006</v>
          </cell>
        </row>
        <row r="259">
          <cell r="A259">
            <v>49001</v>
          </cell>
        </row>
        <row r="260">
          <cell r="A260">
            <v>49002</v>
          </cell>
        </row>
        <row r="261">
          <cell r="A261">
            <v>49003</v>
          </cell>
        </row>
        <row r="262">
          <cell r="A262">
            <v>49004</v>
          </cell>
        </row>
        <row r="263">
          <cell r="A263">
            <v>49005</v>
          </cell>
        </row>
        <row r="264">
          <cell r="A264">
            <v>49006</v>
          </cell>
        </row>
        <row r="265">
          <cell r="A265">
            <v>49007</v>
          </cell>
        </row>
        <row r="266">
          <cell r="A266">
            <v>49008</v>
          </cell>
        </row>
        <row r="267">
          <cell r="A267">
            <v>49009</v>
          </cell>
        </row>
        <row r="268">
          <cell r="A268">
            <v>49010</v>
          </cell>
        </row>
        <row r="269">
          <cell r="A269">
            <v>49011</v>
          </cell>
        </row>
        <row r="270">
          <cell r="A270">
            <v>49012</v>
          </cell>
        </row>
        <row r="271">
          <cell r="A271">
            <v>49013</v>
          </cell>
        </row>
        <row r="272">
          <cell r="A272">
            <v>50001</v>
          </cell>
        </row>
        <row r="273">
          <cell r="A273">
            <v>50002</v>
          </cell>
        </row>
        <row r="274">
          <cell r="A274">
            <v>50003</v>
          </cell>
        </row>
        <row r="275">
          <cell r="A275">
            <v>50004</v>
          </cell>
        </row>
        <row r="276">
          <cell r="A276">
            <v>50005</v>
          </cell>
        </row>
        <row r="277">
          <cell r="A277">
            <v>50006</v>
          </cell>
        </row>
        <row r="278">
          <cell r="A278">
            <v>50007</v>
          </cell>
        </row>
        <row r="279">
          <cell r="A279">
            <v>50008</v>
          </cell>
        </row>
        <row r="280">
          <cell r="A280">
            <v>50009</v>
          </cell>
        </row>
        <row r="281">
          <cell r="A281">
            <v>50010</v>
          </cell>
        </row>
        <row r="282">
          <cell r="A282">
            <v>50011</v>
          </cell>
        </row>
        <row r="283">
          <cell r="A283">
            <v>50012</v>
          </cell>
        </row>
        <row r="284">
          <cell r="A284">
            <v>50013</v>
          </cell>
        </row>
        <row r="285">
          <cell r="A285">
            <v>51001</v>
          </cell>
        </row>
        <row r="286">
          <cell r="A286">
            <v>51002</v>
          </cell>
        </row>
        <row r="287">
          <cell r="A287">
            <v>59001</v>
          </cell>
        </row>
        <row r="288">
          <cell r="A288">
            <v>60001</v>
          </cell>
        </row>
        <row r="289">
          <cell r="A289">
            <v>60002</v>
          </cell>
        </row>
        <row r="290">
          <cell r="A290">
            <v>60003</v>
          </cell>
        </row>
        <row r="291">
          <cell r="A291">
            <v>60004</v>
          </cell>
        </row>
        <row r="292">
          <cell r="A292">
            <v>60005</v>
          </cell>
        </row>
        <row r="293">
          <cell r="A293">
            <v>60006</v>
          </cell>
        </row>
        <row r="294">
          <cell r="A294">
            <v>60007</v>
          </cell>
        </row>
        <row r="295">
          <cell r="A295">
            <v>60010</v>
          </cell>
        </row>
        <row r="296">
          <cell r="A296">
            <v>60011</v>
          </cell>
        </row>
        <row r="297">
          <cell r="A297">
            <v>61011</v>
          </cell>
        </row>
        <row r="298">
          <cell r="A298">
            <v>60012</v>
          </cell>
        </row>
        <row r="299">
          <cell r="A299">
            <v>60013</v>
          </cell>
        </row>
        <row r="300">
          <cell r="A300">
            <v>60014</v>
          </cell>
        </row>
        <row r="301">
          <cell r="A301">
            <v>60015</v>
          </cell>
        </row>
        <row r="302">
          <cell r="A302">
            <v>60016</v>
          </cell>
        </row>
        <row r="303">
          <cell r="A303">
            <v>60017</v>
          </cell>
        </row>
        <row r="304">
          <cell r="A304">
            <v>60018</v>
          </cell>
        </row>
        <row r="305">
          <cell r="A305">
            <v>60019</v>
          </cell>
        </row>
        <row r="306">
          <cell r="A306">
            <v>60020</v>
          </cell>
        </row>
        <row r="307">
          <cell r="A307">
            <v>60025</v>
          </cell>
        </row>
        <row r="308">
          <cell r="A308">
            <v>60026</v>
          </cell>
        </row>
        <row r="309">
          <cell r="A309">
            <v>60027</v>
          </cell>
        </row>
        <row r="310">
          <cell r="A310">
            <v>65525</v>
          </cell>
        </row>
        <row r="311">
          <cell r="A311">
            <v>65526</v>
          </cell>
        </row>
        <row r="312">
          <cell r="A312">
            <v>65527</v>
          </cell>
        </row>
        <row r="313">
          <cell r="A313">
            <v>65529</v>
          </cell>
        </row>
        <row r="314">
          <cell r="A314">
            <v>65530</v>
          </cell>
        </row>
        <row r="315">
          <cell r="A315">
            <v>65531</v>
          </cell>
        </row>
        <row r="316">
          <cell r="A316">
            <v>65532</v>
          </cell>
        </row>
        <row r="317">
          <cell r="A317">
            <v>65533</v>
          </cell>
        </row>
        <row r="318">
          <cell r="A318">
            <v>65534</v>
          </cell>
        </row>
        <row r="319">
          <cell r="A319">
            <v>65535</v>
          </cell>
        </row>
        <row r="320">
          <cell r="A320">
            <v>60021</v>
          </cell>
        </row>
        <row r="321">
          <cell r="A321">
            <v>60022</v>
          </cell>
        </row>
        <row r="322">
          <cell r="A322">
            <v>60023</v>
          </cell>
        </row>
        <row r="323">
          <cell r="A32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20022_1</v>
          </cell>
        </row>
        <row r="505">
          <cell r="A505" t="str">
            <v>30001_1</v>
          </cell>
        </row>
        <row r="506">
          <cell r="A506" t="str">
            <v>30001_2</v>
          </cell>
        </row>
        <row r="507">
          <cell r="A507" t="str">
            <v>30001_3</v>
          </cell>
        </row>
        <row r="508">
          <cell r="A508" t="str">
            <v>30002_1</v>
          </cell>
        </row>
        <row r="509">
          <cell r="A509" t="str">
            <v>30002_2</v>
          </cell>
        </row>
        <row r="510">
          <cell r="A510" t="str">
            <v>30002_3</v>
          </cell>
        </row>
        <row r="511">
          <cell r="A511" t="str">
            <v>30003_1</v>
          </cell>
        </row>
        <row r="512">
          <cell r="A512" t="str">
            <v>30003_2</v>
          </cell>
        </row>
        <row r="513">
          <cell r="A513" t="str">
            <v>30003_3</v>
          </cell>
        </row>
        <row r="514">
          <cell r="A514" t="str">
            <v>30004_1</v>
          </cell>
        </row>
        <row r="515">
          <cell r="A515" t="str">
            <v>30004_2</v>
          </cell>
        </row>
        <row r="516">
          <cell r="A516" t="str">
            <v>30004_3</v>
          </cell>
        </row>
        <row r="517">
          <cell r="A517" t="str">
            <v>30005_1</v>
          </cell>
        </row>
        <row r="518">
          <cell r="A518" t="str">
            <v>30005_2</v>
          </cell>
        </row>
        <row r="519">
          <cell r="A519" t="str">
            <v>30005_3</v>
          </cell>
        </row>
        <row r="520">
          <cell r="A520" t="str">
            <v>30006_1</v>
          </cell>
        </row>
        <row r="521">
          <cell r="A521" t="str">
            <v>30006_2</v>
          </cell>
        </row>
        <row r="522">
          <cell r="A522" t="str">
            <v>30006_3</v>
          </cell>
        </row>
        <row r="523">
          <cell r="A523" t="str">
            <v>30007_1</v>
          </cell>
        </row>
        <row r="524">
          <cell r="A524" t="str">
            <v>30007_2</v>
          </cell>
        </row>
        <row r="525">
          <cell r="A525" t="str">
            <v>30007_3</v>
          </cell>
        </row>
        <row r="526">
          <cell r="A526" t="str">
            <v>30008_1</v>
          </cell>
        </row>
        <row r="527">
          <cell r="A527" t="str">
            <v>30008_2</v>
          </cell>
        </row>
        <row r="528">
          <cell r="A528" t="str">
            <v>30008_3</v>
          </cell>
        </row>
        <row r="529">
          <cell r="A529" t="str">
            <v>30009_3</v>
          </cell>
        </row>
        <row r="530">
          <cell r="A530" t="str">
            <v>30009_1</v>
          </cell>
        </row>
        <row r="531">
          <cell r="A531" t="str">
            <v>30009_2</v>
          </cell>
        </row>
        <row r="532">
          <cell r="A532" t="str">
            <v>30010_1</v>
          </cell>
        </row>
        <row r="533">
          <cell r="A533" t="str">
            <v>30010_2</v>
          </cell>
        </row>
        <row r="534">
          <cell r="A534" t="str">
            <v>30010_3</v>
          </cell>
        </row>
        <row r="535">
          <cell r="A535" t="str">
            <v>30011_1</v>
          </cell>
        </row>
        <row r="536">
          <cell r="A536" t="str">
            <v>30011_2</v>
          </cell>
        </row>
        <row r="537">
          <cell r="A537" t="str">
            <v>30011_3</v>
          </cell>
        </row>
        <row r="538">
          <cell r="A538" t="str">
            <v>30012_1</v>
          </cell>
        </row>
        <row r="539">
          <cell r="A539" t="str">
            <v>30012_2</v>
          </cell>
        </row>
        <row r="540">
          <cell r="A540" t="str">
            <v>30012_3</v>
          </cell>
        </row>
        <row r="541">
          <cell r="A541" t="str">
            <v>30013_1</v>
          </cell>
        </row>
        <row r="542">
          <cell r="A542" t="str">
            <v>30013_2</v>
          </cell>
        </row>
        <row r="543">
          <cell r="A543" t="str">
            <v>30014_1</v>
          </cell>
        </row>
        <row r="544">
          <cell r="A544" t="str">
            <v>30014_2</v>
          </cell>
        </row>
        <row r="545">
          <cell r="A545" t="str">
            <v>30015_1</v>
          </cell>
        </row>
        <row r="546">
          <cell r="A546" t="str">
            <v>30015_2</v>
          </cell>
        </row>
        <row r="547">
          <cell r="A547" t="str">
            <v>30016_1</v>
          </cell>
        </row>
        <row r="548">
          <cell r="A548" t="str">
            <v>30016_2</v>
          </cell>
        </row>
        <row r="549">
          <cell r="A549" t="str">
            <v>30017_1</v>
          </cell>
        </row>
        <row r="550">
          <cell r="A550" t="str">
            <v>30017_2</v>
          </cell>
        </row>
        <row r="551">
          <cell r="A551" t="str">
            <v>30018_1</v>
          </cell>
        </row>
        <row r="552">
          <cell r="A552" t="str">
            <v>30018_2</v>
          </cell>
        </row>
        <row r="553">
          <cell r="A553" t="str">
            <v>30019_1</v>
          </cell>
        </row>
        <row r="554">
          <cell r="A554" t="str">
            <v>30019_2</v>
          </cell>
        </row>
        <row r="555">
          <cell r="A555" t="str">
            <v>30020_1</v>
          </cell>
        </row>
        <row r="556">
          <cell r="A556" t="str">
            <v>30020_2</v>
          </cell>
        </row>
        <row r="557">
          <cell r="A557" t="str">
            <v>30021_1</v>
          </cell>
        </row>
        <row r="558">
          <cell r="A558" t="str">
            <v>30021_2</v>
          </cell>
        </row>
        <row r="559">
          <cell r="A559" t="str">
            <v>30021_3</v>
          </cell>
        </row>
        <row r="560">
          <cell r="A560" t="str">
            <v>30022_1</v>
          </cell>
        </row>
        <row r="561">
          <cell r="A561" t="str">
            <v>30022_2</v>
          </cell>
        </row>
        <row r="562">
          <cell r="A562" t="str">
            <v>30023_1</v>
          </cell>
        </row>
        <row r="563">
          <cell r="A563" t="str">
            <v>30023_2</v>
          </cell>
        </row>
        <row r="564">
          <cell r="A564" t="str">
            <v>30023_3</v>
          </cell>
        </row>
        <row r="565">
          <cell r="A565" t="str">
            <v>30024_1</v>
          </cell>
        </row>
        <row r="566">
          <cell r="A566" t="str">
            <v>30024_2</v>
          </cell>
        </row>
        <row r="567">
          <cell r="A567" t="str">
            <v>30024_3</v>
          </cell>
        </row>
        <row r="568">
          <cell r="A568" t="str">
            <v>30025_1</v>
          </cell>
        </row>
        <row r="569">
          <cell r="A569" t="str">
            <v>30025_2</v>
          </cell>
        </row>
        <row r="570">
          <cell r="A570" t="str">
            <v>30025_3</v>
          </cell>
        </row>
        <row r="571">
          <cell r="A571" t="str">
            <v>30026_1</v>
          </cell>
        </row>
        <row r="572">
          <cell r="A572" t="str">
            <v>30026_2</v>
          </cell>
        </row>
        <row r="573">
          <cell r="A573" t="str">
            <v>30026_3</v>
          </cell>
        </row>
        <row r="574">
          <cell r="A574" t="str">
            <v>30027_1</v>
          </cell>
        </row>
        <row r="575">
          <cell r="A575" t="str">
            <v>30027_2</v>
          </cell>
        </row>
        <row r="576">
          <cell r="A576" t="str">
            <v>30027_3</v>
          </cell>
        </row>
        <row r="577">
          <cell r="A577" t="str">
            <v>30028_1</v>
          </cell>
        </row>
        <row r="578">
          <cell r="A578" t="str">
            <v>30028_2</v>
          </cell>
        </row>
        <row r="579">
          <cell r="A579" t="str">
            <v>30028_3</v>
          </cell>
        </row>
        <row r="580">
          <cell r="A580" t="str">
            <v>30029_1</v>
          </cell>
        </row>
        <row r="581">
          <cell r="A581" t="str">
            <v>30029_2</v>
          </cell>
        </row>
        <row r="582">
          <cell r="A582" t="str">
            <v>30029_3</v>
          </cell>
        </row>
        <row r="583">
          <cell r="A583" t="str">
            <v>30030_1</v>
          </cell>
        </row>
        <row r="584">
          <cell r="A584" t="str">
            <v>30030_2</v>
          </cell>
        </row>
        <row r="585">
          <cell r="A585" t="str">
            <v>30030_3</v>
          </cell>
        </row>
        <row r="586">
          <cell r="A586" t="str">
            <v>30031_1</v>
          </cell>
        </row>
        <row r="587">
          <cell r="A587" t="str">
            <v>30031_2</v>
          </cell>
        </row>
        <row r="588">
          <cell r="A588" t="str">
            <v>30031_3</v>
          </cell>
        </row>
        <row r="589">
          <cell r="A589" t="str">
            <v>30032_1</v>
          </cell>
        </row>
        <row r="590">
          <cell r="A590" t="str">
            <v>30032_2</v>
          </cell>
        </row>
        <row r="591">
          <cell r="A591" t="str">
            <v>30032_3</v>
          </cell>
        </row>
        <row r="592">
          <cell r="A592" t="str">
            <v>30033_1</v>
          </cell>
        </row>
        <row r="593">
          <cell r="A593" t="str">
            <v>30033_2</v>
          </cell>
        </row>
        <row r="594">
          <cell r="A594" t="str">
            <v>30033_3</v>
          </cell>
        </row>
        <row r="595">
          <cell r="A595" t="str">
            <v>30034_1</v>
          </cell>
        </row>
        <row r="596">
          <cell r="A596" t="str">
            <v>30034_2</v>
          </cell>
        </row>
        <row r="597">
          <cell r="A597" t="str">
            <v>30034_3</v>
          </cell>
        </row>
        <row r="598">
          <cell r="A598" t="str">
            <v>30035_1</v>
          </cell>
        </row>
        <row r="599">
          <cell r="A599" t="str">
            <v>30035_2</v>
          </cell>
        </row>
        <row r="600">
          <cell r="A600" t="str">
            <v>30035_3</v>
          </cell>
        </row>
        <row r="601">
          <cell r="A601" t="str">
            <v>30036_1</v>
          </cell>
        </row>
        <row r="602">
          <cell r="A602" t="str">
            <v>30036_2</v>
          </cell>
        </row>
        <row r="603">
          <cell r="A603" t="str">
            <v>30036_3</v>
          </cell>
        </row>
        <row r="604">
          <cell r="A604" t="str">
            <v>30037_1</v>
          </cell>
        </row>
        <row r="605">
          <cell r="A605" t="str">
            <v>30037_2</v>
          </cell>
        </row>
        <row r="606">
          <cell r="A606" t="str">
            <v>30037_3</v>
          </cell>
        </row>
        <row r="607">
          <cell r="A607" t="str">
            <v>30038_1</v>
          </cell>
        </row>
        <row r="608">
          <cell r="A608" t="str">
            <v>30038_2</v>
          </cell>
        </row>
        <row r="609">
          <cell r="A609" t="str">
            <v>30038_3</v>
          </cell>
        </row>
        <row r="610">
          <cell r="A610" t="str">
            <v>30039_1</v>
          </cell>
        </row>
        <row r="611">
          <cell r="A611" t="str">
            <v>30039_2</v>
          </cell>
        </row>
        <row r="612">
          <cell r="A612" t="str">
            <v>30039_3</v>
          </cell>
        </row>
        <row r="613">
          <cell r="A613" t="str">
            <v>30040_1</v>
          </cell>
        </row>
        <row r="614">
          <cell r="A614" t="str">
            <v>30040_2</v>
          </cell>
        </row>
        <row r="615">
          <cell r="A615" t="str">
            <v>30040_3</v>
          </cell>
        </row>
        <row r="616">
          <cell r="A616" t="str">
            <v>30041_1</v>
          </cell>
        </row>
        <row r="617">
          <cell r="A617" t="str">
            <v>30041_2</v>
          </cell>
        </row>
        <row r="618">
          <cell r="A618" t="str">
            <v>30041_3</v>
          </cell>
        </row>
        <row r="619">
          <cell r="A619" t="str">
            <v>30042_1</v>
          </cell>
        </row>
        <row r="620">
          <cell r="A620" t="str">
            <v>30042_2</v>
          </cell>
        </row>
        <row r="621">
          <cell r="A621" t="str">
            <v>30042_3</v>
          </cell>
        </row>
        <row r="622">
          <cell r="A622" t="str">
            <v>30043_1</v>
          </cell>
        </row>
        <row r="623">
          <cell r="A623" t="str">
            <v>30043_2</v>
          </cell>
        </row>
        <row r="624">
          <cell r="A624" t="str">
            <v>30043_3</v>
          </cell>
        </row>
        <row r="625">
          <cell r="A625" t="str">
            <v>30044_1</v>
          </cell>
        </row>
        <row r="626">
          <cell r="A626" t="str">
            <v>30044_2</v>
          </cell>
        </row>
        <row r="627">
          <cell r="A627" t="str">
            <v>30044_3</v>
          </cell>
        </row>
        <row r="628">
          <cell r="A628" t="str">
            <v>30045_1</v>
          </cell>
        </row>
        <row r="629">
          <cell r="A629" t="str">
            <v>30045_2</v>
          </cell>
        </row>
        <row r="630">
          <cell r="A630" t="str">
            <v>30045_3</v>
          </cell>
        </row>
        <row r="631">
          <cell r="A631" t="str">
            <v>30046_1</v>
          </cell>
        </row>
        <row r="632">
          <cell r="A632" t="str">
            <v>30046_2</v>
          </cell>
        </row>
        <row r="633">
          <cell r="A633" t="str">
            <v>30046_3</v>
          </cell>
        </row>
        <row r="634">
          <cell r="A634" t="str">
            <v>30047_1</v>
          </cell>
        </row>
        <row r="635">
          <cell r="A635" t="str">
            <v>30047_2</v>
          </cell>
        </row>
        <row r="636">
          <cell r="A636" t="str">
            <v>30047_3</v>
          </cell>
        </row>
        <row r="637">
          <cell r="A637" t="str">
            <v>39001_1</v>
          </cell>
        </row>
        <row r="638">
          <cell r="A638" t="str">
            <v>39001_2</v>
          </cell>
        </row>
        <row r="639">
          <cell r="A639" t="str">
            <v>39001_3</v>
          </cell>
        </row>
        <row r="640">
          <cell r="A640" t="str">
            <v>39001_4</v>
          </cell>
        </row>
        <row r="641">
          <cell r="A641" t="str">
            <v>39001_5</v>
          </cell>
        </row>
        <row r="642">
          <cell r="A642" t="str">
            <v>39002_1</v>
          </cell>
        </row>
        <row r="643">
          <cell r="A643" t="str">
            <v>39002_2</v>
          </cell>
        </row>
        <row r="644">
          <cell r="A644" t="str">
            <v>39002_3</v>
          </cell>
        </row>
        <row r="645">
          <cell r="A645" t="str">
            <v>39002_4</v>
          </cell>
        </row>
        <row r="646">
          <cell r="A646" t="str">
            <v>39003_1</v>
          </cell>
        </row>
        <row r="647">
          <cell r="A647" t="str">
            <v>39003_2</v>
          </cell>
        </row>
        <row r="648">
          <cell r="A648" t="str">
            <v>39003_3</v>
          </cell>
        </row>
        <row r="649">
          <cell r="A649" t="str">
            <v>39003_4</v>
          </cell>
        </row>
        <row r="650">
          <cell r="A650" t="str">
            <v>39004_1</v>
          </cell>
        </row>
        <row r="651">
          <cell r="A651" t="str">
            <v>39004_2</v>
          </cell>
        </row>
        <row r="652">
          <cell r="A652" t="str">
            <v>39004_3</v>
          </cell>
        </row>
        <row r="653">
          <cell r="A653" t="str">
            <v>39004_4</v>
          </cell>
        </row>
        <row r="654">
          <cell r="A654" t="str">
            <v>39005_1</v>
          </cell>
        </row>
        <row r="655">
          <cell r="A655" t="str">
            <v>39005_2</v>
          </cell>
        </row>
        <row r="656">
          <cell r="A656" t="str">
            <v>39005_3</v>
          </cell>
        </row>
        <row r="657">
          <cell r="A657" t="str">
            <v>39005_4</v>
          </cell>
        </row>
        <row r="658">
          <cell r="A658" t="str">
            <v>39005_5</v>
          </cell>
        </row>
        <row r="659">
          <cell r="A659" t="str">
            <v>39006_1</v>
          </cell>
        </row>
        <row r="660">
          <cell r="A660" t="str">
            <v>39006_2</v>
          </cell>
        </row>
        <row r="661">
          <cell r="A661" t="str">
            <v>39006_3</v>
          </cell>
        </row>
        <row r="662">
          <cell r="A662" t="str">
            <v>39006_4</v>
          </cell>
        </row>
        <row r="663">
          <cell r="A663" t="str">
            <v>39007_1</v>
          </cell>
        </row>
        <row r="664">
          <cell r="A664" t="str">
            <v>39007_2</v>
          </cell>
        </row>
        <row r="665">
          <cell r="A665" t="str">
            <v>39007_3</v>
          </cell>
        </row>
        <row r="666">
          <cell r="A666" t="str">
            <v>39007_4</v>
          </cell>
        </row>
        <row r="667">
          <cell r="A667" t="str">
            <v>39008_1</v>
          </cell>
        </row>
        <row r="668">
          <cell r="A668" t="str">
            <v>39008_2</v>
          </cell>
        </row>
        <row r="669">
          <cell r="A669" t="str">
            <v>39008_3</v>
          </cell>
        </row>
        <row r="670">
          <cell r="A670" t="str">
            <v>39008_4</v>
          </cell>
        </row>
        <row r="671">
          <cell r="A671" t="str">
            <v>39008_5</v>
          </cell>
        </row>
        <row r="672">
          <cell r="A672" t="str">
            <v>39009_1</v>
          </cell>
        </row>
        <row r="673">
          <cell r="A673" t="str">
            <v>39009_2</v>
          </cell>
        </row>
        <row r="674">
          <cell r="A674" t="str">
            <v>39009_3</v>
          </cell>
        </row>
        <row r="675">
          <cell r="A675" t="str">
            <v>39009_4</v>
          </cell>
        </row>
        <row r="676">
          <cell r="A676" t="str">
            <v>39009_5</v>
          </cell>
        </row>
        <row r="677">
          <cell r="A677" t="str">
            <v>39010_1</v>
          </cell>
        </row>
        <row r="678">
          <cell r="A678" t="str">
            <v>39010_2</v>
          </cell>
        </row>
        <row r="679">
          <cell r="A679" t="str">
            <v>39010_3</v>
          </cell>
        </row>
        <row r="680">
          <cell r="A680" t="str">
            <v>39010_4</v>
          </cell>
        </row>
        <row r="681">
          <cell r="A681" t="str">
            <v>39011_1</v>
          </cell>
        </row>
        <row r="682">
          <cell r="A682" t="str">
            <v>39011_2</v>
          </cell>
        </row>
        <row r="683">
          <cell r="A683" t="str">
            <v>39011_3</v>
          </cell>
        </row>
        <row r="684">
          <cell r="A684" t="str">
            <v>39011_4</v>
          </cell>
        </row>
        <row r="685">
          <cell r="A685" t="str">
            <v>40001_1</v>
          </cell>
        </row>
        <row r="686">
          <cell r="A686" t="str">
            <v>40002_1</v>
          </cell>
        </row>
        <row r="687">
          <cell r="A687" t="str">
            <v>40002_2</v>
          </cell>
        </row>
        <row r="688">
          <cell r="A688" t="str">
            <v>40002_3</v>
          </cell>
        </row>
        <row r="689">
          <cell r="A689" t="str">
            <v>40003_1</v>
          </cell>
        </row>
        <row r="690">
          <cell r="A690" t="str">
            <v>40004_1</v>
          </cell>
        </row>
        <row r="691">
          <cell r="A691" t="str">
            <v>40005_1</v>
          </cell>
        </row>
        <row r="692">
          <cell r="A692" t="str">
            <v>40006_1</v>
          </cell>
        </row>
        <row r="693">
          <cell r="A693" t="str">
            <v>40007_1</v>
          </cell>
        </row>
        <row r="694">
          <cell r="A694" t="str">
            <v>40008_1</v>
          </cell>
        </row>
        <row r="695">
          <cell r="A695" t="str">
            <v>40009_1</v>
          </cell>
        </row>
        <row r="696">
          <cell r="A696" t="str">
            <v>40010_1</v>
          </cell>
        </row>
        <row r="697">
          <cell r="A697" t="str">
            <v>40011_1</v>
          </cell>
        </row>
        <row r="698">
          <cell r="A698" t="str">
            <v>40012_1</v>
          </cell>
        </row>
        <row r="699">
          <cell r="A699" t="str">
            <v>40013_1</v>
          </cell>
        </row>
        <row r="700">
          <cell r="A700" t="str">
            <v>40014_1</v>
          </cell>
        </row>
        <row r="701">
          <cell r="A701" t="str">
            <v>40015_1</v>
          </cell>
        </row>
        <row r="702">
          <cell r="A702" t="str">
            <v>40016_1</v>
          </cell>
        </row>
        <row r="703">
          <cell r="A703" t="str">
            <v>40016_2</v>
          </cell>
        </row>
        <row r="704">
          <cell r="A704" t="str">
            <v>40017_1</v>
          </cell>
        </row>
        <row r="705">
          <cell r="A705" t="str">
            <v>40017_2</v>
          </cell>
        </row>
        <row r="706">
          <cell r="A706" t="str">
            <v>40017_3</v>
          </cell>
        </row>
        <row r="707">
          <cell r="A707" t="str">
            <v>40018_1</v>
          </cell>
        </row>
        <row r="708">
          <cell r="A708" t="str">
            <v>40018_2</v>
          </cell>
        </row>
        <row r="709">
          <cell r="A709" t="str">
            <v>40018_3</v>
          </cell>
        </row>
        <row r="710">
          <cell r="A710" t="str">
            <v>40019_1</v>
          </cell>
        </row>
        <row r="711">
          <cell r="A711" t="str">
            <v>40019_2</v>
          </cell>
        </row>
        <row r="712">
          <cell r="A712" t="str">
            <v>40019_3</v>
          </cell>
        </row>
        <row r="713">
          <cell r="A713" t="str">
            <v>40021_1</v>
          </cell>
        </row>
        <row r="714">
          <cell r="A714" t="str">
            <v>40021_2</v>
          </cell>
        </row>
        <row r="715">
          <cell r="A715" t="str">
            <v>40022_1</v>
          </cell>
        </row>
        <row r="716">
          <cell r="A716" t="str">
            <v>40022_2</v>
          </cell>
        </row>
        <row r="717">
          <cell r="A717" t="str">
            <v>40023_1</v>
          </cell>
        </row>
        <row r="718">
          <cell r="A718" t="str">
            <v>40023_2</v>
          </cell>
        </row>
        <row r="719">
          <cell r="A719" t="str">
            <v>40024_1</v>
          </cell>
        </row>
        <row r="720">
          <cell r="A720" t="str">
            <v>40024_2</v>
          </cell>
        </row>
        <row r="721">
          <cell r="A721" t="str">
            <v>40025_1</v>
          </cell>
        </row>
        <row r="722">
          <cell r="A722" t="str">
            <v>40025_2</v>
          </cell>
        </row>
        <row r="723">
          <cell r="A723" t="str">
            <v>40026_1</v>
          </cell>
        </row>
        <row r="724">
          <cell r="A724" t="str">
            <v>40026_2</v>
          </cell>
        </row>
        <row r="725">
          <cell r="A725" t="str">
            <v>40027_1</v>
          </cell>
        </row>
        <row r="726">
          <cell r="A726" t="str">
            <v>40027_2</v>
          </cell>
        </row>
        <row r="727">
          <cell r="A727" t="str">
            <v>40028_1</v>
          </cell>
        </row>
        <row r="728">
          <cell r="A728" t="str">
            <v>40028_2</v>
          </cell>
        </row>
        <row r="729">
          <cell r="A729" t="str">
            <v>40029_1</v>
          </cell>
        </row>
        <row r="730">
          <cell r="A730" t="str">
            <v>40029_2</v>
          </cell>
        </row>
        <row r="731">
          <cell r="A731" t="str">
            <v>40030_1</v>
          </cell>
        </row>
        <row r="732">
          <cell r="A732" t="str">
            <v>40030_2</v>
          </cell>
        </row>
        <row r="733">
          <cell r="A733" t="str">
            <v>40031_1</v>
          </cell>
        </row>
        <row r="734">
          <cell r="A734" t="str">
            <v>40031_2</v>
          </cell>
        </row>
        <row r="735">
          <cell r="A735" t="str">
            <v>40032_1</v>
          </cell>
        </row>
        <row r="736">
          <cell r="A736" t="str">
            <v>40032_2</v>
          </cell>
        </row>
        <row r="737">
          <cell r="A737" t="str">
            <v>40033_1</v>
          </cell>
        </row>
        <row r="738">
          <cell r="A738" t="str">
            <v>40033_2</v>
          </cell>
        </row>
        <row r="739">
          <cell r="A739" t="str">
            <v>40034_1</v>
          </cell>
        </row>
        <row r="740">
          <cell r="A740" t="str">
            <v>40034_2</v>
          </cell>
        </row>
        <row r="741">
          <cell r="A741" t="str">
            <v>40035_1</v>
          </cell>
        </row>
        <row r="742">
          <cell r="A742" t="str">
            <v>40035_2</v>
          </cell>
        </row>
        <row r="743">
          <cell r="A743" t="str">
            <v>40036_1</v>
          </cell>
        </row>
        <row r="744">
          <cell r="A744" t="str">
            <v>40036_2</v>
          </cell>
        </row>
        <row r="745">
          <cell r="A745" t="str">
            <v>40037_1</v>
          </cell>
        </row>
        <row r="746">
          <cell r="A746" t="str">
            <v>40037_2</v>
          </cell>
        </row>
        <row r="747">
          <cell r="A747" t="str">
            <v>40038_1</v>
          </cell>
        </row>
        <row r="748">
          <cell r="A748" t="str">
            <v>40038_2</v>
          </cell>
        </row>
        <row r="749">
          <cell r="A749" t="str">
            <v>40039_1</v>
          </cell>
        </row>
        <row r="750">
          <cell r="A750" t="str">
            <v>40039_2</v>
          </cell>
        </row>
        <row r="751">
          <cell r="A751" t="str">
            <v>40040_1</v>
          </cell>
        </row>
        <row r="752">
          <cell r="A752" t="str">
            <v>40040_2</v>
          </cell>
        </row>
        <row r="753">
          <cell r="A753" t="str">
            <v>40041_1</v>
          </cell>
        </row>
        <row r="754">
          <cell r="A754" t="str">
            <v>40041_2</v>
          </cell>
        </row>
        <row r="755">
          <cell r="A755" t="str">
            <v>40042_1</v>
          </cell>
        </row>
        <row r="756">
          <cell r="A756" t="str">
            <v>40042_2</v>
          </cell>
        </row>
        <row r="757">
          <cell r="A757" t="str">
            <v>41001_1</v>
          </cell>
        </row>
        <row r="758">
          <cell r="A758" t="str">
            <v>41001_2</v>
          </cell>
        </row>
        <row r="759">
          <cell r="A759" t="str">
            <v>41001_3</v>
          </cell>
        </row>
        <row r="760">
          <cell r="A760" t="str">
            <v>41002_1</v>
          </cell>
        </row>
        <row r="761">
          <cell r="A761" t="str">
            <v>41002_2</v>
          </cell>
        </row>
        <row r="762">
          <cell r="A762" t="str">
            <v>41002_3</v>
          </cell>
        </row>
        <row r="763">
          <cell r="A763" t="str">
            <v>41003_1</v>
          </cell>
        </row>
        <row r="764">
          <cell r="A764" t="str">
            <v>41003_2</v>
          </cell>
        </row>
        <row r="765">
          <cell r="A765" t="str">
            <v>41003_3</v>
          </cell>
        </row>
        <row r="766">
          <cell r="A766" t="str">
            <v>41004_1</v>
          </cell>
        </row>
        <row r="767">
          <cell r="A767" t="str">
            <v>41004_2</v>
          </cell>
        </row>
        <row r="768">
          <cell r="A768" t="str">
            <v>41004_3</v>
          </cell>
        </row>
        <row r="769">
          <cell r="A769" t="str">
            <v>41005_1</v>
          </cell>
        </row>
        <row r="770">
          <cell r="A770" t="str">
            <v>41005_2</v>
          </cell>
        </row>
        <row r="771">
          <cell r="A771" t="str">
            <v>41005_3</v>
          </cell>
        </row>
        <row r="772">
          <cell r="A772" t="str">
            <v>41006_1</v>
          </cell>
        </row>
        <row r="773">
          <cell r="A773" t="str">
            <v>41006_2</v>
          </cell>
        </row>
        <row r="774">
          <cell r="A774" t="str">
            <v>41006_3</v>
          </cell>
        </row>
        <row r="775">
          <cell r="A775" t="str">
            <v>41007_1</v>
          </cell>
        </row>
        <row r="776">
          <cell r="A776" t="str">
            <v>41007_2</v>
          </cell>
        </row>
        <row r="777">
          <cell r="A777" t="str">
            <v>41007_3</v>
          </cell>
        </row>
        <row r="778">
          <cell r="A778" t="str">
            <v>41008_1</v>
          </cell>
        </row>
        <row r="779">
          <cell r="A779" t="str">
            <v>41008_2</v>
          </cell>
        </row>
        <row r="780">
          <cell r="A780" t="str">
            <v>41008_3</v>
          </cell>
        </row>
        <row r="781">
          <cell r="A781" t="str">
            <v>41009_1</v>
          </cell>
        </row>
        <row r="782">
          <cell r="A782" t="str">
            <v>41009_2</v>
          </cell>
        </row>
        <row r="783">
          <cell r="A783" t="str">
            <v>41009_3</v>
          </cell>
        </row>
        <row r="784">
          <cell r="A784" t="str">
            <v>41010_1</v>
          </cell>
        </row>
        <row r="785">
          <cell r="A785" t="str">
            <v>41010_2</v>
          </cell>
        </row>
        <row r="786">
          <cell r="A786" t="str">
            <v>41010_3</v>
          </cell>
        </row>
        <row r="787">
          <cell r="A787" t="str">
            <v>41011_1</v>
          </cell>
        </row>
        <row r="788">
          <cell r="A788" t="str">
            <v>41011_2</v>
          </cell>
        </row>
        <row r="789">
          <cell r="A789" t="str">
            <v>41012_1</v>
          </cell>
        </row>
        <row r="790">
          <cell r="A790" t="str">
            <v>41012_2</v>
          </cell>
        </row>
        <row r="791">
          <cell r="A791" t="str">
            <v>41013_1</v>
          </cell>
        </row>
        <row r="792">
          <cell r="A792" t="str">
            <v>41013_2</v>
          </cell>
        </row>
        <row r="793">
          <cell r="A793" t="str">
            <v>41014_1</v>
          </cell>
        </row>
        <row r="794">
          <cell r="A794" t="str">
            <v>41014_2</v>
          </cell>
        </row>
        <row r="795">
          <cell r="A795" t="str">
            <v>41015_1</v>
          </cell>
        </row>
        <row r="796">
          <cell r="A796" t="str">
            <v>41015_2</v>
          </cell>
        </row>
        <row r="797">
          <cell r="A797" t="str">
            <v>47001_1</v>
          </cell>
        </row>
        <row r="798">
          <cell r="A798" t="str">
            <v>47001_2</v>
          </cell>
        </row>
        <row r="799">
          <cell r="A799" t="str">
            <v>47002_1</v>
          </cell>
        </row>
        <row r="800">
          <cell r="A800" t="str">
            <v>47002_2</v>
          </cell>
        </row>
        <row r="801">
          <cell r="A801" t="str">
            <v>47003_1</v>
          </cell>
        </row>
        <row r="802">
          <cell r="A802" t="str">
            <v>47003_2</v>
          </cell>
        </row>
        <row r="803">
          <cell r="A803" t="str">
            <v>47003_3</v>
          </cell>
        </row>
        <row r="804">
          <cell r="A804" t="str">
            <v>47003_4</v>
          </cell>
        </row>
        <row r="805">
          <cell r="A805" t="str">
            <v>47004_1</v>
          </cell>
        </row>
        <row r="806">
          <cell r="A806" t="str">
            <v>47004_2</v>
          </cell>
        </row>
        <row r="807">
          <cell r="A807" t="str">
            <v>47004_3</v>
          </cell>
        </row>
        <row r="808">
          <cell r="A808" t="str">
            <v>47004_4</v>
          </cell>
        </row>
        <row r="809">
          <cell r="A809" t="str">
            <v>47005_1</v>
          </cell>
        </row>
        <row r="810">
          <cell r="A810" t="str">
            <v>47006_1</v>
          </cell>
        </row>
        <row r="811">
          <cell r="A811" t="str">
            <v>47006_2</v>
          </cell>
        </row>
        <row r="812">
          <cell r="A812" t="str">
            <v>48001_1</v>
          </cell>
        </row>
        <row r="813">
          <cell r="A813" t="str">
            <v>48002_1</v>
          </cell>
        </row>
        <row r="814">
          <cell r="A814" t="str">
            <v>48002_2</v>
          </cell>
        </row>
        <row r="815">
          <cell r="A815" t="str">
            <v>48002_3</v>
          </cell>
        </row>
        <row r="816">
          <cell r="A816" t="str">
            <v>48003_1</v>
          </cell>
        </row>
        <row r="817">
          <cell r="A817" t="str">
            <v>48003_2</v>
          </cell>
        </row>
        <row r="818">
          <cell r="A818" t="str">
            <v>48004_1</v>
          </cell>
        </row>
        <row r="819">
          <cell r="A819" t="str">
            <v>48004_2</v>
          </cell>
        </row>
        <row r="820">
          <cell r="A820" t="str">
            <v>48005_1</v>
          </cell>
        </row>
        <row r="821">
          <cell r="A821" t="str">
            <v>48005_2</v>
          </cell>
        </row>
        <row r="822">
          <cell r="A822" t="str">
            <v>48006_1</v>
          </cell>
        </row>
        <row r="823">
          <cell r="A823" t="str">
            <v>48006_2</v>
          </cell>
        </row>
        <row r="824">
          <cell r="A824" t="str">
            <v>48007_1</v>
          </cell>
        </row>
        <row r="825">
          <cell r="A825" t="str">
            <v>48007_2</v>
          </cell>
        </row>
        <row r="826">
          <cell r="A826" t="str">
            <v>48008_1</v>
          </cell>
        </row>
        <row r="827">
          <cell r="A827" t="str">
            <v>48008_2</v>
          </cell>
        </row>
        <row r="828">
          <cell r="A828" t="str">
            <v>48009_1</v>
          </cell>
        </row>
        <row r="829">
          <cell r="A829" t="str">
            <v>48009_2</v>
          </cell>
        </row>
        <row r="830">
          <cell r="A830" t="str">
            <v>48010_1</v>
          </cell>
        </row>
        <row r="831">
          <cell r="A831" t="str">
            <v>48501_1</v>
          </cell>
        </row>
        <row r="832">
          <cell r="A832" t="str">
            <v>48501_2</v>
          </cell>
        </row>
        <row r="833">
          <cell r="A833" t="str">
            <v>49001_1</v>
          </cell>
        </row>
        <row r="834">
          <cell r="A834" t="str">
            <v>49002_1</v>
          </cell>
        </row>
        <row r="835">
          <cell r="A835" t="str">
            <v>49002_2</v>
          </cell>
        </row>
        <row r="836">
          <cell r="A836" t="str">
            <v>49003_1</v>
          </cell>
        </row>
        <row r="837">
          <cell r="A837" t="str">
            <v>49003_2</v>
          </cell>
        </row>
        <row r="838">
          <cell r="A838" t="str">
            <v>49004_1</v>
          </cell>
        </row>
        <row r="839">
          <cell r="A839" t="str">
            <v>49004_2</v>
          </cell>
        </row>
        <row r="840">
          <cell r="A840" t="str">
            <v>49004_3</v>
          </cell>
        </row>
        <row r="841">
          <cell r="A841" t="str">
            <v>49005_1</v>
          </cell>
        </row>
        <row r="842">
          <cell r="A842" t="str">
            <v>49006_1</v>
          </cell>
        </row>
        <row r="843">
          <cell r="A843" t="str">
            <v>49006_2</v>
          </cell>
        </row>
        <row r="844">
          <cell r="A844" t="str">
            <v>49007_1</v>
          </cell>
        </row>
        <row r="845">
          <cell r="A845" t="str">
            <v>49007_2</v>
          </cell>
        </row>
        <row r="846">
          <cell r="A846" t="str">
            <v>49007_3</v>
          </cell>
        </row>
        <row r="847">
          <cell r="A847" t="str">
            <v>49008_1</v>
          </cell>
        </row>
        <row r="848">
          <cell r="A848" t="str">
            <v>49009_1</v>
          </cell>
        </row>
        <row r="849">
          <cell r="A849" t="str">
            <v>49010_1</v>
          </cell>
        </row>
        <row r="850">
          <cell r="A850" t="str">
            <v>49011_1</v>
          </cell>
        </row>
        <row r="851">
          <cell r="A851" t="str">
            <v>49012_1</v>
          </cell>
        </row>
        <row r="852">
          <cell r="A852" t="str">
            <v>49013_1</v>
          </cell>
        </row>
        <row r="853">
          <cell r="A853" t="str">
            <v>50001_1</v>
          </cell>
        </row>
        <row r="854">
          <cell r="A854" t="str">
            <v>50002_1</v>
          </cell>
        </row>
        <row r="855">
          <cell r="A855" t="str">
            <v>50003_1</v>
          </cell>
        </row>
        <row r="856">
          <cell r="A856" t="str">
            <v>50004_1</v>
          </cell>
        </row>
        <row r="857">
          <cell r="A857" t="str">
            <v>50005_1</v>
          </cell>
        </row>
        <row r="858">
          <cell r="A858" t="str">
            <v>50006_1</v>
          </cell>
        </row>
        <row r="859">
          <cell r="A859" t="str">
            <v>50007_1</v>
          </cell>
        </row>
        <row r="860">
          <cell r="A860" t="str">
            <v>50008_1</v>
          </cell>
        </row>
        <row r="861">
          <cell r="A861" t="str">
            <v>50009_1</v>
          </cell>
        </row>
        <row r="862">
          <cell r="A862" t="str">
            <v>50010_1</v>
          </cell>
        </row>
        <row r="863">
          <cell r="A863" t="str">
            <v>50011_1</v>
          </cell>
        </row>
        <row r="864">
          <cell r="A864" t="str">
            <v>50012_1</v>
          </cell>
        </row>
        <row r="865">
          <cell r="A865" t="str">
            <v>50013_1</v>
          </cell>
        </row>
        <row r="866">
          <cell r="A866" t="str">
            <v>51001_1</v>
          </cell>
        </row>
        <row r="867">
          <cell r="A867" t="str">
            <v>51002_1</v>
          </cell>
        </row>
        <row r="868">
          <cell r="A868" t="str">
            <v>59001_1</v>
          </cell>
        </row>
        <row r="869">
          <cell r="A869" t="str">
            <v>60001_1</v>
          </cell>
        </row>
        <row r="870">
          <cell r="A870" t="str">
            <v>60002_1</v>
          </cell>
        </row>
        <row r="871">
          <cell r="A871" t="str">
            <v>60002_2</v>
          </cell>
        </row>
        <row r="872">
          <cell r="A872" t="str">
            <v>60003_1</v>
          </cell>
        </row>
        <row r="873">
          <cell r="A873" t="str">
            <v>60003_2</v>
          </cell>
        </row>
        <row r="874">
          <cell r="A874" t="str">
            <v>60003_3</v>
          </cell>
        </row>
        <row r="875">
          <cell r="A875" t="str">
            <v>60004_1</v>
          </cell>
        </row>
        <row r="876">
          <cell r="A876" t="str">
            <v>60005_1</v>
          </cell>
        </row>
        <row r="877">
          <cell r="A877" t="str">
            <v>60006_1</v>
          </cell>
        </row>
        <row r="878">
          <cell r="A878" t="str">
            <v>60006_2</v>
          </cell>
        </row>
        <row r="879">
          <cell r="A879" t="str">
            <v>60006_3</v>
          </cell>
        </row>
        <row r="880">
          <cell r="A880" t="str">
            <v>60007_1</v>
          </cell>
        </row>
        <row r="881">
          <cell r="A881" t="str">
            <v>60007_2</v>
          </cell>
        </row>
        <row r="882">
          <cell r="A882" t="str">
            <v>60007_3</v>
          </cell>
        </row>
        <row r="883">
          <cell r="A883" t="str">
            <v>60010_1</v>
          </cell>
        </row>
        <row r="884">
          <cell r="A884" t="str">
            <v>60011_1</v>
          </cell>
        </row>
        <row r="885">
          <cell r="A885" t="str">
            <v>60011_2</v>
          </cell>
        </row>
        <row r="886">
          <cell r="A886" t="str">
            <v>60012_1</v>
          </cell>
        </row>
        <row r="887">
          <cell r="A887" t="str">
            <v>60013_1</v>
          </cell>
        </row>
        <row r="888">
          <cell r="A888" t="str">
            <v>60013_2</v>
          </cell>
        </row>
        <row r="889">
          <cell r="A889" t="str">
            <v>60013_3</v>
          </cell>
        </row>
        <row r="890">
          <cell r="A890" t="str">
            <v>60014_1</v>
          </cell>
        </row>
        <row r="891">
          <cell r="A891" t="str">
            <v>60015_1</v>
          </cell>
        </row>
        <row r="892">
          <cell r="A892" t="str">
            <v>60016_1</v>
          </cell>
        </row>
        <row r="893">
          <cell r="A893" t="str">
            <v>60017_1</v>
          </cell>
        </row>
        <row r="894">
          <cell r="A894" t="str">
            <v>60018_1</v>
          </cell>
        </row>
        <row r="895">
          <cell r="A895" t="str">
            <v>60019_1</v>
          </cell>
        </row>
        <row r="896">
          <cell r="A896" t="str">
            <v>60020_1</v>
          </cell>
        </row>
        <row r="897">
          <cell r="A897" t="str">
            <v>60021_3</v>
          </cell>
        </row>
        <row r="898">
          <cell r="A898" t="str">
            <v>60022_3</v>
          </cell>
        </row>
        <row r="899">
          <cell r="A899" t="str">
            <v>60023_3</v>
          </cell>
        </row>
        <row r="900">
          <cell r="A900" t="str">
            <v>60024_3</v>
          </cell>
        </row>
        <row r="901">
          <cell r="A901" t="str">
            <v>60025_1</v>
          </cell>
        </row>
        <row r="902">
          <cell r="A902" t="str">
            <v>60026_1</v>
          </cell>
        </row>
        <row r="903">
          <cell r="A903" t="str">
            <v>61011_1</v>
          </cell>
        </row>
        <row r="904">
          <cell r="A904" t="str">
            <v>60027_1</v>
          </cell>
        </row>
        <row r="905">
          <cell r="A905" t="str">
            <v>65525_1</v>
          </cell>
        </row>
        <row r="906">
          <cell r="A906" t="str">
            <v>65526_1</v>
          </cell>
        </row>
        <row r="907">
          <cell r="A907" t="str">
            <v>65526_2</v>
          </cell>
        </row>
        <row r="908">
          <cell r="A908" t="str">
            <v>65527_1</v>
          </cell>
        </row>
        <row r="909">
          <cell r="A909" t="str">
            <v>65529_1</v>
          </cell>
        </row>
        <row r="910">
          <cell r="A910" t="str">
            <v>65530_1</v>
          </cell>
        </row>
        <row r="911">
          <cell r="A911" t="str">
            <v>65531_1</v>
          </cell>
        </row>
        <row r="912">
          <cell r="A912" t="str">
            <v>65531_2</v>
          </cell>
        </row>
        <row r="913">
          <cell r="A913" t="str">
            <v>65532_1</v>
          </cell>
        </row>
        <row r="914">
          <cell r="A914" t="str">
            <v>65532_2</v>
          </cell>
        </row>
        <row r="915">
          <cell r="A915" t="str">
            <v>65533_1</v>
          </cell>
        </row>
        <row r="916">
          <cell r="A916" t="str">
            <v>65533_2</v>
          </cell>
        </row>
        <row r="917">
          <cell r="A917" t="str">
            <v>65534_1</v>
          </cell>
        </row>
        <row r="918">
          <cell r="A918" t="str">
            <v>65535_1</v>
          </cell>
        </row>
        <row r="919">
          <cell r="A919" t="str">
            <v>65535_2</v>
          </cell>
        </row>
        <row r="920">
          <cell r="A920" t="str">
            <v>65535_3</v>
          </cell>
        </row>
        <row r="921">
          <cell r="A921" t="str">
            <v>65535_4</v>
          </cell>
        </row>
        <row r="922">
          <cell r="A922" t="str">
            <v>65535_5</v>
          </cell>
        </row>
        <row r="923">
          <cell r="A923" t="str">
            <v>65535_6</v>
          </cell>
        </row>
        <row r="924">
          <cell r="A924" t="str">
            <v>65535_7</v>
          </cell>
        </row>
        <row r="925">
          <cell r="A925" t="str">
            <v>65535_8</v>
          </cell>
        </row>
        <row r="926">
          <cell r="A926" t="str">
            <v>65535_9</v>
          </cell>
        </row>
        <row r="927">
          <cell r="A927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8095</v>
          </cell>
        </row>
        <row r="1482">
          <cell r="A1482">
            <v>8096</v>
          </cell>
        </row>
        <row r="1483">
          <cell r="A1483">
            <v>8097</v>
          </cell>
        </row>
        <row r="1484">
          <cell r="A1484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I21" sqref="I2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267</v>
      </c>
      <c r="B2" s="57" t="s">
        <v>106</v>
      </c>
      <c r="C2" s="63">
        <v>65530</v>
      </c>
      <c r="D2" s="57" t="s">
        <v>107</v>
      </c>
      <c r="E2" s="56" t="str">
        <f>B2&amp;C2&amp;D2</f>
        <v>floors_65530.tmp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267</v>
      </c>
      <c r="B3" s="57" t="s">
        <v>109</v>
      </c>
      <c r="C3" s="63">
        <v>65530</v>
      </c>
      <c r="D3" s="57" t="s">
        <v>107</v>
      </c>
      <c r="E3" s="56" t="str">
        <f>B3&amp;C3&amp;D3</f>
        <v>enemy_habitats_65530.tmp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267</v>
      </c>
      <c r="B4" s="57" t="s">
        <v>111</v>
      </c>
      <c r="C4" s="63">
        <v>65530</v>
      </c>
      <c r="D4" s="57" t="s">
        <v>107</v>
      </c>
      <c r="E4" s="56" t="str">
        <f>B4&amp;C4&amp;D4</f>
        <v>enemy_habitat_S_65530.tmp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267</v>
      </c>
      <c r="B5" s="57" t="s">
        <v>113</v>
      </c>
      <c r="C5" s="63">
        <v>65530</v>
      </c>
      <c r="D5" s="57" t="s">
        <v>107</v>
      </c>
      <c r="E5" s="56" t="str">
        <f>B5&amp;C5&amp;D5</f>
        <v>enemy_skill_sets_65530.tmp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267</v>
      </c>
      <c r="B6" s="57" t="s">
        <v>115</v>
      </c>
      <c r="C6" s="63">
        <v>65530</v>
      </c>
      <c r="D6" s="57" t="s">
        <v>116</v>
      </c>
      <c r="E6" s="56" t="str">
        <f t="shared" ref="E6:E10" si="0">B6&amp;C6&amp;D6</f>
        <v>enemy_skills_tmp_65530.tmp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267</v>
      </c>
      <c r="B7" s="57" t="s">
        <v>117</v>
      </c>
      <c r="C7" s="63">
        <v>65530</v>
      </c>
      <c r="D7" s="57" t="s">
        <v>107</v>
      </c>
      <c r="E7" s="56" t="str">
        <f>B7&amp;C7&amp;D7</f>
        <v>enemy_skills_i18n_65530.tmp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ht="14" customHeight="1" x14ac:dyDescent="0.15">
      <c r="A8" s="61" t="s">
        <v>267</v>
      </c>
      <c r="B8" s="57" t="s">
        <v>119</v>
      </c>
      <c r="C8" s="63">
        <v>65530</v>
      </c>
      <c r="D8" s="57" t="s">
        <v>120</v>
      </c>
      <c r="E8" s="56" t="str">
        <f t="shared" si="0"/>
        <v>enemy_skill_triggers_65530.tmp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188</v>
      </c>
      <c r="B9" s="68" t="s">
        <v>178</v>
      </c>
      <c r="C9" s="63">
        <v>65530</v>
      </c>
      <c r="D9" s="68" t="s">
        <v>172</v>
      </c>
      <c r="E9" s="69" t="str">
        <f t="shared" si="0"/>
        <v>stage_bug_bonuses_65530.tmp</v>
      </c>
      <c r="F9" s="68" t="s">
        <v>173</v>
      </c>
      <c r="G9" s="65" t="s">
        <v>150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156</v>
      </c>
      <c r="M9" s="65" t="s">
        <v>157</v>
      </c>
      <c r="N9" s="65" t="s">
        <v>158</v>
      </c>
      <c r="O9" s="65" t="s">
        <v>159</v>
      </c>
      <c r="P9" s="65" t="s">
        <v>160</v>
      </c>
      <c r="Q9" s="65" t="s">
        <v>161</v>
      </c>
      <c r="R9" s="65" t="s">
        <v>162</v>
      </c>
      <c r="S9" s="65" t="s">
        <v>163</v>
      </c>
      <c r="T9" s="65" t="s">
        <v>164</v>
      </c>
      <c r="U9" s="65" t="s">
        <v>165</v>
      </c>
      <c r="V9" s="65" t="s">
        <v>166</v>
      </c>
      <c r="W9" s="65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188</v>
      </c>
      <c r="B10" s="68" t="s">
        <v>202</v>
      </c>
      <c r="C10" s="63">
        <v>65530</v>
      </c>
      <c r="D10" s="68" t="s">
        <v>181</v>
      </c>
      <c r="E10" s="69" t="str">
        <f t="shared" si="0"/>
        <v>stage_hints_data_c_65530.tmp</v>
      </c>
      <c r="F10" s="68" t="s">
        <v>211</v>
      </c>
      <c r="G10" s="73" t="s">
        <v>182</v>
      </c>
      <c r="H10" s="73" t="s">
        <v>174</v>
      </c>
      <c r="I10" s="74" t="s">
        <v>183</v>
      </c>
      <c r="J10" s="67" t="s">
        <v>184</v>
      </c>
      <c r="K10" s="67" t="s">
        <v>185</v>
      </c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</row>
    <row r="11" spans="1:30" s="75" customFormat="1" x14ac:dyDescent="0.15">
      <c r="A11" s="61" t="s">
        <v>188</v>
      </c>
      <c r="B11" s="68" t="s">
        <v>203</v>
      </c>
      <c r="C11" s="63">
        <v>65530</v>
      </c>
      <c r="D11" s="68" t="s">
        <v>172</v>
      </c>
      <c r="E11" s="69" t="str">
        <f t="shared" ref="E11:E13" si="1">B11&amp;C11&amp;D11</f>
        <v>stage_hints_data_f_65530.tmp</v>
      </c>
      <c r="F11" s="68" t="s">
        <v>213</v>
      </c>
      <c r="G11" s="73" t="s">
        <v>182</v>
      </c>
      <c r="H11" s="73" t="s">
        <v>174</v>
      </c>
      <c r="I11" s="74" t="s">
        <v>183</v>
      </c>
      <c r="J11" s="67" t="s">
        <v>184</v>
      </c>
      <c r="K11" s="67" t="s">
        <v>185</v>
      </c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</row>
    <row r="12" spans="1:30" s="75" customFormat="1" x14ac:dyDescent="0.15">
      <c r="A12" s="68" t="s">
        <v>204</v>
      </c>
      <c r="B12" s="68" t="s">
        <v>205</v>
      </c>
      <c r="C12" s="63">
        <v>65530</v>
      </c>
      <c r="D12" s="68" t="s">
        <v>172</v>
      </c>
      <c r="E12" s="69" t="str">
        <f t="shared" si="1"/>
        <v>stage_hints_i18n_65530.tmp</v>
      </c>
      <c r="F12" s="68" t="s">
        <v>214</v>
      </c>
      <c r="G12" s="74" t="s">
        <v>206</v>
      </c>
      <c r="H12" s="96" t="s">
        <v>207</v>
      </c>
      <c r="I12" s="73" t="s">
        <v>208</v>
      </c>
      <c r="J12" s="105" t="s">
        <v>209</v>
      </c>
      <c r="K12" s="67" t="s">
        <v>210</v>
      </c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</row>
    <row r="13" spans="1:30" s="75" customFormat="1" x14ac:dyDescent="0.15">
      <c r="A13" s="68" t="s">
        <v>262</v>
      </c>
      <c r="B13" s="68" t="s">
        <v>261</v>
      </c>
      <c r="C13" s="63">
        <v>65530</v>
      </c>
      <c r="D13" s="68" t="s">
        <v>242</v>
      </c>
      <c r="E13" s="69" t="str">
        <f t="shared" si="1"/>
        <v>stage_bonuses_65530.tmp</v>
      </c>
      <c r="F13" s="68" t="s">
        <v>241</v>
      </c>
      <c r="G13" s="73" t="s">
        <v>243</v>
      </c>
      <c r="H13" s="73" t="s">
        <v>244</v>
      </c>
      <c r="I13" s="73" t="s">
        <v>245</v>
      </c>
      <c r="J13" s="73" t="s">
        <v>246</v>
      </c>
      <c r="K13" s="73" t="s">
        <v>247</v>
      </c>
      <c r="L13" s="73" t="s">
        <v>248</v>
      </c>
      <c r="M13" s="73" t="s">
        <v>249</v>
      </c>
      <c r="N13" s="73" t="s">
        <v>250</v>
      </c>
      <c r="O13" s="73" t="s">
        <v>251</v>
      </c>
      <c r="P13" s="73" t="s">
        <v>252</v>
      </c>
      <c r="Q13" s="73" t="s">
        <v>253</v>
      </c>
      <c r="R13" s="73" t="s">
        <v>254</v>
      </c>
      <c r="S13" s="73" t="s">
        <v>255</v>
      </c>
      <c r="T13" s="73" t="s">
        <v>256</v>
      </c>
      <c r="U13" s="73" t="s">
        <v>257</v>
      </c>
      <c r="V13" s="73" t="s">
        <v>258</v>
      </c>
      <c r="W13" s="73" t="s">
        <v>259</v>
      </c>
      <c r="X13" s="73" t="s">
        <v>260</v>
      </c>
      <c r="Y13" s="104"/>
      <c r="Z13" s="104"/>
      <c r="AA13" s="104"/>
      <c r="AB13" s="104"/>
      <c r="AC13" s="104"/>
      <c r="AD13" s="104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O14" sqref="O1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65530_1-1</v>
      </c>
      <c r="B2" s="16" t="str">
        <f>IF(COUNTIF(enemy_habitats!$H:$H,A2),"OK","NG")</f>
        <v>OK</v>
      </c>
      <c r="C2" s="7">
        <v>65530</v>
      </c>
      <c r="D2" s="11" t="str">
        <f ca="1">VLOOKUP($C2,OFFSET([2]quests!$A$1,0,0,COUNTA([2]quests!$A:$A),MATCH(D$1,[2]quests!$1:$1,0)-MATCH($C$1,[2]quests!$1:$1,0)+1),MATCH(D$1,[2]quests!$1:$1,0)-MATCH($C$1,[2]quests!$1:$1,0)+1,FALSE)</f>
        <v>【LB渡邉】検証クエスト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検証</v>
      </c>
      <c r="F2" s="21">
        <v>1</v>
      </c>
      <c r="G2" s="23" t="str">
        <f>C2&amp;"_"&amp;F2</f>
        <v>65530_1</v>
      </c>
      <c r="H2" s="15" t="str">
        <f ca="1">VLOOKUP($G2,OFFSET([2]stages!$A$1,0,0,COUNTA([2]stages!$A:$A),MATCH(H$1,[2]stages!$2:$2,0)-MATCH($G$1,[2]stages!$2:$2,0)+1),MATCH(H$1,[2]stages!$2:$2,0)-MATCH($G$1,[2]stages!$2:$2,0)+1,FALSE)</f>
        <v>【LB渡邉】検証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65530_1-2</v>
      </c>
      <c r="B3" s="16" t="str">
        <f>IF(COUNTIF(enemy_habitats!$H:$H,A3),"OK","NG")</f>
        <v>OK</v>
      </c>
      <c r="C3" s="7">
        <v>65530</v>
      </c>
      <c r="D3" s="11" t="str">
        <f ca="1">VLOOKUP($C3,OFFSET([2]quests!$A$1,0,0,COUNTA([2]quests!$A:$A),MATCH(D$1,[2]quests!$1:$1,0)-MATCH($C$1,[2]quests!$1:$1,0)+1),MATCH(D$1,[2]quests!$1:$1,0)-MATCH($C$1,[2]quests!$1:$1,0)+1,FALSE)</f>
        <v>【LB渡邉】検証クエスト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検証</v>
      </c>
      <c r="F3" s="21">
        <v>1</v>
      </c>
      <c r="G3" s="23" t="str">
        <f>C3&amp;"_"&amp;F3</f>
        <v>65530_1</v>
      </c>
      <c r="H3" s="15" t="str">
        <f ca="1">VLOOKUP($G3,OFFSET([2]stages!$A$1,0,0,COUNTA([2]stages!$A:$A),MATCH(H$1,[2]stages!$2:$2,0)-MATCH($G$1,[2]stages!$2:$2,0)+1),MATCH(H$1,[2]stages!$2:$2,0)-MATCH($G$1,[2]stages!$2:$2,0)+1,FALSE)</f>
        <v>【LB渡邉】検証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65530_1-3</v>
      </c>
      <c r="B4" s="16" t="str">
        <f>IF(COUNTIF(enemy_habitats!$H:$H,A4),"OK","NG")</f>
        <v>OK</v>
      </c>
      <c r="C4" s="7">
        <v>65530</v>
      </c>
      <c r="D4" s="11" t="str">
        <f ca="1">VLOOKUP($C4,OFFSET([2]quests!$A$1,0,0,COUNTA([2]quests!$A:$A),MATCH(D$1,[2]quests!$1:$1,0)-MATCH($C$1,[2]quests!$1:$1,0)+1),MATCH(D$1,[2]quests!$1:$1,0)-MATCH($C$1,[2]quests!$1:$1,0)+1,FALSE)</f>
        <v>【LB渡邉】検証クエスト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検証</v>
      </c>
      <c r="F4" s="21">
        <v>1</v>
      </c>
      <c r="G4" s="23" t="str">
        <f>C4&amp;"_"&amp;F4</f>
        <v>65530_1</v>
      </c>
      <c r="H4" s="15" t="str">
        <f ca="1">VLOOKUP($G4,OFFSET([2]stages!$A$1,0,0,COUNTA([2]stages!$A:$A),MATCH(H$1,[2]stages!$2:$2,0)-MATCH($G$1,[2]stages!$2:$2,0)+1),MATCH(H$1,[2]stages!$2:$2,0)-MATCH($G$1,[2]stages!$2:$2,0)+1,FALSE)</f>
        <v>【LB渡邉】検証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65530_1-4</v>
      </c>
      <c r="B5" s="16" t="str">
        <f>IF(COUNTIF(enemy_habitats!$H:$H,A5),"OK","NG")</f>
        <v>OK</v>
      </c>
      <c r="C5" s="7">
        <v>65530</v>
      </c>
      <c r="D5" s="11" t="str">
        <f ca="1">VLOOKUP($C5,OFFSET([2]quests!$A$1,0,0,COUNTA([2]quests!$A:$A),MATCH(D$1,[2]quests!$1:$1,0)-MATCH($C$1,[2]quests!$1:$1,0)+1),MATCH(D$1,[2]quests!$1:$1,0)-MATCH($C$1,[2]quests!$1:$1,0)+1,FALSE)</f>
        <v>【LB渡邉】検証クエスト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検証</v>
      </c>
      <c r="F5" s="21">
        <v>1</v>
      </c>
      <c r="G5" s="23" t="str">
        <f>C5&amp;"_"&amp;F5</f>
        <v>65530_1</v>
      </c>
      <c r="H5" s="15" t="str">
        <f ca="1">VLOOKUP($G5,OFFSET([2]stages!$A$1,0,0,COUNTA([2]stages!$A:$A),MATCH(H$1,[2]stages!$2:$2,0)-MATCH($G$1,[2]stages!$2:$2,0)+1),MATCH(H$1,[2]stages!$2:$2,0)-MATCH($G$1,[2]stages!$2:$2,0)+1,FALSE)</f>
        <v>【LB渡邉】検証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9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Y14" sqref="Y1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21.3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customWidth="1"/>
    <col min="19" max="19" width="14.83203125" style="3" customWidth="1"/>
    <col min="20" max="20" width="14.83203125" style="108" customWidth="1"/>
    <col min="21" max="22" width="17.5" style="3" customWidth="1"/>
    <col min="23" max="23" width="18.33203125" style="3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21.5" style="13" customWidth="1" outlineLevel="1"/>
    <col min="32" max="32" width="8" style="14" customWidth="1" outlineLevel="1"/>
    <col min="33" max="33" width="12" style="14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6" t="s">
        <v>263</v>
      </c>
      <c r="U1" s="26" t="s">
        <v>50</v>
      </c>
      <c r="V1" s="106" t="s">
        <v>264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9" si="0">B2&amp;"_"&amp;C2&amp;"-"&amp;G2&amp;"/"&amp;L2&amp;"&lt;lv"&amp;R2&amp;"&gt;s"&amp;AC2</f>
        <v>65530_1-1/579&lt;lv60&gt;s2</v>
      </c>
      <c r="B2" s="22">
        <v>65530</v>
      </c>
      <c r="C2" s="21">
        <v>1</v>
      </c>
      <c r="D2" s="2" t="str">
        <f t="shared" ref="D2:D9" si="1">B2&amp;"_"&amp;C2</f>
        <v>65530_1</v>
      </c>
      <c r="E2" s="4" t="str">
        <f ca="1">VLOOKUP($B2,OFFSET([2]quests!$A$1,0,0,COUNTA([2]quests!$A:$A),MATCH(E$1,[2]quests!$1:$1,0)-MATCH($B$1,[2]quests!$1:$1,0)+1),MATCH(E$1,[2]quests!$1:$1,0)-MATCH($B$1,[2]quests!$1:$1,0)+1,FALSE)</f>
        <v>【LB渡邉】検証クエスト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【LB渡邉】検証</v>
      </c>
      <c r="G2" s="21">
        <v>1</v>
      </c>
      <c r="H2" s="15" t="str">
        <f t="shared" ref="H2:H9" si="2">B2&amp;"_"&amp;C2&amp;"-"&amp;G2</f>
        <v>65530_1-1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579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オーズ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60</v>
      </c>
      <c r="S2" s="25">
        <v>0.9</v>
      </c>
      <c r="T2" s="107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63412.200000000004</v>
      </c>
      <c r="U2" s="25">
        <v>0.4</v>
      </c>
      <c r="V2" s="107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2244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行動を2ターンに固定</v>
      </c>
      <c r="Y2" s="47">
        <v>65530000</v>
      </c>
      <c r="Z2" s="6">
        <v>1</v>
      </c>
      <c r="AA2" s="6">
        <v>100</v>
      </c>
      <c r="AB2" s="6">
        <v>1</v>
      </c>
      <c r="AC2" s="109">
        <v>2</v>
      </c>
      <c r="AD2" s="20">
        <v>579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オーズ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t="shared" ref="AI2:AI9" ca="1" si="3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65530_1-2/603&lt;lv60&gt;s2</v>
      </c>
      <c r="B3" s="22">
        <v>65530</v>
      </c>
      <c r="C3" s="21">
        <v>1</v>
      </c>
      <c r="D3" s="2" t="str">
        <f t="shared" si="1"/>
        <v>65530_1</v>
      </c>
      <c r="E3" s="4" t="str">
        <f ca="1">VLOOKUP($B3,OFFSET([2]quests!$A$1,0,0,COUNTA([2]quests!$A:$A),MATCH(E$1,[2]quests!$1:$1,0)-MATCH($B$1,[2]quests!$1:$1,0)+1),MATCH(E$1,[2]quests!$1:$1,0)-MATCH($B$1,[2]quests!$1:$1,0)+1,FALSE)</f>
        <v>【LB渡邉】検証クエスト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【LB渡邉】検証</v>
      </c>
      <c r="G3" s="21">
        <v>2</v>
      </c>
      <c r="H3" s="15" t="str">
        <f t="shared" si="2"/>
        <v>65530_1-2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603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掌愛の豊穣女神 フレイヤ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60</v>
      </c>
      <c r="S3" s="25">
        <v>1.5</v>
      </c>
      <c r="T3" s="107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125460</v>
      </c>
      <c r="U3" s="25">
        <v>0.7</v>
      </c>
      <c r="V3" s="107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3952.8999999999996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青パネルをダメージパネルに5個変換</v>
      </c>
      <c r="Y3" s="47">
        <v>65530001</v>
      </c>
      <c r="Z3" s="6">
        <v>1</v>
      </c>
      <c r="AA3" s="6">
        <v>100</v>
      </c>
      <c r="AB3" s="6">
        <v>1</v>
      </c>
      <c r="AC3" s="109">
        <v>2</v>
      </c>
      <c r="AD3" s="20">
        <v>602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フレイヤ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3" s="7">
        <v>1</v>
      </c>
      <c r="AI3" s="24">
        <f t="shared" ca="1" si="3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65530_1-3/54&lt;lv60&gt;s2</v>
      </c>
      <c r="B4" s="22">
        <v>65530</v>
      </c>
      <c r="C4" s="21">
        <v>1</v>
      </c>
      <c r="D4" s="2" t="str">
        <f t="shared" si="1"/>
        <v>65530_1</v>
      </c>
      <c r="E4" s="4" t="str">
        <f ca="1">VLOOKUP($B4,OFFSET([2]quests!$A$1,0,0,COUNTA([2]quests!$A:$A),MATCH(E$1,[2]quests!$1:$1,0)-MATCH($B$1,[2]quests!$1:$1,0)+1),MATCH(E$1,[2]quests!$1:$1,0)-MATCH($B$1,[2]quests!$1:$1,0)+1,FALSE)</f>
        <v>【LB渡邉】検証クエスト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【LB渡邉】検証</v>
      </c>
      <c r="G4" s="21">
        <v>3</v>
      </c>
      <c r="H4" s="15" t="str">
        <f t="shared" si="2"/>
        <v>65530_1-3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54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蒼斬のレジスタンス ケンジ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60</v>
      </c>
      <c r="S4" s="25">
        <v>1</v>
      </c>
      <c r="T4" s="107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38155</v>
      </c>
      <c r="U4" s="25">
        <v>0.8</v>
      </c>
      <c r="V4" s="107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4811.2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4" s="47">
        <v>65530002</v>
      </c>
      <c r="Z4" s="6">
        <v>1</v>
      </c>
      <c r="AA4" s="6">
        <v>100</v>
      </c>
      <c r="AB4" s="6">
        <v>0</v>
      </c>
      <c r="AC4" s="109">
        <v>2</v>
      </c>
      <c r="AD4" s="20">
        <v>53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ケンジ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4">
        <f t="shared" ca="1" si="3"/>
        <v>2</v>
      </c>
      <c r="AJ4" s="8">
        <v>15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65530_1-3/26&lt;lv60&gt;s2</v>
      </c>
      <c r="B5" s="22">
        <v>65530</v>
      </c>
      <c r="C5" s="21">
        <v>1</v>
      </c>
      <c r="D5" s="2" t="str">
        <f t="shared" si="1"/>
        <v>65530_1</v>
      </c>
      <c r="E5" s="4" t="str">
        <f ca="1">VLOOKUP($B5,OFFSET([2]quests!$A$1,0,0,COUNTA([2]quests!$A:$A),MATCH(E$1,[2]quests!$1:$1,0)-MATCH($B$1,[2]quests!$1:$1,0)+1),MATCH(E$1,[2]quests!$1:$1,0)-MATCH($B$1,[2]quests!$1:$1,0)+1,FALSE)</f>
        <v>【LB渡邉】検証クエスト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【LB渡邉】検証</v>
      </c>
      <c r="G5" s="21">
        <v>3</v>
      </c>
      <c r="H5" s="15" t="str">
        <f t="shared" si="2"/>
        <v>65530_1-3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26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勇犬 ハチ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60</v>
      </c>
      <c r="S5" s="25">
        <v>2</v>
      </c>
      <c r="T5" s="107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35670</v>
      </c>
      <c r="U5" s="25">
        <v>1</v>
      </c>
      <c r="V5" s="107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3381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5" s="47">
        <v>65530003</v>
      </c>
      <c r="Z5" s="6">
        <v>1</v>
      </c>
      <c r="AA5" s="6">
        <v>100</v>
      </c>
      <c r="AB5" s="6">
        <v>0</v>
      </c>
      <c r="AC5" s="109">
        <v>2</v>
      </c>
      <c r="AD5" s="20">
        <v>25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ハチ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1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7">
        <v>1</v>
      </c>
      <c r="AI5" s="24">
        <f t="shared" ca="1" si="3"/>
        <v>1</v>
      </c>
      <c r="AJ5" s="8">
        <v>15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65530_1-3/122&lt;lv60&gt;s3</v>
      </c>
      <c r="B6" s="22">
        <v>65530</v>
      </c>
      <c r="C6" s="21">
        <v>1</v>
      </c>
      <c r="D6" s="2" t="str">
        <f t="shared" si="1"/>
        <v>65530_1</v>
      </c>
      <c r="E6" s="4" t="str">
        <f ca="1">VLOOKUP($B6,OFFSET([2]quests!$A$1,0,0,COUNTA([2]quests!$A:$A),MATCH(E$1,[2]quests!$1:$1,0)-MATCH($B$1,[2]quests!$1:$1,0)+1),MATCH(E$1,[2]quests!$1:$1,0)-MATCH($B$1,[2]quests!$1:$1,0)+1,FALSE)</f>
        <v>【LB渡邉】検証クエスト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【LB渡邉】検証</v>
      </c>
      <c r="G6" s="21">
        <v>3</v>
      </c>
      <c r="H6" s="15" t="str">
        <f t="shared" si="2"/>
        <v>65530_1-3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122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生命の果実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60</v>
      </c>
      <c r="S6" s="25">
        <v>0.3</v>
      </c>
      <c r="T6" s="107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6003.3</v>
      </c>
      <c r="U6" s="25">
        <v>0.4</v>
      </c>
      <c r="V6" s="107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1475.6000000000001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3ターン後に自爆するつもりだ！</v>
      </c>
      <c r="Y6" s="47">
        <v>65530004</v>
      </c>
      <c r="Z6" s="6">
        <v>0</v>
      </c>
      <c r="AA6" s="6">
        <v>33</v>
      </c>
      <c r="AB6" s="6">
        <v>1</v>
      </c>
      <c r="AC6" s="109">
        <v>3</v>
      </c>
      <c r="AD6" s="20">
        <v>122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生命の果実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6" s="7">
        <v>1</v>
      </c>
      <c r="AI6" s="24">
        <f t="shared" ca="1" si="3"/>
        <v>3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65530_1-3/121&lt;lv60&gt;s3</v>
      </c>
      <c r="B7" s="22">
        <v>65530</v>
      </c>
      <c r="C7" s="21">
        <v>1</v>
      </c>
      <c r="D7" s="2" t="str">
        <f t="shared" si="1"/>
        <v>65530_1</v>
      </c>
      <c r="E7" s="4" t="str">
        <f ca="1">VLOOKUP($B7,OFFSET([2]quests!$A$1,0,0,COUNTA([2]quests!$A:$A),MATCH(E$1,[2]quests!$1:$1,0)-MATCH($B$1,[2]quests!$1:$1,0)+1),MATCH(E$1,[2]quests!$1:$1,0)-MATCH($B$1,[2]quests!$1:$1,0)+1,FALSE)</f>
        <v>【LB渡邉】検証クエスト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【LB渡邉】検証</v>
      </c>
      <c r="G7" s="21">
        <v>3</v>
      </c>
      <c r="H7" s="15" t="str">
        <f t="shared" si="2"/>
        <v>65530_1-3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121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攻めの果実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60</v>
      </c>
      <c r="S7" s="25">
        <v>0.7</v>
      </c>
      <c r="T7" s="107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9471</v>
      </c>
      <c r="U7" s="25">
        <v>0.5</v>
      </c>
      <c r="V7" s="107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3003.5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3ターン後に自爆するつもりだ！</v>
      </c>
      <c r="Y7" s="47">
        <v>65530005</v>
      </c>
      <c r="Z7" s="6">
        <v>0</v>
      </c>
      <c r="AA7" s="6">
        <v>33</v>
      </c>
      <c r="AB7" s="6">
        <v>1</v>
      </c>
      <c r="AC7" s="109">
        <v>3</v>
      </c>
      <c r="AD7" s="20">
        <v>121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攻めの果実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7" s="7">
        <v>1</v>
      </c>
      <c r="AI7" s="24">
        <f t="shared" ca="1" si="3"/>
        <v>3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65530_1-3/123&lt;lv60&gt;s3</v>
      </c>
      <c r="B8" s="22">
        <v>65530</v>
      </c>
      <c r="C8" s="21">
        <v>1</v>
      </c>
      <c r="D8" s="2" t="str">
        <f t="shared" si="1"/>
        <v>65530_1</v>
      </c>
      <c r="E8" s="4" t="str">
        <f ca="1">VLOOKUP($B8,OFFSET([2]quests!$A$1,0,0,COUNTA([2]quests!$A:$A),MATCH(E$1,[2]quests!$1:$1,0)-MATCH($B$1,[2]quests!$1:$1,0)+1),MATCH(E$1,[2]quests!$1:$1,0)-MATCH($B$1,[2]quests!$1:$1,0)+1,FALSE)</f>
        <v>【LB渡邉】検証クエスト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【LB渡邉】検証</v>
      </c>
      <c r="G8" s="21">
        <v>3</v>
      </c>
      <c r="H8" s="15" t="str">
        <f t="shared" si="2"/>
        <v>65530_1-3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123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癒しの果実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60</v>
      </c>
      <c r="S8" s="25">
        <v>0.9</v>
      </c>
      <c r="T8" s="107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9741.6</v>
      </c>
      <c r="U8" s="25">
        <v>0.6</v>
      </c>
      <c r="V8" s="107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2031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3ターン後に自爆するつもりだ！</v>
      </c>
      <c r="Y8" s="47">
        <v>65530006</v>
      </c>
      <c r="Z8" s="6">
        <v>0</v>
      </c>
      <c r="AA8" s="6">
        <v>34</v>
      </c>
      <c r="AB8" s="6">
        <v>1</v>
      </c>
      <c r="AC8" s="109">
        <v>3</v>
      </c>
      <c r="AD8" s="20">
        <v>123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癒しの果実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8" s="7">
        <v>1</v>
      </c>
      <c r="AI8" s="24">
        <f t="shared" ca="1" si="3"/>
        <v>3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65530_1-4/1252&lt;lv60&gt;s2</v>
      </c>
      <c r="B9" s="22">
        <v>65530</v>
      </c>
      <c r="C9" s="21">
        <v>1</v>
      </c>
      <c r="D9" s="2" t="str">
        <f t="shared" si="1"/>
        <v>65530_1</v>
      </c>
      <c r="E9" s="4" t="str">
        <f ca="1">VLOOKUP($B9,OFFSET([2]quests!$A$1,0,0,COUNTA([2]quests!$A:$A),MATCH(E$1,[2]quests!$1:$1,0)-MATCH($B$1,[2]quests!$1:$1,0)+1),MATCH(E$1,[2]quests!$1:$1,0)-MATCH($B$1,[2]quests!$1:$1,0)+1,FALSE)</f>
        <v>【LB渡邉】検証クエスト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【LB渡邉】検証</v>
      </c>
      <c r="G9" s="21">
        <v>4</v>
      </c>
      <c r="H9" s="15" t="str">
        <f t="shared" si="2"/>
        <v>65530_1-4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0">
        <v>1252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ギャラルホルン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60</v>
      </c>
      <c r="S9" s="25">
        <v>2</v>
      </c>
      <c r="T9" s="107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153504</v>
      </c>
      <c r="U9" s="25">
        <v>0.5</v>
      </c>
      <c r="V9" s="107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3117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青パネルドロップ率UP+２ターンに固定</v>
      </c>
      <c r="Y9" s="62">
        <v>65530007</v>
      </c>
      <c r="Z9" s="6">
        <v>1</v>
      </c>
      <c r="AA9" s="6">
        <v>100</v>
      </c>
      <c r="AB9" s="6">
        <v>1</v>
      </c>
      <c r="AC9" s="109">
        <v>2</v>
      </c>
      <c r="AD9" s="20">
        <v>1252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ギャラルホルン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Drop2N</v>
      </c>
      <c r="AH9" s="7">
        <v>1</v>
      </c>
      <c r="AI9" s="24">
        <f t="shared" ca="1" si="3"/>
        <v>4</v>
      </c>
      <c r="AJ9" s="8">
        <v>80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Normal="75" zoomScalePageLayoutView="75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X8" sqref="X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6" t="s">
        <v>263</v>
      </c>
      <c r="V1" s="26" t="s">
        <v>50</v>
      </c>
      <c r="W1" s="106" t="s">
        <v>264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65530_1-4/1253&lt;lv60&gt;sq1st2</v>
      </c>
      <c r="B2" s="22">
        <v>65530</v>
      </c>
      <c r="C2" s="21">
        <v>1</v>
      </c>
      <c r="D2" s="2" t="str">
        <f>B2&amp;"_"&amp;C2</f>
        <v>65530_1</v>
      </c>
      <c r="E2" s="4" t="str">
        <f ca="1">VLOOKUP($B2,OFFSET([2]quests!$A$1,0,0,COUNTA([2]quests!$A:$A),MATCH(E$1,[2]quests!$1:$1,0)-MATCH($B$1,[2]quests!$1:$1,0)+1),MATCH(E$1,[2]quests!$1:$1,0)-MATCH($B$1,[2]quests!$1:$1,0)+1,FALSE)</f>
        <v>【LB渡邉】検証クエスト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【LB渡邉】検証</v>
      </c>
      <c r="G2" s="21">
        <v>4</v>
      </c>
      <c r="H2" s="15" t="str">
        <f>B2&amp;"_"&amp;C2&amp;"-"&amp;G2</f>
        <v>65530_1-4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1253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吹聴する廃徊者 ギャラルホルン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5">
        <v>2.2000000000000002</v>
      </c>
      <c r="U2" s="107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220809.60000000001</v>
      </c>
      <c r="V2" s="25">
        <v>0.4</v>
      </c>
      <c r="W2" s="107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2685.2000000000003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2" s="62">
        <v>65530008</v>
      </c>
      <c r="AA2" s="110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  <outlinePr showOutlineSymbols="0"/>
  </sheetPr>
  <dimension ref="A1:AB31"/>
  <sheetViews>
    <sheetView showGridLines="0" tabSelected="1" showOutlineSymbols="0" workbookViewId="0">
      <pane ySplit="1" topLeftCell="A2" activePane="bottomLeft" state="frozenSplit"/>
      <selection pane="bottomLeft" activeCell="F34" sqref="F3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7.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12">
        <v>65530000</v>
      </c>
      <c r="B2" s="47" t="s">
        <v>336</v>
      </c>
      <c r="C2" s="50">
        <v>1</v>
      </c>
      <c r="D2" s="50" t="s">
        <v>127</v>
      </c>
      <c r="E2" s="51" t="s">
        <v>335</v>
      </c>
      <c r="F2" s="51" t="s">
        <v>270</v>
      </c>
      <c r="G2" s="64" t="str">
        <f>IFERROR(LEFT(B2,FIND("],",B2)),B2)</f>
        <v>[effect:enemy_message, val1:2.7, val2:0]</v>
      </c>
      <c r="H2" s="64">
        <f>FIND("effect:",G2)+7</f>
        <v>9</v>
      </c>
      <c r="I2" s="64">
        <f>IFERROR(FIND(",",G2),LEN(G2))</f>
        <v>22</v>
      </c>
      <c r="J2" s="64" t="e">
        <f>FIND("target:",G2)+7</f>
        <v>#VALUE!</v>
      </c>
      <c r="K2" s="64">
        <f>FIND(",",G2,I2+1)</f>
        <v>32</v>
      </c>
      <c r="L2" s="64" t="str">
        <f>IFERROR(VLOOKUP(MID(G2,J2,K2-J2),[5]skilldef!$C:$D,2,FALSE),"-") &amp; " / " &amp; IFERROR(VLOOKUP(MID(G2,H2,I2-H2),[5]skilldef!$A:$B,2,FALSE),"-")</f>
        <v>- / -</v>
      </c>
      <c r="M2" s="64" t="str">
        <f>IFERROR(RIGHT(B2,LEN(B2)-FIND("],",B2)-1),"none")</f>
        <v>[effect:fix_speed, target:enemy_one, turn:2]</v>
      </c>
      <c r="N2" s="48" t="str">
        <f>IFERROR(LEFT(M2,FIND("],",M2)+S20),M2)</f>
        <v>[effect:fix_speed, target:enemy_one, turn:2]</v>
      </c>
      <c r="O2" s="64">
        <f>FIND("effect:",N2)+7</f>
        <v>9</v>
      </c>
      <c r="P2" s="64">
        <f>IFERROR(FIND(",",N2),LEN(N2))</f>
        <v>18</v>
      </c>
      <c r="Q2" s="64">
        <f>FIND("target:",N2)+7</f>
        <v>27</v>
      </c>
      <c r="R2" s="64">
        <f>FIND(",",N2,P2+1)</f>
        <v>36</v>
      </c>
      <c r="S2" s="64" t="str">
        <f>IFERROR(VLOOKUP(MID(N2,Q2,R2-Q2),[5]skilldef!$C:$D,2,FALSE),"-") &amp; " / " &amp; IFERROR(VLOOKUP(MID(N2,O2,P2-O2),[5]skilldef!$A:$B,2,FALSE),"-")</f>
        <v>敵単体に / 行動値設定</v>
      </c>
      <c r="T2" s="48" t="str">
        <f>IFERROR(RIGHT(M2,LEN(M2)-FIND("],",M2)-1),"none")</f>
        <v>none</v>
      </c>
      <c r="U2" s="64" t="e">
        <f>FIND("effect:",T2)+7</f>
        <v>#VALUE!</v>
      </c>
      <c r="V2" s="64">
        <f>IFERROR(FIND(",",T2),LEN(T2))</f>
        <v>4</v>
      </c>
      <c r="W2" s="64" t="e">
        <f>FIND("target:",T2)+7</f>
        <v>#VALUE!</v>
      </c>
      <c r="X2" s="64" t="e">
        <f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113">
        <v>65530001</v>
      </c>
      <c r="B3" s="47" t="s">
        <v>298</v>
      </c>
      <c r="C3" s="50">
        <v>1</v>
      </c>
      <c r="D3" s="50" t="s">
        <v>127</v>
      </c>
      <c r="E3" s="51" t="s">
        <v>344</v>
      </c>
      <c r="F3" s="51" t="s">
        <v>271</v>
      </c>
      <c r="G3" s="64" t="str">
        <f t="shared" ref="G3:G22" si="0">IFERROR(LEFT(B3,FIND("],",B3)),B3)</f>
        <v>[effect:enemy_message, val1:2, val2:1.8]</v>
      </c>
      <c r="H3" s="64">
        <f t="shared" ref="H3:H31" si="1">FIND("effect:",G3)+7</f>
        <v>9</v>
      </c>
      <c r="I3" s="64">
        <f t="shared" ref="I3:I22" si="2">IFERROR(FIND(",",G3),LEN(G3))</f>
        <v>22</v>
      </c>
      <c r="J3" s="64" t="e">
        <f t="shared" ref="J3:J22" si="3">FIND("target:",G3)+7</f>
        <v>#VALUE!</v>
      </c>
      <c r="K3" s="64">
        <f t="shared" ref="K3:K22" si="4">FIND(",",G3,I3+1)</f>
        <v>30</v>
      </c>
      <c r="L3" s="64" t="str">
        <f>IFERROR(VLOOKUP(MID(G3,J3,K3-J3),[5]skilldef!$C:$D,2,FALSE),"-") &amp; " / " &amp; IFERROR(VLOOKUP(MID(G3,H3,I3-H3),[5]skilldef!$A:$B,2,FALSE),"-")</f>
        <v>- / -</v>
      </c>
      <c r="M3" s="64" t="str">
        <f t="shared" ref="M3:M22" si="5">IFERROR(RIGHT(B3,LEN(B3)-FIND("],",B3)-1),"none")</f>
        <v xml:space="preserve">[effect:force_change_block, new_block:damage, target:block_green, ignore01:crash, ignore02:crack_bomb, ignore03:damage, count:3, val:0.06, animation:change_block]       </v>
      </c>
      <c r="N3" s="48" t="str">
        <f>IFERROR(LEFT(M3,FIND("],",M3)+S21),M3)</f>
        <v xml:space="preserve">[effect:force_change_block, new_block:damage, target:block_green, ignore01:crash, ignore02:crack_bomb, ignore03:damage, count:3, val:0.06, animation:change_block]       </v>
      </c>
      <c r="O3" s="64">
        <f t="shared" ref="O3:O31" si="6">FIND("effect:",N3)+7</f>
        <v>9</v>
      </c>
      <c r="P3" s="64">
        <f t="shared" ref="P3:P22" si="7">IFERROR(FIND(",",N3),LEN(N3))</f>
        <v>27</v>
      </c>
      <c r="Q3" s="64">
        <f t="shared" ref="Q3:Q22" si="8">FIND("target:",N3)+7</f>
        <v>54</v>
      </c>
      <c r="R3" s="64">
        <f t="shared" ref="R3:R22" si="9">FIND(",",N3,P3+1)</f>
        <v>45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ref="T3:T22" si="10">IFERROR(RIGHT(M3,LEN(M3)-FIND("],",M3)-1),"none")</f>
        <v>none</v>
      </c>
      <c r="U3" s="64" t="e">
        <f t="shared" ref="U3:U31" si="11">FIND("effect:",T3)+7</f>
        <v>#VALUE!</v>
      </c>
      <c r="V3" s="64">
        <f t="shared" ref="V3:V22" si="12">IFERROR(FIND(",",T3),LEN(T3))</f>
        <v>4</v>
      </c>
      <c r="W3" s="64" t="e">
        <f t="shared" ref="W3:W22" si="13">FIND("target:",T3)+7</f>
        <v>#VALUE!</v>
      </c>
      <c r="X3" s="64" t="e">
        <f t="shared" ref="X3:X22" si="14">FIND(",",T3,V3+1)</f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113">
        <v>65530002</v>
      </c>
      <c r="B4" s="47" t="s">
        <v>301</v>
      </c>
      <c r="C4" s="50">
        <v>1</v>
      </c>
      <c r="D4" s="50" t="s">
        <v>127</v>
      </c>
      <c r="E4" s="51" t="s">
        <v>345</v>
      </c>
      <c r="F4" s="51" t="s">
        <v>286</v>
      </c>
      <c r="G4" s="64" t="str">
        <f>IFERROR(LEFT(B4,FIND("],",B4)),B4)</f>
        <v>[effect:enemy_message, val1:2, val2:1.8]</v>
      </c>
      <c r="H4" s="64">
        <f>FIND("effect:",G4)+7</f>
        <v>9</v>
      </c>
      <c r="I4" s="64">
        <f>IFERROR(FIND(",",G4),LEN(G4))</f>
        <v>22</v>
      </c>
      <c r="J4" s="64" t="e">
        <f>FIND("target:",G4)+7</f>
        <v>#VALUE!</v>
      </c>
      <c r="K4" s="64">
        <f>FIND(",",G4,I4+1)</f>
        <v>30</v>
      </c>
      <c r="L4" s="64" t="str">
        <f>IFERROR(VLOOKUP(MID(G4,J4,K4-J4),[5]skilldef!$C:$D,2,FALSE),"-") &amp; " / " &amp; IFERROR(VLOOKUP(MID(G4,H4,I4-H4),[5]skilldef!$A:$B,2,FALSE),"-")</f>
        <v>- / -</v>
      </c>
      <c r="M4" s="64" t="str">
        <f>IFERROR(RIGHT(B4,LEN(B4)-FIND("],",B4)-1),"none")</f>
        <v xml:space="preserve">[effect:spread, val:0.26],[effect:force_change_block, new_block:damage, target:block_green, ignore01:crash, ignore02:crack_bomb, ignore03:damage, count:2, val:0.06, animation:change_block]  </v>
      </c>
      <c r="N4" s="48" t="str">
        <f>IFERROR(LEFT(M4,FIND("],",M4)+S24),M4)</f>
        <v xml:space="preserve">[effect:spread, val:0.26],[effect:force_change_block, new_block:damage, target:block_green, ignore01:crash, ignore02:crack_bomb, ignore03:damage, count:2, val:0.06, animation:change_block]  </v>
      </c>
      <c r="O4" s="64">
        <f>FIND("effect:",N4)+7</f>
        <v>9</v>
      </c>
      <c r="P4" s="64">
        <f>IFERROR(FIND(",",N4),LEN(N4))</f>
        <v>15</v>
      </c>
      <c r="Q4" s="64">
        <f>FIND("target:",N4)+7</f>
        <v>80</v>
      </c>
      <c r="R4" s="64">
        <f>FIND(",",N4,P4+1)</f>
        <v>26</v>
      </c>
      <c r="S4" s="64" t="str">
        <f>IFERROR(VLOOKUP(MID(N4,Q4,R4-Q4),[5]skilldef!$C:$D,2,FALSE),"-") &amp; " / " &amp; IFERROR(VLOOKUP(MID(N4,O4,P4-O4),[5]skilldef!$A:$B,2,FALSE),"-")</f>
        <v>- / 全体攻撃</v>
      </c>
      <c r="T4" s="48" t="str">
        <f>IFERROR(RIGHT(M4,LEN(M4)-FIND("],",M4)-1),"none")</f>
        <v xml:space="preserve">[effect:force_change_block, new_block:damage, target:block_green, ignore01:crash, ignore02:crack_bomb, ignore03:damage, count:2, val:0.06, animation:change_block]  </v>
      </c>
      <c r="U4" s="64">
        <f>FIND("effect:",T4)+7</f>
        <v>9</v>
      </c>
      <c r="V4" s="64">
        <f>IFERROR(FIND(",",T4),LEN(T4))</f>
        <v>27</v>
      </c>
      <c r="W4" s="64">
        <f>FIND("target:",T4)+7</f>
        <v>54</v>
      </c>
      <c r="X4" s="64">
        <f>FIND(",",T4,V4+1)</f>
        <v>45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113">
        <v>65530003</v>
      </c>
      <c r="B5" s="47" t="s">
        <v>293</v>
      </c>
      <c r="C5" s="50">
        <v>1</v>
      </c>
      <c r="D5" s="50" t="s">
        <v>127</v>
      </c>
      <c r="E5" s="51" t="s">
        <v>334</v>
      </c>
      <c r="F5" s="51" t="s">
        <v>333</v>
      </c>
      <c r="G5" s="64" t="str">
        <f>IFERROR(LEFT(B5,FIND("],",B5)),B5)</f>
        <v>[effect:enemy_message, val1:2, val2:1.8]</v>
      </c>
      <c r="H5" s="64">
        <f>FIND("effect:",G5)+7</f>
        <v>9</v>
      </c>
      <c r="I5" s="64">
        <f>IFERROR(FIND(",",G5),LEN(G5))</f>
        <v>22</v>
      </c>
      <c r="J5" s="64" t="e">
        <f>FIND("target:",G5)+7</f>
        <v>#VALUE!</v>
      </c>
      <c r="K5" s="64">
        <f>FIND(",",G5,I5+1)</f>
        <v>30</v>
      </c>
      <c r="L5" s="64" t="str">
        <f>IFERROR(VLOOKUP(MID(G5,J5,K5-J5),[5]skilldef!$C:$D,2,FALSE),"-") &amp; " / " &amp; IFERROR(VLOOKUP(MID(G5,H5,I5-H5),[5]skilldef!$A:$B,2,FALSE),"-")</f>
        <v>- / -</v>
      </c>
      <c r="M5" s="64" t="str">
        <f>IFERROR(RIGHT(B5,LEN(B5)-FIND("],",B5)-1),"none")</f>
        <v xml:space="preserve">[effect:freq_turn, target:enemy_one, turn:3, val:1, animation:enemy_freq_turn]    </v>
      </c>
      <c r="N5" s="48" t="str">
        <f>IFERROR(LEFT(M5,FIND("],",M5)+S25),M5)</f>
        <v xml:space="preserve">[effect:freq_turn, target:enemy_one, turn:3, val:1, animation:enemy_freq_turn]    </v>
      </c>
      <c r="O5" s="64">
        <f>FIND("effect:",N5)+7</f>
        <v>9</v>
      </c>
      <c r="P5" s="64">
        <f>IFERROR(FIND(",",N5),LEN(N5))</f>
        <v>18</v>
      </c>
      <c r="Q5" s="64">
        <f>FIND("target:",N5)+7</f>
        <v>27</v>
      </c>
      <c r="R5" s="64">
        <f>FIND(",",N5,P5+1)</f>
        <v>36</v>
      </c>
      <c r="S5" s="64" t="str">
        <f>IFERROR(VLOOKUP(MID(N5,Q5,R5-Q5),[5]skilldef!$C:$D,2,FALSE),"-") &amp; " / " &amp; IFERROR(VLOOKUP(MID(N5,O5,P5-O5),[5]skilldef!$A:$B,2,FALSE),"-")</f>
        <v>敵単体に / 攻撃頻度がUP</v>
      </c>
      <c r="T5" s="48" t="str">
        <f>IFERROR(RIGHT(M5,LEN(M5)-FIND("],",M5)-1),"none")</f>
        <v>none</v>
      </c>
      <c r="U5" s="64" t="e">
        <f>FIND("effect:",T5)+7</f>
        <v>#VALUE!</v>
      </c>
      <c r="V5" s="64">
        <f>IFERROR(FIND(",",T5),LEN(T5))</f>
        <v>4</v>
      </c>
      <c r="W5" s="64" t="e">
        <f>FIND("target:",T5)+7</f>
        <v>#VALUE!</v>
      </c>
      <c r="X5" s="64" t="e">
        <f>FIND(",",T5,V5+1)</f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113">
        <v>65530004</v>
      </c>
      <c r="B6" s="47" t="s">
        <v>338</v>
      </c>
      <c r="C6" s="50">
        <v>1</v>
      </c>
      <c r="D6" s="50" t="s">
        <v>127</v>
      </c>
      <c r="E6" s="51" t="s">
        <v>337</v>
      </c>
      <c r="F6" s="51"/>
      <c r="G6" s="64" t="str">
        <f t="shared" ref="G6" si="15">IFERROR(LEFT(B6,FIND("],",B6)),B6)</f>
        <v>[effect:enemy_message, val1:2.5, val2:0]</v>
      </c>
      <c r="H6" s="64">
        <f t="shared" ref="H6" si="16">FIND("effect:",G6)+7</f>
        <v>9</v>
      </c>
      <c r="I6" s="64">
        <f t="shared" ref="I6" si="17">IFERROR(FIND(",",G6),LEN(G6))</f>
        <v>22</v>
      </c>
      <c r="J6" s="64" t="e">
        <f t="shared" ref="J6" si="18">FIND("target:",G6)+7</f>
        <v>#VALUE!</v>
      </c>
      <c r="K6" s="64">
        <f t="shared" ref="K6" si="19">FIND(",",G6,I6+1)</f>
        <v>32</v>
      </c>
      <c r="L6" s="64" t="str">
        <f>IFERROR(VLOOKUP(MID(G6,J6,K6-J6),[5]skilldef!$C:$D,2,FALSE),"-") &amp; " / " &amp; IFERROR(VLOOKUP(MID(G6,H6,I6-H6),[5]skilldef!$A:$B,2,FALSE),"-")</f>
        <v>- / -</v>
      </c>
      <c r="M6" s="64" t="str">
        <f t="shared" ref="M6" si="20">IFERROR(RIGHT(B6,LEN(B6)-FIND("],",B6)-1),"none")</f>
        <v>none</v>
      </c>
      <c r="N6" s="48" t="str">
        <f>IFERROR(LEFT(M6,FIND("],",M6)+S23),M6)</f>
        <v>none</v>
      </c>
      <c r="O6" s="64" t="e">
        <f t="shared" ref="O6" si="21">FIND("effect:",N6)+7</f>
        <v>#VALUE!</v>
      </c>
      <c r="P6" s="64">
        <f t="shared" ref="P6" si="22">IFERROR(FIND(",",N6),LEN(N6))</f>
        <v>4</v>
      </c>
      <c r="Q6" s="64" t="e">
        <f t="shared" ref="Q6" si="23">FIND("target:",N6)+7</f>
        <v>#VALUE!</v>
      </c>
      <c r="R6" s="64" t="e">
        <f t="shared" ref="R6" si="24">FIND(",",N6,P6+1)</f>
        <v>#VALUE!</v>
      </c>
      <c r="S6" s="64" t="str">
        <f>IFERROR(VLOOKUP(MID(N6,Q6,R6-Q6),[5]skilldef!$C:$D,2,FALSE),"-") &amp; " / " &amp; IFERROR(VLOOKUP(MID(N6,O6,P6-O6),[5]skilldef!$A:$B,2,FALSE),"-")</f>
        <v>- / -</v>
      </c>
      <c r="T6" s="48" t="str">
        <f t="shared" ref="T6" si="25">IFERROR(RIGHT(M6,LEN(M6)-FIND("],",M6)-1),"none")</f>
        <v>none</v>
      </c>
      <c r="U6" s="64" t="e">
        <f t="shared" ref="U6" si="26">FIND("effect:",T6)+7</f>
        <v>#VALUE!</v>
      </c>
      <c r="V6" s="64">
        <f t="shared" ref="V6" si="27">IFERROR(FIND(",",T6),LEN(T6))</f>
        <v>4</v>
      </c>
      <c r="W6" s="64" t="e">
        <f t="shared" ref="W6" si="28">FIND("target:",T6)+7</f>
        <v>#VALUE!</v>
      </c>
      <c r="X6" s="64" t="e">
        <f t="shared" ref="X6" si="29">FIND(",",T6,V6+1)</f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113">
        <v>65530005</v>
      </c>
      <c r="B7" s="47" t="s">
        <v>280</v>
      </c>
      <c r="C7" s="50">
        <v>1</v>
      </c>
      <c r="D7" s="50" t="s">
        <v>127</v>
      </c>
      <c r="E7" s="51" t="s">
        <v>339</v>
      </c>
      <c r="F7" s="51" t="s">
        <v>308</v>
      </c>
      <c r="G7" s="64" t="str">
        <f t="shared" si="0"/>
        <v>[effect:enemy_message, val1:2, val2:1.8]</v>
      </c>
      <c r="H7" s="64">
        <f t="shared" si="1"/>
        <v>9</v>
      </c>
      <c r="I7" s="64">
        <f t="shared" si="2"/>
        <v>22</v>
      </c>
      <c r="J7" s="64" t="e">
        <f t="shared" si="3"/>
        <v>#VALUE!</v>
      </c>
      <c r="K7" s="64">
        <f t="shared" si="4"/>
        <v>30</v>
      </c>
      <c r="L7" s="64" t="str">
        <f>IFERROR(VLOOKUP(MID(G7,J7,K7-J7),[5]skilldef!$C:$D,2,FALSE),"-") &amp; " / " &amp; IFERROR(VLOOKUP(MID(G7,H7,I7-H7),[5]skilldef!$A:$B,2,FALSE),"-")</f>
        <v>- / -</v>
      </c>
      <c r="M7" s="64" t="str">
        <f t="shared" si="5"/>
        <v xml:space="preserve">[effect:fix_speed, target:enemy_one, turn:2],[effect:force_change_block, new_block:damage, target:block_blue, ignore01:crash, ignore02:crack_bomb, ignore03:damage, count:5, val:0.06, animation:change_block]       </v>
      </c>
      <c r="N7" s="48" t="str">
        <f>IFERROR(LEFT(M7,FIND("],",M7)+S24),M7)</f>
        <v xml:space="preserve">[effect:fix_speed, target:enemy_one, turn:2],[effect:force_change_block, new_block:damage, target:block_blue, ignore01:crash, ignore02:crack_bomb, ignore03:damage, count:5, val:0.06, animation:change_block]       </v>
      </c>
      <c r="O7" s="64">
        <f t="shared" si="6"/>
        <v>9</v>
      </c>
      <c r="P7" s="64">
        <f t="shared" si="7"/>
        <v>18</v>
      </c>
      <c r="Q7" s="64">
        <f t="shared" si="8"/>
        <v>27</v>
      </c>
      <c r="R7" s="64">
        <f t="shared" si="9"/>
        <v>36</v>
      </c>
      <c r="S7" s="64" t="str">
        <f>IFERROR(VLOOKUP(MID(N7,Q7,R7-Q7),[5]skilldef!$C:$D,2,FALSE),"-") &amp; " / " &amp; IFERROR(VLOOKUP(MID(N7,O7,P7-O7),[5]skilldef!$A:$B,2,FALSE),"-")</f>
        <v>敵単体に / 行動値設定</v>
      </c>
      <c r="T7" s="48" t="str">
        <f t="shared" si="10"/>
        <v xml:space="preserve">[effect:force_change_block, new_block:damage, target:block_blue, ignore01:crash, ignore02:crack_bomb, ignore03:damage, count:5, val:0.06, animation:change_block]       </v>
      </c>
      <c r="U7" s="64">
        <f t="shared" si="11"/>
        <v>9</v>
      </c>
      <c r="V7" s="64">
        <f t="shared" si="12"/>
        <v>27</v>
      </c>
      <c r="W7" s="64">
        <f t="shared" si="13"/>
        <v>54</v>
      </c>
      <c r="X7" s="64">
        <f t="shared" si="14"/>
        <v>45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113">
        <v>65530006</v>
      </c>
      <c r="B8" s="47" t="s">
        <v>284</v>
      </c>
      <c r="C8" s="50">
        <v>1</v>
      </c>
      <c r="D8" s="50" t="s">
        <v>127</v>
      </c>
      <c r="E8" s="51" t="s">
        <v>347</v>
      </c>
      <c r="F8" s="51" t="s">
        <v>272</v>
      </c>
      <c r="G8" s="64" t="str">
        <f t="shared" si="0"/>
        <v>[effect:enemy_message, val1:2, val2:1.8]</v>
      </c>
      <c r="H8" s="64">
        <f t="shared" si="1"/>
        <v>9</v>
      </c>
      <c r="I8" s="64">
        <f t="shared" si="2"/>
        <v>22</v>
      </c>
      <c r="J8" s="64" t="e">
        <f t="shared" si="3"/>
        <v>#VALUE!</v>
      </c>
      <c r="K8" s="64">
        <f t="shared" si="4"/>
        <v>30</v>
      </c>
      <c r="L8" s="64" t="str">
        <f>IFERROR(VLOOKUP(MID(G8,J8,K8-J8),[5]skilldef!$C:$D,2,FALSE),"-") &amp; " / " &amp; IFERROR(VLOOKUP(MID(G8,H8,I8-H8),[5]skilldef!$A:$B,2,FALSE),"-")</f>
        <v>- / -</v>
      </c>
      <c r="M8" s="64" t="str">
        <f t="shared" si="5"/>
        <v xml:space="preserve">[effect:force_change_block, new_block:damage, target:block_blue, ignore01:crash, ignore02:crack_bomb, ignore03:damage, count:4, val:0.06, animation:change_block]     </v>
      </c>
      <c r="N8" s="48" t="str">
        <f>IFERROR(LEFT(M8,FIND("],",M8)+S25),M8)</f>
        <v xml:space="preserve">[effect:force_change_block, new_block:damage, target:block_blue, ignore01:crash, ignore02:crack_bomb, ignore03:damage, count:4, val:0.06, animation:change_block]     </v>
      </c>
      <c r="O8" s="64">
        <f t="shared" si="6"/>
        <v>9</v>
      </c>
      <c r="P8" s="64">
        <f t="shared" si="7"/>
        <v>27</v>
      </c>
      <c r="Q8" s="64">
        <f t="shared" si="8"/>
        <v>54</v>
      </c>
      <c r="R8" s="64">
        <f t="shared" si="9"/>
        <v>45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113">
        <v>65530007</v>
      </c>
      <c r="B9" s="47" t="s">
        <v>299</v>
      </c>
      <c r="C9" s="50">
        <v>1</v>
      </c>
      <c r="D9" s="50" t="s">
        <v>127</v>
      </c>
      <c r="E9" s="51" t="s">
        <v>348</v>
      </c>
      <c r="F9" s="51" t="s">
        <v>300</v>
      </c>
      <c r="G9" s="64" t="str">
        <f t="shared" si="0"/>
        <v>[effect:enemy_message, val1:2, val2:1.8]</v>
      </c>
      <c r="H9" s="64">
        <f t="shared" si="1"/>
        <v>9</v>
      </c>
      <c r="I9" s="64">
        <f t="shared" si="2"/>
        <v>22</v>
      </c>
      <c r="J9" s="64" t="e">
        <f t="shared" si="3"/>
        <v>#VALUE!</v>
      </c>
      <c r="K9" s="64">
        <f t="shared" si="4"/>
        <v>30</v>
      </c>
      <c r="L9" s="64" t="str">
        <f>IFERROR(VLOOKUP(MID(G9,J9,K9-J9),[5]skilldef!$C:$D,2,FALSE),"-") &amp; " / " &amp; IFERROR(VLOOKUP(MID(G9,H9,I9-H9),[5]skilldef!$A:$B,2,FALSE),"-")</f>
        <v>- / -</v>
      </c>
      <c r="M9" s="64" t="str">
        <f t="shared" si="5"/>
        <v xml:space="preserve">[effect:rush, count:4, val:0.35],[effect:force_change_block, new_block:damage, target:block_blue, ignore01:crash, ignore02:crack_bomb, ignore03:damage, count:3, val:0.06, animation:change_block] </v>
      </c>
      <c r="N9" s="48" t="str">
        <f>IFERROR(LEFT(M9,FIND("],",M9)+S26),M9)</f>
        <v xml:space="preserve">[effect:rush, count:4, val:0.35],[effect:force_change_block, new_block:damage, target:block_blue, ignore01:crash, ignore02:crack_bomb, ignore03:damage, count:3, val:0.06, animation:change_block] </v>
      </c>
      <c r="O9" s="64">
        <f t="shared" si="6"/>
        <v>9</v>
      </c>
      <c r="P9" s="64">
        <f t="shared" si="7"/>
        <v>13</v>
      </c>
      <c r="Q9" s="64">
        <f t="shared" si="8"/>
        <v>87</v>
      </c>
      <c r="R9" s="64">
        <f t="shared" si="9"/>
        <v>22</v>
      </c>
      <c r="S9" s="64" t="str">
        <f>IFERROR(VLOOKUP(MID(N9,Q9,R9-Q9),[5]skilldef!$C:$D,2,FALSE),"-") &amp; " / " &amp; IFERROR(VLOOKUP(MID(N9,O9,P9-O9),[5]skilldef!$A:$B,2,FALSE),"-")</f>
        <v>- / 連続攻撃</v>
      </c>
      <c r="T9" s="48" t="str">
        <f t="shared" si="10"/>
        <v xml:space="preserve">[effect:force_change_block, new_block:damage, target:block_blue, ignore01:crash, ignore02:crack_bomb, ignore03:damage, count:3, val:0.06, animation:change_block] </v>
      </c>
      <c r="U9" s="64">
        <f t="shared" si="11"/>
        <v>9</v>
      </c>
      <c r="V9" s="64">
        <f t="shared" si="12"/>
        <v>27</v>
      </c>
      <c r="W9" s="64">
        <f t="shared" si="13"/>
        <v>54</v>
      </c>
      <c r="X9" s="64">
        <f t="shared" si="14"/>
        <v>45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113">
        <v>65530008</v>
      </c>
      <c r="B10" s="47" t="s">
        <v>289</v>
      </c>
      <c r="C10" s="50">
        <v>1</v>
      </c>
      <c r="D10" s="50" t="s">
        <v>127</v>
      </c>
      <c r="E10" s="51" t="s">
        <v>346</v>
      </c>
      <c r="F10" s="51" t="s">
        <v>288</v>
      </c>
      <c r="G10" s="64" t="str">
        <f>IFERROR(LEFT(B10,FIND("],",B10)),B10)</f>
        <v>[effect:enemy_message, val1:2, val2:1.8]</v>
      </c>
      <c r="H10" s="64">
        <f>FIND("effect:",G10)+7</f>
        <v>9</v>
      </c>
      <c r="I10" s="64">
        <f>IFERROR(FIND(",",G10),LEN(G10))</f>
        <v>22</v>
      </c>
      <c r="J10" s="64" t="e">
        <f>FIND("target:",G10)+7</f>
        <v>#VALUE!</v>
      </c>
      <c r="K10" s="64">
        <f>FIND(",",G10,I10+1)</f>
        <v>30</v>
      </c>
      <c r="L10" s="64" t="str">
        <f>IFERROR(VLOOKUP(MID(G10,J10,K10-J10),[5]skilldef!$C:$D,2,FALSE),"-") &amp; " / " &amp; IFERROR(VLOOKUP(MID(G10,H10,I10-H10),[5]skilldef!$A:$B,2,FALSE),"-")</f>
        <v>- / -</v>
      </c>
      <c r="M10" s="64" t="str">
        <f>IFERROR(RIGHT(B10,LEN(B10)-FIND("],",B10)-1),"none")</f>
        <v xml:space="preserve">[effect:force_change_block, new_block:block_blue, target:block_all, ignore01:crash, ignore02:crack_bomb, ignore03:damage, ignore04:block_blue, count:7, val:0, animation:change_block],[effect:rush, count:1, val:0.9]    </v>
      </c>
      <c r="N10" s="48" t="str">
        <f>IFERROR(LEFT(M10,FIND("],",M10)+S30),M10)</f>
        <v xml:space="preserve">[effect:force_change_block, new_block:block_blue, target:block_all, ignore01:crash, ignore02:crack_bomb, ignore03:damage, ignore04:block_blue, count:7, val:0, animation:change_block],[effect:rush, count:1, val:0.9]    </v>
      </c>
      <c r="O10" s="64">
        <f>FIND("effect:",N10)+7</f>
        <v>9</v>
      </c>
      <c r="P10" s="64">
        <f>IFERROR(FIND(",",N10),LEN(N10))</f>
        <v>27</v>
      </c>
      <c r="Q10" s="64">
        <f>FIND("target:",N10)+7</f>
        <v>58</v>
      </c>
      <c r="R10" s="64">
        <f>FIND(",",N10,P10+1)</f>
        <v>49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>IFERROR(RIGHT(M10,LEN(M10)-FIND("],",M10)-1),"none")</f>
        <v xml:space="preserve">[effect:rush, count:1, val:0.9]    </v>
      </c>
      <c r="U10" s="64">
        <f>FIND("effect:",T10)+7</f>
        <v>9</v>
      </c>
      <c r="V10" s="64">
        <f>IFERROR(FIND(",",T10),LEN(T10))</f>
        <v>13</v>
      </c>
      <c r="W10" s="64" t="e">
        <f>FIND("target:",T10)+7</f>
        <v>#VALUE!</v>
      </c>
      <c r="X10" s="64">
        <f>FIND(",",T10,V10+1)</f>
        <v>22</v>
      </c>
      <c r="Y10" s="64" t="str">
        <f>IFERROR(VLOOKUP(MID(T10,W10,X10-W10),[5]skilldef!$C:$D,2,FALSE),"-") &amp; " / " &amp; IFERROR(VLOOKUP(MID(T10,U10,V10-U10),[5]skilldef!$A:$B,2,FALSE),"-")</f>
        <v>- / 連続攻撃</v>
      </c>
      <c r="Z10" s="50"/>
      <c r="AA10" s="52"/>
      <c r="AB10" s="50"/>
    </row>
    <row r="11" spans="1:28" ht="21" customHeight="1" x14ac:dyDescent="0.15">
      <c r="A11" s="113">
        <v>65530009</v>
      </c>
      <c r="B11" s="47" t="s">
        <v>294</v>
      </c>
      <c r="C11" s="50">
        <v>1</v>
      </c>
      <c r="D11" s="50" t="s">
        <v>127</v>
      </c>
      <c r="E11" s="51" t="s">
        <v>320</v>
      </c>
      <c r="F11" s="51" t="s">
        <v>316</v>
      </c>
      <c r="G11" s="64" t="str">
        <f t="shared" si="0"/>
        <v>[effect:enemy_message, val1:2, val2:1.8]</v>
      </c>
      <c r="H11" s="64">
        <f t="shared" si="1"/>
        <v>9</v>
      </c>
      <c r="I11" s="64">
        <f t="shared" si="2"/>
        <v>22</v>
      </c>
      <c r="J11" s="64" t="e">
        <f t="shared" si="3"/>
        <v>#VALUE!</v>
      </c>
      <c r="K11" s="64">
        <f t="shared" si="4"/>
        <v>30</v>
      </c>
      <c r="L11" s="64" t="str">
        <f>IFERROR(VLOOKUP(MID(G11,J11,K11-J11),[5]skilldef!$C:$D,2,FALSE),"-") &amp; " / " &amp; IFERROR(VLOOKUP(MID(G11,H11,I11-H11),[5]skilldef!$A:$B,2,FALSE),"-")</f>
        <v>- / -</v>
      </c>
      <c r="M11" s="64" t="str">
        <f t="shared" si="5"/>
        <v xml:space="preserve">[effect:critical, val:1.2]    </v>
      </c>
      <c r="N11" s="48" t="str">
        <f>IFERROR(LEFT(M11,FIND("],",M11)+S27),M11)</f>
        <v xml:space="preserve">[effect:critical, val:1.2]    </v>
      </c>
      <c r="O11" s="64">
        <f t="shared" si="6"/>
        <v>9</v>
      </c>
      <c r="P11" s="64">
        <f t="shared" si="7"/>
        <v>17</v>
      </c>
      <c r="Q11" s="64" t="e">
        <f t="shared" si="8"/>
        <v>#VALUE!</v>
      </c>
      <c r="R11" s="64" t="e">
        <f t="shared" si="9"/>
        <v>#VALUE!</v>
      </c>
      <c r="S11" s="64" t="str">
        <f>IFERROR(VLOOKUP(MID(N11,Q11,R11-Q11),[5]skilldef!$C:$D,2,FALSE),"-") &amp; " / " &amp; IFERROR(VLOOKUP(MID(N11,O11,P11-O11),[5]skilldef!$A:$B,2,FALSE),"-")</f>
        <v>- / 大攻撃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113">
        <v>65530010</v>
      </c>
      <c r="B12" s="47" t="s">
        <v>285</v>
      </c>
      <c r="C12" s="50">
        <v>1</v>
      </c>
      <c r="D12" s="50" t="s">
        <v>127</v>
      </c>
      <c r="E12" s="51" t="s">
        <v>321</v>
      </c>
      <c r="F12" s="51" t="s">
        <v>273</v>
      </c>
      <c r="G12" s="64" t="str">
        <f t="shared" si="0"/>
        <v>[effect:enemy_message, val1:2, val2:1.8]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30</v>
      </c>
      <c r="L12" s="64" t="str">
        <f>IFERROR(VLOOKUP(MID(G12,J12,K12-J12),[5]skilldef!$C:$D,2,FALSE),"-") &amp; " / " &amp; IFERROR(VLOOKUP(MID(G12,H12,I12-H12),[5]skilldef!$A:$B,2,FALSE),"-")</f>
        <v>- / -</v>
      </c>
      <c r="M12" s="64" t="str">
        <f t="shared" si="5"/>
        <v xml:space="preserve">[effect:rush, count:3, val:0.4]    </v>
      </c>
      <c r="N12" s="48" t="str">
        <f t="shared" ref="N12:N18" si="30">IFERROR(LEFT(M12,FIND("],",M12)+S30),M12)</f>
        <v xml:space="preserve">[effect:rush, count:3, val:0.4]    </v>
      </c>
      <c r="O12" s="64">
        <f t="shared" si="6"/>
        <v>9</v>
      </c>
      <c r="P12" s="64">
        <f t="shared" si="7"/>
        <v>13</v>
      </c>
      <c r="Q12" s="64" t="e">
        <f t="shared" si="8"/>
        <v>#VALUE!</v>
      </c>
      <c r="R12" s="64">
        <f t="shared" si="9"/>
        <v>22</v>
      </c>
      <c r="S12" s="64" t="str">
        <f>IFERROR(VLOOKUP(MID(N12,Q12,R12-Q12),[5]skilldef!$C:$D,2,FALSE),"-") &amp; " / " &amp; IFERROR(VLOOKUP(MID(N12,O12,P12-O12),[5]skilldef!$A:$B,2,FALSE),"-")</f>
        <v>- / 連続攻撃</v>
      </c>
      <c r="T12" s="48" t="str">
        <f t="shared" si="10"/>
        <v>none</v>
      </c>
      <c r="U12" s="64" t="e">
        <f t="shared" si="11"/>
        <v>#VALUE!</v>
      </c>
      <c r="V12" s="64">
        <f t="shared" si="12"/>
        <v>4</v>
      </c>
      <c r="W12" s="64" t="e">
        <f t="shared" si="13"/>
        <v>#VALUE!</v>
      </c>
      <c r="X12" s="64" t="e">
        <f t="shared" si="14"/>
        <v>#VALUE!</v>
      </c>
      <c r="Y12" s="64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113">
        <v>65530011</v>
      </c>
      <c r="B13" s="47" t="s">
        <v>277</v>
      </c>
      <c r="C13" s="50">
        <v>1</v>
      </c>
      <c r="D13" s="50" t="s">
        <v>127</v>
      </c>
      <c r="E13" s="51" t="s">
        <v>309</v>
      </c>
      <c r="F13" s="51" t="s">
        <v>307</v>
      </c>
      <c r="G13" s="64" t="str">
        <f t="shared" si="0"/>
        <v>[effect:enemy_message, val1:2, val2:1.8,]</v>
      </c>
      <c r="H13" s="64">
        <f t="shared" si="1"/>
        <v>9</v>
      </c>
      <c r="I13" s="64">
        <f t="shared" si="2"/>
        <v>22</v>
      </c>
      <c r="J13" s="64" t="e">
        <f t="shared" si="3"/>
        <v>#VALUE!</v>
      </c>
      <c r="K13" s="64">
        <f t="shared" si="4"/>
        <v>30</v>
      </c>
      <c r="L13" s="64" t="str">
        <f>IFERROR(VLOOKUP(MID(G13,J13,K13-J13),[5]skilldef!$C:$D,2,FALSE),"-") &amp; " / " &amp; IFERROR(VLOOKUP(MID(G13,H13,I13-H13),[5]skilldef!$A:$B,2,FALSE),"-")</f>
        <v>- / -</v>
      </c>
      <c r="M13" s="64" t="str">
        <f t="shared" si="5"/>
        <v>[effect:fix_speed, target:enemy_one, turn:3]</v>
      </c>
      <c r="N13" s="48" t="str">
        <f t="shared" si="30"/>
        <v>[effect:fix_speed, target:enemy_one, turn:3]</v>
      </c>
      <c r="O13" s="64">
        <f t="shared" si="6"/>
        <v>9</v>
      </c>
      <c r="P13" s="64">
        <f t="shared" si="7"/>
        <v>18</v>
      </c>
      <c r="Q13" s="64">
        <f t="shared" si="8"/>
        <v>27</v>
      </c>
      <c r="R13" s="64">
        <f t="shared" si="9"/>
        <v>36</v>
      </c>
      <c r="S13" s="64" t="str">
        <f>IFERROR(VLOOKUP(MID(N13,Q13,R13-Q13),[5]skilldef!$C:$D,2,FALSE),"-") &amp; " / " &amp; IFERROR(VLOOKUP(MID(N13,O13,P13-O13),[5]skilldef!$A:$B,2,FALSE),"-")</f>
        <v>敵単体に / 行動値設定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113">
        <v>65530012</v>
      </c>
      <c r="B14" s="47" t="s">
        <v>296</v>
      </c>
      <c r="C14" s="50">
        <v>1</v>
      </c>
      <c r="D14" s="50" t="s">
        <v>127</v>
      </c>
      <c r="E14" s="51" t="s">
        <v>332</v>
      </c>
      <c r="F14" s="51" t="s">
        <v>349</v>
      </c>
      <c r="G14" s="64" t="str">
        <f t="shared" si="0"/>
        <v>[effect:enemy_message, val1:2, val2:1.8]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30</v>
      </c>
      <c r="L14" s="64" t="str">
        <f>IFERROR(VLOOKUP(MID(G14,J14,K14-J14),[5]skilldef!$C:$D,2,FALSE),"-") &amp; " / " &amp; IFERROR(VLOOKUP(MID(G14,H14,I14-H14),[5]skilldef!$A:$B,2,FALSE),"-")</f>
        <v>- / -</v>
      </c>
      <c r="M14" s="64" t="str">
        <f t="shared" si="5"/>
        <v xml:space="preserve">[effect:kamikaze, val:1.5]    </v>
      </c>
      <c r="N14" s="48" t="str">
        <f t="shared" si="30"/>
        <v xml:space="preserve">[effect:kamikaze, val:1.5]    </v>
      </c>
      <c r="O14" s="64">
        <f t="shared" si="6"/>
        <v>9</v>
      </c>
      <c r="P14" s="64">
        <f t="shared" si="7"/>
        <v>17</v>
      </c>
      <c r="Q14" s="64" t="e">
        <f t="shared" si="8"/>
        <v>#VALUE!</v>
      </c>
      <c r="R14" s="64" t="e">
        <f t="shared" si="9"/>
        <v>#VALUE!</v>
      </c>
      <c r="S14" s="64" t="str">
        <f>IFERROR(VLOOKUP(MID(N14,Q14,R14-Q14),[5]skilldef!$C:$D,2,FALSE),"-") &amp; " / " &amp; IFERROR(VLOOKUP(MID(N14,O14,P14-O14),[5]skilldef!$A:$B,2,FALSE),"-")</f>
        <v>- / 自爆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113">
        <v>65530013</v>
      </c>
      <c r="B15" s="47" t="s">
        <v>277</v>
      </c>
      <c r="C15" s="50">
        <v>1</v>
      </c>
      <c r="D15" s="50" t="s">
        <v>127</v>
      </c>
      <c r="E15" s="51" t="s">
        <v>310</v>
      </c>
      <c r="F15" s="51" t="s">
        <v>307</v>
      </c>
      <c r="G15" s="64" t="str">
        <f t="shared" ref="G15:G18" si="31">IFERROR(LEFT(B15,FIND("],",B15)),B15)</f>
        <v>[effect:enemy_message, val1:2, val2:1.8,]</v>
      </c>
      <c r="H15" s="64">
        <f t="shared" ref="H15:H18" si="32">FIND("effect:",G15)+7</f>
        <v>9</v>
      </c>
      <c r="I15" s="64">
        <f t="shared" ref="I15:I18" si="33">IFERROR(FIND(",",G15),LEN(G15))</f>
        <v>22</v>
      </c>
      <c r="J15" s="64" t="e">
        <f t="shared" ref="J15:J18" si="34">FIND("target:",G15)+7</f>
        <v>#VALUE!</v>
      </c>
      <c r="K15" s="64">
        <f t="shared" ref="K15:K18" si="35">FIND(",",G15,I15+1)</f>
        <v>30</v>
      </c>
      <c r="L15" s="64" t="str">
        <f>IFERROR(VLOOKUP(MID(G15,J15,K15-J15),[5]skilldef!$C:$D,2,FALSE),"-") &amp; " / " &amp; IFERROR(VLOOKUP(MID(G15,H15,I15-H15),[5]skilldef!$A:$B,2,FALSE),"-")</f>
        <v>- / -</v>
      </c>
      <c r="M15" s="64" t="str">
        <f t="shared" ref="M15:M18" si="36">IFERROR(RIGHT(B15,LEN(B15)-FIND("],",B15)-1),"none")</f>
        <v>[effect:fix_speed, target:enemy_one, turn:3]</v>
      </c>
      <c r="N15" s="48" t="str">
        <f t="shared" si="30"/>
        <v>[effect:fix_speed, target:enemy_one, turn:3]</v>
      </c>
      <c r="O15" s="64">
        <f t="shared" ref="O15:O18" si="37">FIND("effect:",N15)+7</f>
        <v>9</v>
      </c>
      <c r="P15" s="64">
        <f t="shared" ref="P15:P18" si="38">IFERROR(FIND(",",N15),LEN(N15))</f>
        <v>18</v>
      </c>
      <c r="Q15" s="64">
        <f t="shared" ref="Q15:Q18" si="39">FIND("target:",N15)+7</f>
        <v>27</v>
      </c>
      <c r="R15" s="64">
        <f t="shared" ref="R15:R18" si="40">FIND(",",N15,P15+1)</f>
        <v>36</v>
      </c>
      <c r="S15" s="64" t="str">
        <f>IFERROR(VLOOKUP(MID(N15,Q15,R15-Q15),[5]skilldef!$C:$D,2,FALSE),"-") &amp; " / " &amp; IFERROR(VLOOKUP(MID(N15,O15,P15-O15),[5]skilldef!$A:$B,2,FALSE),"-")</f>
        <v>敵単体に / 行動値設定</v>
      </c>
      <c r="T15" s="48" t="str">
        <f t="shared" ref="T15:T18" si="41">IFERROR(RIGHT(M15,LEN(M15)-FIND("],",M15)-1),"none")</f>
        <v>none</v>
      </c>
      <c r="U15" s="64" t="e">
        <f t="shared" ref="U15:U18" si="42">FIND("effect:",T15)+7</f>
        <v>#VALUE!</v>
      </c>
      <c r="V15" s="64">
        <f t="shared" ref="V15:V18" si="43">IFERROR(FIND(",",T15),LEN(T15))</f>
        <v>4</v>
      </c>
      <c r="W15" s="64" t="e">
        <f t="shared" ref="W15:W18" si="44">FIND("target:",T15)+7</f>
        <v>#VALUE!</v>
      </c>
      <c r="X15" s="64" t="e">
        <f t="shared" ref="X15:X18" si="45">FIND(",",T15,V15+1)</f>
        <v>#VALUE!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113">
        <v>65530014</v>
      </c>
      <c r="B16" s="47" t="s">
        <v>296</v>
      </c>
      <c r="C16" s="50">
        <v>1</v>
      </c>
      <c r="D16" s="50" t="s">
        <v>127</v>
      </c>
      <c r="E16" s="51" t="s">
        <v>313</v>
      </c>
      <c r="F16" s="51" t="s">
        <v>350</v>
      </c>
      <c r="G16" s="64" t="str">
        <f t="shared" si="31"/>
        <v>[effect:enemy_message, val1:2, val2:1.8]</v>
      </c>
      <c r="H16" s="64">
        <f t="shared" si="32"/>
        <v>9</v>
      </c>
      <c r="I16" s="64">
        <f t="shared" si="33"/>
        <v>22</v>
      </c>
      <c r="J16" s="64" t="e">
        <f t="shared" si="34"/>
        <v>#VALUE!</v>
      </c>
      <c r="K16" s="64">
        <f t="shared" si="35"/>
        <v>30</v>
      </c>
      <c r="L16" s="64" t="str">
        <f>IFERROR(VLOOKUP(MID(G16,J16,K16-J16),[5]skilldef!$C:$D,2,FALSE),"-") &amp; " / " &amp; IFERROR(VLOOKUP(MID(G16,H16,I16-H16),[5]skilldef!$A:$B,2,FALSE),"-")</f>
        <v>- / -</v>
      </c>
      <c r="M16" s="64" t="str">
        <f t="shared" si="36"/>
        <v xml:space="preserve">[effect:kamikaze, val:1.5]    </v>
      </c>
      <c r="N16" s="48" t="str">
        <f t="shared" si="30"/>
        <v xml:space="preserve">[effect:kamikaze, val:1.5]    </v>
      </c>
      <c r="O16" s="64">
        <f t="shared" si="37"/>
        <v>9</v>
      </c>
      <c r="P16" s="64">
        <f t="shared" si="38"/>
        <v>17</v>
      </c>
      <c r="Q16" s="64" t="e">
        <f t="shared" si="39"/>
        <v>#VALUE!</v>
      </c>
      <c r="R16" s="64" t="e">
        <f t="shared" si="40"/>
        <v>#VALUE!</v>
      </c>
      <c r="S16" s="64" t="str">
        <f>IFERROR(VLOOKUP(MID(N16,Q16,R16-Q16),[5]skilldef!$C:$D,2,FALSE),"-") &amp; " / " &amp; IFERROR(VLOOKUP(MID(N16,O16,P16-O16),[5]skilldef!$A:$B,2,FALSE),"-")</f>
        <v>- / 自爆</v>
      </c>
      <c r="T16" s="48" t="str">
        <f t="shared" si="41"/>
        <v>none</v>
      </c>
      <c r="U16" s="64" t="e">
        <f t="shared" si="42"/>
        <v>#VALUE!</v>
      </c>
      <c r="V16" s="64">
        <f t="shared" si="43"/>
        <v>4</v>
      </c>
      <c r="W16" s="64" t="e">
        <f t="shared" si="44"/>
        <v>#VALUE!</v>
      </c>
      <c r="X16" s="64" t="e">
        <f t="shared" si="45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113">
        <v>65530015</v>
      </c>
      <c r="B17" s="47" t="s">
        <v>277</v>
      </c>
      <c r="C17" s="50">
        <v>1</v>
      </c>
      <c r="D17" s="50" t="s">
        <v>127</v>
      </c>
      <c r="E17" s="51" t="s">
        <v>317</v>
      </c>
      <c r="F17" s="51" t="s">
        <v>307</v>
      </c>
      <c r="G17" s="64" t="str">
        <f t="shared" si="31"/>
        <v>[effect:enemy_message, val1:2, val2:1.8,]</v>
      </c>
      <c r="H17" s="64">
        <f t="shared" si="32"/>
        <v>9</v>
      </c>
      <c r="I17" s="64">
        <f t="shared" si="33"/>
        <v>22</v>
      </c>
      <c r="J17" s="64" t="e">
        <f t="shared" si="34"/>
        <v>#VALUE!</v>
      </c>
      <c r="K17" s="64">
        <f t="shared" si="35"/>
        <v>30</v>
      </c>
      <c r="L17" s="64" t="str">
        <f>IFERROR(VLOOKUP(MID(G17,J17,K17-J17),[5]skilldef!$C:$D,2,FALSE),"-") &amp; " / " &amp; IFERROR(VLOOKUP(MID(G17,H17,I17-H17),[5]skilldef!$A:$B,2,FALSE),"-")</f>
        <v>- / -</v>
      </c>
      <c r="M17" s="64" t="str">
        <f t="shared" si="36"/>
        <v>[effect:fix_speed, target:enemy_one, turn:3]</v>
      </c>
      <c r="N17" s="48" t="str">
        <f t="shared" si="30"/>
        <v>[effect:fix_speed, target:enemy_one, turn:3]</v>
      </c>
      <c r="O17" s="64">
        <f t="shared" si="37"/>
        <v>9</v>
      </c>
      <c r="P17" s="64">
        <f t="shared" si="38"/>
        <v>18</v>
      </c>
      <c r="Q17" s="64">
        <f t="shared" si="39"/>
        <v>27</v>
      </c>
      <c r="R17" s="64">
        <f t="shared" si="40"/>
        <v>36</v>
      </c>
      <c r="S17" s="64" t="str">
        <f>IFERROR(VLOOKUP(MID(N17,Q17,R17-Q17),[5]skilldef!$C:$D,2,FALSE),"-") &amp; " / " &amp; IFERROR(VLOOKUP(MID(N17,O17,P17-O17),[5]skilldef!$A:$B,2,FALSE),"-")</f>
        <v>敵単体に / 行動値設定</v>
      </c>
      <c r="T17" s="48" t="str">
        <f t="shared" si="41"/>
        <v>none</v>
      </c>
      <c r="U17" s="64" t="e">
        <f t="shared" si="42"/>
        <v>#VALUE!</v>
      </c>
      <c r="V17" s="64">
        <f t="shared" si="43"/>
        <v>4</v>
      </c>
      <c r="W17" s="64" t="e">
        <f t="shared" si="44"/>
        <v>#VALUE!</v>
      </c>
      <c r="X17" s="64" t="e">
        <f t="shared" si="45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113">
        <v>65530016</v>
      </c>
      <c r="B18" s="47" t="s">
        <v>296</v>
      </c>
      <c r="C18" s="50">
        <v>1</v>
      </c>
      <c r="D18" s="50" t="s">
        <v>127</v>
      </c>
      <c r="E18" s="51" t="s">
        <v>327</v>
      </c>
      <c r="F18" s="51" t="s">
        <v>312</v>
      </c>
      <c r="G18" s="64" t="str">
        <f t="shared" si="31"/>
        <v>[effect:enemy_message, val1:2, val2:1.8]</v>
      </c>
      <c r="H18" s="64">
        <f t="shared" si="32"/>
        <v>9</v>
      </c>
      <c r="I18" s="64">
        <f t="shared" si="33"/>
        <v>22</v>
      </c>
      <c r="J18" s="64" t="e">
        <f t="shared" si="34"/>
        <v>#VALUE!</v>
      </c>
      <c r="K18" s="64">
        <f t="shared" si="35"/>
        <v>30</v>
      </c>
      <c r="L18" s="64" t="str">
        <f>IFERROR(VLOOKUP(MID(G18,J18,K18-J18),[5]skilldef!$C:$D,2,FALSE),"-") &amp; " / " &amp; IFERROR(VLOOKUP(MID(G18,H18,I18-H18),[5]skilldef!$A:$B,2,FALSE),"-")</f>
        <v>- / -</v>
      </c>
      <c r="M18" s="64" t="str">
        <f t="shared" si="36"/>
        <v xml:space="preserve">[effect:kamikaze, val:1.5]    </v>
      </c>
      <c r="N18" s="48" t="str">
        <f t="shared" si="30"/>
        <v xml:space="preserve">[effect:kamikaze, val:1.5]    </v>
      </c>
      <c r="O18" s="64">
        <f t="shared" si="37"/>
        <v>9</v>
      </c>
      <c r="P18" s="64">
        <f t="shared" si="38"/>
        <v>17</v>
      </c>
      <c r="Q18" s="64" t="e">
        <f t="shared" si="39"/>
        <v>#VALUE!</v>
      </c>
      <c r="R18" s="64" t="e">
        <f t="shared" si="40"/>
        <v>#VALUE!</v>
      </c>
      <c r="S18" s="64" t="str">
        <f>IFERROR(VLOOKUP(MID(N18,Q18,R18-Q18),[5]skilldef!$C:$D,2,FALSE),"-") &amp; " / " &amp; IFERROR(VLOOKUP(MID(N18,O18,P18-O18),[5]skilldef!$A:$B,2,FALSE),"-")</f>
        <v>- / 自爆</v>
      </c>
      <c r="T18" s="48" t="str">
        <f t="shared" si="41"/>
        <v>none</v>
      </c>
      <c r="U18" s="64" t="e">
        <f t="shared" si="42"/>
        <v>#VALUE!</v>
      </c>
      <c r="V18" s="64">
        <f t="shared" si="43"/>
        <v>4</v>
      </c>
      <c r="W18" s="64" t="e">
        <f t="shared" si="44"/>
        <v>#VALUE!</v>
      </c>
      <c r="X18" s="64" t="e">
        <f t="shared" si="45"/>
        <v>#VALUE!</v>
      </c>
      <c r="Y18" s="64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113">
        <v>65530017</v>
      </c>
      <c r="B19" s="47" t="s">
        <v>279</v>
      </c>
      <c r="C19" s="50">
        <v>1</v>
      </c>
      <c r="D19" s="50" t="s">
        <v>127</v>
      </c>
      <c r="E19" s="51" t="s">
        <v>340</v>
      </c>
      <c r="F19" s="51" t="s">
        <v>275</v>
      </c>
      <c r="G19" s="64" t="str">
        <f t="shared" si="0"/>
        <v>[effect:enemy_message, val1:2, val2:1.8]</v>
      </c>
      <c r="H19" s="64">
        <f t="shared" si="1"/>
        <v>9</v>
      </c>
      <c r="I19" s="64">
        <f t="shared" si="2"/>
        <v>22</v>
      </c>
      <c r="J19" s="64" t="e">
        <f t="shared" si="3"/>
        <v>#VALUE!</v>
      </c>
      <c r="K19" s="64">
        <f t="shared" si="4"/>
        <v>30</v>
      </c>
      <c r="L19" s="64" t="str">
        <f>IFERROR(VLOOKUP(MID(G19,J19,K19-J19),[5]skilldef!$C:$D,2,FALSE),"-") &amp; " / " &amp; IFERROR(VLOOKUP(MID(G19,H19,I19-H19),[5]skilldef!$A:$B,2,FALSE),"-")</f>
        <v>- / -</v>
      </c>
      <c r="M19" s="64" t="str">
        <f t="shared" si="5"/>
        <v xml:space="preserve">[effect:fix_speed, target:enemy_one, turn:2],[effect:change_panel_ratio, turn:-1, block_type:blue, val:0.8, animation:block_incidence04]    </v>
      </c>
      <c r="N19" s="48" t="str">
        <f t="shared" ref="N19:N21" si="46">IFERROR(LEFT(M19,FIND("],",M19)+S33),M19)</f>
        <v>[effect:fix_speed, target:enemy_one, turn:2]</v>
      </c>
      <c r="O19" s="64">
        <f t="shared" si="6"/>
        <v>9</v>
      </c>
      <c r="P19" s="64">
        <f t="shared" si="7"/>
        <v>18</v>
      </c>
      <c r="Q19" s="64">
        <f t="shared" si="8"/>
        <v>27</v>
      </c>
      <c r="R19" s="64">
        <f t="shared" si="9"/>
        <v>36</v>
      </c>
      <c r="S19" s="64" t="str">
        <f>IFERROR(VLOOKUP(MID(N19,Q19,R19-Q19),[5]skilldef!$C:$D,2,FALSE),"-") &amp; " / " &amp; IFERROR(VLOOKUP(MID(N19,O19,P19-O19),[5]skilldef!$A:$B,2,FALSE),"-")</f>
        <v>敵単体に / 行動値設定</v>
      </c>
      <c r="T19" s="48" t="str">
        <f t="shared" si="10"/>
        <v xml:space="preserve">[effect:change_panel_ratio, turn:-1, block_type:blue, val:0.8, animation:block_incidence04]    </v>
      </c>
      <c r="U19" s="64">
        <f t="shared" si="11"/>
        <v>9</v>
      </c>
      <c r="V19" s="64">
        <f t="shared" si="12"/>
        <v>27</v>
      </c>
      <c r="W19" s="64" t="e">
        <f t="shared" si="13"/>
        <v>#VALUE!</v>
      </c>
      <c r="X19" s="64">
        <f t="shared" si="14"/>
        <v>36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113">
        <v>65530018</v>
      </c>
      <c r="B20" s="47" t="s">
        <v>287</v>
      </c>
      <c r="C20" s="50">
        <v>1</v>
      </c>
      <c r="D20" s="50" t="s">
        <v>127</v>
      </c>
      <c r="E20" s="51" t="s">
        <v>319</v>
      </c>
      <c r="F20" s="51" t="s">
        <v>268</v>
      </c>
      <c r="G20" s="64" t="str">
        <f t="shared" si="0"/>
        <v>[effect:enemy_message, val1:2, val2:1.8]</v>
      </c>
      <c r="H20" s="64">
        <f t="shared" si="1"/>
        <v>9</v>
      </c>
      <c r="I20" s="64">
        <f t="shared" si="2"/>
        <v>22</v>
      </c>
      <c r="J20" s="64" t="e">
        <f t="shared" si="3"/>
        <v>#VALUE!</v>
      </c>
      <c r="K20" s="64">
        <f t="shared" si="4"/>
        <v>30</v>
      </c>
      <c r="L20" s="64" t="str">
        <f>IFERROR(VLOOKUP(MID(G20,J20,K20-J20),[5]skilldef!$C:$D,2,FALSE),"-") &amp; " / " &amp; IFERROR(VLOOKUP(MID(G20,H20,I20-H20),[5]skilldef!$A:$B,2,FALSE),"-")</f>
        <v>- / -</v>
      </c>
      <c r="M20" s="64" t="str">
        <f t="shared" si="5"/>
        <v xml:space="preserve">[effect:force_change_block, new_block:damage, target:block_blue, ignore01:crash, ignore02:crack_bomb, ignore03:damage, count:4, val:0.06, animation:change_block]      </v>
      </c>
      <c r="N20" s="48" t="str">
        <f t="shared" si="46"/>
        <v xml:space="preserve">[effect:force_change_block, new_block:damage, target:block_blue, ignore01:crash, ignore02:crack_bomb, ignore03:damage, count:4, val:0.06, animation:change_block]      </v>
      </c>
      <c r="O20" s="64">
        <f t="shared" si="6"/>
        <v>9</v>
      </c>
      <c r="P20" s="64">
        <f t="shared" si="7"/>
        <v>27</v>
      </c>
      <c r="Q20" s="64">
        <f t="shared" si="8"/>
        <v>54</v>
      </c>
      <c r="R20" s="64">
        <f t="shared" si="9"/>
        <v>45</v>
      </c>
      <c r="S20" s="64" t="str">
        <f>IFERROR(VLOOKUP(MID(N20,Q20,R20-Q20),[5]skilldef!$C:$D,2,FALSE),"-") &amp; " / " &amp; IFERROR(VLOOKUP(MID(N20,O20,P20-O20),[5]skilldef!$A:$B,2,FALSE),"-")</f>
        <v>- / -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113">
        <v>65530019</v>
      </c>
      <c r="B21" s="47" t="s">
        <v>281</v>
      </c>
      <c r="C21" s="50">
        <v>1</v>
      </c>
      <c r="D21" s="50" t="s">
        <v>127</v>
      </c>
      <c r="E21" s="51" t="s">
        <v>341</v>
      </c>
      <c r="F21" s="51" t="s">
        <v>274</v>
      </c>
      <c r="G21" s="64" t="str">
        <f t="shared" si="0"/>
        <v>[effect:enemy_message, val1:2, val2:1.8]</v>
      </c>
      <c r="H21" s="64">
        <f t="shared" si="1"/>
        <v>9</v>
      </c>
      <c r="I21" s="64">
        <f t="shared" si="2"/>
        <v>22</v>
      </c>
      <c r="J21" s="64" t="e">
        <f t="shared" si="3"/>
        <v>#VALUE!</v>
      </c>
      <c r="K21" s="64">
        <f t="shared" si="4"/>
        <v>30</v>
      </c>
      <c r="L21" s="64" t="str">
        <f>IFERROR(VLOOKUP(MID(G21,J21,K21-J21),[5]skilldef!$C:$D,2,FALSE),"-") &amp; " / " &amp; IFERROR(VLOOKUP(MID(G21,H21,I21-H21),[5]skilldef!$A:$B,2,FALSE),"-")</f>
        <v>- / -</v>
      </c>
      <c r="M21" s="64" t="str">
        <f t="shared" si="5"/>
        <v xml:space="preserve">[effect:force_change_block, new_block:damage, target:block_blue, ignore01:crash, ignore02:crack_bomb, ignore03:damage, count:3, val:0.06, animation:change_block]   </v>
      </c>
      <c r="N21" s="48" t="str">
        <f t="shared" si="46"/>
        <v xml:space="preserve">[effect:force_change_block, new_block:damage, target:block_blue, ignore01:crash, ignore02:crack_bomb, ignore03:damage, count:3, val:0.06, animation:change_block]   </v>
      </c>
      <c r="O21" s="64">
        <f t="shared" si="6"/>
        <v>9</v>
      </c>
      <c r="P21" s="64">
        <f t="shared" si="7"/>
        <v>27</v>
      </c>
      <c r="Q21" s="64">
        <f t="shared" si="8"/>
        <v>54</v>
      </c>
      <c r="R21" s="64">
        <f t="shared" si="9"/>
        <v>45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si="10"/>
        <v>none</v>
      </c>
      <c r="U21" s="64" t="e">
        <f t="shared" si="11"/>
        <v>#VALUE!</v>
      </c>
      <c r="V21" s="64">
        <f t="shared" si="12"/>
        <v>4</v>
      </c>
      <c r="W21" s="64" t="e">
        <f t="shared" si="13"/>
        <v>#VALUE!</v>
      </c>
      <c r="X21" s="64" t="e">
        <f t="shared" si="14"/>
        <v>#VALUE!</v>
      </c>
      <c r="Y21" s="64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113">
        <v>65530020</v>
      </c>
      <c r="B22" s="47" t="s">
        <v>302</v>
      </c>
      <c r="C22" s="50">
        <v>1</v>
      </c>
      <c r="D22" s="50" t="s">
        <v>127</v>
      </c>
      <c r="E22" s="51" t="s">
        <v>325</v>
      </c>
      <c r="F22" s="51" t="s">
        <v>297</v>
      </c>
      <c r="G22" s="64" t="str">
        <f t="shared" si="0"/>
        <v>[effect:enemy_message, val1:2, val2:1.8]</v>
      </c>
      <c r="H22" s="64">
        <f t="shared" ref="H22" si="47">FIND("effect:",G22)+7</f>
        <v>9</v>
      </c>
      <c r="I22" s="64">
        <f t="shared" si="2"/>
        <v>22</v>
      </c>
      <c r="J22" s="64" t="e">
        <f t="shared" si="3"/>
        <v>#VALUE!</v>
      </c>
      <c r="K22" s="64">
        <f t="shared" si="4"/>
        <v>30</v>
      </c>
      <c r="L22" s="64" t="str">
        <f>IFERROR(VLOOKUP(MID(G22,J22,K22-J22),[5]skilldef!$C:$D,2,FALSE),"-") &amp; " / " &amp; IFERROR(VLOOKUP(MID(G22,H22,I22-H22),[5]skilldef!$A:$B,2,FALSE),"-")</f>
        <v>- / -</v>
      </c>
      <c r="M22" s="64" t="str">
        <f t="shared" si="5"/>
        <v>[effect:rush, count:6, val:0.18],[effect:force_change_block, new_block:damage, target:block_blue, ignore01:crash, ignore02:crack_bomb, ignore03:damage, count:2, val:0.06, animation:change_block]</v>
      </c>
      <c r="N22" s="48" t="str">
        <f t="shared" ref="N22" si="48">IFERROR(LEFT(M22,FIND("],",M22)+S35),M22)</f>
        <v>[effect:rush, count:6, val:0.18]</v>
      </c>
      <c r="O22" s="64">
        <f t="shared" ref="O22" si="49">FIND("effect:",N22)+7</f>
        <v>9</v>
      </c>
      <c r="P22" s="64">
        <f t="shared" si="7"/>
        <v>13</v>
      </c>
      <c r="Q22" s="64" t="e">
        <f t="shared" si="8"/>
        <v>#VALUE!</v>
      </c>
      <c r="R22" s="64">
        <f t="shared" si="9"/>
        <v>22</v>
      </c>
      <c r="S22" s="64" t="str">
        <f>IFERROR(VLOOKUP(MID(N22,Q22,R22-Q22),[5]skilldef!$C:$D,2,FALSE),"-") &amp; " / " &amp; IFERROR(VLOOKUP(MID(N22,O22,P22-O22),[5]skilldef!$A:$B,2,FALSE),"-")</f>
        <v>- / 連続攻撃</v>
      </c>
      <c r="T22" s="48" t="str">
        <f t="shared" si="10"/>
        <v>[effect:force_change_block, new_block:damage, target:block_blue, ignore01:crash, ignore02:crack_bomb, ignore03:damage, count:2, val:0.06, animation:change_block]</v>
      </c>
      <c r="U22" s="64">
        <f t="shared" ref="U22" si="50">FIND("effect:",T22)+7</f>
        <v>9</v>
      </c>
      <c r="V22" s="64">
        <f t="shared" si="12"/>
        <v>27</v>
      </c>
      <c r="W22" s="64">
        <f t="shared" si="13"/>
        <v>54</v>
      </c>
      <c r="X22" s="64">
        <f t="shared" si="14"/>
        <v>45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113">
        <v>65530021</v>
      </c>
      <c r="B23" s="47" t="s">
        <v>291</v>
      </c>
      <c r="C23" s="50">
        <v>1</v>
      </c>
      <c r="D23" s="50" t="s">
        <v>127</v>
      </c>
      <c r="E23" s="51" t="s">
        <v>314</v>
      </c>
      <c r="F23" s="51" t="s">
        <v>292</v>
      </c>
      <c r="G23" s="64" t="str">
        <f t="shared" ref="G23" si="51">IFERROR(LEFT(B23,FIND("],",B23)),B23)</f>
        <v>[effect:enemy_message, val1:2, val2:1.8]</v>
      </c>
      <c r="H23" s="64">
        <f t="shared" ref="H23" si="52">FIND("effect:",G23)+7</f>
        <v>9</v>
      </c>
      <c r="I23" s="64">
        <f t="shared" ref="I23" si="53">IFERROR(FIND(",",G23),LEN(G23))</f>
        <v>22</v>
      </c>
      <c r="J23" s="64" t="e">
        <f t="shared" ref="J23" si="54">FIND("target:",G23)+7</f>
        <v>#VALUE!</v>
      </c>
      <c r="K23" s="64">
        <f t="shared" ref="K23" si="55">FIND(",",G23,I23+1)</f>
        <v>30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 t="shared" ref="M23" si="56">IFERROR(RIGHT(B23,LEN(B23)-FIND("],",B23)-1),"none")</f>
        <v xml:space="preserve">[effect:sleep, target:unit_one, turn:2, rate:1, animation:sleep01]    </v>
      </c>
      <c r="N23" s="48" t="str">
        <f t="shared" ref="N23" si="57">IFERROR(LEFT(M23,FIND("],",M23)+S36),M23)</f>
        <v xml:space="preserve">[effect:sleep, target:unit_one, turn:2, rate:1, animation:sleep01]    </v>
      </c>
      <c r="O23" s="64">
        <f t="shared" ref="O23" si="58">FIND("effect:",N23)+7</f>
        <v>9</v>
      </c>
      <c r="P23" s="64">
        <f t="shared" ref="P23" si="59">IFERROR(FIND(",",N23),LEN(N23))</f>
        <v>14</v>
      </c>
      <c r="Q23" s="64">
        <f t="shared" ref="Q23" si="60">FIND("target:",N23)+7</f>
        <v>23</v>
      </c>
      <c r="R23" s="64">
        <f t="shared" ref="R23" si="61">FIND(",",N23,P23+1)</f>
        <v>31</v>
      </c>
      <c r="S23" s="64" t="str">
        <f>IFERROR(VLOOKUP(MID(N23,Q23,R23-Q23),[5]skilldef!$C:$D,2,FALSE),"-") &amp; " / " &amp; IFERROR(VLOOKUP(MID(N23,O23,P23-O23),[5]skilldef!$A:$B,2,FALSE),"-")</f>
        <v>味方単体に / スリープ</v>
      </c>
      <c r="T23" s="48" t="str">
        <f t="shared" ref="T23" si="62">IFERROR(RIGHT(M23,LEN(M23)-FIND("],",M23)-1),"none")</f>
        <v>none</v>
      </c>
      <c r="U23" s="64" t="e">
        <f t="shared" ref="U23" si="63">FIND("effect:",T23)+7</f>
        <v>#VALUE!</v>
      </c>
      <c r="V23" s="64">
        <f t="shared" ref="V23" si="64">IFERROR(FIND(",",T23),LEN(T23))</f>
        <v>4</v>
      </c>
      <c r="W23" s="64" t="e">
        <f t="shared" ref="W23" si="65">FIND("target:",T23)+7</f>
        <v>#VALUE!</v>
      </c>
      <c r="X23" s="64" t="e">
        <f t="shared" ref="X23" si="66">FIND(",",T23,V23+1)</f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113">
        <v>65530022</v>
      </c>
      <c r="B24" s="47" t="s">
        <v>295</v>
      </c>
      <c r="C24" s="50">
        <v>1</v>
      </c>
      <c r="D24" s="50" t="s">
        <v>127</v>
      </c>
      <c r="E24" s="51" t="s">
        <v>326</v>
      </c>
      <c r="F24" s="51" t="s">
        <v>290</v>
      </c>
      <c r="G24" s="64" t="str">
        <f t="shared" ref="G24:G31" si="67">IFERROR(LEFT(B24,FIND("],",B24)),B24)</f>
        <v>[effect:enemy_message, val1:2, val2:1.8]</v>
      </c>
      <c r="H24" s="64">
        <f t="shared" si="1"/>
        <v>9</v>
      </c>
      <c r="I24" s="64">
        <f t="shared" ref="I24:I31" si="68">IFERROR(FIND(",",G24),LEN(G24))</f>
        <v>22</v>
      </c>
      <c r="J24" s="64" t="e">
        <f t="shared" ref="J24:J31" si="69">FIND("target:",G24)+7</f>
        <v>#VALUE!</v>
      </c>
      <c r="K24" s="64">
        <f t="shared" ref="K24:K31" si="70">FIND(",",G24,I24+1)</f>
        <v>30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 t="shared" ref="M24:M31" si="71">IFERROR(RIGHT(B24,LEN(B24)-FIND("],",B24)-1),"none")</f>
        <v xml:space="preserve">[effect:force_change_block, new_block:damage, target:block_blue, ignore01:crash, ignore02:crack_bomb, ignore03:damage, count:2, val:0.06, animation:change_block],[effect:critical, val:1.2, animation:enemy_critical]    </v>
      </c>
      <c r="N24" s="48" t="str">
        <f>IFERROR(LEFT(M24,FIND("],",M24)+S36),M24)</f>
        <v>[effect:force_change_block, new_block:damage, target:block_blue, ignore01:crash, ignore02:crack_bomb, ignore03:damage, count:2, val:0.06, animation:change_block]</v>
      </c>
      <c r="O24" s="64">
        <f t="shared" si="6"/>
        <v>9</v>
      </c>
      <c r="P24" s="64">
        <f t="shared" ref="P24:P31" si="72">IFERROR(FIND(",",N24),LEN(N24))</f>
        <v>27</v>
      </c>
      <c r="Q24" s="64">
        <f t="shared" ref="Q24:Q31" si="73">FIND("target:",N24)+7</f>
        <v>54</v>
      </c>
      <c r="R24" s="64">
        <f t="shared" ref="R24:R31" si="74">FIND(",",N24,P24+1)</f>
        <v>45</v>
      </c>
      <c r="S24" s="64" t="str">
        <f>IFERROR(VLOOKUP(MID(N24,Q24,R24-Q24),[5]skilldef!$C:$D,2,FALSE),"-") &amp; " / " &amp; IFERROR(VLOOKUP(MID(N24,O24,P24-O24),[5]skilldef!$A:$B,2,FALSE),"-")</f>
        <v>- / -</v>
      </c>
      <c r="T24" s="48" t="str">
        <f t="shared" ref="T24:T31" si="75">IFERROR(RIGHT(M24,LEN(M24)-FIND("],",M24)-1),"none")</f>
        <v xml:space="preserve">[effect:critical, val:1.2, animation:enemy_critical]    </v>
      </c>
      <c r="U24" s="64">
        <f t="shared" si="11"/>
        <v>9</v>
      </c>
      <c r="V24" s="64">
        <f t="shared" ref="V24:V31" si="76">IFERROR(FIND(",",T24),LEN(T24))</f>
        <v>17</v>
      </c>
      <c r="W24" s="64" t="e">
        <f t="shared" ref="W24:W31" si="77">FIND("target:",T24)+7</f>
        <v>#VALUE!</v>
      </c>
      <c r="X24" s="64">
        <f t="shared" ref="X24:X31" si="78">FIND(",",T24,V24+1)</f>
        <v>26</v>
      </c>
      <c r="Y24" s="64" t="str">
        <f>IFERROR(VLOOKUP(MID(T24,W24,X24-W24),[5]skilldef!$C:$D,2,FALSE),"-") &amp; " / " &amp; IFERROR(VLOOKUP(MID(T24,U24,V24-U24),[5]skilldef!$A:$B,2,FALSE),"-")</f>
        <v>- / 大攻撃</v>
      </c>
      <c r="Z24" s="50"/>
      <c r="AA24" s="52"/>
      <c r="AB24" s="50"/>
    </row>
    <row r="25" spans="1:28" ht="21" customHeight="1" x14ac:dyDescent="0.15">
      <c r="A25" s="113">
        <v>65530023</v>
      </c>
      <c r="B25" s="47" t="s">
        <v>278</v>
      </c>
      <c r="C25" s="50">
        <v>1</v>
      </c>
      <c r="D25" s="50" t="s">
        <v>127</v>
      </c>
      <c r="E25" s="51" t="s">
        <v>322</v>
      </c>
      <c r="F25" s="51" t="s">
        <v>329</v>
      </c>
      <c r="G25" s="64" t="str">
        <f t="shared" si="67"/>
        <v>[effect:enemy_message, val1:2, val2:1.8]</v>
      </c>
      <c r="H25" s="64">
        <f t="shared" si="1"/>
        <v>9</v>
      </c>
      <c r="I25" s="64">
        <f t="shared" si="68"/>
        <v>22</v>
      </c>
      <c r="J25" s="64" t="e">
        <f t="shared" si="69"/>
        <v>#VALUE!</v>
      </c>
      <c r="K25" s="64">
        <f t="shared" si="70"/>
        <v>30</v>
      </c>
      <c r="L25" s="64" t="str">
        <f>IFERROR(VLOOKUP(MID(G25,J25,K25-J25),[5]skilldef!$C:$D,2,FALSE),"-") &amp; " / " &amp; IFERROR(VLOOKUP(MID(G25,H25,I25-H25),[5]skilldef!$A:$B,2,FALSE),"-")</f>
        <v>- / -</v>
      </c>
      <c r="M25" s="64" t="str">
        <f t="shared" si="71"/>
        <v xml:space="preserve">[effect:fix_speed, target:enemy_one, turn:1],[effect:tolerance, target:enemy_one, turn:-1, count:-1, tolerance_effect:all, animation:enemy_tolerance]    </v>
      </c>
      <c r="N25" s="48" t="str">
        <f>IFERROR(LEFT(M25,FIND("],",M25)+S37),M25)</f>
        <v>[effect:fix_speed, target:enemy_one, turn:1]</v>
      </c>
      <c r="O25" s="64">
        <f t="shared" si="6"/>
        <v>9</v>
      </c>
      <c r="P25" s="64">
        <f t="shared" si="72"/>
        <v>18</v>
      </c>
      <c r="Q25" s="64">
        <f t="shared" si="73"/>
        <v>27</v>
      </c>
      <c r="R25" s="64">
        <f t="shared" si="74"/>
        <v>36</v>
      </c>
      <c r="S25" s="64" t="str">
        <f>IFERROR(VLOOKUP(MID(N25,Q25,R25-Q25),[5]skilldef!$C:$D,2,FALSE),"-") &amp; " / " &amp; IFERROR(VLOOKUP(MID(N25,O25,P25-O25),[5]skilldef!$A:$B,2,FALSE),"-")</f>
        <v>敵単体に / 行動値設定</v>
      </c>
      <c r="T25" s="48" t="str">
        <f t="shared" si="75"/>
        <v xml:space="preserve">[effect:tolerance, target:enemy_one, turn:-1, count:-1, tolerance_effect:all, animation:enemy_tolerance]    </v>
      </c>
      <c r="U25" s="64">
        <f t="shared" si="11"/>
        <v>9</v>
      </c>
      <c r="V25" s="64">
        <f t="shared" si="76"/>
        <v>18</v>
      </c>
      <c r="W25" s="64">
        <f t="shared" si="77"/>
        <v>27</v>
      </c>
      <c r="X25" s="64">
        <f t="shared" si="78"/>
        <v>36</v>
      </c>
      <c r="Y25" s="64" t="str">
        <f>IFERROR(VLOOKUP(MID(T25,W25,X25-W25),[5]skilldef!$C:$D,2,FALSE),"-") &amp; " / " &amp; IFERROR(VLOOKUP(MID(T25,U25,V25-U25),[5]skilldef!$A:$B,2,FALSE),"-")</f>
        <v>敵単体に / 状態異常耐性</v>
      </c>
      <c r="Z25" s="50"/>
      <c r="AA25" s="52"/>
      <c r="AB25" s="50"/>
    </row>
    <row r="26" spans="1:28" ht="21" customHeight="1" x14ac:dyDescent="0.15">
      <c r="A26" s="113">
        <v>65530024</v>
      </c>
      <c r="B26" s="47" t="s">
        <v>282</v>
      </c>
      <c r="C26" s="50">
        <v>1</v>
      </c>
      <c r="D26" s="50" t="s">
        <v>127</v>
      </c>
      <c r="E26" s="51" t="s">
        <v>342</v>
      </c>
      <c r="F26" s="51" t="s">
        <v>268</v>
      </c>
      <c r="G26" s="64" t="str">
        <f t="shared" si="67"/>
        <v>[effect:enemy_message, val1:2, val2:1.8]</v>
      </c>
      <c r="H26" s="64">
        <f t="shared" si="1"/>
        <v>9</v>
      </c>
      <c r="I26" s="64">
        <f t="shared" si="68"/>
        <v>22</v>
      </c>
      <c r="J26" s="64" t="e">
        <f t="shared" si="69"/>
        <v>#VALUE!</v>
      </c>
      <c r="K26" s="64">
        <f t="shared" si="70"/>
        <v>30</v>
      </c>
      <c r="L26" s="64" t="str">
        <f>IFERROR(VLOOKUP(MID(G26,J26,K26-J26),[5]skilldef!$C:$D,2,FALSE),"-") &amp; " / " &amp; IFERROR(VLOOKUP(MID(G26,H26,I26-H26),[5]skilldef!$A:$B,2,FALSE),"-")</f>
        <v>- / -</v>
      </c>
      <c r="M26" s="64" t="str">
        <f t="shared" si="71"/>
        <v xml:space="preserve">[effect:force_change_block, new_block:damage, target:block_blue, ignore01:crash, ignore02:crack_bomb, ignore03:damage, count:4, val:0.06, animation:change_block]   </v>
      </c>
      <c r="N26" s="48" t="str">
        <f>IFERROR(LEFT(M26,FIND("],",M26)+S38),M26)</f>
        <v xml:space="preserve">[effect:force_change_block, new_block:damage, target:block_blue, ignore01:crash, ignore02:crack_bomb, ignore03:damage, count:4, val:0.06, animation:change_block]   </v>
      </c>
      <c r="O26" s="64">
        <f t="shared" si="6"/>
        <v>9</v>
      </c>
      <c r="P26" s="64">
        <f t="shared" si="72"/>
        <v>27</v>
      </c>
      <c r="Q26" s="64">
        <f t="shared" si="73"/>
        <v>54</v>
      </c>
      <c r="R26" s="64">
        <f t="shared" si="74"/>
        <v>45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si="75"/>
        <v>none</v>
      </c>
      <c r="U26" s="64" t="e">
        <f t="shared" si="11"/>
        <v>#VALUE!</v>
      </c>
      <c r="V26" s="64">
        <f t="shared" si="76"/>
        <v>4</v>
      </c>
      <c r="W26" s="64" t="e">
        <f t="shared" si="77"/>
        <v>#VALUE!</v>
      </c>
      <c r="X26" s="64" t="e">
        <f t="shared" si="78"/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113">
        <v>65530025</v>
      </c>
      <c r="B27" s="47" t="s">
        <v>281</v>
      </c>
      <c r="C27" s="50">
        <v>1</v>
      </c>
      <c r="D27" s="50" t="s">
        <v>127</v>
      </c>
      <c r="E27" s="51" t="s">
        <v>343</v>
      </c>
      <c r="F27" s="51" t="s">
        <v>274</v>
      </c>
      <c r="G27" s="64" t="str">
        <f t="shared" si="67"/>
        <v>[effect:enemy_message, val1:2, val2:1.8]</v>
      </c>
      <c r="H27" s="64">
        <f t="shared" si="1"/>
        <v>9</v>
      </c>
      <c r="I27" s="64">
        <f t="shared" si="68"/>
        <v>22</v>
      </c>
      <c r="J27" s="64" t="e">
        <f t="shared" si="69"/>
        <v>#VALUE!</v>
      </c>
      <c r="K27" s="64">
        <f t="shared" si="70"/>
        <v>30</v>
      </c>
      <c r="L27" s="64" t="str">
        <f>IFERROR(VLOOKUP(MID(G27,J27,K27-J27),[5]skilldef!$C:$D,2,FALSE),"-") &amp; " / " &amp; IFERROR(VLOOKUP(MID(G27,H27,I27-H27),[5]skilldef!$A:$B,2,FALSE),"-")</f>
        <v>- / -</v>
      </c>
      <c r="M27" s="64" t="str">
        <f t="shared" si="71"/>
        <v xml:space="preserve">[effect:force_change_block, new_block:damage, target:block_blue, ignore01:crash, ignore02:crack_bomb, ignore03:damage, count:3, val:0.06, animation:change_block]   </v>
      </c>
      <c r="N27" s="48" t="str">
        <f>IFERROR(LEFT(M27,FIND("],",M27)+S39),M27)</f>
        <v xml:space="preserve">[effect:force_change_block, new_block:damage, target:block_blue, ignore01:crash, ignore02:crack_bomb, ignore03:damage, count:3, val:0.06, animation:change_block]   </v>
      </c>
      <c r="O27" s="64">
        <f t="shared" si="6"/>
        <v>9</v>
      </c>
      <c r="P27" s="64">
        <f t="shared" si="72"/>
        <v>27</v>
      </c>
      <c r="Q27" s="64">
        <f t="shared" si="73"/>
        <v>54</v>
      </c>
      <c r="R27" s="64">
        <f t="shared" si="74"/>
        <v>45</v>
      </c>
      <c r="S27" s="64" t="str">
        <f>IFERROR(VLOOKUP(MID(N27,Q27,R27-Q27),[5]skilldef!$C:$D,2,FALSE),"-") &amp; " / " &amp; IFERROR(VLOOKUP(MID(N27,O27,P27-O27),[5]skilldef!$A:$B,2,FALSE),"-")</f>
        <v>- / -</v>
      </c>
      <c r="T27" s="48" t="str">
        <f t="shared" si="75"/>
        <v>none</v>
      </c>
      <c r="U27" s="64" t="e">
        <f t="shared" si="11"/>
        <v>#VALUE!</v>
      </c>
      <c r="V27" s="64">
        <f t="shared" si="76"/>
        <v>4</v>
      </c>
      <c r="W27" s="64" t="e">
        <f t="shared" si="77"/>
        <v>#VALUE!</v>
      </c>
      <c r="X27" s="64" t="e">
        <f t="shared" si="78"/>
        <v>#VALUE!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113">
        <v>65530026</v>
      </c>
      <c r="B28" s="47" t="s">
        <v>305</v>
      </c>
      <c r="C28" s="50">
        <v>1</v>
      </c>
      <c r="D28" s="50" t="s">
        <v>127</v>
      </c>
      <c r="E28" s="51" t="s">
        <v>324</v>
      </c>
      <c r="F28" s="51" t="s">
        <v>304</v>
      </c>
      <c r="G28" s="64" t="str">
        <f t="shared" ref="G28:G29" si="79">IFERROR(LEFT(B28,FIND("],",B28)),B28)</f>
        <v>[effect:enemy_message, val1:2, val2:1.8]</v>
      </c>
      <c r="H28" s="64">
        <f t="shared" ref="H28:H29" si="80">FIND("effect:",G28)+7</f>
        <v>9</v>
      </c>
      <c r="I28" s="64">
        <f t="shared" ref="I28:I29" si="81">IFERROR(FIND(",",G28),LEN(G28))</f>
        <v>22</v>
      </c>
      <c r="J28" s="64" t="e">
        <f t="shared" ref="J28:J29" si="82">FIND("target:",G28)+7</f>
        <v>#VALUE!</v>
      </c>
      <c r="K28" s="64">
        <f t="shared" ref="K28:K29" si="83">FIND(",",G28,I28+1)</f>
        <v>30</v>
      </c>
      <c r="L28" s="64" t="str">
        <f>IFERROR(VLOOKUP(MID(G28,J28,K28-J28),[5]skilldef!$C:$D,2,FALSE),"-") &amp; " / " &amp; IFERROR(VLOOKUP(MID(G28,H28,I28-H28),[5]skilldef!$A:$B,2,FALSE),"-")</f>
        <v>- / -</v>
      </c>
      <c r="M28" s="64" t="str">
        <f t="shared" ref="M28:M29" si="84">IFERROR(RIGHT(B28,LEN(B28)-FIND("],",B28)-1),"none")</f>
        <v xml:space="preserve">[effect:force_change_block, new_block:damage, target:block_blue, ignore01:crash, ignore02:crack_bomb, ignore03:damage, count:2, val:0.06, animation:change_block],[effect:rush, count:1, val:0.9]    </v>
      </c>
      <c r="N28" s="48" t="str">
        <f>IFERROR(LEFT(M28,FIND("],",M28)+S40),M28)</f>
        <v>[effect:force_change_block, new_block:damage, target:block_blue, ignore01:crash, ignore02:crack_bomb, ignore03:damage, count:2, val:0.06, animation:change_block]</v>
      </c>
      <c r="O28" s="64">
        <f t="shared" ref="O28:O29" si="85">FIND("effect:",N28)+7</f>
        <v>9</v>
      </c>
      <c r="P28" s="64">
        <f t="shared" ref="P28:P29" si="86">IFERROR(FIND(",",N28),LEN(N28))</f>
        <v>27</v>
      </c>
      <c r="Q28" s="64">
        <f t="shared" ref="Q28:Q29" si="87">FIND("target:",N28)+7</f>
        <v>54</v>
      </c>
      <c r="R28" s="64">
        <f t="shared" ref="R28:R29" si="88">FIND(",",N28,P28+1)</f>
        <v>45</v>
      </c>
      <c r="S28" s="64" t="str">
        <f>IFERROR(VLOOKUP(MID(N28,Q28,R28-Q28),[5]skilldef!$C:$D,2,FALSE),"-") &amp; " / " &amp; IFERROR(VLOOKUP(MID(N28,O28,P28-O28),[5]skilldef!$A:$B,2,FALSE),"-")</f>
        <v>- / -</v>
      </c>
      <c r="T28" s="48" t="str">
        <f t="shared" ref="T28:T29" si="89">IFERROR(RIGHT(M28,LEN(M28)-FIND("],",M28)-1),"none")</f>
        <v xml:space="preserve">[effect:rush, count:1, val:0.9]    </v>
      </c>
      <c r="U28" s="64">
        <f t="shared" ref="U28:U29" si="90">FIND("effect:",T28)+7</f>
        <v>9</v>
      </c>
      <c r="V28" s="64">
        <f t="shared" ref="V28:V29" si="91">IFERROR(FIND(",",T28),LEN(T28))</f>
        <v>13</v>
      </c>
      <c r="W28" s="64" t="e">
        <f t="shared" ref="W28:W29" si="92">FIND("target:",T28)+7</f>
        <v>#VALUE!</v>
      </c>
      <c r="X28" s="64">
        <f t="shared" ref="X28:X29" si="93">FIND(",",T28,V28+1)</f>
        <v>22</v>
      </c>
      <c r="Y28" s="64" t="str">
        <f>IFERROR(VLOOKUP(MID(T28,W28,X28-W28),[5]skilldef!$C:$D,2,FALSE),"-") &amp; " / " &amp; IFERROR(VLOOKUP(MID(T28,U28,V28-U28),[5]skilldef!$A:$B,2,FALSE),"-")</f>
        <v>- / 連続攻撃</v>
      </c>
      <c r="Z28" s="50"/>
      <c r="AA28" s="52"/>
      <c r="AB28" s="50"/>
    </row>
    <row r="29" spans="1:28" ht="21" customHeight="1" x14ac:dyDescent="0.15">
      <c r="A29" s="113">
        <v>65530027</v>
      </c>
      <c r="B29" s="47" t="s">
        <v>283</v>
      </c>
      <c r="C29" s="50">
        <v>1</v>
      </c>
      <c r="D29" s="50" t="s">
        <v>127</v>
      </c>
      <c r="E29" s="51" t="s">
        <v>330</v>
      </c>
      <c r="F29" s="51" t="s">
        <v>276</v>
      </c>
      <c r="G29" s="64" t="str">
        <f t="shared" si="79"/>
        <v>[effect:enemy_message, val1:2, val2:1.8]</v>
      </c>
      <c r="H29" s="64">
        <f t="shared" si="80"/>
        <v>9</v>
      </c>
      <c r="I29" s="64">
        <f t="shared" si="81"/>
        <v>22</v>
      </c>
      <c r="J29" s="64" t="e">
        <f t="shared" si="82"/>
        <v>#VALUE!</v>
      </c>
      <c r="K29" s="64">
        <f t="shared" si="83"/>
        <v>30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si="84"/>
        <v xml:space="preserve">[effect:spread, val:0.35]    </v>
      </c>
      <c r="N29" s="48" t="str">
        <f t="shared" ref="N29" si="94">IFERROR(LEFT(M29,FIND("],",M29)+S39),M29)</f>
        <v xml:space="preserve">[effect:spread, val:0.35]    </v>
      </c>
      <c r="O29" s="64">
        <f t="shared" si="85"/>
        <v>9</v>
      </c>
      <c r="P29" s="64">
        <f t="shared" si="86"/>
        <v>15</v>
      </c>
      <c r="Q29" s="64" t="e">
        <f t="shared" si="87"/>
        <v>#VALUE!</v>
      </c>
      <c r="R29" s="64" t="e">
        <f t="shared" si="88"/>
        <v>#VALUE!</v>
      </c>
      <c r="S29" s="64" t="str">
        <f>IFERROR(VLOOKUP(MID(N29,Q29,R29-Q29),[5]skilldef!$C:$D,2,FALSE),"-") &amp; " / " &amp; IFERROR(VLOOKUP(MID(N29,O29,P29-O29),[5]skilldef!$A:$B,2,FALSE),"-")</f>
        <v>- / 全体攻撃</v>
      </c>
      <c r="T29" s="48" t="str">
        <f t="shared" si="89"/>
        <v>none</v>
      </c>
      <c r="U29" s="64" t="e">
        <f t="shared" si="90"/>
        <v>#VALUE!</v>
      </c>
      <c r="V29" s="64">
        <f t="shared" si="91"/>
        <v>4</v>
      </c>
      <c r="W29" s="64" t="e">
        <f t="shared" si="92"/>
        <v>#VALUE!</v>
      </c>
      <c r="X29" s="64" t="e">
        <f t="shared" si="93"/>
        <v>#VALUE!</v>
      </c>
      <c r="Y29" s="64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113">
        <v>65530028</v>
      </c>
      <c r="B30" s="47" t="s">
        <v>306</v>
      </c>
      <c r="C30" s="50">
        <v>1</v>
      </c>
      <c r="D30" s="50" t="s">
        <v>127</v>
      </c>
      <c r="E30" s="51" t="s">
        <v>323</v>
      </c>
      <c r="F30" s="51" t="s">
        <v>303</v>
      </c>
      <c r="G30" s="64" t="str">
        <f t="shared" si="67"/>
        <v>[effect:enemy_message, val1:2, val2:1.8]</v>
      </c>
      <c r="H30" s="64">
        <f t="shared" si="1"/>
        <v>9</v>
      </c>
      <c r="I30" s="64">
        <f t="shared" si="68"/>
        <v>22</v>
      </c>
      <c r="J30" s="64" t="e">
        <f t="shared" si="69"/>
        <v>#VALUE!</v>
      </c>
      <c r="K30" s="64">
        <f t="shared" si="70"/>
        <v>30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si="71"/>
        <v xml:space="preserve">[effect:force_change_block, new_block:damage, target:block_blue, ignore01:crash, ignore02:crack_bomb, ignore03:damage, count:2, val:0.06, animation:change_block],[effect:rush, count:5, val:0.25] </v>
      </c>
      <c r="N30" s="48" t="str">
        <f t="shared" ref="N30:N31" si="95">IFERROR(LEFT(M30,FIND("],",M30)+S40),M30)</f>
        <v>[effect:force_change_block, new_block:damage, target:block_blue, ignore01:crash, ignore02:crack_bomb, ignore03:damage, count:2, val:0.06, animation:change_block]</v>
      </c>
      <c r="O30" s="64">
        <f t="shared" si="6"/>
        <v>9</v>
      </c>
      <c r="P30" s="64">
        <f t="shared" si="72"/>
        <v>27</v>
      </c>
      <c r="Q30" s="64">
        <f t="shared" si="73"/>
        <v>54</v>
      </c>
      <c r="R30" s="64">
        <f t="shared" si="74"/>
        <v>45</v>
      </c>
      <c r="S30" s="64" t="str">
        <f>IFERROR(VLOOKUP(MID(N30,Q30,R30-Q30),[5]skilldef!$C:$D,2,FALSE),"-") &amp; " / " &amp; IFERROR(VLOOKUP(MID(N30,O30,P30-O30),[5]skilldef!$A:$B,2,FALSE),"-")</f>
        <v>- / -</v>
      </c>
      <c r="T30" s="48" t="str">
        <f t="shared" si="75"/>
        <v xml:space="preserve">[effect:rush, count:5, val:0.25] </v>
      </c>
      <c r="U30" s="64">
        <f t="shared" si="11"/>
        <v>9</v>
      </c>
      <c r="V30" s="64">
        <f t="shared" si="76"/>
        <v>13</v>
      </c>
      <c r="W30" s="64" t="e">
        <f t="shared" si="77"/>
        <v>#VALUE!</v>
      </c>
      <c r="X30" s="64">
        <f t="shared" si="78"/>
        <v>22</v>
      </c>
      <c r="Y30" s="64" t="str">
        <f>IFERROR(VLOOKUP(MID(T30,W30,X30-W30),[5]skilldef!$C:$D,2,FALSE),"-") &amp; " / " &amp; IFERROR(VLOOKUP(MID(T30,U30,V30-U30),[5]skilldef!$A:$B,2,FALSE),"-")</f>
        <v>- / 連続攻撃</v>
      </c>
      <c r="Z30" s="50"/>
      <c r="AA30" s="52"/>
      <c r="AB30" s="50"/>
    </row>
    <row r="31" spans="1:28" ht="21" customHeight="1" x14ac:dyDescent="0.15">
      <c r="A31" s="113">
        <v>65530029</v>
      </c>
      <c r="B31" s="47" t="s">
        <v>269</v>
      </c>
      <c r="C31" s="50">
        <v>1</v>
      </c>
      <c r="D31" s="50" t="s">
        <v>127</v>
      </c>
      <c r="E31" s="51" t="s">
        <v>328</v>
      </c>
      <c r="F31" s="51" t="s">
        <v>351</v>
      </c>
      <c r="G31" s="64" t="str">
        <f t="shared" si="67"/>
        <v xml:space="preserve">[effect:enemy_message, val1:2, val2:1.8, dead_type:suicide]    </v>
      </c>
      <c r="H31" s="64">
        <f t="shared" si="1"/>
        <v>9</v>
      </c>
      <c r="I31" s="64">
        <f t="shared" si="68"/>
        <v>22</v>
      </c>
      <c r="J31" s="64" t="e">
        <f t="shared" si="69"/>
        <v>#VALUE!</v>
      </c>
      <c r="K31" s="64">
        <f t="shared" si="70"/>
        <v>30</v>
      </c>
      <c r="L31" s="64" t="str">
        <f>IFERROR(VLOOKUP(MID(G31,J31,K31-J31),[5]skilldef!$C:$D,2,FALSE),"-") &amp; " / " &amp; IFERROR(VLOOKUP(MID(G31,H31,I31-H31),[5]skilldef!$A:$B,2,FALSE),"-")</f>
        <v>- / -</v>
      </c>
      <c r="M31" s="64" t="str">
        <f t="shared" si="71"/>
        <v>none</v>
      </c>
      <c r="N31" s="48" t="str">
        <f t="shared" si="95"/>
        <v>none</v>
      </c>
      <c r="O31" s="64" t="e">
        <f t="shared" si="6"/>
        <v>#VALUE!</v>
      </c>
      <c r="P31" s="64">
        <f t="shared" si="72"/>
        <v>4</v>
      </c>
      <c r="Q31" s="64" t="e">
        <f t="shared" si="73"/>
        <v>#VALUE!</v>
      </c>
      <c r="R31" s="64" t="e">
        <f t="shared" si="74"/>
        <v>#VALUE!</v>
      </c>
      <c r="S31" s="64" t="str">
        <f>IFERROR(VLOOKUP(MID(N31,Q31,R31-Q31),[5]skilldef!$C:$D,2,FALSE),"-") &amp; " / " &amp; IFERROR(VLOOKUP(MID(N31,O31,P31-O31),[5]skilldef!$A:$B,2,FALSE),"-")</f>
        <v>- / -</v>
      </c>
      <c r="T31" s="48" t="str">
        <f t="shared" si="75"/>
        <v>none</v>
      </c>
      <c r="U31" s="64" t="e">
        <f t="shared" si="11"/>
        <v>#VALUE!</v>
      </c>
      <c r="V31" s="64">
        <f t="shared" si="76"/>
        <v>4</v>
      </c>
      <c r="W31" s="64" t="e">
        <f t="shared" si="77"/>
        <v>#VALUE!</v>
      </c>
      <c r="X31" s="64" t="e">
        <f t="shared" si="78"/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31"/>
  <sheetViews>
    <sheetView showGridLines="0" workbookViewId="0">
      <pane ySplit="1" topLeftCell="A2" activePane="bottomLeft" state="frozenSplit"/>
      <selection pane="bottomLeft" activeCell="A23" sqref="A2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27.5" style="45" bestFit="1" customWidth="1"/>
    <col min="13" max="13" width="40.83203125" style="45" bestFit="1" customWidth="1"/>
    <col min="14" max="14" width="23" style="45" bestFit="1" customWidth="1"/>
    <col min="15" max="15" width="40.83203125" style="45" bestFit="1" customWidth="1"/>
    <col min="16" max="16384" width="12.83203125" style="45"/>
  </cols>
  <sheetData>
    <row r="1" spans="1:13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  <c r="L1" s="40" t="s">
        <v>63</v>
      </c>
      <c r="M1" s="40" t="s">
        <v>64</v>
      </c>
    </row>
    <row r="2" spans="1:13" ht="21" customHeight="1" x14ac:dyDescent="0.15">
      <c r="A2" s="112">
        <v>65530000</v>
      </c>
      <c r="B2" s="47">
        <v>1</v>
      </c>
      <c r="C2" s="47">
        <v>100</v>
      </c>
      <c r="D2" s="47">
        <v>100</v>
      </c>
      <c r="E2" s="47" t="s">
        <v>266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100</v>
      </c>
      <c r="L2" s="51" t="s">
        <v>335</v>
      </c>
      <c r="M2" s="51" t="s">
        <v>270</v>
      </c>
    </row>
    <row r="3" spans="1:13" ht="21" customHeight="1" x14ac:dyDescent="0.15">
      <c r="A3" s="113">
        <v>65530001</v>
      </c>
      <c r="B3" s="47">
        <v>0</v>
      </c>
      <c r="C3" s="47">
        <v>90</v>
      </c>
      <c r="D3" s="47">
        <v>100</v>
      </c>
      <c r="E3" s="47" t="s">
        <v>266</v>
      </c>
      <c r="F3" s="47" t="s">
        <v>89</v>
      </c>
      <c r="G3" s="47" t="s">
        <v>266</v>
      </c>
      <c r="H3" s="47">
        <v>2</v>
      </c>
      <c r="I3" s="47" t="s">
        <v>89</v>
      </c>
      <c r="J3" s="48">
        <f t="shared" ref="J3:J22" si="1">D3</f>
        <v>100</v>
      </c>
      <c r="L3" s="51" t="s">
        <v>344</v>
      </c>
      <c r="M3" s="51" t="s">
        <v>271</v>
      </c>
    </row>
    <row r="4" spans="1:13" ht="21" customHeight="1" x14ac:dyDescent="0.15">
      <c r="A4" s="113">
        <v>65530002</v>
      </c>
      <c r="B4" s="47">
        <v>0</v>
      </c>
      <c r="C4" s="47">
        <v>80</v>
      </c>
      <c r="D4" s="47">
        <v>50</v>
      </c>
      <c r="E4" s="47" t="s">
        <v>266</v>
      </c>
      <c r="F4" s="47" t="s">
        <v>53</v>
      </c>
      <c r="G4" s="47" t="s">
        <v>266</v>
      </c>
      <c r="H4" s="47" t="s">
        <v>53</v>
      </c>
      <c r="I4" s="47" t="s">
        <v>53</v>
      </c>
      <c r="J4" s="48">
        <f t="shared" si="1"/>
        <v>50</v>
      </c>
      <c r="L4" s="51" t="s">
        <v>345</v>
      </c>
      <c r="M4" s="51" t="s">
        <v>286</v>
      </c>
    </row>
    <row r="5" spans="1:13" ht="21" customHeight="1" x14ac:dyDescent="0.15">
      <c r="A5" s="113">
        <v>65530003</v>
      </c>
      <c r="B5" s="47">
        <v>0</v>
      </c>
      <c r="C5" s="47">
        <v>70</v>
      </c>
      <c r="D5" s="47">
        <v>80</v>
      </c>
      <c r="E5" s="47" t="s">
        <v>266</v>
      </c>
      <c r="F5" s="47" t="s">
        <v>89</v>
      </c>
      <c r="G5" s="47" t="s">
        <v>266</v>
      </c>
      <c r="H5" s="47" t="s">
        <v>89</v>
      </c>
      <c r="I5" s="47" t="s">
        <v>89</v>
      </c>
      <c r="J5" s="48">
        <f t="shared" si="1"/>
        <v>80</v>
      </c>
      <c r="L5" s="51" t="s">
        <v>334</v>
      </c>
      <c r="M5" s="51" t="s">
        <v>333</v>
      </c>
    </row>
    <row r="6" spans="1:13" ht="21" customHeight="1" x14ac:dyDescent="0.15">
      <c r="A6" s="113">
        <v>65530004</v>
      </c>
      <c r="B6" s="47">
        <v>0</v>
      </c>
      <c r="C6" s="47">
        <v>150</v>
      </c>
      <c r="D6" s="47">
        <v>100</v>
      </c>
      <c r="E6" s="47" t="s">
        <v>53</v>
      </c>
      <c r="F6" s="47" t="s">
        <v>53</v>
      </c>
      <c r="G6" s="47">
        <v>0</v>
      </c>
      <c r="H6" s="47" t="s">
        <v>53</v>
      </c>
      <c r="I6" s="111">
        <v>0</v>
      </c>
      <c r="J6" s="48">
        <f t="shared" si="1"/>
        <v>100</v>
      </c>
      <c r="L6" s="51" t="s">
        <v>337</v>
      </c>
      <c r="M6" s="51"/>
    </row>
    <row r="7" spans="1:13" ht="21" customHeight="1" x14ac:dyDescent="0.15">
      <c r="A7" s="113">
        <v>65530005</v>
      </c>
      <c r="B7" s="47">
        <v>1</v>
      </c>
      <c r="C7" s="47">
        <v>100</v>
      </c>
      <c r="D7" s="47">
        <v>100</v>
      </c>
      <c r="E7" s="47" t="s">
        <v>266</v>
      </c>
      <c r="F7" s="47" t="s">
        <v>89</v>
      </c>
      <c r="G7" s="47">
        <v>1</v>
      </c>
      <c r="H7" s="47" t="s">
        <v>53</v>
      </c>
      <c r="I7" s="47" t="s">
        <v>89</v>
      </c>
      <c r="J7" s="48">
        <f t="shared" si="1"/>
        <v>100</v>
      </c>
      <c r="L7" s="51" t="s">
        <v>339</v>
      </c>
      <c r="M7" s="51" t="s">
        <v>308</v>
      </c>
    </row>
    <row r="8" spans="1:13" ht="21" customHeight="1" x14ac:dyDescent="0.15">
      <c r="A8" s="113">
        <v>65530006</v>
      </c>
      <c r="B8" s="47">
        <v>0</v>
      </c>
      <c r="C8" s="47">
        <v>100</v>
      </c>
      <c r="D8" s="47">
        <v>100</v>
      </c>
      <c r="E8" s="47" t="s">
        <v>266</v>
      </c>
      <c r="F8" s="47" t="s">
        <v>89</v>
      </c>
      <c r="G8" s="47" t="s">
        <v>266</v>
      </c>
      <c r="H8" s="47">
        <v>3</v>
      </c>
      <c r="I8" s="47" t="s">
        <v>89</v>
      </c>
      <c r="J8" s="48">
        <f t="shared" si="1"/>
        <v>100</v>
      </c>
      <c r="L8" s="51" t="s">
        <v>347</v>
      </c>
      <c r="M8" s="51" t="s">
        <v>272</v>
      </c>
    </row>
    <row r="9" spans="1:13" ht="21" customHeight="1" x14ac:dyDescent="0.15">
      <c r="A9" s="113">
        <v>65530007</v>
      </c>
      <c r="B9" s="47">
        <v>0</v>
      </c>
      <c r="C9" s="47">
        <v>80</v>
      </c>
      <c r="D9" s="47">
        <v>70</v>
      </c>
      <c r="E9" s="47" t="s">
        <v>266</v>
      </c>
      <c r="F9" s="47" t="s">
        <v>89</v>
      </c>
      <c r="G9" s="47" t="s">
        <v>266</v>
      </c>
      <c r="H9" s="47" t="s">
        <v>89</v>
      </c>
      <c r="I9" s="47" t="s">
        <v>89</v>
      </c>
      <c r="J9" s="48">
        <f t="shared" si="1"/>
        <v>70</v>
      </c>
      <c r="L9" s="51" t="s">
        <v>331</v>
      </c>
      <c r="M9" s="51" t="s">
        <v>300</v>
      </c>
    </row>
    <row r="10" spans="1:13" ht="21" customHeight="1" x14ac:dyDescent="0.15">
      <c r="A10" s="113">
        <v>65530008</v>
      </c>
      <c r="B10" s="47">
        <v>0</v>
      </c>
      <c r="C10" s="47">
        <v>90</v>
      </c>
      <c r="D10" s="47">
        <v>40</v>
      </c>
      <c r="E10" s="47" t="s">
        <v>266</v>
      </c>
      <c r="F10" s="47" t="s">
        <v>89</v>
      </c>
      <c r="G10" s="47" t="s">
        <v>266</v>
      </c>
      <c r="H10" s="47" t="s">
        <v>89</v>
      </c>
      <c r="I10" s="47" t="s">
        <v>89</v>
      </c>
      <c r="J10" s="48">
        <f t="shared" si="1"/>
        <v>40</v>
      </c>
      <c r="L10" s="51" t="s">
        <v>346</v>
      </c>
      <c r="M10" s="51" t="s">
        <v>288</v>
      </c>
    </row>
    <row r="11" spans="1:13" ht="21" customHeight="1" x14ac:dyDescent="0.15">
      <c r="A11" s="113">
        <v>65530009</v>
      </c>
      <c r="B11" s="47">
        <v>0</v>
      </c>
      <c r="C11" s="47">
        <v>90</v>
      </c>
      <c r="D11" s="47">
        <v>30</v>
      </c>
      <c r="E11" s="47" t="s">
        <v>266</v>
      </c>
      <c r="F11" s="47" t="s">
        <v>53</v>
      </c>
      <c r="G11" s="47" t="s">
        <v>266</v>
      </c>
      <c r="H11" s="47" t="s">
        <v>53</v>
      </c>
      <c r="I11" s="47" t="s">
        <v>53</v>
      </c>
      <c r="J11" s="48">
        <f t="shared" ref="J11" si="2">D11</f>
        <v>30</v>
      </c>
      <c r="L11" s="51" t="s">
        <v>320</v>
      </c>
      <c r="M11" s="51" t="s">
        <v>316</v>
      </c>
    </row>
    <row r="12" spans="1:13" ht="21" customHeight="1" x14ac:dyDescent="0.15">
      <c r="A12" s="113">
        <v>65530010</v>
      </c>
      <c r="B12" s="47">
        <v>0</v>
      </c>
      <c r="C12" s="47">
        <v>100</v>
      </c>
      <c r="D12" s="47">
        <v>35</v>
      </c>
      <c r="E12" s="47" t="s">
        <v>266</v>
      </c>
      <c r="F12" s="47" t="s">
        <v>53</v>
      </c>
      <c r="G12" s="47" t="s">
        <v>266</v>
      </c>
      <c r="H12" s="47" t="s">
        <v>53</v>
      </c>
      <c r="I12" s="47" t="s">
        <v>53</v>
      </c>
      <c r="J12" s="48">
        <f t="shared" si="1"/>
        <v>35</v>
      </c>
      <c r="L12" s="51" t="s">
        <v>321</v>
      </c>
      <c r="M12" s="51" t="s">
        <v>273</v>
      </c>
    </row>
    <row r="13" spans="1:13" ht="21" customHeight="1" x14ac:dyDescent="0.15">
      <c r="A13" s="113">
        <v>65530011</v>
      </c>
      <c r="B13" s="47">
        <v>1</v>
      </c>
      <c r="C13" s="47">
        <v>100</v>
      </c>
      <c r="D13" s="47">
        <v>100</v>
      </c>
      <c r="E13" s="47" t="s">
        <v>266</v>
      </c>
      <c r="F13" s="47" t="s">
        <v>53</v>
      </c>
      <c r="G13" s="47">
        <v>1</v>
      </c>
      <c r="H13" s="47" t="s">
        <v>53</v>
      </c>
      <c r="I13" s="47" t="s">
        <v>53</v>
      </c>
      <c r="J13" s="48">
        <f t="shared" si="1"/>
        <v>100</v>
      </c>
      <c r="L13" s="51" t="s">
        <v>309</v>
      </c>
      <c r="M13" s="51" t="s">
        <v>307</v>
      </c>
    </row>
    <row r="14" spans="1:13" ht="21" customHeight="1" x14ac:dyDescent="0.15">
      <c r="A14" s="113">
        <v>65530012</v>
      </c>
      <c r="B14" s="47">
        <v>0</v>
      </c>
      <c r="C14" s="47">
        <v>90</v>
      </c>
      <c r="D14" s="47">
        <v>100</v>
      </c>
      <c r="E14" s="47" t="s">
        <v>266</v>
      </c>
      <c r="F14" s="47" t="s">
        <v>53</v>
      </c>
      <c r="G14" s="47" t="s">
        <v>266</v>
      </c>
      <c r="H14" s="47" t="s">
        <v>53</v>
      </c>
      <c r="I14" s="47" t="s">
        <v>53</v>
      </c>
      <c r="J14" s="48">
        <f t="shared" si="1"/>
        <v>100</v>
      </c>
      <c r="L14" s="51" t="s">
        <v>332</v>
      </c>
      <c r="M14" s="51" t="s">
        <v>318</v>
      </c>
    </row>
    <row r="15" spans="1:13" ht="21" customHeight="1" x14ac:dyDescent="0.15">
      <c r="A15" s="113">
        <v>65530013</v>
      </c>
      <c r="B15" s="47">
        <v>1</v>
      </c>
      <c r="C15" s="47">
        <v>100</v>
      </c>
      <c r="D15" s="47">
        <v>100</v>
      </c>
      <c r="E15" s="47" t="s">
        <v>169</v>
      </c>
      <c r="F15" s="47" t="s">
        <v>53</v>
      </c>
      <c r="G15" s="47">
        <v>1</v>
      </c>
      <c r="H15" s="47" t="s">
        <v>53</v>
      </c>
      <c r="I15" s="47" t="s">
        <v>53</v>
      </c>
      <c r="J15" s="48">
        <f t="shared" si="1"/>
        <v>100</v>
      </c>
      <c r="L15" s="51" t="s">
        <v>310</v>
      </c>
      <c r="M15" s="51" t="s">
        <v>307</v>
      </c>
    </row>
    <row r="16" spans="1:13" ht="21" customHeight="1" x14ac:dyDescent="0.15">
      <c r="A16" s="113">
        <v>65530014</v>
      </c>
      <c r="B16" s="47">
        <v>0</v>
      </c>
      <c r="C16" s="47">
        <v>90</v>
      </c>
      <c r="D16" s="47">
        <v>100</v>
      </c>
      <c r="E16" s="47" t="s">
        <v>169</v>
      </c>
      <c r="F16" s="47" t="s">
        <v>53</v>
      </c>
      <c r="G16" s="47" t="s">
        <v>169</v>
      </c>
      <c r="H16" s="47" t="s">
        <v>53</v>
      </c>
      <c r="I16" s="47" t="s">
        <v>53</v>
      </c>
      <c r="J16" s="48">
        <f t="shared" si="1"/>
        <v>100</v>
      </c>
      <c r="L16" s="51" t="s">
        <v>313</v>
      </c>
      <c r="M16" s="51" t="s">
        <v>311</v>
      </c>
    </row>
    <row r="17" spans="1:13" ht="21" customHeight="1" x14ac:dyDescent="0.15">
      <c r="A17" s="113">
        <v>65530015</v>
      </c>
      <c r="B17" s="47">
        <v>1</v>
      </c>
      <c r="C17" s="47">
        <v>100</v>
      </c>
      <c r="D17" s="47">
        <v>100</v>
      </c>
      <c r="E17" s="47" t="s">
        <v>169</v>
      </c>
      <c r="F17" s="47" t="s">
        <v>53</v>
      </c>
      <c r="G17" s="47">
        <v>1</v>
      </c>
      <c r="H17" s="47" t="s">
        <v>53</v>
      </c>
      <c r="I17" s="47" t="s">
        <v>53</v>
      </c>
      <c r="J17" s="48">
        <f t="shared" si="1"/>
        <v>100</v>
      </c>
      <c r="L17" s="51" t="s">
        <v>317</v>
      </c>
      <c r="M17" s="51" t="s">
        <v>307</v>
      </c>
    </row>
    <row r="18" spans="1:13" ht="21" customHeight="1" x14ac:dyDescent="0.15">
      <c r="A18" s="113">
        <v>65530016</v>
      </c>
      <c r="B18" s="47">
        <v>0</v>
      </c>
      <c r="C18" s="47">
        <v>90</v>
      </c>
      <c r="D18" s="47">
        <v>100</v>
      </c>
      <c r="E18" s="47" t="s">
        <v>169</v>
      </c>
      <c r="F18" s="47" t="s">
        <v>53</v>
      </c>
      <c r="G18" s="47" t="s">
        <v>169</v>
      </c>
      <c r="H18" s="47" t="s">
        <v>53</v>
      </c>
      <c r="I18" s="47" t="s">
        <v>53</v>
      </c>
      <c r="J18" s="48">
        <f t="shared" si="1"/>
        <v>100</v>
      </c>
      <c r="L18" s="51" t="s">
        <v>327</v>
      </c>
      <c r="M18" s="51" t="s">
        <v>312</v>
      </c>
    </row>
    <row r="19" spans="1:13" ht="21" customHeight="1" x14ac:dyDescent="0.15">
      <c r="A19" s="113">
        <v>65530017</v>
      </c>
      <c r="B19" s="47">
        <v>1</v>
      </c>
      <c r="C19" s="47">
        <v>110</v>
      </c>
      <c r="D19" s="47">
        <v>100</v>
      </c>
      <c r="E19" s="47" t="s">
        <v>169</v>
      </c>
      <c r="F19" s="47" t="s">
        <v>53</v>
      </c>
      <c r="G19" s="47">
        <v>1</v>
      </c>
      <c r="H19" s="47" t="s">
        <v>53</v>
      </c>
      <c r="I19" s="47" t="s">
        <v>53</v>
      </c>
      <c r="J19" s="48">
        <f t="shared" si="1"/>
        <v>100</v>
      </c>
      <c r="L19" s="51" t="s">
        <v>340</v>
      </c>
      <c r="M19" s="51" t="s">
        <v>275</v>
      </c>
    </row>
    <row r="20" spans="1:13" ht="21" customHeight="1" x14ac:dyDescent="0.15">
      <c r="A20" s="113">
        <v>65530018</v>
      </c>
      <c r="B20" s="47">
        <v>0</v>
      </c>
      <c r="C20" s="47">
        <v>100</v>
      </c>
      <c r="D20" s="47">
        <v>100</v>
      </c>
      <c r="E20" s="47" t="s">
        <v>169</v>
      </c>
      <c r="F20" s="47" t="s">
        <v>53</v>
      </c>
      <c r="G20" s="47">
        <v>1</v>
      </c>
      <c r="H20" s="47" t="s">
        <v>53</v>
      </c>
      <c r="I20" s="47" t="s">
        <v>53</v>
      </c>
      <c r="J20" s="48">
        <f t="shared" si="1"/>
        <v>100</v>
      </c>
      <c r="L20" s="51" t="s">
        <v>319</v>
      </c>
      <c r="M20" s="51" t="s">
        <v>268</v>
      </c>
    </row>
    <row r="21" spans="1:13" ht="21" customHeight="1" x14ac:dyDescent="0.15">
      <c r="A21" s="113">
        <v>65530019</v>
      </c>
      <c r="B21" s="47">
        <v>0</v>
      </c>
      <c r="C21" s="47">
        <v>80</v>
      </c>
      <c r="D21" s="47">
        <v>100</v>
      </c>
      <c r="E21" s="47" t="s">
        <v>169</v>
      </c>
      <c r="F21" s="47" t="s">
        <v>53</v>
      </c>
      <c r="G21" s="47" t="s">
        <v>169</v>
      </c>
      <c r="H21" s="47">
        <v>3</v>
      </c>
      <c r="I21" s="47" t="s">
        <v>53</v>
      </c>
      <c r="J21" s="48">
        <f t="shared" si="1"/>
        <v>100</v>
      </c>
      <c r="L21" s="51" t="s">
        <v>341</v>
      </c>
      <c r="M21" s="51" t="s">
        <v>274</v>
      </c>
    </row>
    <row r="22" spans="1:13" ht="21" customHeight="1" x14ac:dyDescent="0.15">
      <c r="A22" s="113">
        <v>65530020</v>
      </c>
      <c r="B22" s="47">
        <v>0</v>
      </c>
      <c r="C22" s="47">
        <v>70</v>
      </c>
      <c r="D22" s="47">
        <v>50</v>
      </c>
      <c r="E22" s="47" t="s">
        <v>169</v>
      </c>
      <c r="F22" s="47" t="s">
        <v>53</v>
      </c>
      <c r="G22" s="47" t="s">
        <v>169</v>
      </c>
      <c r="H22" s="47" t="s">
        <v>53</v>
      </c>
      <c r="I22" s="47" t="s">
        <v>53</v>
      </c>
      <c r="J22" s="48">
        <f t="shared" si="1"/>
        <v>50</v>
      </c>
      <c r="L22" s="51" t="s">
        <v>325</v>
      </c>
      <c r="M22" s="51" t="s">
        <v>297</v>
      </c>
    </row>
    <row r="23" spans="1:13" ht="21" customHeight="1" x14ac:dyDescent="0.15">
      <c r="A23" s="113">
        <v>65530021</v>
      </c>
      <c r="B23" s="47">
        <v>0</v>
      </c>
      <c r="C23" s="47">
        <v>60</v>
      </c>
      <c r="D23" s="47">
        <v>80</v>
      </c>
      <c r="E23" s="47" t="s">
        <v>169</v>
      </c>
      <c r="F23" s="47" t="s">
        <v>53</v>
      </c>
      <c r="G23" s="47" t="s">
        <v>169</v>
      </c>
      <c r="H23" s="47" t="s">
        <v>53</v>
      </c>
      <c r="I23" s="47" t="s">
        <v>53</v>
      </c>
      <c r="J23" s="48">
        <f t="shared" ref="J23:J27" si="3">D23</f>
        <v>80</v>
      </c>
      <c r="L23" s="51" t="s">
        <v>314</v>
      </c>
      <c r="M23" s="51" t="s">
        <v>292</v>
      </c>
    </row>
    <row r="24" spans="1:13" ht="21" customHeight="1" x14ac:dyDescent="0.15">
      <c r="A24" s="113">
        <v>65530022</v>
      </c>
      <c r="B24" s="47">
        <v>0</v>
      </c>
      <c r="C24" s="47">
        <v>80</v>
      </c>
      <c r="D24" s="47">
        <v>30</v>
      </c>
      <c r="E24" s="47" t="s">
        <v>169</v>
      </c>
      <c r="F24" s="47" t="s">
        <v>53</v>
      </c>
      <c r="G24" s="47" t="s">
        <v>169</v>
      </c>
      <c r="H24" s="47" t="s">
        <v>53</v>
      </c>
      <c r="I24" s="47" t="s">
        <v>53</v>
      </c>
      <c r="J24" s="48">
        <f t="shared" si="3"/>
        <v>30</v>
      </c>
      <c r="L24" s="51" t="s">
        <v>326</v>
      </c>
      <c r="M24" s="51" t="s">
        <v>290</v>
      </c>
    </row>
    <row r="25" spans="1:13" ht="21" customHeight="1" x14ac:dyDescent="0.15">
      <c r="A25" s="113">
        <v>65530023</v>
      </c>
      <c r="B25" s="47">
        <v>1</v>
      </c>
      <c r="C25" s="47">
        <v>100</v>
      </c>
      <c r="D25" s="47">
        <v>100</v>
      </c>
      <c r="E25" s="47" t="s">
        <v>169</v>
      </c>
      <c r="F25" s="47" t="s">
        <v>53</v>
      </c>
      <c r="G25" s="47">
        <v>1</v>
      </c>
      <c r="H25" s="47" t="s">
        <v>53</v>
      </c>
      <c r="I25" s="47" t="s">
        <v>53</v>
      </c>
      <c r="J25" s="48">
        <f t="shared" si="3"/>
        <v>100</v>
      </c>
      <c r="L25" s="51" t="s">
        <v>322</v>
      </c>
      <c r="M25" s="51" t="s">
        <v>329</v>
      </c>
    </row>
    <row r="26" spans="1:13" ht="21" customHeight="1" x14ac:dyDescent="0.15">
      <c r="A26" s="113">
        <v>65530024</v>
      </c>
      <c r="B26" s="47">
        <v>0</v>
      </c>
      <c r="C26" s="47">
        <v>90</v>
      </c>
      <c r="D26" s="47">
        <v>100</v>
      </c>
      <c r="E26" s="47" t="s">
        <v>169</v>
      </c>
      <c r="F26" s="47" t="s">
        <v>53</v>
      </c>
      <c r="G26" s="47">
        <v>1</v>
      </c>
      <c r="H26" s="47" t="s">
        <v>53</v>
      </c>
      <c r="I26" s="47" t="s">
        <v>53</v>
      </c>
      <c r="J26" s="48">
        <f t="shared" si="3"/>
        <v>100</v>
      </c>
      <c r="L26" s="51" t="s">
        <v>342</v>
      </c>
      <c r="M26" s="51" t="s">
        <v>268</v>
      </c>
    </row>
    <row r="27" spans="1:13" ht="21" customHeight="1" x14ac:dyDescent="0.15">
      <c r="A27" s="113">
        <v>65530025</v>
      </c>
      <c r="B27" s="47">
        <v>0</v>
      </c>
      <c r="C27" s="47">
        <v>80</v>
      </c>
      <c r="D27" s="47">
        <v>100</v>
      </c>
      <c r="E27" s="47" t="s">
        <v>169</v>
      </c>
      <c r="F27" s="47" t="s">
        <v>53</v>
      </c>
      <c r="G27" s="47" t="s">
        <v>169</v>
      </c>
      <c r="H27" s="47">
        <v>3</v>
      </c>
      <c r="I27" s="47" t="s">
        <v>53</v>
      </c>
      <c r="J27" s="48">
        <f t="shared" si="3"/>
        <v>100</v>
      </c>
      <c r="L27" s="51" t="s">
        <v>343</v>
      </c>
      <c r="M27" s="51" t="s">
        <v>274</v>
      </c>
    </row>
    <row r="28" spans="1:13" ht="21" customHeight="1" x14ac:dyDescent="0.15">
      <c r="A28" s="113">
        <v>65530026</v>
      </c>
      <c r="B28" s="47">
        <v>0</v>
      </c>
      <c r="C28" s="47">
        <v>50</v>
      </c>
      <c r="D28" s="47">
        <v>80</v>
      </c>
      <c r="E28" s="47" t="s">
        <v>169</v>
      </c>
      <c r="F28" s="47" t="s">
        <v>53</v>
      </c>
      <c r="G28" s="47" t="s">
        <v>169</v>
      </c>
      <c r="H28" s="47" t="s">
        <v>169</v>
      </c>
      <c r="I28" s="47" t="s">
        <v>53</v>
      </c>
      <c r="J28" s="48">
        <f t="shared" ref="J28:J31" si="4">D28</f>
        <v>80</v>
      </c>
      <c r="L28" s="51" t="s">
        <v>324</v>
      </c>
      <c r="M28" s="51" t="s">
        <v>304</v>
      </c>
    </row>
    <row r="29" spans="1:13" ht="21" customHeight="1" x14ac:dyDescent="0.15">
      <c r="A29" s="113">
        <v>65530027</v>
      </c>
      <c r="B29" s="47">
        <v>0</v>
      </c>
      <c r="C29" s="47">
        <v>60</v>
      </c>
      <c r="D29" s="47">
        <v>50</v>
      </c>
      <c r="E29" s="47" t="s">
        <v>169</v>
      </c>
      <c r="F29" s="47" t="s">
        <v>53</v>
      </c>
      <c r="G29" s="47" t="s">
        <v>169</v>
      </c>
      <c r="H29" s="47" t="s">
        <v>53</v>
      </c>
      <c r="I29" s="47" t="s">
        <v>53</v>
      </c>
      <c r="J29" s="48">
        <f t="shared" si="4"/>
        <v>50</v>
      </c>
      <c r="L29" s="51" t="s">
        <v>330</v>
      </c>
      <c r="M29" s="51" t="s">
        <v>276</v>
      </c>
    </row>
    <row r="30" spans="1:13" ht="21" customHeight="1" x14ac:dyDescent="0.15">
      <c r="A30" s="113">
        <v>65530028</v>
      </c>
      <c r="B30" s="47">
        <v>0</v>
      </c>
      <c r="C30" s="47">
        <v>70</v>
      </c>
      <c r="D30" s="47">
        <v>40</v>
      </c>
      <c r="E30" s="47" t="s">
        <v>169</v>
      </c>
      <c r="F30" s="47" t="s">
        <v>53</v>
      </c>
      <c r="G30" s="47" t="s">
        <v>169</v>
      </c>
      <c r="H30" s="47" t="s">
        <v>53</v>
      </c>
      <c r="I30" s="47" t="s">
        <v>53</v>
      </c>
      <c r="J30" s="48">
        <f t="shared" si="4"/>
        <v>40</v>
      </c>
      <c r="L30" s="51" t="s">
        <v>323</v>
      </c>
      <c r="M30" s="51" t="s">
        <v>303</v>
      </c>
    </row>
    <row r="31" spans="1:13" ht="21" customHeight="1" x14ac:dyDescent="0.15">
      <c r="A31" s="113">
        <v>65530029</v>
      </c>
      <c r="B31" s="47">
        <v>0</v>
      </c>
      <c r="C31" s="47">
        <v>150</v>
      </c>
      <c r="D31" s="47">
        <v>100</v>
      </c>
      <c r="E31" s="47" t="s">
        <v>169</v>
      </c>
      <c r="F31" s="47" t="s">
        <v>53</v>
      </c>
      <c r="G31" s="47">
        <v>0</v>
      </c>
      <c r="H31" s="47" t="s">
        <v>53</v>
      </c>
      <c r="I31" s="111">
        <v>0</v>
      </c>
      <c r="J31" s="48">
        <f t="shared" si="4"/>
        <v>100</v>
      </c>
      <c r="L31" s="51" t="s">
        <v>328</v>
      </c>
      <c r="M31" s="51" t="s">
        <v>315</v>
      </c>
    </row>
  </sheetData>
  <autoFilter ref="A1:G1"/>
  <phoneticPr fontId="5"/>
  <conditionalFormatting sqref="K32:K1048576 K1:K2">
    <cfRule type="duplicateValues" dxfId="6" priority="7"/>
  </conditionalFormatting>
  <conditionalFormatting sqref="K3 K5 K12:K22 K7:K10">
    <cfRule type="duplicateValues" dxfId="5" priority="6"/>
  </conditionalFormatting>
  <conditionalFormatting sqref="K4">
    <cfRule type="duplicateValues" dxfId="4" priority="5"/>
  </conditionalFormatting>
  <conditionalFormatting sqref="K11">
    <cfRule type="duplicateValues" dxfId="3" priority="4"/>
  </conditionalFormatting>
  <conditionalFormatting sqref="K23:K27">
    <cfRule type="duplicateValues" dxfId="2" priority="3"/>
  </conditionalFormatting>
  <conditionalFormatting sqref="K28:K31">
    <cfRule type="duplicateValues" dxfId="1" priority="2"/>
  </conditionalFormatting>
  <conditionalFormatting sqref="K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1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Q22" sqref="Q22"/>
    </sheetView>
  </sheetViews>
  <sheetFormatPr baseColWidth="12" defaultColWidth="12.83203125" defaultRowHeight="21" customHeight="1" outlineLevelCol="1" x14ac:dyDescent="0.15"/>
  <cols>
    <col min="1" max="1" width="11.33203125" style="39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>B2&amp;"_"&amp;C2</f>
        <v>65530000_65530000</v>
      </c>
      <c r="B2" s="47">
        <v>65530000</v>
      </c>
      <c r="C2" s="112">
        <v>65530000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どちらが先に真相にたどり着けるかな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行動を2ターンに固定</v>
      </c>
      <c r="F2" s="112">
        <v>65530000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22" si="0">B3&amp;"_"&amp;C3</f>
        <v>65530000_65530001</v>
      </c>
      <c r="B3" s="47">
        <v>65530000</v>
      </c>
      <c r="C3" s="113">
        <v>65530001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第一の手がかり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緑パネルをダメージパネルに3個変換</v>
      </c>
      <c r="F3" s="112">
        <v>65530001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>B4&amp;"_"&amp;C4</f>
        <v>65530000_65530002</v>
      </c>
      <c r="B4" s="47">
        <v>65530000</v>
      </c>
      <c r="C4" s="113">
        <v>65530002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第二の手がかり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全体攻撃＋緑パネルをダメージパネルに2個変換</v>
      </c>
      <c r="F4" s="112">
        <v>65530002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7"/>
      <c r="Q4" s="47"/>
      <c r="R4" s="47"/>
    </row>
    <row r="5" spans="1:18" ht="21" customHeight="1" x14ac:dyDescent="0.15">
      <c r="A5" s="39" t="str">
        <f t="shared" si="0"/>
        <v>65530000_65530003</v>
      </c>
      <c r="B5" s="47">
        <v>65530000</v>
      </c>
      <c r="C5" s="113">
        <v>65530003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解明を急がなければ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3ターン自身の行動頻度UP</v>
      </c>
      <c r="F5" s="112">
        <v>65530003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5" s="47"/>
      <c r="Q5" s="47"/>
      <c r="R5" s="47"/>
    </row>
    <row r="6" spans="1:18" ht="21" customHeight="1" x14ac:dyDescent="0.15">
      <c r="A6" s="39" t="str">
        <f t="shared" si="0"/>
        <v>65530000_65530004</v>
      </c>
      <c r="B6" s="47">
        <v>65530000</v>
      </c>
      <c r="C6" s="113">
        <v>65530004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今回は君たちに任せることにするよ</v>
      </c>
      <c r="E6" s="46">
        <f ca="1">VLOOKUP($C6,OFFSET(enemy_skills!$A$1,0,0,COUNTA(enemy_skills!$A:$A),MATCH(E$1,enemy_skills!$1:$1,0)-MATCH("enemy_skill_id",enemy_skills!$1:$1,0)+1),MATCH(E$1,enemy_skills!$1:$1,0)-MATCH("enemy_skill_id",enemy_skills!$1:$1,0)+1,FALSE)</f>
        <v>0</v>
      </c>
      <c r="F6" s="112">
        <v>65530004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0"/>
        <v>65530001_65530005</v>
      </c>
      <c r="B7" s="47">
        <v>65530001</v>
      </c>
      <c r="C7" s="113">
        <v>65530005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ちょっと遊んで行かない？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青パネルをダメージパネルに5個変換</v>
      </c>
      <c r="F7" s="112">
        <v>65530005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0"/>
        <v>65530001_65530006</v>
      </c>
      <c r="B8" s="47">
        <v>65530001</v>
      </c>
      <c r="C8" s="113">
        <v>65530006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楽しいね！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青パネルをダメージパネルに4個変換</v>
      </c>
      <c r="F8" s="112">
        <v>65530006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65530001_65530007</v>
      </c>
      <c r="B9" s="47">
        <v>65530001</v>
      </c>
      <c r="C9" s="113">
        <v>65530007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全ニャン進撃！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青パネルをダメージパネルに3個変換+4回連続攻撃</v>
      </c>
      <c r="F9" s="112">
        <v>65530007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9" s="47"/>
      <c r="Q9" s="47"/>
      <c r="R9" s="47"/>
    </row>
    <row r="10" spans="1:18" ht="21" customHeight="1" x14ac:dyDescent="0.15">
      <c r="A10" s="39" t="str">
        <f t="shared" si="0"/>
        <v>65530001_65530008</v>
      </c>
      <c r="B10" s="47">
        <v>65530001</v>
      </c>
      <c r="C10" s="113">
        <v>65530008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もっと遊ぼー！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ランダムで青パネルに7個変換＋単体攻撃</v>
      </c>
      <c r="F10" s="112">
        <v>65530008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0" s="47"/>
      <c r="Q10" s="47"/>
      <c r="R10" s="47"/>
    </row>
    <row r="11" spans="1:18" ht="21" customHeight="1" x14ac:dyDescent="0.15">
      <c r="A11" s="39" t="str">
        <f t="shared" ref="A11" si="1">B11&amp;"_"&amp;C11</f>
        <v>65530002_65530009</v>
      </c>
      <c r="B11" s="47">
        <v>65530002</v>
      </c>
      <c r="C11" s="113">
        <v>65530009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一刀両断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" s="112">
        <v>65530009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1" s="47"/>
      <c r="Q11" s="47"/>
      <c r="R11" s="47"/>
    </row>
    <row r="12" spans="1:18" ht="21" customHeight="1" x14ac:dyDescent="0.15">
      <c r="A12" s="39" t="str">
        <f t="shared" si="0"/>
        <v>65530003_65530010</v>
      </c>
      <c r="B12" s="47">
        <v>65530003</v>
      </c>
      <c r="C12" s="113">
        <v>65530010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空腹の主張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2" s="112">
        <v>65530010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2" s="47"/>
      <c r="Q12" s="47"/>
      <c r="R12" s="47"/>
    </row>
    <row r="13" spans="1:18" ht="21" customHeight="1" x14ac:dyDescent="0.15">
      <c r="A13" s="39" t="str">
        <f t="shared" si="0"/>
        <v>65530004_65530011</v>
      </c>
      <c r="B13" s="47">
        <v>65530004</v>
      </c>
      <c r="C13" s="113">
        <v>65530011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どうせ食べられるなら…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3ターン後に自爆するつもりだ！</v>
      </c>
      <c r="F13" s="112">
        <v>65530011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0"/>
        <v>65530004_65530012</v>
      </c>
      <c r="B14" s="47">
        <v>65530004</v>
      </c>
      <c r="C14" s="113">
        <v>65530012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これもまた人生…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りんごは穏やかな顔で砕け散った…</v>
      </c>
      <c r="F14" s="112">
        <v>65530012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0"/>
        <v>65530005_65530013</v>
      </c>
      <c r="B15" s="47">
        <v>65530005</v>
      </c>
      <c r="C15" s="113">
        <v>65530013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ハデにハジけるぜー！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3ターン後に自爆するつもりだ！</v>
      </c>
      <c r="F15" s="112">
        <v>65530013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0"/>
        <v>65530005_65530014</v>
      </c>
      <c r="B16" s="47">
        <v>65530005</v>
      </c>
      <c r="C16" s="113">
        <v>65530014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ファイヤー！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りんごは爆発四散した！</v>
      </c>
      <c r="F16" s="112">
        <v>65530014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0"/>
        <v>65530006_65530015</v>
      </c>
      <c r="B17" s="47">
        <v>65530006</v>
      </c>
      <c r="C17" s="113">
        <v>65530015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みずみずしさがウリなの★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3ターン後に自爆するつもりだ！</v>
      </c>
      <c r="F17" s="112">
        <v>65530015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0"/>
        <v>65530006_65530016</v>
      </c>
      <c r="B18" s="47">
        <v>65530006</v>
      </c>
      <c r="C18" s="113">
        <v>65530016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潤ってるー？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りんごの果汁が降り注いだ</v>
      </c>
      <c r="F18" s="112">
        <v>65530016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0"/>
        <v>65530007_65530017</v>
      </c>
      <c r="B19" s="47">
        <v>65530007</v>
      </c>
      <c r="C19" s="113">
        <v>65530017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終焉演奏会へようこそ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青パネルドロップ率UP+２ターンに固定</v>
      </c>
      <c r="F19" s="112">
        <v>65530017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0"/>
        <v>65530007_65530018</v>
      </c>
      <c r="B20" s="47">
        <v>65530007</v>
      </c>
      <c r="C20" s="113">
        <v>65530018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ボクの音色が聞きたいのかい？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青パネルをダメージパネルに4個変換</v>
      </c>
      <c r="F20" s="112">
        <v>65530018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0"/>
        <v>65530007_65530019</v>
      </c>
      <c r="B21" s="47">
        <v>65530007</v>
      </c>
      <c r="C21" s="113">
        <v>65530019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もっと聞かせてあげるよ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青パネルをダメージパネルに3個変換</v>
      </c>
      <c r="F21" s="112">
        <v>65530019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0"/>
        <v>65530007_65530020</v>
      </c>
      <c r="B22" s="47">
        <v>65530007</v>
      </c>
      <c r="C22" s="113">
        <v>65530020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崩壊スタッカート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青パネルをダメージパネルに2個変換＋6回連続攻撃</v>
      </c>
      <c r="F22" s="112">
        <v>65530020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47"/>
    </row>
    <row r="23" spans="1:18" ht="21" customHeight="1" x14ac:dyDescent="0.15">
      <c r="A23" s="39" t="str">
        <f t="shared" ref="A23:A27" si="2">B23&amp;"_"&amp;C23</f>
        <v>65530007_65530021</v>
      </c>
      <c r="B23" s="47">
        <v>65530007</v>
      </c>
      <c r="C23" s="113">
        <v>65530021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夢路への誘い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ユニット単体に2ターンスリープ</v>
      </c>
      <c r="F23" s="112">
        <v>65530021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3" s="47"/>
      <c r="Q23" s="47"/>
      <c r="R23" s="47"/>
    </row>
    <row r="24" spans="1:18" ht="21" customHeight="1" x14ac:dyDescent="0.15">
      <c r="A24" s="39" t="str">
        <f t="shared" si="2"/>
        <v>65530007_65530022</v>
      </c>
      <c r="B24" s="47">
        <v>65530007</v>
      </c>
      <c r="C24" s="113">
        <v>65530022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急襲フォルテッシモ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青パネルをダメージパネルに2個変換＋クリティカル攻撃</v>
      </c>
      <c r="F24" s="112">
        <v>65530022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4" s="47"/>
      <c r="Q24" s="47"/>
      <c r="R24" s="47"/>
    </row>
    <row r="25" spans="1:18" ht="21" customHeight="1" x14ac:dyDescent="0.15">
      <c r="A25" s="39" t="str">
        <f t="shared" si="2"/>
        <v>65530008_65530023</v>
      </c>
      <c r="B25" s="47">
        <v>65530008</v>
      </c>
      <c r="C25" s="113">
        <v>65530023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最終楽章だ…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5" s="112">
        <v>65530023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2"/>
        <v>65530008_65530024</v>
      </c>
      <c r="B26" s="47">
        <v>65530008</v>
      </c>
      <c r="C26" s="113">
        <v>65530024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歪で美しい旋律だ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青パネルをダメージパネルに4個変換</v>
      </c>
      <c r="F26" s="112">
        <v>65530024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2"/>
        <v>65530008_65530025</v>
      </c>
      <c r="B27" s="47">
        <v>65530008</v>
      </c>
      <c r="C27" s="113">
        <v>65530025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綺麗な音色だろう？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青パネルをダメージパネルに3個変換</v>
      </c>
      <c r="F27" s="112">
        <v>65530025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:A31" si="3">B28&amp;"_"&amp;C28</f>
        <v>65530008_65530026</v>
      </c>
      <c r="B28" s="47">
        <v>65530008</v>
      </c>
      <c r="C28" s="113">
        <v>65530026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混沌奇想曲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青パネルをダメージパネルに2個変換＋単体攻撃</v>
      </c>
      <c r="F28" s="112">
        <v>65530026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8" s="47"/>
      <c r="Q28" s="47"/>
      <c r="R28" s="47"/>
    </row>
    <row r="29" spans="1:18" ht="21" customHeight="1" x14ac:dyDescent="0.15">
      <c r="A29" s="39" t="str">
        <f t="shared" si="3"/>
        <v>65530008_65530027</v>
      </c>
      <c r="B29" s="47">
        <v>65530008</v>
      </c>
      <c r="C29" s="113">
        <v>65530027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響き渡れ…！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9" s="112">
        <v>65530027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9" s="47"/>
      <c r="Q29" s="47"/>
      <c r="R29" s="47"/>
    </row>
    <row r="30" spans="1:18" ht="21" customHeight="1" x14ac:dyDescent="0.15">
      <c r="A30" s="39" t="str">
        <f t="shared" si="3"/>
        <v>65530008_65530028</v>
      </c>
      <c r="B30" s="47">
        <v>65530008</v>
      </c>
      <c r="C30" s="113">
        <v>65530028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激情即興曲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青パネルをダメージパネルに2個変換＋5回連続攻撃</v>
      </c>
      <c r="F30" s="112">
        <v>65530028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0" s="47"/>
      <c r="Q30" s="47"/>
      <c r="R30" s="47"/>
    </row>
    <row r="31" spans="1:18" ht="21" customHeight="1" x14ac:dyDescent="0.15">
      <c r="A31" s="39" t="str">
        <f t="shared" si="3"/>
        <v>65530008_65530029</v>
      </c>
      <c r="B31" s="47">
        <v>65530008</v>
      </c>
      <c r="C31" s="113">
        <v>65530029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終末は…すぐそこに…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旋律が途切れた…</v>
      </c>
      <c r="F31" s="112">
        <v>65530029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F21" sqref="F2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150</v>
      </c>
      <c r="B1" s="65" t="s">
        <v>151</v>
      </c>
      <c r="C1" s="66" t="s">
        <v>152</v>
      </c>
      <c r="D1" s="72" t="s">
        <v>153</v>
      </c>
      <c r="E1" s="67" t="s">
        <v>154</v>
      </c>
      <c r="F1" s="65" t="s">
        <v>155</v>
      </c>
      <c r="G1" s="65" t="s">
        <v>156</v>
      </c>
      <c r="H1" s="65" t="s">
        <v>157</v>
      </c>
      <c r="I1" s="65" t="s">
        <v>158</v>
      </c>
      <c r="J1" s="65" t="s">
        <v>159</v>
      </c>
      <c r="K1" s="65" t="s">
        <v>160</v>
      </c>
      <c r="L1" s="65" t="s">
        <v>161</v>
      </c>
      <c r="M1" s="65" t="s">
        <v>162</v>
      </c>
      <c r="N1" s="65" t="s">
        <v>163</v>
      </c>
      <c r="O1" s="65" t="s">
        <v>164</v>
      </c>
      <c r="P1" s="65" t="s">
        <v>165</v>
      </c>
      <c r="Q1" s="65" t="s">
        <v>166</v>
      </c>
      <c r="R1" s="65" t="s">
        <v>167</v>
      </c>
    </row>
    <row r="2" spans="1:18" x14ac:dyDescent="0.15">
      <c r="A2" s="57">
        <f>floors!C2</f>
        <v>65530</v>
      </c>
      <c r="B2" s="57">
        <v>1</v>
      </c>
      <c r="C2" s="71" t="str">
        <f>A2&amp; "_"&amp;B2</f>
        <v>65530_1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1000</v>
      </c>
      <c r="H2" s="57" t="s">
        <v>169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170</v>
      </c>
      <c r="R2" s="57" t="s">
        <v>171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91" activePane="bottomLeft" state="frozen"/>
      <selection pane="bottomLeft" activeCell="B6" sqref="B6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92" t="s">
        <v>196</v>
      </c>
      <c r="J1" s="79" t="s">
        <v>126</v>
      </c>
      <c r="K1" s="78" t="s">
        <v>187</v>
      </c>
      <c r="L1" s="93" t="s">
        <v>186</v>
      </c>
      <c r="M1" s="80" t="s">
        <v>197</v>
      </c>
    </row>
    <row r="2" spans="1:13" x14ac:dyDescent="0.15">
      <c r="A2" s="81" t="s">
        <v>201</v>
      </c>
      <c r="B2" s="82">
        <f>floors!$C$2</f>
        <v>65530</v>
      </c>
      <c r="C2" s="83" t="str">
        <f ca="1">VLOOKUP($B2,OFFSET([2]quests!$A$1,0,0,COUNTA([2]quests!$A:$A),MATCH(C$1,[2]quests!$1:$1,0)-MATCH($B$1,[2]quests!$1:$1,0)+1),MATCH(C$1,[2]quests!$1:$1,0)-MATCH($B$1,[2]quests!$1:$1,0)+1,FALSE)</f>
        <v>【LB渡邉】検証クエスト</v>
      </c>
      <c r="D2" s="83" t="str">
        <f ca="1">VLOOKUP($B2,OFFSET([2]quests!$A$1,0,0,COUNTA([2]quests!$A:$A),MATCH(D$1,[2]quests!$1:$1,0)-MATCH($B$1,[2]quests!$1:$1,0)+1),MATCH(D$1,[2]quests!$1:$1,0)-MATCH($B$1,[2]quests!$1:$1,0)+1,FALSE)</f>
        <v>検証</v>
      </c>
      <c r="E2" s="87" t="s">
        <v>215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5">
        <v>0</v>
      </c>
      <c r="I2">
        <v>1</v>
      </c>
      <c r="J2" s="84" t="s">
        <v>199</v>
      </c>
      <c r="K2" s="94" t="str">
        <f>VLOOKUP(I2,[6]stage_hints!$A:$C,3,FALSE)</f>
        <v>長くつなげて大ダメージ</v>
      </c>
      <c r="L2" s="95" t="str">
        <f>VLOOKUP(I2,[6]stage_hints!$A:$D,4,FALSE)</f>
        <v>パネルを長くつなげるほど_x000D_大ダメージを与えることができます</v>
      </c>
      <c r="M2" s="57" t="s">
        <v>212</v>
      </c>
    </row>
    <row r="3" spans="1:13" x14ac:dyDescent="0.15">
      <c r="A3" s="81" t="s">
        <v>201</v>
      </c>
      <c r="B3" s="82">
        <f>floors!$C$2</f>
        <v>65530</v>
      </c>
      <c r="C3" s="83" t="str">
        <f ca="1">VLOOKUP($B3,OFFSET([2]quests!$A$1,0,0,COUNTA([2]quests!$A:$A),MATCH(C$1,[2]quests!$1:$1,0)-MATCH($B$1,[2]quests!$1:$1,0)+1),MATCH(C$1,[2]quests!$1:$1,0)-MATCH($B$1,[2]quests!$1:$1,0)+1,FALSE)</f>
        <v>【LB渡邉】検証クエスト</v>
      </c>
      <c r="D3" s="83" t="str">
        <f ca="1">VLOOKUP($B3,OFFSET([2]quests!$A$1,0,0,COUNTA([2]quests!$A:$A),MATCH(D$1,[2]quests!$1:$1,0)-MATCH($B$1,[2]quests!$1:$1,0)+1),MATCH(D$1,[2]quests!$1:$1,0)-MATCH($B$1,[2]quests!$1:$1,0)+1,FALSE)</f>
        <v>検証</v>
      </c>
      <c r="E3" s="87" t="s">
        <v>215</v>
      </c>
      <c r="F3" s="83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3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5">
        <v>0</v>
      </c>
      <c r="I3">
        <v>2</v>
      </c>
      <c r="J3" s="84" t="s">
        <v>199</v>
      </c>
      <c r="K3" s="94" t="str">
        <f>VLOOKUP(I3,[6]stage_hints!$A:$C,3,FALSE)</f>
        <v>属性の相性</v>
      </c>
      <c r="L3" s="95" t="str">
        <f>VLOOKUP(I3,[6]stage_hints!$A:$D,4,FALSE)</f>
        <v>赤＞青　青＞黄　黄＞緑　緑＞赤_x000D_敵属性に最適なパーティがオススメです</v>
      </c>
      <c r="M3" s="57" t="s">
        <v>212</v>
      </c>
    </row>
    <row r="4" spans="1:13" x14ac:dyDescent="0.15">
      <c r="A4" s="81" t="s">
        <v>201</v>
      </c>
      <c r="B4" s="82">
        <f>floors!$C$2</f>
        <v>65530</v>
      </c>
      <c r="C4" s="83" t="str">
        <f ca="1">VLOOKUP($B4,OFFSET([2]quests!$A$1,0,0,COUNTA([2]quests!$A:$A),MATCH(C$1,[2]quests!$1:$1,0)-MATCH($B$1,[2]quests!$1:$1,0)+1),MATCH(C$1,[2]quests!$1:$1,0)-MATCH($B$1,[2]quests!$1:$1,0)+1,FALSE)</f>
        <v>【LB渡邉】検証クエスト</v>
      </c>
      <c r="D4" s="83" t="str">
        <f ca="1">VLOOKUP($B4,OFFSET([2]quests!$A$1,0,0,COUNTA([2]quests!$A:$A),MATCH(D$1,[2]quests!$1:$1,0)-MATCH($B$1,[2]quests!$1:$1,0)+1),MATCH(D$1,[2]quests!$1:$1,0)-MATCH($B$1,[2]quests!$1:$1,0)+1,FALSE)</f>
        <v>検証</v>
      </c>
      <c r="E4" s="87" t="s">
        <v>215</v>
      </c>
      <c r="F4" s="83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3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5">
        <v>0</v>
      </c>
      <c r="I4">
        <v>3</v>
      </c>
      <c r="J4" s="84" t="s">
        <v>199</v>
      </c>
      <c r="K4" s="94" t="str">
        <f>VLOOKUP(I4,[6]stage_hints!$A:$C,3,FALSE)</f>
        <v>ターゲット</v>
      </c>
      <c r="L4" s="95" t="str">
        <f>VLOOKUP(I4,[6]stage_hints!$A:$D,4,FALSE)</f>
        <v>敵ユニットをタップすると_x000D_その敵を狙い撃ちできます</v>
      </c>
      <c r="M4" s="57" t="s">
        <v>212</v>
      </c>
    </row>
    <row r="5" spans="1:13" x14ac:dyDescent="0.15">
      <c r="A5" s="81" t="s">
        <v>201</v>
      </c>
      <c r="B5" s="82">
        <f>floors!$C$2</f>
        <v>65530</v>
      </c>
      <c r="C5" s="83" t="str">
        <f ca="1">VLOOKUP($B5,OFFSET([2]quests!$A$1,0,0,COUNTA([2]quests!$A:$A),MATCH(C$1,[2]quests!$1:$1,0)-MATCH($B$1,[2]quests!$1:$1,0)+1),MATCH(C$1,[2]quests!$1:$1,0)-MATCH($B$1,[2]quests!$1:$1,0)+1,FALSE)</f>
        <v>【LB渡邉】検証クエスト</v>
      </c>
      <c r="D5" s="83" t="str">
        <f ca="1">VLOOKUP($B5,OFFSET([2]quests!$A$1,0,0,COUNTA([2]quests!$A:$A),MATCH(D$1,[2]quests!$1:$1,0)-MATCH($B$1,[2]quests!$1:$1,0)+1),MATCH(D$1,[2]quests!$1:$1,0)-MATCH($B$1,[2]quests!$1:$1,0)+1,FALSE)</f>
        <v>検証</v>
      </c>
      <c r="E5" s="87" t="s">
        <v>215</v>
      </c>
      <c r="F5" s="83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3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5">
        <v>0</v>
      </c>
      <c r="I5">
        <v>5</v>
      </c>
      <c r="J5" s="84" t="s">
        <v>199</v>
      </c>
      <c r="K5" s="94" t="str">
        <f>VLOOKUP(I5,[6]stage_hints!$A:$C,3,FALSE)</f>
        <v>ユニット強化でレベルアップ</v>
      </c>
      <c r="L5" s="95" t="str">
        <f>VLOOKUP(I5,[6]stage_hints!$A:$D,4,FALSE)</f>
        <v>「ユニット強化」でレベルアップすると_x000D_勝てない敵にも勝てるようになります</v>
      </c>
      <c r="M5" s="57" t="s">
        <v>212</v>
      </c>
    </row>
    <row r="6" spans="1:13" x14ac:dyDescent="0.15">
      <c r="A6" s="81" t="s">
        <v>201</v>
      </c>
      <c r="B6" s="82">
        <f>floors!$C$2</f>
        <v>65530</v>
      </c>
      <c r="C6" s="83" t="str">
        <f ca="1">VLOOKUP($B6,OFFSET([2]quests!$A$1,0,0,COUNTA([2]quests!$A:$A),MATCH(C$1,[2]quests!$1:$1,0)-MATCH($B$1,[2]quests!$1:$1,0)+1),MATCH(C$1,[2]quests!$1:$1,0)-MATCH($B$1,[2]quests!$1:$1,0)+1,FALSE)</f>
        <v>【LB渡邉】検証クエスト</v>
      </c>
      <c r="D6" s="83" t="str">
        <f ca="1">VLOOKUP($B6,OFFSET([2]quests!$A$1,0,0,COUNTA([2]quests!$A:$A),MATCH(D$1,[2]quests!$1:$1,0)-MATCH($B$1,[2]quests!$1:$1,0)+1),MATCH(D$1,[2]quests!$1:$1,0)-MATCH($B$1,[2]quests!$1:$1,0)+1,FALSE)</f>
        <v>検証</v>
      </c>
      <c r="E6" s="87" t="s">
        <v>215</v>
      </c>
      <c r="F6" s="83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3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5">
        <v>0</v>
      </c>
      <c r="I6">
        <v>6</v>
      </c>
      <c r="J6" s="84" t="s">
        <v>199</v>
      </c>
      <c r="K6" s="94" t="str">
        <f>VLOOKUP(I6,[6]stage_hints!$A:$C,3,FALSE)</f>
        <v>ユニット強化の属性ボーナス</v>
      </c>
      <c r="L6" s="95" t="str">
        <f>VLOOKUP(I6,[6]stage_hints!$A:$D,4,FALSE)</f>
        <v>同属性ユニットを強化素材にすると_x000D_経験値が多くもらえます</v>
      </c>
      <c r="M6" s="57" t="s">
        <v>212</v>
      </c>
    </row>
    <row r="7" spans="1:13" x14ac:dyDescent="0.15">
      <c r="A7" s="81" t="s">
        <v>201</v>
      </c>
      <c r="B7" s="82">
        <f>floors!$C$2</f>
        <v>65530</v>
      </c>
      <c r="C7" s="83" t="str">
        <f ca="1">VLOOKUP($B7,OFFSET([2]quests!$A$1,0,0,COUNTA([2]quests!$A:$A),MATCH(C$1,[2]quests!$1:$1,0)-MATCH($B$1,[2]quests!$1:$1,0)+1),MATCH(C$1,[2]quests!$1:$1,0)-MATCH($B$1,[2]quests!$1:$1,0)+1,FALSE)</f>
        <v>【LB渡邉】検証クエスト</v>
      </c>
      <c r="D7" s="83" t="str">
        <f ca="1">VLOOKUP($B7,OFFSET([2]quests!$A$1,0,0,COUNTA([2]quests!$A:$A),MATCH(D$1,[2]quests!$1:$1,0)-MATCH($B$1,[2]quests!$1:$1,0)+1),MATCH(D$1,[2]quests!$1:$1,0)-MATCH($B$1,[2]quests!$1:$1,0)+1,FALSE)</f>
        <v>検証</v>
      </c>
      <c r="E7" s="87" t="s">
        <v>215</v>
      </c>
      <c r="F7" s="83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3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5">
        <v>0</v>
      </c>
      <c r="I7">
        <v>7</v>
      </c>
      <c r="J7" s="84" t="s">
        <v>199</v>
      </c>
      <c r="K7" s="94" t="str">
        <f>VLOOKUP(I7,[6]stage_hints!$A:$C,3,FALSE)</f>
        <v>メタルダックで経験値を獲得</v>
      </c>
      <c r="L7" s="95" t="str">
        <f>VLOOKUP(I7,[6]stage_hints!$A:$D,4,FALSE)</f>
        <v>「メタルなアヒル」を強化素材にすると_x000D_大量の経験値がもらえます</v>
      </c>
      <c r="M7" s="57" t="s">
        <v>212</v>
      </c>
    </row>
    <row r="8" spans="1:13" x14ac:dyDescent="0.15">
      <c r="A8" s="81" t="s">
        <v>201</v>
      </c>
      <c r="B8" s="82">
        <f>floors!$C$2</f>
        <v>65530</v>
      </c>
      <c r="C8" s="83" t="str">
        <f ca="1">VLOOKUP($B8,OFFSET([2]quests!$A$1,0,0,COUNTA([2]quests!$A:$A),MATCH(C$1,[2]quests!$1:$1,0)-MATCH($B$1,[2]quests!$1:$1,0)+1),MATCH(C$1,[2]quests!$1:$1,0)-MATCH($B$1,[2]quests!$1:$1,0)+1,FALSE)</f>
        <v>【LB渡邉】検証クエスト</v>
      </c>
      <c r="D8" s="83" t="str">
        <f ca="1">VLOOKUP($B8,OFFSET([2]quests!$A$1,0,0,COUNTA([2]quests!$A:$A),MATCH(D$1,[2]quests!$1:$1,0)-MATCH($B$1,[2]quests!$1:$1,0)+1),MATCH(D$1,[2]quests!$1:$1,0)-MATCH($B$1,[2]quests!$1:$1,0)+1,FALSE)</f>
        <v>検証</v>
      </c>
      <c r="E8" s="87" t="s">
        <v>215</v>
      </c>
      <c r="F8" s="83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3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5">
        <v>0</v>
      </c>
      <c r="I8">
        <v>8</v>
      </c>
      <c r="J8" s="84" t="s">
        <v>199</v>
      </c>
      <c r="K8" s="94" t="str">
        <f>VLOOKUP(I8,[6]stage_hints!$A:$C,3,FALSE)</f>
        <v>ゲリラクエストは要チェック</v>
      </c>
      <c r="L8" s="95" t="str">
        <f>VLOOKUP(I8,[6]stage_hints!$A:$D,4,FALSE)</f>
        <v>時間限定の「アヒル捕獲作戦」では_x000D_経験値素材ユニットが多く手に入ります</v>
      </c>
      <c r="M8" s="57" t="s">
        <v>212</v>
      </c>
    </row>
    <row r="9" spans="1:13" x14ac:dyDescent="0.15">
      <c r="A9" s="81" t="s">
        <v>201</v>
      </c>
      <c r="B9" s="82">
        <f>floors!$C$2</f>
        <v>65530</v>
      </c>
      <c r="C9" s="83" t="str">
        <f ca="1">VLOOKUP($B9,OFFSET([2]quests!$A$1,0,0,COUNTA([2]quests!$A:$A),MATCH(C$1,[2]quests!$1:$1,0)-MATCH($B$1,[2]quests!$1:$1,0)+1),MATCH(C$1,[2]quests!$1:$1,0)-MATCH($B$1,[2]quests!$1:$1,0)+1,FALSE)</f>
        <v>【LB渡邉】検証クエスト</v>
      </c>
      <c r="D9" s="83" t="str">
        <f ca="1">VLOOKUP($B9,OFFSET([2]quests!$A$1,0,0,COUNTA([2]quests!$A:$A),MATCH(D$1,[2]quests!$1:$1,0)-MATCH($B$1,[2]quests!$1:$1,0)+1),MATCH(D$1,[2]quests!$1:$1,0)-MATCH($B$1,[2]quests!$1:$1,0)+1,FALSE)</f>
        <v>検証</v>
      </c>
      <c r="E9" s="87" t="s">
        <v>215</v>
      </c>
      <c r="F9" s="83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3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5">
        <v>0</v>
      </c>
      <c r="I9">
        <v>9</v>
      </c>
      <c r="J9" s="84" t="s">
        <v>199</v>
      </c>
      <c r="K9" s="94" t="str">
        <f>VLOOKUP(I9,[6]stage_hints!$A:$C,3,FALSE)</f>
        <v>ゴールドダックでビットを獲得</v>
      </c>
      <c r="L9" s="95" t="str">
        <f>VLOOKUP(I9,[6]stage_hints!$A:$D,4,FALSE)</f>
        <v>「ゴールドなアヒル」を売却すると_x000D_大量のビットがもらえます</v>
      </c>
      <c r="M9" s="57" t="s">
        <v>212</v>
      </c>
    </row>
    <row r="10" spans="1:13" x14ac:dyDescent="0.15">
      <c r="A10" s="81" t="s">
        <v>201</v>
      </c>
      <c r="B10" s="82">
        <f>floors!$C$2</f>
        <v>65530</v>
      </c>
      <c r="C10" s="83" t="str">
        <f ca="1">VLOOKUP($B10,OFFSET([2]quests!$A$1,0,0,COUNTA([2]quests!$A:$A),MATCH(C$1,[2]quests!$1:$1,0)-MATCH($B$1,[2]quests!$1:$1,0)+1),MATCH(C$1,[2]quests!$1:$1,0)-MATCH($B$1,[2]quests!$1:$1,0)+1,FALSE)</f>
        <v>【LB渡邉】検証クエスト</v>
      </c>
      <c r="D10" s="83" t="str">
        <f ca="1">VLOOKUP($B10,OFFSET([2]quests!$A$1,0,0,COUNTA([2]quests!$A:$A),MATCH(D$1,[2]quests!$1:$1,0)-MATCH($B$1,[2]quests!$1:$1,0)+1),MATCH(D$1,[2]quests!$1:$1,0)-MATCH($B$1,[2]quests!$1:$1,0)+1,FALSE)</f>
        <v>検証</v>
      </c>
      <c r="E10" s="87" t="s">
        <v>215</v>
      </c>
      <c r="F10" s="83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3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5">
        <v>0</v>
      </c>
      <c r="I10">
        <v>10</v>
      </c>
      <c r="J10" s="84" t="s">
        <v>199</v>
      </c>
      <c r="K10" s="94" t="str">
        <f>VLOOKUP(I10,[6]stage_hints!$A:$C,3,FALSE)</f>
        <v>土日に大量のビットを獲得</v>
      </c>
      <c r="L10" s="95" t="str">
        <f>VLOOKUP(I10,[6]stage_hints!$A:$D,4,FALSE)</f>
        <v>土日限定の「ゴールドカジノ」では_x000D_売却素材ユニットが多く手に入ります</v>
      </c>
      <c r="M10" s="57" t="s">
        <v>212</v>
      </c>
    </row>
    <row r="11" spans="1:13" x14ac:dyDescent="0.15">
      <c r="A11" s="81" t="s">
        <v>201</v>
      </c>
      <c r="B11" s="82">
        <f>floors!$C$2</f>
        <v>65530</v>
      </c>
      <c r="C11" s="83" t="str">
        <f ca="1">VLOOKUP($B11,OFFSET([2]quests!$A$1,0,0,COUNTA([2]quests!$A:$A),MATCH(C$1,[2]quests!$1:$1,0)-MATCH($B$1,[2]quests!$1:$1,0)+1),MATCH(C$1,[2]quests!$1:$1,0)-MATCH($B$1,[2]quests!$1:$1,0)+1,FALSE)</f>
        <v>【LB渡邉】検証クエスト</v>
      </c>
      <c r="D11" s="83" t="str">
        <f ca="1">VLOOKUP($B11,OFFSET([2]quests!$A$1,0,0,COUNTA([2]quests!$A:$A),MATCH(D$1,[2]quests!$1:$1,0)-MATCH($B$1,[2]quests!$1:$1,0)+1),MATCH(D$1,[2]quests!$1:$1,0)-MATCH($B$1,[2]quests!$1:$1,0)+1,FALSE)</f>
        <v>検証</v>
      </c>
      <c r="E11" s="87" t="s">
        <v>215</v>
      </c>
      <c r="F11" s="83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3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5">
        <v>0</v>
      </c>
      <c r="I11">
        <v>11</v>
      </c>
      <c r="J11" s="84" t="s">
        <v>199</v>
      </c>
      <c r="K11" s="94" t="str">
        <f>VLOOKUP(I11,[6]stage_hints!$A:$C,3,FALSE)</f>
        <v>ランク解放クエスト</v>
      </c>
      <c r="L11" s="95" t="str">
        <f>VLOOKUP(I11,[6]stage_hints!$A:$D,4,FALSE)</f>
        <v>一定ランクに到達すると_x000D_報酬付きのランク開放クエストが現れます</v>
      </c>
      <c r="M11" s="57" t="s">
        <v>212</v>
      </c>
    </row>
    <row r="12" spans="1:13" x14ac:dyDescent="0.15">
      <c r="A12" s="81" t="s">
        <v>201</v>
      </c>
      <c r="B12" s="82">
        <f>floors!$C$2</f>
        <v>65530</v>
      </c>
      <c r="C12" s="83" t="str">
        <f ca="1">VLOOKUP($B12,OFFSET([2]quests!$A$1,0,0,COUNTA([2]quests!$A:$A),MATCH(C$1,[2]quests!$1:$1,0)-MATCH($B$1,[2]quests!$1:$1,0)+1),MATCH(C$1,[2]quests!$1:$1,0)-MATCH($B$1,[2]quests!$1:$1,0)+1,FALSE)</f>
        <v>【LB渡邉】検証クエスト</v>
      </c>
      <c r="D12" s="83" t="str">
        <f ca="1">VLOOKUP($B12,OFFSET([2]quests!$A$1,0,0,COUNTA([2]quests!$A:$A),MATCH(D$1,[2]quests!$1:$1,0)-MATCH($B$1,[2]quests!$1:$1,0)+1),MATCH(D$1,[2]quests!$1:$1,0)-MATCH($B$1,[2]quests!$1:$1,0)+1,FALSE)</f>
        <v>検証</v>
      </c>
      <c r="E12" s="87" t="s">
        <v>215</v>
      </c>
      <c r="F12" s="83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3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5">
        <v>0</v>
      </c>
      <c r="I12">
        <v>12</v>
      </c>
      <c r="J12" s="84" t="s">
        <v>199</v>
      </c>
      <c r="K12" s="94" t="str">
        <f>VLOOKUP(I12,[6]stage_hints!$A:$C,3,FALSE)</f>
        <v>ユニットのお気に入り登録</v>
      </c>
      <c r="L12" s="95" t="str">
        <f>VLOOKUP(I12,[6]stage_hints!$A:$D,4,FALSE)</f>
        <v>大事なユニットを誤って消さないように_x000D_フォルダから「お気に入り登録」しましょう</v>
      </c>
      <c r="M12" s="57" t="s">
        <v>212</v>
      </c>
    </row>
    <row r="13" spans="1:13" x14ac:dyDescent="0.15">
      <c r="A13" s="81" t="s">
        <v>201</v>
      </c>
      <c r="B13" s="82">
        <f>floors!$C$2</f>
        <v>65530</v>
      </c>
      <c r="C13" s="83" t="str">
        <f ca="1">VLOOKUP($B13,OFFSET([2]quests!$A$1,0,0,COUNTA([2]quests!$A:$A),MATCH(C$1,[2]quests!$1:$1,0)-MATCH($B$1,[2]quests!$1:$1,0)+1),MATCH(C$1,[2]quests!$1:$1,0)-MATCH($B$1,[2]quests!$1:$1,0)+1,FALSE)</f>
        <v>【LB渡邉】検証クエスト</v>
      </c>
      <c r="D13" s="83" t="str">
        <f ca="1">VLOOKUP($B13,OFFSET([2]quests!$A$1,0,0,COUNTA([2]quests!$A:$A),MATCH(D$1,[2]quests!$1:$1,0)-MATCH($B$1,[2]quests!$1:$1,0)+1),MATCH(D$1,[2]quests!$1:$1,0)-MATCH($B$1,[2]quests!$1:$1,0)+1,FALSE)</f>
        <v>検証</v>
      </c>
      <c r="E13" s="87" t="s">
        <v>215</v>
      </c>
      <c r="F13" s="83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3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5">
        <v>0</v>
      </c>
      <c r="I13">
        <v>13</v>
      </c>
      <c r="J13" s="84" t="s">
        <v>199</v>
      </c>
      <c r="K13" s="94" t="str">
        <f>VLOOKUP(I13,[6]stage_hints!$A:$C,3,FALSE)</f>
        <v>ユニットの覚醒</v>
      </c>
      <c r="L13" s="95" t="str">
        <f>VLOOKUP(I13,[6]stage_hints!$A:$D,4,FALSE)</f>
        <v>ユニットを覚醒させると_x000D_比べものにならない強さが手に入ります</v>
      </c>
      <c r="M13" s="57" t="s">
        <v>212</v>
      </c>
    </row>
    <row r="14" spans="1:13" x14ac:dyDescent="0.15">
      <c r="A14" s="81" t="s">
        <v>201</v>
      </c>
      <c r="B14" s="82">
        <f>floors!$C$2</f>
        <v>65530</v>
      </c>
      <c r="C14" s="83" t="str">
        <f ca="1">VLOOKUP($B14,OFFSET([2]quests!$A$1,0,0,COUNTA([2]quests!$A:$A),MATCH(C$1,[2]quests!$1:$1,0)-MATCH($B$1,[2]quests!$1:$1,0)+1),MATCH(C$1,[2]quests!$1:$1,0)-MATCH($B$1,[2]quests!$1:$1,0)+1,FALSE)</f>
        <v>【LB渡邉】検証クエスト</v>
      </c>
      <c r="D14" s="83" t="str">
        <f ca="1">VLOOKUP($B14,OFFSET([2]quests!$A$1,0,0,COUNTA([2]quests!$A:$A),MATCH(D$1,[2]quests!$1:$1,0)-MATCH($B$1,[2]quests!$1:$1,0)+1),MATCH(D$1,[2]quests!$1:$1,0)-MATCH($B$1,[2]quests!$1:$1,0)+1,FALSE)</f>
        <v>検証</v>
      </c>
      <c r="E14" s="87" t="s">
        <v>215</v>
      </c>
      <c r="F14" s="83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3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5">
        <v>0</v>
      </c>
      <c r="I14">
        <v>14</v>
      </c>
      <c r="J14" s="84" t="s">
        <v>199</v>
      </c>
      <c r="K14" s="94" t="str">
        <f>VLOOKUP(I14,[6]stage_hints!$A:$C,3,FALSE)</f>
        <v>覚醒するにはレベルを最大に</v>
      </c>
      <c r="L14" s="95" t="str">
        <f>VLOOKUP(I14,[6]stage_hints!$A:$D,4,FALSE)</f>
        <v>覚醒するにはユニットのレベルを_x000D_最大まで上げる必要があります</v>
      </c>
      <c r="M14" s="57" t="s">
        <v>212</v>
      </c>
    </row>
    <row r="15" spans="1:13" x14ac:dyDescent="0.15">
      <c r="A15" s="81" t="s">
        <v>201</v>
      </c>
      <c r="B15" s="82">
        <f>floors!$C$2</f>
        <v>65530</v>
      </c>
      <c r="C15" s="83" t="str">
        <f ca="1">VLOOKUP($B15,OFFSET([2]quests!$A$1,0,0,COUNTA([2]quests!$A:$A),MATCH(C$1,[2]quests!$1:$1,0)-MATCH($B$1,[2]quests!$1:$1,0)+1),MATCH(C$1,[2]quests!$1:$1,0)-MATCH($B$1,[2]quests!$1:$1,0)+1,FALSE)</f>
        <v>【LB渡邉】検証クエスト</v>
      </c>
      <c r="D15" s="83" t="str">
        <f ca="1">VLOOKUP($B15,OFFSET([2]quests!$A$1,0,0,COUNTA([2]quests!$A:$A),MATCH(D$1,[2]quests!$1:$1,0)-MATCH($B$1,[2]quests!$1:$1,0)+1),MATCH(D$1,[2]quests!$1:$1,0)-MATCH($B$1,[2]quests!$1:$1,0)+1,FALSE)</f>
        <v>検証</v>
      </c>
      <c r="E15" s="87" t="s">
        <v>215</v>
      </c>
      <c r="F15" s="83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3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5">
        <v>0</v>
      </c>
      <c r="I15">
        <v>15</v>
      </c>
      <c r="J15" s="84" t="s">
        <v>199</v>
      </c>
      <c r="K15" s="94" t="str">
        <f>VLOOKUP(I15,[6]stage_hints!$A:$C,3,FALSE)</f>
        <v>覚醒素材を獲得</v>
      </c>
      <c r="L15" s="95" t="str">
        <f>VLOOKUP(I15,[6]stage_hints!$A:$D,4,FALSE)</f>
        <v>「曜日クエスト」では_x000D_ユニットの覚醒に必要な素材が手に入ります</v>
      </c>
      <c r="M15" s="57" t="s">
        <v>212</v>
      </c>
    </row>
    <row r="16" spans="1:13" x14ac:dyDescent="0.15">
      <c r="A16" s="81" t="s">
        <v>201</v>
      </c>
      <c r="B16" s="82">
        <f>floors!$C$2</f>
        <v>65530</v>
      </c>
      <c r="C16" s="83" t="str">
        <f ca="1">VLOOKUP($B16,OFFSET([2]quests!$A$1,0,0,COUNTA([2]quests!$A:$A),MATCH(C$1,[2]quests!$1:$1,0)-MATCH($B$1,[2]quests!$1:$1,0)+1),MATCH(C$1,[2]quests!$1:$1,0)-MATCH($B$1,[2]quests!$1:$1,0)+1,FALSE)</f>
        <v>【LB渡邉】検証クエスト</v>
      </c>
      <c r="D16" s="83" t="str">
        <f ca="1">VLOOKUP($B16,OFFSET([2]quests!$A$1,0,0,COUNTA([2]quests!$A:$A),MATCH(D$1,[2]quests!$1:$1,0)-MATCH($B$1,[2]quests!$1:$1,0)+1),MATCH(D$1,[2]quests!$1:$1,0)-MATCH($B$1,[2]quests!$1:$1,0)+1,FALSE)</f>
        <v>検証</v>
      </c>
      <c r="E16" s="87" t="s">
        <v>215</v>
      </c>
      <c r="F16" s="83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3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5">
        <v>0</v>
      </c>
      <c r="I16">
        <v>16</v>
      </c>
      <c r="J16" s="84" t="s">
        <v>199</v>
      </c>
      <c r="K16" s="94" t="str">
        <f>VLOOKUP(I16,[6]stage_hints!$A:$C,3,FALSE)</f>
        <v>マルチプレイのメリット（その1）</v>
      </c>
      <c r="L16" s="95" t="str">
        <f>VLOOKUP(I16,[6]stage_hints!$A:$D,4,FALSE)</f>
        <v>他のプレイヤーとマルチプレイで遊ぶと_x000D_ポリゴンがもらえます（100人まで）</v>
      </c>
      <c r="M16" s="57" t="s">
        <v>212</v>
      </c>
    </row>
    <row r="17" spans="1:13" x14ac:dyDescent="0.15">
      <c r="A17" s="81" t="s">
        <v>201</v>
      </c>
      <c r="B17" s="82">
        <f>floors!$C$2</f>
        <v>65530</v>
      </c>
      <c r="C17" s="83" t="str">
        <f ca="1">VLOOKUP($B17,OFFSET([2]quests!$A$1,0,0,COUNTA([2]quests!$A:$A),MATCH(C$1,[2]quests!$1:$1,0)-MATCH($B$1,[2]quests!$1:$1,0)+1),MATCH(C$1,[2]quests!$1:$1,0)-MATCH($B$1,[2]quests!$1:$1,0)+1,FALSE)</f>
        <v>【LB渡邉】検証クエスト</v>
      </c>
      <c r="D17" s="83" t="str">
        <f ca="1">VLOOKUP($B17,OFFSET([2]quests!$A$1,0,0,COUNTA([2]quests!$A:$A),MATCH(D$1,[2]quests!$1:$1,0)-MATCH($B$1,[2]quests!$1:$1,0)+1),MATCH(D$1,[2]quests!$1:$1,0)-MATCH($B$1,[2]quests!$1:$1,0)+1,FALSE)</f>
        <v>検証</v>
      </c>
      <c r="E17" s="87" t="s">
        <v>215</v>
      </c>
      <c r="F17" s="83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3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5">
        <v>0</v>
      </c>
      <c r="I17">
        <v>17</v>
      </c>
      <c r="J17" s="84" t="s">
        <v>199</v>
      </c>
      <c r="K17" s="94" t="str">
        <f>VLOOKUP(I17,[6]stage_hints!$A:$C,3,FALSE)</f>
        <v>リンクガチャ</v>
      </c>
      <c r="L17" s="95" t="str">
        <f>VLOOKUP(I17,[6]stage_hints!$A:$D,4,FALSE)</f>
        <v>無料のリンクガチャを回して_x000D_経験値素材や売却素材を獲得しましょう</v>
      </c>
      <c r="M17" s="57" t="s">
        <v>212</v>
      </c>
    </row>
    <row r="18" spans="1:13" x14ac:dyDescent="0.15">
      <c r="A18" s="81" t="s">
        <v>201</v>
      </c>
      <c r="B18" s="82">
        <f>floors!$C$2</f>
        <v>65530</v>
      </c>
      <c r="C18" s="83" t="str">
        <f ca="1">VLOOKUP($B18,OFFSET([2]quests!$A$1,0,0,COUNTA([2]quests!$A:$A),MATCH(C$1,[2]quests!$1:$1,0)-MATCH($B$1,[2]quests!$1:$1,0)+1),MATCH(C$1,[2]quests!$1:$1,0)-MATCH($B$1,[2]quests!$1:$1,0)+1,FALSE)</f>
        <v>【LB渡邉】検証クエスト</v>
      </c>
      <c r="D18" s="83" t="str">
        <f ca="1">VLOOKUP($B18,OFFSET([2]quests!$A$1,0,0,COUNTA([2]quests!$A:$A),MATCH(D$1,[2]quests!$1:$1,0)-MATCH($B$1,[2]quests!$1:$1,0)+1),MATCH(D$1,[2]quests!$1:$1,0)-MATCH($B$1,[2]quests!$1:$1,0)+1,FALSE)</f>
        <v>検証</v>
      </c>
      <c r="E18" s="87" t="s">
        <v>215</v>
      </c>
      <c r="F18" s="83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3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5">
        <v>0</v>
      </c>
      <c r="I18">
        <v>18</v>
      </c>
      <c r="J18" s="84" t="s">
        <v>199</v>
      </c>
      <c r="K18" s="94" t="str">
        <f>VLOOKUP(I18,[6]stage_hints!$A:$C,3,FALSE)</f>
        <v>マルチプレイのメリット（その2）</v>
      </c>
      <c r="L18" s="95" t="str">
        <f>VLOOKUP(I18,[6]stage_hints!$A:$D,4,FALSE)</f>
        <v>マルチプレイならリンクが2倍もらえます_x000D_リンクガチャをたくさん回しましょう</v>
      </c>
      <c r="M18" s="57" t="s">
        <v>212</v>
      </c>
    </row>
    <row r="19" spans="1:13" x14ac:dyDescent="0.15">
      <c r="A19" s="81" t="s">
        <v>201</v>
      </c>
      <c r="B19" s="82">
        <f>floors!$C$2</f>
        <v>65530</v>
      </c>
      <c r="C19" s="83" t="str">
        <f ca="1">VLOOKUP($B19,OFFSET([2]quests!$A$1,0,0,COUNTA([2]quests!$A:$A),MATCH(C$1,[2]quests!$1:$1,0)-MATCH($B$1,[2]quests!$1:$1,0)+1),MATCH(C$1,[2]quests!$1:$1,0)-MATCH($B$1,[2]quests!$1:$1,0)+1,FALSE)</f>
        <v>【LB渡邉】検証クエスト</v>
      </c>
      <c r="D19" s="83" t="str">
        <f ca="1">VLOOKUP($B19,OFFSET([2]quests!$A$1,0,0,COUNTA([2]quests!$A:$A),MATCH(D$1,[2]quests!$1:$1,0)-MATCH($B$1,[2]quests!$1:$1,0)+1),MATCH(D$1,[2]quests!$1:$1,0)-MATCH($B$1,[2]quests!$1:$1,0)+1,FALSE)</f>
        <v>検証</v>
      </c>
      <c r="E19" s="87" t="s">
        <v>215</v>
      </c>
      <c r="F19" s="83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3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5">
        <v>0</v>
      </c>
      <c r="I19">
        <v>19</v>
      </c>
      <c r="J19" s="84" t="s">
        <v>199</v>
      </c>
      <c r="K19" s="94" t="str">
        <f>VLOOKUP(I19,[6]stage_hints!$A:$C,3,FALSE)</f>
        <v>ソロ専用タワーオブザクイーン</v>
      </c>
      <c r="L19" s="95" t="str">
        <f>VLOOKUP(I19,[6]stage_hints!$A:$D,4,FALSE)</f>
        <v>ソロ専用の「タワーオブザクイーン」は_x000D_期間限定で定期的に開催されます_x000D_ここでしか獲得できない報酬もあるようです</v>
      </c>
      <c r="M19" s="57" t="s">
        <v>212</v>
      </c>
    </row>
    <row r="20" spans="1:13" x14ac:dyDescent="0.15">
      <c r="A20" s="81" t="s">
        <v>201</v>
      </c>
      <c r="B20" s="82">
        <f>floors!$C$2</f>
        <v>65530</v>
      </c>
      <c r="C20" s="83" t="str">
        <f ca="1">VLOOKUP($B20,OFFSET([2]quests!$A$1,0,0,COUNTA([2]quests!$A:$A),MATCH(C$1,[2]quests!$1:$1,0)-MATCH($B$1,[2]quests!$1:$1,0)+1),MATCH(C$1,[2]quests!$1:$1,0)-MATCH($B$1,[2]quests!$1:$1,0)+1,FALSE)</f>
        <v>【LB渡邉】検証クエスト</v>
      </c>
      <c r="D20" s="83" t="str">
        <f ca="1">VLOOKUP($B20,OFFSET([2]quests!$A$1,0,0,COUNTA([2]quests!$A:$A),MATCH(D$1,[2]quests!$1:$1,0)-MATCH($B$1,[2]quests!$1:$1,0)+1),MATCH(D$1,[2]quests!$1:$1,0)-MATCH($B$1,[2]quests!$1:$1,0)+1,FALSE)</f>
        <v>検証</v>
      </c>
      <c r="E20" s="87" t="s">
        <v>215</v>
      </c>
      <c r="F20" s="83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3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5">
        <v>0</v>
      </c>
      <c r="I20">
        <v>20</v>
      </c>
      <c r="J20" s="84" t="s">
        <v>199</v>
      </c>
      <c r="K20" s="94" t="str">
        <f>VLOOKUP(I20,[6]stage_hints!$A:$C,3,FALSE)</f>
        <v>マルチプレイのメリット（その3）</v>
      </c>
      <c r="L20" s="95" t="str">
        <f>VLOOKUP(I20,[6]stage_hints!$A:$D,4,FALSE)</f>
        <v>マルチプレイへの参加はエナジー消費ゼロ_x000D_いつでも好きなだけ遊ぶことができます</v>
      </c>
      <c r="M20" s="57" t="s">
        <v>212</v>
      </c>
    </row>
    <row r="21" spans="1:13" x14ac:dyDescent="0.15">
      <c r="A21" s="81" t="s">
        <v>201</v>
      </c>
      <c r="B21" s="82">
        <f>floors!$C$2</f>
        <v>65530</v>
      </c>
      <c r="C21" s="83" t="str">
        <f ca="1">VLOOKUP($B21,OFFSET([2]quests!$A$1,0,0,COUNTA([2]quests!$A:$A),MATCH(C$1,[2]quests!$1:$1,0)-MATCH($B$1,[2]quests!$1:$1,0)+1),MATCH(C$1,[2]quests!$1:$1,0)-MATCH($B$1,[2]quests!$1:$1,0)+1,FALSE)</f>
        <v>【LB渡邉】検証クエスト</v>
      </c>
      <c r="D21" s="83" t="str">
        <f ca="1">VLOOKUP($B21,OFFSET([2]quests!$A$1,0,0,COUNTA([2]quests!$A:$A),MATCH(D$1,[2]quests!$1:$1,0)-MATCH($B$1,[2]quests!$1:$1,0)+1),MATCH(D$1,[2]quests!$1:$1,0)-MATCH($B$1,[2]quests!$1:$1,0)+1,FALSE)</f>
        <v>検証</v>
      </c>
      <c r="E21" s="87" t="s">
        <v>215</v>
      </c>
      <c r="F21" s="83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3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5">
        <v>0</v>
      </c>
      <c r="I21">
        <v>21</v>
      </c>
      <c r="J21" s="84" t="s">
        <v>199</v>
      </c>
      <c r="K21" s="94" t="str">
        <f>VLOOKUP(I21,[6]stage_hints!$A:$C,3,FALSE)</f>
        <v>スキルを有効に</v>
      </c>
      <c r="L21" s="95" t="str">
        <f>VLOOKUP(I21,[6]stage_hints!$A:$D,4,FALSE)</f>
        <v>ターン経過でユニットのスキルが使えます_x000D_強力スキルでバトルを有利に進めましょう</v>
      </c>
      <c r="M21" s="57" t="s">
        <v>212</v>
      </c>
    </row>
    <row r="22" spans="1:13" x14ac:dyDescent="0.15">
      <c r="A22" s="81" t="s">
        <v>201</v>
      </c>
      <c r="B22" s="82">
        <f>floors!$C$2</f>
        <v>65530</v>
      </c>
      <c r="C22" s="83" t="str">
        <f ca="1">VLOOKUP($B22,OFFSET([2]quests!$A$1,0,0,COUNTA([2]quests!$A:$A),MATCH(C$1,[2]quests!$1:$1,0)-MATCH($B$1,[2]quests!$1:$1,0)+1),MATCH(C$1,[2]quests!$1:$1,0)-MATCH($B$1,[2]quests!$1:$1,0)+1,FALSE)</f>
        <v>【LB渡邉】検証クエスト</v>
      </c>
      <c r="D22" s="83" t="str">
        <f ca="1">VLOOKUP($B22,OFFSET([2]quests!$A$1,0,0,COUNTA([2]quests!$A:$A),MATCH(D$1,[2]quests!$1:$1,0)-MATCH($B$1,[2]quests!$1:$1,0)+1),MATCH(D$1,[2]quests!$1:$1,0)-MATCH($B$1,[2]quests!$1:$1,0)+1,FALSE)</f>
        <v>検証</v>
      </c>
      <c r="E22" s="87" t="s">
        <v>215</v>
      </c>
      <c r="F22" s="83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3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5">
        <v>0</v>
      </c>
      <c r="I22">
        <v>22</v>
      </c>
      <c r="J22" s="84" t="s">
        <v>199</v>
      </c>
      <c r="K22" s="94" t="str">
        <f>VLOOKUP(I22,[6]stage_hints!$A:$C,3,FALSE)</f>
        <v>フィーバーで一発逆転（その1）</v>
      </c>
      <c r="L22" s="95" t="str">
        <f>VLOOKUP(I22,[6]stage_hints!$A:$D,4,FALSE)</f>
        <v>フィーバーは攻撃と回復を兼ね備えます_x000D_ピンチからの一発逆転を狙いましょう</v>
      </c>
      <c r="M22" s="57" t="s">
        <v>212</v>
      </c>
    </row>
    <row r="23" spans="1:13" x14ac:dyDescent="0.15">
      <c r="A23" s="81" t="s">
        <v>201</v>
      </c>
      <c r="B23" s="82">
        <f>floors!$C$2</f>
        <v>65530</v>
      </c>
      <c r="C23" s="83" t="str">
        <f ca="1">VLOOKUP($B23,OFFSET([2]quests!$A$1,0,0,COUNTA([2]quests!$A:$A),MATCH(C$1,[2]quests!$1:$1,0)-MATCH($B$1,[2]quests!$1:$1,0)+1),MATCH(C$1,[2]quests!$1:$1,0)-MATCH($B$1,[2]quests!$1:$1,0)+1,FALSE)</f>
        <v>【LB渡邉】検証クエスト</v>
      </c>
      <c r="D23" s="83" t="str">
        <f ca="1">VLOOKUP($B23,OFFSET([2]quests!$A$1,0,0,COUNTA([2]quests!$A:$A),MATCH(D$1,[2]quests!$1:$1,0)-MATCH($B$1,[2]quests!$1:$1,0)+1),MATCH(D$1,[2]quests!$1:$1,0)-MATCH($B$1,[2]quests!$1:$1,0)+1,FALSE)</f>
        <v>検証</v>
      </c>
      <c r="E23" s="87" t="s">
        <v>215</v>
      </c>
      <c r="F23" s="83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3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5">
        <v>0</v>
      </c>
      <c r="I23">
        <v>23</v>
      </c>
      <c r="J23" s="84" t="s">
        <v>199</v>
      </c>
      <c r="K23" s="94" t="str">
        <f>VLOOKUP(I23,[6]stage_hints!$A:$C,3,FALSE)</f>
        <v>フィーバーで一発逆転（その2）</v>
      </c>
      <c r="L23" s="95" t="str">
        <f>VLOOKUP(I23,[6]stage_hints!$A:$D,4,FALSE)</f>
        <v>フィーバー中は虹色のボムパネルを狙って_x000D_画面上のパネルを一気に破壊しましょう</v>
      </c>
      <c r="M23" s="57" t="s">
        <v>212</v>
      </c>
    </row>
    <row r="24" spans="1:13" x14ac:dyDescent="0.15">
      <c r="A24" s="81" t="s">
        <v>201</v>
      </c>
      <c r="B24" s="82">
        <f>floors!$C$2</f>
        <v>65530</v>
      </c>
      <c r="C24" s="83" t="str">
        <f ca="1">VLOOKUP($B24,OFFSET([2]quests!$A$1,0,0,COUNTA([2]quests!$A:$A),MATCH(C$1,[2]quests!$1:$1,0)-MATCH($B$1,[2]quests!$1:$1,0)+1),MATCH(C$1,[2]quests!$1:$1,0)-MATCH($B$1,[2]quests!$1:$1,0)+1,FALSE)</f>
        <v>【LB渡邉】検証クエスト</v>
      </c>
      <c r="D24" s="83" t="str">
        <f ca="1">VLOOKUP($B24,OFFSET([2]quests!$A$1,0,0,COUNTA([2]quests!$A:$A),MATCH(D$1,[2]quests!$1:$1,0)-MATCH($B$1,[2]quests!$1:$1,0)+1),MATCH(D$1,[2]quests!$1:$1,0)-MATCH($B$1,[2]quests!$1:$1,0)+1,FALSE)</f>
        <v>検証</v>
      </c>
      <c r="E24" s="87" t="s">
        <v>215</v>
      </c>
      <c r="F24" s="83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3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5">
        <v>0</v>
      </c>
      <c r="I24">
        <v>24</v>
      </c>
      <c r="J24" s="84" t="s">
        <v>199</v>
      </c>
      <c r="K24" s="94" t="str">
        <f>VLOOKUP(I24,[6]stage_hints!$A:$C,3,FALSE)</f>
        <v>りんごを使って限界突破</v>
      </c>
      <c r="L24" s="95" t="str">
        <f>VLOOKUP(I24,[6]stage_hints!$A:$D,4,FALSE)</f>
        <v>赤りんご(攻撃力) 青りんご(回復力)_x000D_緑りんご(体力)をユニット強化に使うと_x000D_ステータスが限界突破します（計99個迄）</v>
      </c>
      <c r="M24" s="57" t="s">
        <v>212</v>
      </c>
    </row>
    <row r="25" spans="1:13" x14ac:dyDescent="0.15">
      <c r="A25" s="81" t="s">
        <v>201</v>
      </c>
      <c r="B25" s="82">
        <f>floors!$C$2</f>
        <v>65530</v>
      </c>
      <c r="C25" s="83" t="str">
        <f ca="1">VLOOKUP($B25,OFFSET([2]quests!$A$1,0,0,COUNTA([2]quests!$A:$A),MATCH(C$1,[2]quests!$1:$1,0)-MATCH($B$1,[2]quests!$1:$1,0)+1),MATCH(C$1,[2]quests!$1:$1,0)-MATCH($B$1,[2]quests!$1:$1,0)+1,FALSE)</f>
        <v>【LB渡邉】検証クエスト</v>
      </c>
      <c r="D25" s="83" t="str">
        <f ca="1">VLOOKUP($B25,OFFSET([2]quests!$A$1,0,0,COUNTA([2]quests!$A:$A),MATCH(D$1,[2]quests!$1:$1,0)-MATCH($B$1,[2]quests!$1:$1,0)+1),MATCH(D$1,[2]quests!$1:$1,0)-MATCH($B$1,[2]quests!$1:$1,0)+1,FALSE)</f>
        <v>検証</v>
      </c>
      <c r="E25" s="87" t="s">
        <v>215</v>
      </c>
      <c r="F25" s="83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3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5">
        <v>0</v>
      </c>
      <c r="I25">
        <v>25</v>
      </c>
      <c r="J25" s="84" t="s">
        <v>199</v>
      </c>
      <c r="K25" s="94" t="str">
        <f>VLOOKUP(I25,[6]stage_hints!$A:$C,3,FALSE)</f>
        <v>スキルレベルアップ</v>
      </c>
      <c r="L25" s="95" t="str">
        <f>VLOOKUP(I25,[6]stage_hints!$A:$D,4,FALSE)</f>
        <v>「クリスタルのりんご」を強化に使うと_x000D_スキルレベルを上げることができます</v>
      </c>
      <c r="M25" s="57" t="s">
        <v>212</v>
      </c>
    </row>
    <row r="26" spans="1:13" x14ac:dyDescent="0.15">
      <c r="A26" s="81" t="s">
        <v>201</v>
      </c>
      <c r="B26" s="82">
        <f>floors!$C$2</f>
        <v>65530</v>
      </c>
      <c r="C26" s="83" t="str">
        <f ca="1">VLOOKUP($B26,OFFSET([2]quests!$A$1,0,0,COUNTA([2]quests!$A:$A),MATCH(C$1,[2]quests!$1:$1,0)-MATCH($B$1,[2]quests!$1:$1,0)+1),MATCH(C$1,[2]quests!$1:$1,0)-MATCH($B$1,[2]quests!$1:$1,0)+1,FALSE)</f>
        <v>【LB渡邉】検証クエスト</v>
      </c>
      <c r="D26" s="83" t="str">
        <f ca="1">VLOOKUP($B26,OFFSET([2]quests!$A$1,0,0,COUNTA([2]quests!$A:$A),MATCH(D$1,[2]quests!$1:$1,0)-MATCH($B$1,[2]quests!$1:$1,0)+1),MATCH(D$1,[2]quests!$1:$1,0)-MATCH($B$1,[2]quests!$1:$1,0)+1,FALSE)</f>
        <v>検証</v>
      </c>
      <c r="E26" s="87" t="s">
        <v>215</v>
      </c>
      <c r="F26" s="83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3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5">
        <v>0</v>
      </c>
      <c r="I26">
        <v>26</v>
      </c>
      <c r="J26" s="84" t="s">
        <v>199</v>
      </c>
      <c r="K26" s="94" t="str">
        <f>VLOOKUP(I26,[6]stage_hints!$A:$C,3,FALSE)</f>
        <v>スキルレベルの効果</v>
      </c>
      <c r="L26" s="95" t="str">
        <f>VLOOKUP(I26,[6]stage_hints!$A:$D,4,FALSE)</f>
        <v>スキルレベルが上がると_x000D_短いターンでスキルを使うことができます</v>
      </c>
      <c r="M26" s="57" t="s">
        <v>212</v>
      </c>
    </row>
    <row r="27" spans="1:13" x14ac:dyDescent="0.15">
      <c r="A27" s="81" t="s">
        <v>201</v>
      </c>
      <c r="B27" s="82">
        <f>floors!$C$2</f>
        <v>65530</v>
      </c>
      <c r="C27" s="83" t="str">
        <f ca="1">VLOOKUP($B27,OFFSET([2]quests!$A$1,0,0,COUNTA([2]quests!$A:$A),MATCH(C$1,[2]quests!$1:$1,0)-MATCH($B$1,[2]quests!$1:$1,0)+1),MATCH(C$1,[2]quests!$1:$1,0)-MATCH($B$1,[2]quests!$1:$1,0)+1,FALSE)</f>
        <v>【LB渡邉】検証クエスト</v>
      </c>
      <c r="D27" s="83" t="str">
        <f ca="1">VLOOKUP($B27,OFFSET([2]quests!$A$1,0,0,COUNTA([2]quests!$A:$A),MATCH(D$1,[2]quests!$1:$1,0)-MATCH($B$1,[2]quests!$1:$1,0)+1),MATCH(D$1,[2]quests!$1:$1,0)-MATCH($B$1,[2]quests!$1:$1,0)+1,FALSE)</f>
        <v>検証</v>
      </c>
      <c r="E27" s="87" t="s">
        <v>215</v>
      </c>
      <c r="F27" s="83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3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5">
        <v>0</v>
      </c>
      <c r="I27">
        <v>39</v>
      </c>
      <c r="J27" s="84" t="s">
        <v>199</v>
      </c>
      <c r="K27" s="94" t="str">
        <f>VLOOKUP(I27,[6]stage_hints!$A:$C,3,FALSE)</f>
        <v>システム適合者を確認</v>
      </c>
      <c r="L27" s="95" t="str">
        <f>VLOOKUP(I27,[6]stage_hints!$A:$D,4,FALSE)</f>
        <v>ALICEが 「アナタ」を呼んでいます</v>
      </c>
      <c r="M27" s="57" t="s">
        <v>212</v>
      </c>
    </row>
    <row r="28" spans="1:13" x14ac:dyDescent="0.15">
      <c r="A28" s="81" t="s">
        <v>201</v>
      </c>
      <c r="B28" s="82">
        <f>floors!$C$2</f>
        <v>65530</v>
      </c>
      <c r="C28" s="83" t="str">
        <f ca="1">VLOOKUP($B28,OFFSET([2]quests!$A$1,0,0,COUNTA([2]quests!$A:$A),MATCH(C$1,[2]quests!$1:$1,0)-MATCH($B$1,[2]quests!$1:$1,0)+1),MATCH(C$1,[2]quests!$1:$1,0)-MATCH($B$1,[2]quests!$1:$1,0)+1,FALSE)</f>
        <v>【LB渡邉】検証クエスト</v>
      </c>
      <c r="D28" s="83" t="str">
        <f ca="1">VLOOKUP($B28,OFFSET([2]quests!$A$1,0,0,COUNTA([2]quests!$A:$A),MATCH(D$1,[2]quests!$1:$1,0)-MATCH($B$1,[2]quests!$1:$1,0)+1),MATCH(D$1,[2]quests!$1:$1,0)-MATCH($B$1,[2]quests!$1:$1,0)+1,FALSE)</f>
        <v>検証</v>
      </c>
      <c r="E28" s="87" t="s">
        <v>216</v>
      </c>
      <c r="F28" s="83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3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5">
        <v>0</v>
      </c>
      <c r="I28">
        <v>3</v>
      </c>
      <c r="J28" s="84" t="s">
        <v>199</v>
      </c>
      <c r="K28" s="94" t="str">
        <f>VLOOKUP(I28,[6]stage_hints!$A:$C,3,FALSE)</f>
        <v>ターゲット</v>
      </c>
      <c r="L28" s="95" t="str">
        <f>VLOOKUP(I28,[6]stage_hints!$A:$D,4,FALSE)</f>
        <v>敵ユニットをタップすると_x000D_その敵を狙い撃ちできます</v>
      </c>
      <c r="M28" s="57" t="s">
        <v>212</v>
      </c>
    </row>
    <row r="29" spans="1:13" x14ac:dyDescent="0.15">
      <c r="A29" s="81" t="s">
        <v>201</v>
      </c>
      <c r="B29" s="82">
        <f>floors!$C$2</f>
        <v>65530</v>
      </c>
      <c r="C29" s="83" t="str">
        <f ca="1">VLOOKUP($B29,OFFSET([2]quests!$A$1,0,0,COUNTA([2]quests!$A:$A),MATCH(C$1,[2]quests!$1:$1,0)-MATCH($B$1,[2]quests!$1:$1,0)+1),MATCH(C$1,[2]quests!$1:$1,0)-MATCH($B$1,[2]quests!$1:$1,0)+1,FALSE)</f>
        <v>【LB渡邉】検証クエスト</v>
      </c>
      <c r="D29" s="83" t="str">
        <f ca="1">VLOOKUP($B29,OFFSET([2]quests!$A$1,0,0,COUNTA([2]quests!$A:$A),MATCH(D$1,[2]quests!$1:$1,0)-MATCH($B$1,[2]quests!$1:$1,0)+1),MATCH(D$1,[2]quests!$1:$1,0)-MATCH($B$1,[2]quests!$1:$1,0)+1,FALSE)</f>
        <v>検証</v>
      </c>
      <c r="E29" s="87" t="s">
        <v>216</v>
      </c>
      <c r="F29" s="83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3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5">
        <v>0</v>
      </c>
      <c r="I29">
        <v>6</v>
      </c>
      <c r="J29" s="84" t="s">
        <v>199</v>
      </c>
      <c r="K29" s="94" t="str">
        <f>VLOOKUP(I29,[6]stage_hints!$A:$C,3,FALSE)</f>
        <v>ユニット強化の属性ボーナス</v>
      </c>
      <c r="L29" s="95" t="str">
        <f>VLOOKUP(I29,[6]stage_hints!$A:$D,4,FALSE)</f>
        <v>同属性ユニットを強化素材にすると_x000D_経験値が多くもらえます</v>
      </c>
      <c r="M29" s="57" t="s">
        <v>212</v>
      </c>
    </row>
    <row r="30" spans="1:13" x14ac:dyDescent="0.15">
      <c r="A30" s="81" t="s">
        <v>201</v>
      </c>
      <c r="B30" s="82">
        <f>floors!$C$2</f>
        <v>65530</v>
      </c>
      <c r="C30" s="83" t="str">
        <f ca="1">VLOOKUP($B30,OFFSET([2]quests!$A$1,0,0,COUNTA([2]quests!$A:$A),MATCH(C$1,[2]quests!$1:$1,0)-MATCH($B$1,[2]quests!$1:$1,0)+1),MATCH(C$1,[2]quests!$1:$1,0)-MATCH($B$1,[2]quests!$1:$1,0)+1,FALSE)</f>
        <v>【LB渡邉】検証クエスト</v>
      </c>
      <c r="D30" s="83" t="str">
        <f ca="1">VLOOKUP($B30,OFFSET([2]quests!$A$1,0,0,COUNTA([2]quests!$A:$A),MATCH(D$1,[2]quests!$1:$1,0)-MATCH($B$1,[2]quests!$1:$1,0)+1),MATCH(D$1,[2]quests!$1:$1,0)-MATCH($B$1,[2]quests!$1:$1,0)+1,FALSE)</f>
        <v>検証</v>
      </c>
      <c r="E30" s="87" t="s">
        <v>216</v>
      </c>
      <c r="F30" s="83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3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5">
        <v>0</v>
      </c>
      <c r="I30">
        <v>7</v>
      </c>
      <c r="J30" s="84" t="s">
        <v>199</v>
      </c>
      <c r="K30" s="94" t="str">
        <f>VLOOKUP(I30,[6]stage_hints!$A:$C,3,FALSE)</f>
        <v>メタルダックで経験値を獲得</v>
      </c>
      <c r="L30" s="95" t="str">
        <f>VLOOKUP(I30,[6]stage_hints!$A:$D,4,FALSE)</f>
        <v>「メタルなアヒル」を強化素材にすると_x000D_大量の経験値がもらえます</v>
      </c>
      <c r="M30" s="57" t="s">
        <v>212</v>
      </c>
    </row>
    <row r="31" spans="1:13" x14ac:dyDescent="0.15">
      <c r="A31" s="81" t="s">
        <v>201</v>
      </c>
      <c r="B31" s="82">
        <f>floors!$C$2</f>
        <v>65530</v>
      </c>
      <c r="C31" s="83" t="str">
        <f ca="1">VLOOKUP($B31,OFFSET([2]quests!$A$1,0,0,COUNTA([2]quests!$A:$A),MATCH(C$1,[2]quests!$1:$1,0)-MATCH($B$1,[2]quests!$1:$1,0)+1),MATCH(C$1,[2]quests!$1:$1,0)-MATCH($B$1,[2]quests!$1:$1,0)+1,FALSE)</f>
        <v>【LB渡邉】検証クエスト</v>
      </c>
      <c r="D31" s="83" t="str">
        <f ca="1">VLOOKUP($B31,OFFSET([2]quests!$A$1,0,0,COUNTA([2]quests!$A:$A),MATCH(D$1,[2]quests!$1:$1,0)-MATCH($B$1,[2]quests!$1:$1,0)+1),MATCH(D$1,[2]quests!$1:$1,0)-MATCH($B$1,[2]quests!$1:$1,0)+1,FALSE)</f>
        <v>検証</v>
      </c>
      <c r="E31" s="87" t="s">
        <v>216</v>
      </c>
      <c r="F31" s="83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3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5">
        <v>0</v>
      </c>
      <c r="I31">
        <v>8</v>
      </c>
      <c r="J31" s="84" t="s">
        <v>199</v>
      </c>
      <c r="K31" s="94" t="str">
        <f>VLOOKUP(I31,[6]stage_hints!$A:$C,3,FALSE)</f>
        <v>ゲリラクエストは要チェック</v>
      </c>
      <c r="L31" s="95" t="str">
        <f>VLOOKUP(I31,[6]stage_hints!$A:$D,4,FALSE)</f>
        <v>時間限定の「アヒル捕獲作戦」では_x000D_経験値素材ユニットが多く手に入ります</v>
      </c>
      <c r="M31" s="57" t="s">
        <v>212</v>
      </c>
    </row>
    <row r="32" spans="1:13" x14ac:dyDescent="0.15">
      <c r="A32" s="81" t="s">
        <v>201</v>
      </c>
      <c r="B32" s="82">
        <f>floors!$C$2</f>
        <v>65530</v>
      </c>
      <c r="C32" s="83" t="str">
        <f ca="1">VLOOKUP($B32,OFFSET([2]quests!$A$1,0,0,COUNTA([2]quests!$A:$A),MATCH(C$1,[2]quests!$1:$1,0)-MATCH($B$1,[2]quests!$1:$1,0)+1),MATCH(C$1,[2]quests!$1:$1,0)-MATCH($B$1,[2]quests!$1:$1,0)+1,FALSE)</f>
        <v>【LB渡邉】検証クエスト</v>
      </c>
      <c r="D32" s="83" t="str">
        <f ca="1">VLOOKUP($B32,OFFSET([2]quests!$A$1,0,0,COUNTA([2]quests!$A:$A),MATCH(D$1,[2]quests!$1:$1,0)-MATCH($B$1,[2]quests!$1:$1,0)+1),MATCH(D$1,[2]quests!$1:$1,0)-MATCH($B$1,[2]quests!$1:$1,0)+1,FALSE)</f>
        <v>検証</v>
      </c>
      <c r="E32" s="87" t="s">
        <v>216</v>
      </c>
      <c r="F32" s="83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3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5">
        <v>0</v>
      </c>
      <c r="I32">
        <v>9</v>
      </c>
      <c r="J32" s="84" t="s">
        <v>199</v>
      </c>
      <c r="K32" s="94" t="str">
        <f>VLOOKUP(I32,[6]stage_hints!$A:$C,3,FALSE)</f>
        <v>ゴールドダックでビットを獲得</v>
      </c>
      <c r="L32" s="95" t="str">
        <f>VLOOKUP(I32,[6]stage_hints!$A:$D,4,FALSE)</f>
        <v>「ゴールドなアヒル」を売却すると_x000D_大量のビットがもらえます</v>
      </c>
      <c r="M32" s="57" t="s">
        <v>212</v>
      </c>
    </row>
    <row r="33" spans="1:13" x14ac:dyDescent="0.15">
      <c r="A33" s="81" t="s">
        <v>201</v>
      </c>
      <c r="B33" s="82">
        <f>floors!$C$2</f>
        <v>65530</v>
      </c>
      <c r="C33" s="83" t="str">
        <f ca="1">VLOOKUP($B33,OFFSET([2]quests!$A$1,0,0,COUNTA([2]quests!$A:$A),MATCH(C$1,[2]quests!$1:$1,0)-MATCH($B$1,[2]quests!$1:$1,0)+1),MATCH(C$1,[2]quests!$1:$1,0)-MATCH($B$1,[2]quests!$1:$1,0)+1,FALSE)</f>
        <v>【LB渡邉】検証クエスト</v>
      </c>
      <c r="D33" s="83" t="str">
        <f ca="1">VLOOKUP($B33,OFFSET([2]quests!$A$1,0,0,COUNTA([2]quests!$A:$A),MATCH(D$1,[2]quests!$1:$1,0)-MATCH($B$1,[2]quests!$1:$1,0)+1),MATCH(D$1,[2]quests!$1:$1,0)-MATCH($B$1,[2]quests!$1:$1,0)+1,FALSE)</f>
        <v>検証</v>
      </c>
      <c r="E33" s="87" t="s">
        <v>216</v>
      </c>
      <c r="F33" s="83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3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5">
        <v>0</v>
      </c>
      <c r="I33">
        <v>10</v>
      </c>
      <c r="J33" s="84" t="s">
        <v>199</v>
      </c>
      <c r="K33" s="94" t="str">
        <f>VLOOKUP(I33,[6]stage_hints!$A:$C,3,FALSE)</f>
        <v>土日に大量のビットを獲得</v>
      </c>
      <c r="L33" s="95" t="str">
        <f>VLOOKUP(I33,[6]stage_hints!$A:$D,4,FALSE)</f>
        <v>土日限定の「ゴールドカジノ」では_x000D_売却素材ユニットが多く手に入ります</v>
      </c>
      <c r="M33" s="57" t="s">
        <v>212</v>
      </c>
    </row>
    <row r="34" spans="1:13" x14ac:dyDescent="0.15">
      <c r="A34" s="81" t="s">
        <v>201</v>
      </c>
      <c r="B34" s="82">
        <f>floors!$C$2</f>
        <v>65530</v>
      </c>
      <c r="C34" s="83" t="str">
        <f ca="1">VLOOKUP($B34,OFFSET([2]quests!$A$1,0,0,COUNTA([2]quests!$A:$A),MATCH(C$1,[2]quests!$1:$1,0)-MATCH($B$1,[2]quests!$1:$1,0)+1),MATCH(C$1,[2]quests!$1:$1,0)-MATCH($B$1,[2]quests!$1:$1,0)+1,FALSE)</f>
        <v>【LB渡邉】検証クエスト</v>
      </c>
      <c r="D34" s="83" t="str">
        <f ca="1">VLOOKUP($B34,OFFSET([2]quests!$A$1,0,0,COUNTA([2]quests!$A:$A),MATCH(D$1,[2]quests!$1:$1,0)-MATCH($B$1,[2]quests!$1:$1,0)+1),MATCH(D$1,[2]quests!$1:$1,0)-MATCH($B$1,[2]quests!$1:$1,0)+1,FALSE)</f>
        <v>検証</v>
      </c>
      <c r="E34" s="87" t="s">
        <v>216</v>
      </c>
      <c r="F34" s="83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3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5">
        <v>0</v>
      </c>
      <c r="I34">
        <v>11</v>
      </c>
      <c r="J34" s="84" t="s">
        <v>199</v>
      </c>
      <c r="K34" s="94" t="str">
        <f>VLOOKUP(I34,[6]stage_hints!$A:$C,3,FALSE)</f>
        <v>ランク解放クエスト</v>
      </c>
      <c r="L34" s="95" t="str">
        <f>VLOOKUP(I34,[6]stage_hints!$A:$D,4,FALSE)</f>
        <v>一定ランクに到達すると_x000D_報酬付きのランク開放クエストが現れます</v>
      </c>
      <c r="M34" s="57" t="s">
        <v>212</v>
      </c>
    </row>
    <row r="35" spans="1:13" x14ac:dyDescent="0.15">
      <c r="A35" s="81" t="s">
        <v>201</v>
      </c>
      <c r="B35" s="82">
        <f>floors!$C$2</f>
        <v>65530</v>
      </c>
      <c r="C35" s="83" t="str">
        <f ca="1">VLOOKUP($B35,OFFSET([2]quests!$A$1,0,0,COUNTA([2]quests!$A:$A),MATCH(C$1,[2]quests!$1:$1,0)-MATCH($B$1,[2]quests!$1:$1,0)+1),MATCH(C$1,[2]quests!$1:$1,0)-MATCH($B$1,[2]quests!$1:$1,0)+1,FALSE)</f>
        <v>【LB渡邉】検証クエスト</v>
      </c>
      <c r="D35" s="83" t="str">
        <f ca="1">VLOOKUP($B35,OFFSET([2]quests!$A$1,0,0,COUNTA([2]quests!$A:$A),MATCH(D$1,[2]quests!$1:$1,0)-MATCH($B$1,[2]quests!$1:$1,0)+1),MATCH(D$1,[2]quests!$1:$1,0)-MATCH($B$1,[2]quests!$1:$1,0)+1,FALSE)</f>
        <v>検証</v>
      </c>
      <c r="E35" s="87" t="s">
        <v>216</v>
      </c>
      <c r="F35" s="83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3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5">
        <v>0</v>
      </c>
      <c r="I35">
        <v>12</v>
      </c>
      <c r="J35" s="84" t="s">
        <v>199</v>
      </c>
      <c r="K35" s="94" t="str">
        <f>VLOOKUP(I35,[6]stage_hints!$A:$C,3,FALSE)</f>
        <v>ユニットのお気に入り登録</v>
      </c>
      <c r="L35" s="95" t="str">
        <f>VLOOKUP(I35,[6]stage_hints!$A:$D,4,FALSE)</f>
        <v>大事なユニットを誤って消さないように_x000D_フォルダから「お気に入り登録」しましょう</v>
      </c>
      <c r="M35" s="57" t="s">
        <v>212</v>
      </c>
    </row>
    <row r="36" spans="1:13" x14ac:dyDescent="0.15">
      <c r="A36" s="81" t="s">
        <v>201</v>
      </c>
      <c r="B36" s="82">
        <f>floors!$C$2</f>
        <v>65530</v>
      </c>
      <c r="C36" s="83" t="str">
        <f ca="1">VLOOKUP($B36,OFFSET([2]quests!$A$1,0,0,COUNTA([2]quests!$A:$A),MATCH(C$1,[2]quests!$1:$1,0)-MATCH($B$1,[2]quests!$1:$1,0)+1),MATCH(C$1,[2]quests!$1:$1,0)-MATCH($B$1,[2]quests!$1:$1,0)+1,FALSE)</f>
        <v>【LB渡邉】検証クエスト</v>
      </c>
      <c r="D36" s="83" t="str">
        <f ca="1">VLOOKUP($B36,OFFSET([2]quests!$A$1,0,0,COUNTA([2]quests!$A:$A),MATCH(D$1,[2]quests!$1:$1,0)-MATCH($B$1,[2]quests!$1:$1,0)+1),MATCH(D$1,[2]quests!$1:$1,0)-MATCH($B$1,[2]quests!$1:$1,0)+1,FALSE)</f>
        <v>検証</v>
      </c>
      <c r="E36" s="87" t="s">
        <v>216</v>
      </c>
      <c r="F36" s="83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3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5">
        <v>0</v>
      </c>
      <c r="I36">
        <v>13</v>
      </c>
      <c r="J36" s="84" t="s">
        <v>199</v>
      </c>
      <c r="K36" s="94" t="str">
        <f>VLOOKUP(I36,[6]stage_hints!$A:$C,3,FALSE)</f>
        <v>ユニットの覚醒</v>
      </c>
      <c r="L36" s="95" t="str">
        <f>VLOOKUP(I36,[6]stage_hints!$A:$D,4,FALSE)</f>
        <v>ユニットを覚醒させると_x000D_比べものにならない強さが手に入ります</v>
      </c>
      <c r="M36" s="57" t="s">
        <v>212</v>
      </c>
    </row>
    <row r="37" spans="1:13" x14ac:dyDescent="0.15">
      <c r="A37" s="81" t="s">
        <v>201</v>
      </c>
      <c r="B37" s="82">
        <f>floors!$C$2</f>
        <v>65530</v>
      </c>
      <c r="C37" s="83" t="str">
        <f ca="1">VLOOKUP($B37,OFFSET([2]quests!$A$1,0,0,COUNTA([2]quests!$A:$A),MATCH(C$1,[2]quests!$1:$1,0)-MATCH($B$1,[2]quests!$1:$1,0)+1),MATCH(C$1,[2]quests!$1:$1,0)-MATCH($B$1,[2]quests!$1:$1,0)+1,FALSE)</f>
        <v>【LB渡邉】検証クエスト</v>
      </c>
      <c r="D37" s="83" t="str">
        <f ca="1">VLOOKUP($B37,OFFSET([2]quests!$A$1,0,0,COUNTA([2]quests!$A:$A),MATCH(D$1,[2]quests!$1:$1,0)-MATCH($B$1,[2]quests!$1:$1,0)+1),MATCH(D$1,[2]quests!$1:$1,0)-MATCH($B$1,[2]quests!$1:$1,0)+1,FALSE)</f>
        <v>検証</v>
      </c>
      <c r="E37" s="87" t="s">
        <v>216</v>
      </c>
      <c r="F37" s="83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3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5">
        <v>0</v>
      </c>
      <c r="I37">
        <v>14</v>
      </c>
      <c r="J37" s="84" t="s">
        <v>199</v>
      </c>
      <c r="K37" s="94" t="str">
        <f>VLOOKUP(I37,[6]stage_hints!$A:$C,3,FALSE)</f>
        <v>覚醒するにはレベルを最大に</v>
      </c>
      <c r="L37" s="95" t="str">
        <f>VLOOKUP(I37,[6]stage_hints!$A:$D,4,FALSE)</f>
        <v>覚醒するにはユニットのレベルを_x000D_最大まで上げる必要があります</v>
      </c>
      <c r="M37" s="57" t="s">
        <v>212</v>
      </c>
    </row>
    <row r="38" spans="1:13" x14ac:dyDescent="0.15">
      <c r="A38" s="81" t="s">
        <v>201</v>
      </c>
      <c r="B38" s="82">
        <f>floors!$C$2</f>
        <v>65530</v>
      </c>
      <c r="C38" s="83" t="str">
        <f ca="1">VLOOKUP($B38,OFFSET([2]quests!$A$1,0,0,COUNTA([2]quests!$A:$A),MATCH(C$1,[2]quests!$1:$1,0)-MATCH($B$1,[2]quests!$1:$1,0)+1),MATCH(C$1,[2]quests!$1:$1,0)-MATCH($B$1,[2]quests!$1:$1,0)+1,FALSE)</f>
        <v>【LB渡邉】検証クエスト</v>
      </c>
      <c r="D38" s="83" t="str">
        <f ca="1">VLOOKUP($B38,OFFSET([2]quests!$A$1,0,0,COUNTA([2]quests!$A:$A),MATCH(D$1,[2]quests!$1:$1,0)-MATCH($B$1,[2]quests!$1:$1,0)+1),MATCH(D$1,[2]quests!$1:$1,0)-MATCH($B$1,[2]quests!$1:$1,0)+1,FALSE)</f>
        <v>検証</v>
      </c>
      <c r="E38" s="87" t="s">
        <v>216</v>
      </c>
      <c r="F38" s="83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3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5">
        <v>0</v>
      </c>
      <c r="I38">
        <v>15</v>
      </c>
      <c r="J38" s="84" t="s">
        <v>199</v>
      </c>
      <c r="K38" s="94" t="str">
        <f>VLOOKUP(I38,[6]stage_hints!$A:$C,3,FALSE)</f>
        <v>覚醒素材を獲得</v>
      </c>
      <c r="L38" s="95" t="str">
        <f>VLOOKUP(I38,[6]stage_hints!$A:$D,4,FALSE)</f>
        <v>「曜日クエスト」では_x000D_ユニットの覚醒に必要な素材が手に入ります</v>
      </c>
      <c r="M38" s="57" t="s">
        <v>212</v>
      </c>
    </row>
    <row r="39" spans="1:13" x14ac:dyDescent="0.15">
      <c r="A39" s="81" t="s">
        <v>201</v>
      </c>
      <c r="B39" s="82">
        <f>floors!$C$2</f>
        <v>65530</v>
      </c>
      <c r="C39" s="83" t="str">
        <f ca="1">VLOOKUP($B39,OFFSET([2]quests!$A$1,0,0,COUNTA([2]quests!$A:$A),MATCH(C$1,[2]quests!$1:$1,0)-MATCH($B$1,[2]quests!$1:$1,0)+1),MATCH(C$1,[2]quests!$1:$1,0)-MATCH($B$1,[2]quests!$1:$1,0)+1,FALSE)</f>
        <v>【LB渡邉】検証クエスト</v>
      </c>
      <c r="D39" s="83" t="str">
        <f ca="1">VLOOKUP($B39,OFFSET([2]quests!$A$1,0,0,COUNTA([2]quests!$A:$A),MATCH(D$1,[2]quests!$1:$1,0)-MATCH($B$1,[2]quests!$1:$1,0)+1),MATCH(D$1,[2]quests!$1:$1,0)-MATCH($B$1,[2]quests!$1:$1,0)+1,FALSE)</f>
        <v>検証</v>
      </c>
      <c r="E39" s="87" t="s">
        <v>216</v>
      </c>
      <c r="F39" s="83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3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5">
        <v>0</v>
      </c>
      <c r="I39">
        <v>16</v>
      </c>
      <c r="J39" s="84" t="s">
        <v>199</v>
      </c>
      <c r="K39" s="94" t="str">
        <f>VLOOKUP(I39,[6]stage_hints!$A:$C,3,FALSE)</f>
        <v>マルチプレイのメリット（その1）</v>
      </c>
      <c r="L39" s="95" t="str">
        <f>VLOOKUP(I39,[6]stage_hints!$A:$D,4,FALSE)</f>
        <v>他のプレイヤーとマルチプレイで遊ぶと_x000D_ポリゴンがもらえます（100人まで）</v>
      </c>
      <c r="M39" s="57" t="s">
        <v>212</v>
      </c>
    </row>
    <row r="40" spans="1:13" x14ac:dyDescent="0.15">
      <c r="A40" s="81" t="s">
        <v>201</v>
      </c>
      <c r="B40" s="82">
        <f>floors!$C$2</f>
        <v>65530</v>
      </c>
      <c r="C40" s="83" t="str">
        <f ca="1">VLOOKUP($B40,OFFSET([2]quests!$A$1,0,0,COUNTA([2]quests!$A:$A),MATCH(C$1,[2]quests!$1:$1,0)-MATCH($B$1,[2]quests!$1:$1,0)+1),MATCH(C$1,[2]quests!$1:$1,0)-MATCH($B$1,[2]quests!$1:$1,0)+1,FALSE)</f>
        <v>【LB渡邉】検証クエスト</v>
      </c>
      <c r="D40" s="83" t="str">
        <f ca="1">VLOOKUP($B40,OFFSET([2]quests!$A$1,0,0,COUNTA([2]quests!$A:$A),MATCH(D$1,[2]quests!$1:$1,0)-MATCH($B$1,[2]quests!$1:$1,0)+1),MATCH(D$1,[2]quests!$1:$1,0)-MATCH($B$1,[2]quests!$1:$1,0)+1,FALSE)</f>
        <v>検証</v>
      </c>
      <c r="E40" s="87" t="s">
        <v>216</v>
      </c>
      <c r="F40" s="83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3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5">
        <v>0</v>
      </c>
      <c r="I40">
        <v>17</v>
      </c>
      <c r="J40" s="84" t="s">
        <v>199</v>
      </c>
      <c r="K40" s="94" t="str">
        <f>VLOOKUP(I40,[6]stage_hints!$A:$C,3,FALSE)</f>
        <v>リンクガチャ</v>
      </c>
      <c r="L40" s="95" t="str">
        <f>VLOOKUP(I40,[6]stage_hints!$A:$D,4,FALSE)</f>
        <v>無料のリンクガチャを回して_x000D_経験値素材や売却素材を獲得しましょう</v>
      </c>
      <c r="M40" s="57" t="s">
        <v>212</v>
      </c>
    </row>
    <row r="41" spans="1:13" x14ac:dyDescent="0.15">
      <c r="A41" s="81" t="s">
        <v>201</v>
      </c>
      <c r="B41" s="82">
        <f>floors!$C$2</f>
        <v>65530</v>
      </c>
      <c r="C41" s="83" t="str">
        <f ca="1">VLOOKUP($B41,OFFSET([2]quests!$A$1,0,0,COUNTA([2]quests!$A:$A),MATCH(C$1,[2]quests!$1:$1,0)-MATCH($B$1,[2]quests!$1:$1,0)+1),MATCH(C$1,[2]quests!$1:$1,0)-MATCH($B$1,[2]quests!$1:$1,0)+1,FALSE)</f>
        <v>【LB渡邉】検証クエスト</v>
      </c>
      <c r="D41" s="83" t="str">
        <f ca="1">VLOOKUP($B41,OFFSET([2]quests!$A$1,0,0,COUNTA([2]quests!$A:$A),MATCH(D$1,[2]quests!$1:$1,0)-MATCH($B$1,[2]quests!$1:$1,0)+1),MATCH(D$1,[2]quests!$1:$1,0)-MATCH($B$1,[2]quests!$1:$1,0)+1,FALSE)</f>
        <v>検証</v>
      </c>
      <c r="E41" s="87" t="s">
        <v>216</v>
      </c>
      <c r="F41" s="83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3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5">
        <v>0</v>
      </c>
      <c r="I41">
        <v>18</v>
      </c>
      <c r="J41" s="84" t="s">
        <v>199</v>
      </c>
      <c r="K41" s="94" t="str">
        <f>VLOOKUP(I41,[6]stage_hints!$A:$C,3,FALSE)</f>
        <v>マルチプレイのメリット（その2）</v>
      </c>
      <c r="L41" s="95" t="str">
        <f>VLOOKUP(I41,[6]stage_hints!$A:$D,4,FALSE)</f>
        <v>マルチプレイならリンクが2倍もらえます_x000D_リンクガチャをたくさん回しましょう</v>
      </c>
      <c r="M41" s="57" t="s">
        <v>212</v>
      </c>
    </row>
    <row r="42" spans="1:13" x14ac:dyDescent="0.15">
      <c r="A42" s="81" t="s">
        <v>201</v>
      </c>
      <c r="B42" s="82">
        <f>floors!$C$2</f>
        <v>65530</v>
      </c>
      <c r="C42" s="83" t="str">
        <f ca="1">VLOOKUP($B42,OFFSET([2]quests!$A$1,0,0,COUNTA([2]quests!$A:$A),MATCH(C$1,[2]quests!$1:$1,0)-MATCH($B$1,[2]quests!$1:$1,0)+1),MATCH(C$1,[2]quests!$1:$1,0)-MATCH($B$1,[2]quests!$1:$1,0)+1,FALSE)</f>
        <v>【LB渡邉】検証クエスト</v>
      </c>
      <c r="D42" s="83" t="str">
        <f ca="1">VLOOKUP($B42,OFFSET([2]quests!$A$1,0,0,COUNTA([2]quests!$A:$A),MATCH(D$1,[2]quests!$1:$1,0)-MATCH($B$1,[2]quests!$1:$1,0)+1),MATCH(D$1,[2]quests!$1:$1,0)-MATCH($B$1,[2]quests!$1:$1,0)+1,FALSE)</f>
        <v>検証</v>
      </c>
      <c r="E42" s="87" t="s">
        <v>216</v>
      </c>
      <c r="F42" s="83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3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5">
        <v>0</v>
      </c>
      <c r="I42">
        <v>19</v>
      </c>
      <c r="J42" s="84" t="s">
        <v>199</v>
      </c>
      <c r="K42" s="94" t="str">
        <f>VLOOKUP(I42,[6]stage_hints!$A:$C,3,FALSE)</f>
        <v>ソロ専用タワーオブザクイーン</v>
      </c>
      <c r="L42" s="95" t="str">
        <f>VLOOKUP(I42,[6]stage_hints!$A:$D,4,FALSE)</f>
        <v>ソロ専用の「タワーオブザクイーン」は_x000D_期間限定で定期的に開催されます_x000D_ここでしか獲得できない報酬もあるようです</v>
      </c>
      <c r="M42" s="57" t="s">
        <v>212</v>
      </c>
    </row>
    <row r="43" spans="1:13" x14ac:dyDescent="0.15">
      <c r="A43" s="81" t="s">
        <v>201</v>
      </c>
      <c r="B43" s="82">
        <f>floors!$C$2</f>
        <v>65530</v>
      </c>
      <c r="C43" s="83" t="str">
        <f ca="1">VLOOKUP($B43,OFFSET([2]quests!$A$1,0,0,COUNTA([2]quests!$A:$A),MATCH(C$1,[2]quests!$1:$1,0)-MATCH($B$1,[2]quests!$1:$1,0)+1),MATCH(C$1,[2]quests!$1:$1,0)-MATCH($B$1,[2]quests!$1:$1,0)+1,FALSE)</f>
        <v>【LB渡邉】検証クエスト</v>
      </c>
      <c r="D43" s="83" t="str">
        <f ca="1">VLOOKUP($B43,OFFSET([2]quests!$A$1,0,0,COUNTA([2]quests!$A:$A),MATCH(D$1,[2]quests!$1:$1,0)-MATCH($B$1,[2]quests!$1:$1,0)+1),MATCH(D$1,[2]quests!$1:$1,0)-MATCH($B$1,[2]quests!$1:$1,0)+1,FALSE)</f>
        <v>検証</v>
      </c>
      <c r="E43" s="87" t="s">
        <v>216</v>
      </c>
      <c r="F43" s="83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3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5">
        <v>0</v>
      </c>
      <c r="I43">
        <v>20</v>
      </c>
      <c r="J43" s="84" t="s">
        <v>199</v>
      </c>
      <c r="K43" s="94" t="str">
        <f>VLOOKUP(I43,[6]stage_hints!$A:$C,3,FALSE)</f>
        <v>マルチプレイのメリット（その3）</v>
      </c>
      <c r="L43" s="95" t="str">
        <f>VLOOKUP(I43,[6]stage_hints!$A:$D,4,FALSE)</f>
        <v>マルチプレイへの参加はエナジー消費ゼロ_x000D_いつでも好きなだけ遊ぶことができます</v>
      </c>
      <c r="M43" s="57" t="s">
        <v>212</v>
      </c>
    </row>
    <row r="44" spans="1:13" x14ac:dyDescent="0.15">
      <c r="A44" s="81" t="s">
        <v>201</v>
      </c>
      <c r="B44" s="82">
        <f>floors!$C$2</f>
        <v>65530</v>
      </c>
      <c r="C44" s="83" t="str">
        <f ca="1">VLOOKUP($B44,OFFSET([2]quests!$A$1,0,0,COUNTA([2]quests!$A:$A),MATCH(C$1,[2]quests!$1:$1,0)-MATCH($B$1,[2]quests!$1:$1,0)+1),MATCH(C$1,[2]quests!$1:$1,0)-MATCH($B$1,[2]quests!$1:$1,0)+1,FALSE)</f>
        <v>【LB渡邉】検証クエスト</v>
      </c>
      <c r="D44" s="83" t="str">
        <f ca="1">VLOOKUP($B44,OFFSET([2]quests!$A$1,0,0,COUNTA([2]quests!$A:$A),MATCH(D$1,[2]quests!$1:$1,0)-MATCH($B$1,[2]quests!$1:$1,0)+1),MATCH(D$1,[2]quests!$1:$1,0)-MATCH($B$1,[2]quests!$1:$1,0)+1,FALSE)</f>
        <v>検証</v>
      </c>
      <c r="E44" s="87" t="s">
        <v>216</v>
      </c>
      <c r="F44" s="83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3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5">
        <v>0</v>
      </c>
      <c r="I44">
        <v>21</v>
      </c>
      <c r="J44" s="84" t="s">
        <v>199</v>
      </c>
      <c r="K44" s="94" t="str">
        <f>VLOOKUP(I44,[6]stage_hints!$A:$C,3,FALSE)</f>
        <v>スキルを有効に</v>
      </c>
      <c r="L44" s="95" t="str">
        <f>VLOOKUP(I44,[6]stage_hints!$A:$D,4,FALSE)</f>
        <v>ターン経過でユニットのスキルが使えます_x000D_強力スキルでバトルを有利に進めましょう</v>
      </c>
      <c r="M44" s="57" t="s">
        <v>212</v>
      </c>
    </row>
    <row r="45" spans="1:13" x14ac:dyDescent="0.15">
      <c r="A45" s="81" t="s">
        <v>201</v>
      </c>
      <c r="B45" s="82">
        <f>floors!$C$2</f>
        <v>65530</v>
      </c>
      <c r="C45" s="83" t="str">
        <f ca="1">VLOOKUP($B45,OFFSET([2]quests!$A$1,0,0,COUNTA([2]quests!$A:$A),MATCH(C$1,[2]quests!$1:$1,0)-MATCH($B$1,[2]quests!$1:$1,0)+1),MATCH(C$1,[2]quests!$1:$1,0)-MATCH($B$1,[2]quests!$1:$1,0)+1,FALSE)</f>
        <v>【LB渡邉】検証クエスト</v>
      </c>
      <c r="D45" s="83" t="str">
        <f ca="1">VLOOKUP($B45,OFFSET([2]quests!$A$1,0,0,COUNTA([2]quests!$A:$A),MATCH(D$1,[2]quests!$1:$1,0)-MATCH($B$1,[2]quests!$1:$1,0)+1),MATCH(D$1,[2]quests!$1:$1,0)-MATCH($B$1,[2]quests!$1:$1,0)+1,FALSE)</f>
        <v>検証</v>
      </c>
      <c r="E45" s="87" t="s">
        <v>216</v>
      </c>
      <c r="F45" s="83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3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5">
        <v>0</v>
      </c>
      <c r="I45">
        <v>22</v>
      </c>
      <c r="J45" s="84" t="s">
        <v>199</v>
      </c>
      <c r="K45" s="94" t="str">
        <f>VLOOKUP(I45,[6]stage_hints!$A:$C,3,FALSE)</f>
        <v>フィーバーで一発逆転（その1）</v>
      </c>
      <c r="L45" s="95" t="str">
        <f>VLOOKUP(I45,[6]stage_hints!$A:$D,4,FALSE)</f>
        <v>フィーバーは攻撃と回復を兼ね備えます_x000D_ピンチからの一発逆転を狙いましょう</v>
      </c>
      <c r="M45" s="57" t="s">
        <v>212</v>
      </c>
    </row>
    <row r="46" spans="1:13" x14ac:dyDescent="0.15">
      <c r="A46" s="81" t="s">
        <v>201</v>
      </c>
      <c r="B46" s="82">
        <f>floors!$C$2</f>
        <v>65530</v>
      </c>
      <c r="C46" s="83" t="str">
        <f ca="1">VLOOKUP($B46,OFFSET([2]quests!$A$1,0,0,COUNTA([2]quests!$A:$A),MATCH(C$1,[2]quests!$1:$1,0)-MATCH($B$1,[2]quests!$1:$1,0)+1),MATCH(C$1,[2]quests!$1:$1,0)-MATCH($B$1,[2]quests!$1:$1,0)+1,FALSE)</f>
        <v>【LB渡邉】検証クエスト</v>
      </c>
      <c r="D46" s="83" t="str">
        <f ca="1">VLOOKUP($B46,OFFSET([2]quests!$A$1,0,0,COUNTA([2]quests!$A:$A),MATCH(D$1,[2]quests!$1:$1,0)-MATCH($B$1,[2]quests!$1:$1,0)+1),MATCH(D$1,[2]quests!$1:$1,0)-MATCH($B$1,[2]quests!$1:$1,0)+1,FALSE)</f>
        <v>検証</v>
      </c>
      <c r="E46" s="87" t="s">
        <v>216</v>
      </c>
      <c r="F46" s="83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3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5">
        <v>0</v>
      </c>
      <c r="I46">
        <v>23</v>
      </c>
      <c r="J46" s="84" t="s">
        <v>199</v>
      </c>
      <c r="K46" s="94" t="str">
        <f>VLOOKUP(I46,[6]stage_hints!$A:$C,3,FALSE)</f>
        <v>フィーバーで一発逆転（その2）</v>
      </c>
      <c r="L46" s="95" t="str">
        <f>VLOOKUP(I46,[6]stage_hints!$A:$D,4,FALSE)</f>
        <v>フィーバー中は虹色のボムパネルを狙って_x000D_画面上のパネルを一気に破壊しましょう</v>
      </c>
      <c r="M46" s="57" t="s">
        <v>212</v>
      </c>
    </row>
    <row r="47" spans="1:13" x14ac:dyDescent="0.15">
      <c r="A47" s="81" t="s">
        <v>201</v>
      </c>
      <c r="B47" s="82">
        <f>floors!$C$2</f>
        <v>65530</v>
      </c>
      <c r="C47" s="83" t="str">
        <f ca="1">VLOOKUP($B47,OFFSET([2]quests!$A$1,0,0,COUNTA([2]quests!$A:$A),MATCH(C$1,[2]quests!$1:$1,0)-MATCH($B$1,[2]quests!$1:$1,0)+1),MATCH(C$1,[2]quests!$1:$1,0)-MATCH($B$1,[2]quests!$1:$1,0)+1,FALSE)</f>
        <v>【LB渡邉】検証クエスト</v>
      </c>
      <c r="D47" s="83" t="str">
        <f ca="1">VLOOKUP($B47,OFFSET([2]quests!$A$1,0,0,COUNTA([2]quests!$A:$A),MATCH(D$1,[2]quests!$1:$1,0)-MATCH($B$1,[2]quests!$1:$1,0)+1),MATCH(D$1,[2]quests!$1:$1,0)-MATCH($B$1,[2]quests!$1:$1,0)+1,FALSE)</f>
        <v>検証</v>
      </c>
      <c r="E47" s="87" t="s">
        <v>216</v>
      </c>
      <c r="F47" s="83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3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5">
        <v>0</v>
      </c>
      <c r="I47">
        <v>24</v>
      </c>
      <c r="J47" s="84" t="s">
        <v>199</v>
      </c>
      <c r="K47" s="94" t="str">
        <f>VLOOKUP(I47,[6]stage_hints!$A:$C,3,FALSE)</f>
        <v>りんごを使って限界突破</v>
      </c>
      <c r="L47" s="95" t="str">
        <f>VLOOKUP(I47,[6]stage_hints!$A:$D,4,FALSE)</f>
        <v>赤りんご(攻撃力) 青りんご(回復力)_x000D_緑りんご(体力)をユニット強化に使うと_x000D_ステータスが限界突破します（計99個迄）</v>
      </c>
      <c r="M47" s="57" t="s">
        <v>212</v>
      </c>
    </row>
    <row r="48" spans="1:13" x14ac:dyDescent="0.15">
      <c r="A48" s="81" t="s">
        <v>201</v>
      </c>
      <c r="B48" s="82">
        <f>floors!$C$2</f>
        <v>65530</v>
      </c>
      <c r="C48" s="83" t="str">
        <f ca="1">VLOOKUP($B48,OFFSET([2]quests!$A$1,0,0,COUNTA([2]quests!$A:$A),MATCH(C$1,[2]quests!$1:$1,0)-MATCH($B$1,[2]quests!$1:$1,0)+1),MATCH(C$1,[2]quests!$1:$1,0)-MATCH($B$1,[2]quests!$1:$1,0)+1,FALSE)</f>
        <v>【LB渡邉】検証クエスト</v>
      </c>
      <c r="D48" s="83" t="str">
        <f ca="1">VLOOKUP($B48,OFFSET([2]quests!$A$1,0,0,COUNTA([2]quests!$A:$A),MATCH(D$1,[2]quests!$1:$1,0)-MATCH($B$1,[2]quests!$1:$1,0)+1),MATCH(D$1,[2]quests!$1:$1,0)-MATCH($B$1,[2]quests!$1:$1,0)+1,FALSE)</f>
        <v>検証</v>
      </c>
      <c r="E48" s="87" t="s">
        <v>216</v>
      </c>
      <c r="F48" s="83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3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5">
        <v>0</v>
      </c>
      <c r="I48">
        <v>25</v>
      </c>
      <c r="J48" s="84" t="s">
        <v>199</v>
      </c>
      <c r="K48" s="94" t="str">
        <f>VLOOKUP(I48,[6]stage_hints!$A:$C,3,FALSE)</f>
        <v>スキルレベルアップ</v>
      </c>
      <c r="L48" s="95" t="str">
        <f>VLOOKUP(I48,[6]stage_hints!$A:$D,4,FALSE)</f>
        <v>「クリスタルのりんご」を強化に使うと_x000D_スキルレベルを上げることができます</v>
      </c>
      <c r="M48" s="57" t="s">
        <v>212</v>
      </c>
    </row>
    <row r="49" spans="1:13" x14ac:dyDescent="0.15">
      <c r="A49" s="81" t="s">
        <v>201</v>
      </c>
      <c r="B49" s="82">
        <f>floors!$C$2</f>
        <v>65530</v>
      </c>
      <c r="C49" s="83" t="str">
        <f ca="1">VLOOKUP($B49,OFFSET([2]quests!$A$1,0,0,COUNTA([2]quests!$A:$A),MATCH(C$1,[2]quests!$1:$1,0)-MATCH($B$1,[2]quests!$1:$1,0)+1),MATCH(C$1,[2]quests!$1:$1,0)-MATCH($B$1,[2]quests!$1:$1,0)+1,FALSE)</f>
        <v>【LB渡邉】検証クエスト</v>
      </c>
      <c r="D49" s="83" t="str">
        <f ca="1">VLOOKUP($B49,OFFSET([2]quests!$A$1,0,0,COUNTA([2]quests!$A:$A),MATCH(D$1,[2]quests!$1:$1,0)-MATCH($B$1,[2]quests!$1:$1,0)+1),MATCH(D$1,[2]quests!$1:$1,0)-MATCH($B$1,[2]quests!$1:$1,0)+1,FALSE)</f>
        <v>検証</v>
      </c>
      <c r="E49" s="87" t="s">
        <v>216</v>
      </c>
      <c r="F49" s="83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3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5">
        <v>0</v>
      </c>
      <c r="I49">
        <v>26</v>
      </c>
      <c r="J49" s="84" t="s">
        <v>199</v>
      </c>
      <c r="K49" s="94" t="str">
        <f>VLOOKUP(I49,[6]stage_hints!$A:$C,3,FALSE)</f>
        <v>スキルレベルの効果</v>
      </c>
      <c r="L49" s="95" t="str">
        <f>VLOOKUP(I49,[6]stage_hints!$A:$D,4,FALSE)</f>
        <v>スキルレベルが上がると_x000D_短いターンでスキルを使うことができます</v>
      </c>
      <c r="M49" s="57" t="s">
        <v>212</v>
      </c>
    </row>
    <row r="50" spans="1:13" x14ac:dyDescent="0.15">
      <c r="A50" s="81" t="s">
        <v>201</v>
      </c>
      <c r="B50" s="82">
        <f>floors!$C$2</f>
        <v>65530</v>
      </c>
      <c r="C50" s="83" t="str">
        <f ca="1">VLOOKUP($B50,OFFSET([2]quests!$A$1,0,0,COUNTA([2]quests!$A:$A),MATCH(C$1,[2]quests!$1:$1,0)-MATCH($B$1,[2]quests!$1:$1,0)+1),MATCH(C$1,[2]quests!$1:$1,0)-MATCH($B$1,[2]quests!$1:$1,0)+1,FALSE)</f>
        <v>【LB渡邉】検証クエスト</v>
      </c>
      <c r="D50" s="83" t="str">
        <f ca="1">VLOOKUP($B50,OFFSET([2]quests!$A$1,0,0,COUNTA([2]quests!$A:$A),MATCH(D$1,[2]quests!$1:$1,0)-MATCH($B$1,[2]quests!$1:$1,0)+1),MATCH(D$1,[2]quests!$1:$1,0)-MATCH($B$1,[2]quests!$1:$1,0)+1,FALSE)</f>
        <v>検証</v>
      </c>
      <c r="E50" s="87" t="s">
        <v>216</v>
      </c>
      <c r="F50" s="83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3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5">
        <v>0</v>
      </c>
      <c r="I50">
        <v>27</v>
      </c>
      <c r="J50" s="84" t="s">
        <v>199</v>
      </c>
      <c r="K50" s="94" t="str">
        <f>VLOOKUP(I50,[6]stage_hints!$A:$C,3,FALSE)</f>
        <v>ホーム画面からデッキを編成</v>
      </c>
      <c r="L50" s="95" t="str">
        <f>VLOOKUP(I50,[6]stage_hints!$A:$D,4,FALSE)</f>
        <v>ホーム画面でユニットを長押しすると_x000D_すぐにパーティ編成に移動できます</v>
      </c>
      <c r="M50" s="57" t="s">
        <v>212</v>
      </c>
    </row>
    <row r="51" spans="1:13" x14ac:dyDescent="0.15">
      <c r="A51" s="81" t="s">
        <v>201</v>
      </c>
      <c r="B51" s="82">
        <f>floors!$C$2</f>
        <v>65530</v>
      </c>
      <c r="C51" s="83" t="str">
        <f ca="1">VLOOKUP($B51,OFFSET([2]quests!$A$1,0,0,COUNTA([2]quests!$A:$A),MATCH(C$1,[2]quests!$1:$1,0)-MATCH($B$1,[2]quests!$1:$1,0)+1),MATCH(C$1,[2]quests!$1:$1,0)-MATCH($B$1,[2]quests!$1:$1,0)+1,FALSE)</f>
        <v>【LB渡邉】検証クエスト</v>
      </c>
      <c r="D51" s="83" t="str">
        <f ca="1">VLOOKUP($B51,OFFSET([2]quests!$A$1,0,0,COUNTA([2]quests!$A:$A),MATCH(D$1,[2]quests!$1:$1,0)-MATCH($B$1,[2]quests!$1:$1,0)+1),MATCH(D$1,[2]quests!$1:$1,0)-MATCH($B$1,[2]quests!$1:$1,0)+1,FALSE)</f>
        <v>検証</v>
      </c>
      <c r="E51" s="87" t="s">
        <v>216</v>
      </c>
      <c r="F51" s="83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3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5">
        <v>0</v>
      </c>
      <c r="I51">
        <v>28</v>
      </c>
      <c r="J51" s="84" t="s">
        <v>199</v>
      </c>
      <c r="K51" s="94" t="str">
        <f>VLOOKUP(I51,[6]stage_hints!$A:$C,3,FALSE)</f>
        <v>ステータス情報は長押しで</v>
      </c>
      <c r="L51" s="95" t="str">
        <f>VLOOKUP(I51,[6]stage_hints!$A:$D,4,FALSE)</f>
        <v>ユニットのアイコンを長押しすると_x000D_ステータス情報を確認することができます</v>
      </c>
      <c r="M51" s="57" t="s">
        <v>212</v>
      </c>
    </row>
    <row r="52" spans="1:13" x14ac:dyDescent="0.15">
      <c r="A52" s="81" t="s">
        <v>201</v>
      </c>
      <c r="B52" s="82">
        <f>floors!$C$2</f>
        <v>65530</v>
      </c>
      <c r="C52" s="83" t="str">
        <f ca="1">VLOOKUP($B52,OFFSET([2]quests!$A$1,0,0,COUNTA([2]quests!$A:$A),MATCH(C$1,[2]quests!$1:$1,0)-MATCH($B$1,[2]quests!$1:$1,0)+1),MATCH(C$1,[2]quests!$1:$1,0)-MATCH($B$1,[2]quests!$1:$1,0)+1,FALSE)</f>
        <v>【LB渡邉】検証クエスト</v>
      </c>
      <c r="D52" s="83" t="str">
        <f ca="1">VLOOKUP($B52,OFFSET([2]quests!$A$1,0,0,COUNTA([2]quests!$A:$A),MATCH(D$1,[2]quests!$1:$1,0)-MATCH($B$1,[2]quests!$1:$1,0)+1),MATCH(D$1,[2]quests!$1:$1,0)-MATCH($B$1,[2]quests!$1:$1,0)+1,FALSE)</f>
        <v>検証</v>
      </c>
      <c r="E52" s="87" t="s">
        <v>216</v>
      </c>
      <c r="F52" s="83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3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5">
        <v>0</v>
      </c>
      <c r="I52">
        <v>29</v>
      </c>
      <c r="J52" s="84" t="s">
        <v>199</v>
      </c>
      <c r="K52" s="94" t="str">
        <f>VLOOKUP(I52,[6]stage_hints!$A:$C,3,FALSE)</f>
        <v>「バグ」のメリット</v>
      </c>
      <c r="L52" s="95" t="str">
        <f>VLOOKUP(I52,[6]stage_hints!$A:$D,4,FALSE)</f>
        <v>ユニットの「バグ」を増やすと_x000D_報酬をもらえる確率がアップします</v>
      </c>
      <c r="M52" s="57" t="s">
        <v>212</v>
      </c>
    </row>
    <row r="53" spans="1:13" x14ac:dyDescent="0.15">
      <c r="A53" s="81" t="s">
        <v>201</v>
      </c>
      <c r="B53" s="82">
        <f>floors!$C$2</f>
        <v>65530</v>
      </c>
      <c r="C53" s="83" t="str">
        <f ca="1">VLOOKUP($B53,OFFSET([2]quests!$A$1,0,0,COUNTA([2]quests!$A:$A),MATCH(C$1,[2]quests!$1:$1,0)-MATCH($B$1,[2]quests!$1:$1,0)+1),MATCH(C$1,[2]quests!$1:$1,0)-MATCH($B$1,[2]quests!$1:$1,0)+1,FALSE)</f>
        <v>【LB渡邉】検証クエスト</v>
      </c>
      <c r="D53" s="83" t="str">
        <f ca="1">VLOOKUP($B53,OFFSET([2]quests!$A$1,0,0,COUNTA([2]quests!$A:$A),MATCH(D$1,[2]quests!$1:$1,0)-MATCH($B$1,[2]quests!$1:$1,0)+1),MATCH(D$1,[2]quests!$1:$1,0)-MATCH($B$1,[2]quests!$1:$1,0)+1,FALSE)</f>
        <v>検証</v>
      </c>
      <c r="E53" s="87" t="s">
        <v>216</v>
      </c>
      <c r="F53" s="83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3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5">
        <v>0</v>
      </c>
      <c r="I53">
        <v>30</v>
      </c>
      <c r="J53" s="84" t="s">
        <v>199</v>
      </c>
      <c r="K53" s="94" t="str">
        <f>VLOOKUP(I53,[6]stage_hints!$A:$C,3,FALSE)</f>
        <v>「バグ」の増やし方</v>
      </c>
      <c r="L53" s="95" t="str">
        <f>VLOOKUP(I53,[6]stage_hints!$A:$D,4,FALSE)</f>
        <v>同じユニット同士を強化で合成すると_x000D_「バグ」を増やすことができます</v>
      </c>
      <c r="M53" s="57" t="s">
        <v>212</v>
      </c>
    </row>
    <row r="54" spans="1:13" x14ac:dyDescent="0.15">
      <c r="A54" s="81" t="s">
        <v>201</v>
      </c>
      <c r="B54" s="82">
        <f>floors!$C$2</f>
        <v>65530</v>
      </c>
      <c r="C54" s="83" t="str">
        <f ca="1">VLOOKUP($B54,OFFSET([2]quests!$A$1,0,0,COUNTA([2]quests!$A:$A),MATCH(C$1,[2]quests!$1:$1,0)-MATCH($B$1,[2]quests!$1:$1,0)+1),MATCH(C$1,[2]quests!$1:$1,0)-MATCH($B$1,[2]quests!$1:$1,0)+1,FALSE)</f>
        <v>【LB渡邉】検証クエスト</v>
      </c>
      <c r="D54" s="83" t="str">
        <f ca="1">VLOOKUP($B54,OFFSET([2]quests!$A$1,0,0,COUNTA([2]quests!$A:$A),MATCH(D$1,[2]quests!$1:$1,0)-MATCH($B$1,[2]quests!$1:$1,0)+1),MATCH(D$1,[2]quests!$1:$1,0)-MATCH($B$1,[2]quests!$1:$1,0)+1,FALSE)</f>
        <v>検証</v>
      </c>
      <c r="E54" s="87" t="s">
        <v>216</v>
      </c>
      <c r="F54" s="83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3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5">
        <v>0</v>
      </c>
      <c r="I54">
        <v>31</v>
      </c>
      <c r="J54" s="84" t="s">
        <v>199</v>
      </c>
      <c r="K54" s="94" t="str">
        <f>VLOOKUP(I54,[6]stage_hints!$A:$C,3,FALSE)</f>
        <v>イベントはお知らせでチェック</v>
      </c>
      <c r="L54" s="95" t="str">
        <f>VLOOKUP(I54,[6]stage_hints!$A:$D,4,FALSE)</f>
        <v>イベント限定ユニットを取り忘れないように_x000D_お知らせをこまめにチェックしましょう</v>
      </c>
      <c r="M54" s="57" t="s">
        <v>212</v>
      </c>
    </row>
    <row r="55" spans="1:13" x14ac:dyDescent="0.15">
      <c r="A55" s="81" t="s">
        <v>201</v>
      </c>
      <c r="B55" s="82">
        <f>floors!$C$2</f>
        <v>65530</v>
      </c>
      <c r="C55" s="83" t="str">
        <f ca="1">VLOOKUP($B55,OFFSET([2]quests!$A$1,0,0,COUNTA([2]quests!$A:$A),MATCH(C$1,[2]quests!$1:$1,0)-MATCH($B$1,[2]quests!$1:$1,0)+1),MATCH(C$1,[2]quests!$1:$1,0)-MATCH($B$1,[2]quests!$1:$1,0)+1,FALSE)</f>
        <v>【LB渡邉】検証クエスト</v>
      </c>
      <c r="D55" s="83" t="str">
        <f ca="1">VLOOKUP($B55,OFFSET([2]quests!$A$1,0,0,COUNTA([2]quests!$A:$A),MATCH(D$1,[2]quests!$1:$1,0)-MATCH($B$1,[2]quests!$1:$1,0)+1),MATCH(D$1,[2]quests!$1:$1,0)-MATCH($B$1,[2]quests!$1:$1,0)+1,FALSE)</f>
        <v>検証</v>
      </c>
      <c r="E55" s="87" t="s">
        <v>216</v>
      </c>
      <c r="F55" s="83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3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5">
        <v>0</v>
      </c>
      <c r="I55">
        <v>32</v>
      </c>
      <c r="J55" s="84" t="s">
        <v>199</v>
      </c>
      <c r="K55" s="94" t="str">
        <f>VLOOKUP(I55,[6]stage_hints!$A:$C,3,FALSE)</f>
        <v>敵の連続攻撃には</v>
      </c>
      <c r="L55" s="95" t="str">
        <f>VLOOKUP(I55,[6]stage_hints!$A:$D,4,FALSE)</f>
        <v>カウンタースキルを持つユニットがいれば_x000D_ダメージ回数分の反撃ができます</v>
      </c>
      <c r="M55" s="57" t="s">
        <v>212</v>
      </c>
    </row>
    <row r="56" spans="1:13" x14ac:dyDescent="0.15">
      <c r="A56" s="81" t="s">
        <v>201</v>
      </c>
      <c r="B56" s="82">
        <f>floors!$C$2</f>
        <v>65530</v>
      </c>
      <c r="C56" s="83" t="str">
        <f ca="1">VLOOKUP($B56,OFFSET([2]quests!$A$1,0,0,COUNTA([2]quests!$A:$A),MATCH(C$1,[2]quests!$1:$1,0)-MATCH($B$1,[2]quests!$1:$1,0)+1),MATCH(C$1,[2]quests!$1:$1,0)-MATCH($B$1,[2]quests!$1:$1,0)+1,FALSE)</f>
        <v>【LB渡邉】検証クエスト</v>
      </c>
      <c r="D56" s="83" t="str">
        <f ca="1">VLOOKUP($B56,OFFSET([2]quests!$A$1,0,0,COUNTA([2]quests!$A:$A),MATCH(D$1,[2]quests!$1:$1,0)-MATCH($B$1,[2]quests!$1:$1,0)+1),MATCH(D$1,[2]quests!$1:$1,0)-MATCH($B$1,[2]quests!$1:$1,0)+1,FALSE)</f>
        <v>検証</v>
      </c>
      <c r="E56" s="87" t="s">
        <v>216</v>
      </c>
      <c r="F56" s="83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3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5">
        <v>0</v>
      </c>
      <c r="I56">
        <v>33</v>
      </c>
      <c r="J56" s="84" t="s">
        <v>199</v>
      </c>
      <c r="K56" s="94" t="str">
        <f>VLOOKUP(I56,[6]stage_hints!$A:$C,3,FALSE)</f>
        <v>敵のカウンター攻撃には</v>
      </c>
      <c r="L56" s="95" t="str">
        <f>VLOOKUP(I56,[6]stage_hints!$A:$D,4,FALSE)</f>
        <v>カウンターブレイクスキルを持っていれば_x000D_敵のカウンターを解除して攻撃ができます</v>
      </c>
      <c r="M56" s="57" t="s">
        <v>212</v>
      </c>
    </row>
    <row r="57" spans="1:13" x14ac:dyDescent="0.15">
      <c r="A57" s="81" t="s">
        <v>201</v>
      </c>
      <c r="B57" s="82">
        <f>floors!$C$2</f>
        <v>65530</v>
      </c>
      <c r="C57" s="83" t="str">
        <f ca="1">VLOOKUP($B57,OFFSET([2]quests!$A$1,0,0,COUNTA([2]quests!$A:$A),MATCH(C$1,[2]quests!$1:$1,0)-MATCH($B$1,[2]quests!$1:$1,0)+1),MATCH(C$1,[2]quests!$1:$1,0)-MATCH($B$1,[2]quests!$1:$1,0)+1,FALSE)</f>
        <v>【LB渡邉】検証クエスト</v>
      </c>
      <c r="D57" s="83" t="str">
        <f ca="1">VLOOKUP($B57,OFFSET([2]quests!$A$1,0,0,COUNTA([2]quests!$A:$A),MATCH(D$1,[2]quests!$1:$1,0)-MATCH($B$1,[2]quests!$1:$1,0)+1),MATCH(D$1,[2]quests!$1:$1,0)-MATCH($B$1,[2]quests!$1:$1,0)+1,FALSE)</f>
        <v>検証</v>
      </c>
      <c r="E57" s="87" t="s">
        <v>216</v>
      </c>
      <c r="F57" s="83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3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5">
        <v>0</v>
      </c>
      <c r="I57">
        <v>34</v>
      </c>
      <c r="J57" s="84" t="s">
        <v>199</v>
      </c>
      <c r="K57" s="94" t="str">
        <f>VLOOKUP(I57,[6]stage_hints!$A:$C,3,FALSE)</f>
        <v>ステータスをスキルで下げられたら</v>
      </c>
      <c r="L57" s="95" t="str">
        <f>VLOOKUP(I57,[6]stage_hints!$A:$D,4,FALSE)</f>
        <v>ステータスダウンのスキルを受けたら_x000D_ステータスアップスキルで上書きしましょう</v>
      </c>
      <c r="M57" s="57" t="s">
        <v>212</v>
      </c>
    </row>
    <row r="58" spans="1:13" x14ac:dyDescent="0.15">
      <c r="A58" s="81" t="s">
        <v>201</v>
      </c>
      <c r="B58" s="82">
        <f>floors!$C$2</f>
        <v>65530</v>
      </c>
      <c r="C58" s="83" t="str">
        <f ca="1">VLOOKUP($B58,OFFSET([2]quests!$A$1,0,0,COUNTA([2]quests!$A:$A),MATCH(C$1,[2]quests!$1:$1,0)-MATCH($B$1,[2]quests!$1:$1,0)+1),MATCH(C$1,[2]quests!$1:$1,0)-MATCH($B$1,[2]quests!$1:$1,0)+1,FALSE)</f>
        <v>【LB渡邉】検証クエスト</v>
      </c>
      <c r="D58" s="83" t="str">
        <f ca="1">VLOOKUP($B58,OFFSET([2]quests!$A$1,0,0,COUNTA([2]quests!$A:$A),MATCH(D$1,[2]quests!$1:$1,0)-MATCH($B$1,[2]quests!$1:$1,0)+1),MATCH(D$1,[2]quests!$1:$1,0)-MATCH($B$1,[2]quests!$1:$1,0)+1,FALSE)</f>
        <v>検証</v>
      </c>
      <c r="E58" s="87" t="s">
        <v>216</v>
      </c>
      <c r="F58" s="83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3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5">
        <v>0</v>
      </c>
      <c r="I58">
        <v>35</v>
      </c>
      <c r="J58" s="84" t="s">
        <v>199</v>
      </c>
      <c r="K58" s="94" t="str">
        <f>VLOOKUP(I58,[6]stage_hints!$A:$C,3,FALSE)</f>
        <v>敵のステータスがスキルで上がったら</v>
      </c>
      <c r="L58" s="95" t="str">
        <f>VLOOKUP(I58,[6]stage_hints!$A:$D,4,FALSE)</f>
        <v>敵のステータスがスキルでアップしたときは_x000D_ステータスダウンスキルで上書きしましょう</v>
      </c>
      <c r="M58" s="57" t="s">
        <v>212</v>
      </c>
    </row>
    <row r="59" spans="1:13" x14ac:dyDescent="0.15">
      <c r="A59" s="81" t="s">
        <v>201</v>
      </c>
      <c r="B59" s="82">
        <f>floors!$C$2</f>
        <v>65530</v>
      </c>
      <c r="C59" s="83" t="str">
        <f ca="1">VLOOKUP($B59,OFFSET([2]quests!$A$1,0,0,COUNTA([2]quests!$A:$A),MATCH(C$1,[2]quests!$1:$1,0)-MATCH($B$1,[2]quests!$1:$1,0)+1),MATCH(C$1,[2]quests!$1:$1,0)-MATCH($B$1,[2]quests!$1:$1,0)+1,FALSE)</f>
        <v>【LB渡邉】検証クエスト</v>
      </c>
      <c r="D59" s="83" t="str">
        <f ca="1">VLOOKUP($B59,OFFSET([2]quests!$A$1,0,0,COUNTA([2]quests!$A:$A),MATCH(D$1,[2]quests!$1:$1,0)-MATCH($B$1,[2]quests!$1:$1,0)+1),MATCH(D$1,[2]quests!$1:$1,0)-MATCH($B$1,[2]quests!$1:$1,0)+1,FALSE)</f>
        <v>検証</v>
      </c>
      <c r="E59" s="87" t="s">
        <v>216</v>
      </c>
      <c r="F59" s="83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3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5">
        <v>0</v>
      </c>
      <c r="I59">
        <v>39</v>
      </c>
      <c r="J59" s="84" t="s">
        <v>199</v>
      </c>
      <c r="K59" s="94" t="str">
        <f>VLOOKUP(I59,[6]stage_hints!$A:$C,3,FALSE)</f>
        <v>システム適合者を確認</v>
      </c>
      <c r="L59" s="95" t="str">
        <f>VLOOKUP(I59,[6]stage_hints!$A:$D,4,FALSE)</f>
        <v>ALICEが 「アナタ」を呼んでいます</v>
      </c>
      <c r="M59" s="57" t="s">
        <v>212</v>
      </c>
    </row>
    <row r="60" spans="1:13" x14ac:dyDescent="0.15">
      <c r="A60" s="81" t="s">
        <v>201</v>
      </c>
      <c r="B60" s="82">
        <f>floors!$C$2</f>
        <v>65530</v>
      </c>
      <c r="C60" s="83" t="str">
        <f ca="1">VLOOKUP($B60,OFFSET([2]quests!$A$1,0,0,COUNTA([2]quests!$A:$A),MATCH(C$1,[2]quests!$1:$1,0)-MATCH($B$1,[2]quests!$1:$1,0)+1),MATCH(C$1,[2]quests!$1:$1,0)-MATCH($B$1,[2]quests!$1:$1,0)+1,FALSE)</f>
        <v>【LB渡邉】検証クエスト</v>
      </c>
      <c r="D60" s="83" t="str">
        <f ca="1">VLOOKUP($B60,OFFSET([2]quests!$A$1,0,0,COUNTA([2]quests!$A:$A),MATCH(D$1,[2]quests!$1:$1,0)-MATCH($B$1,[2]quests!$1:$1,0)+1),MATCH(D$1,[2]quests!$1:$1,0)-MATCH($B$1,[2]quests!$1:$1,0)+1,FALSE)</f>
        <v>検証</v>
      </c>
      <c r="E60" s="87" t="s">
        <v>217</v>
      </c>
      <c r="F60" s="83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3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5">
        <v>0</v>
      </c>
      <c r="I60" s="97">
        <v>3</v>
      </c>
      <c r="J60" s="84" t="s">
        <v>199</v>
      </c>
      <c r="K60" s="94" t="str">
        <f>VLOOKUP(I60,[6]stage_hints!$A:$C,3,FALSE)</f>
        <v>ターゲット</v>
      </c>
      <c r="L60" s="95" t="str">
        <f>VLOOKUP(I60,[6]stage_hints!$A:$D,4,FALSE)</f>
        <v>敵ユニットをタップすると_x000D_その敵を狙い撃ちできます</v>
      </c>
      <c r="M60" s="57" t="s">
        <v>212</v>
      </c>
    </row>
    <row r="61" spans="1:13" x14ac:dyDescent="0.15">
      <c r="A61" s="81" t="s">
        <v>201</v>
      </c>
      <c r="B61" s="82">
        <f>floors!$C$2</f>
        <v>65530</v>
      </c>
      <c r="C61" s="83" t="str">
        <f ca="1">VLOOKUP($B61,OFFSET([2]quests!$A$1,0,0,COUNTA([2]quests!$A:$A),MATCH(C$1,[2]quests!$1:$1,0)-MATCH($B$1,[2]quests!$1:$1,0)+1),MATCH(C$1,[2]quests!$1:$1,0)-MATCH($B$1,[2]quests!$1:$1,0)+1,FALSE)</f>
        <v>【LB渡邉】検証クエスト</v>
      </c>
      <c r="D61" s="83" t="str">
        <f ca="1">VLOOKUP($B61,OFFSET([2]quests!$A$1,0,0,COUNTA([2]quests!$A:$A),MATCH(D$1,[2]quests!$1:$1,0)-MATCH($B$1,[2]quests!$1:$1,0)+1),MATCH(D$1,[2]quests!$1:$1,0)-MATCH($B$1,[2]quests!$1:$1,0)+1,FALSE)</f>
        <v>検証</v>
      </c>
      <c r="E61" s="87" t="s">
        <v>217</v>
      </c>
      <c r="F61" s="83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3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5">
        <v>0</v>
      </c>
      <c r="I61" s="97">
        <v>6</v>
      </c>
      <c r="J61" s="84" t="s">
        <v>199</v>
      </c>
      <c r="K61" s="94" t="str">
        <f>VLOOKUP(I61,[6]stage_hints!$A:$C,3,FALSE)</f>
        <v>ユニット強化の属性ボーナス</v>
      </c>
      <c r="L61" s="95" t="str">
        <f>VLOOKUP(I61,[6]stage_hints!$A:$D,4,FALSE)</f>
        <v>同属性ユニットを強化素材にすると_x000D_経験値が多くもらえます</v>
      </c>
      <c r="M61" s="57" t="s">
        <v>212</v>
      </c>
    </row>
    <row r="62" spans="1:13" x14ac:dyDescent="0.15">
      <c r="A62" s="81" t="s">
        <v>201</v>
      </c>
      <c r="B62" s="82">
        <f>floors!$C$2</f>
        <v>65530</v>
      </c>
      <c r="C62" s="83" t="str">
        <f ca="1">VLOOKUP($B62,OFFSET([2]quests!$A$1,0,0,COUNTA([2]quests!$A:$A),MATCH(C$1,[2]quests!$1:$1,0)-MATCH($B$1,[2]quests!$1:$1,0)+1),MATCH(C$1,[2]quests!$1:$1,0)-MATCH($B$1,[2]quests!$1:$1,0)+1,FALSE)</f>
        <v>【LB渡邉】検証クエスト</v>
      </c>
      <c r="D62" s="83" t="str">
        <f ca="1">VLOOKUP($B62,OFFSET([2]quests!$A$1,0,0,COUNTA([2]quests!$A:$A),MATCH(D$1,[2]quests!$1:$1,0)-MATCH($B$1,[2]quests!$1:$1,0)+1),MATCH(D$1,[2]quests!$1:$1,0)-MATCH($B$1,[2]quests!$1:$1,0)+1,FALSE)</f>
        <v>検証</v>
      </c>
      <c r="E62" s="87" t="s">
        <v>217</v>
      </c>
      <c r="F62" s="83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3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5">
        <v>0</v>
      </c>
      <c r="I62" s="97">
        <v>7</v>
      </c>
      <c r="J62" s="84" t="s">
        <v>199</v>
      </c>
      <c r="K62" s="94" t="str">
        <f>VLOOKUP(I62,[6]stage_hints!$A:$C,3,FALSE)</f>
        <v>メタルダックで経験値を獲得</v>
      </c>
      <c r="L62" s="95" t="str">
        <f>VLOOKUP(I62,[6]stage_hints!$A:$D,4,FALSE)</f>
        <v>「メタルなアヒル」を強化素材にすると_x000D_大量の経験値がもらえます</v>
      </c>
      <c r="M62" s="57" t="s">
        <v>212</v>
      </c>
    </row>
    <row r="63" spans="1:13" x14ac:dyDescent="0.15">
      <c r="A63" s="81" t="s">
        <v>201</v>
      </c>
      <c r="B63" s="82">
        <f>floors!$C$2</f>
        <v>65530</v>
      </c>
      <c r="C63" s="83" t="str">
        <f ca="1">VLOOKUP($B63,OFFSET([2]quests!$A$1,0,0,COUNTA([2]quests!$A:$A),MATCH(C$1,[2]quests!$1:$1,0)-MATCH($B$1,[2]quests!$1:$1,0)+1),MATCH(C$1,[2]quests!$1:$1,0)-MATCH($B$1,[2]quests!$1:$1,0)+1,FALSE)</f>
        <v>【LB渡邉】検証クエスト</v>
      </c>
      <c r="D63" s="83" t="str">
        <f ca="1">VLOOKUP($B63,OFFSET([2]quests!$A$1,0,0,COUNTA([2]quests!$A:$A),MATCH(D$1,[2]quests!$1:$1,0)-MATCH($B$1,[2]quests!$1:$1,0)+1),MATCH(D$1,[2]quests!$1:$1,0)-MATCH($B$1,[2]quests!$1:$1,0)+1,FALSE)</f>
        <v>検証</v>
      </c>
      <c r="E63" s="87" t="s">
        <v>217</v>
      </c>
      <c r="F63" s="83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3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5">
        <v>0</v>
      </c>
      <c r="I63" s="97">
        <v>8</v>
      </c>
      <c r="J63" s="84" t="s">
        <v>199</v>
      </c>
      <c r="K63" s="94" t="str">
        <f>VLOOKUP(I63,[6]stage_hints!$A:$C,3,FALSE)</f>
        <v>ゲリラクエストは要チェック</v>
      </c>
      <c r="L63" s="95" t="str">
        <f>VLOOKUP(I63,[6]stage_hints!$A:$D,4,FALSE)</f>
        <v>時間限定の「アヒル捕獲作戦」では_x000D_経験値素材ユニットが多く手に入ります</v>
      </c>
      <c r="M63" s="57" t="s">
        <v>212</v>
      </c>
    </row>
    <row r="64" spans="1:13" x14ac:dyDescent="0.15">
      <c r="A64" s="81" t="s">
        <v>201</v>
      </c>
      <c r="B64" s="82">
        <f>floors!$C$2</f>
        <v>65530</v>
      </c>
      <c r="C64" s="83" t="str">
        <f ca="1">VLOOKUP($B64,OFFSET([2]quests!$A$1,0,0,COUNTA([2]quests!$A:$A),MATCH(C$1,[2]quests!$1:$1,0)-MATCH($B$1,[2]quests!$1:$1,0)+1),MATCH(C$1,[2]quests!$1:$1,0)-MATCH($B$1,[2]quests!$1:$1,0)+1,FALSE)</f>
        <v>【LB渡邉】検証クエスト</v>
      </c>
      <c r="D64" s="83" t="str">
        <f ca="1">VLOOKUP($B64,OFFSET([2]quests!$A$1,0,0,COUNTA([2]quests!$A:$A),MATCH(D$1,[2]quests!$1:$1,0)-MATCH($B$1,[2]quests!$1:$1,0)+1),MATCH(D$1,[2]quests!$1:$1,0)-MATCH($B$1,[2]quests!$1:$1,0)+1,FALSE)</f>
        <v>検証</v>
      </c>
      <c r="E64" s="87" t="s">
        <v>217</v>
      </c>
      <c r="F64" s="83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3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5">
        <v>0</v>
      </c>
      <c r="I64" s="97">
        <v>9</v>
      </c>
      <c r="J64" s="84" t="s">
        <v>199</v>
      </c>
      <c r="K64" s="94" t="str">
        <f>VLOOKUP(I64,[6]stage_hints!$A:$C,3,FALSE)</f>
        <v>ゴールドダックでビットを獲得</v>
      </c>
      <c r="L64" s="95" t="str">
        <f>VLOOKUP(I64,[6]stage_hints!$A:$D,4,FALSE)</f>
        <v>「ゴールドなアヒル」を売却すると_x000D_大量のビットがもらえます</v>
      </c>
      <c r="M64" s="57" t="s">
        <v>212</v>
      </c>
    </row>
    <row r="65" spans="1:13" x14ac:dyDescent="0.15">
      <c r="A65" s="81" t="s">
        <v>201</v>
      </c>
      <c r="B65" s="82">
        <f>floors!$C$2</f>
        <v>65530</v>
      </c>
      <c r="C65" s="83" t="str">
        <f ca="1">VLOOKUP($B65,OFFSET([2]quests!$A$1,0,0,COUNTA([2]quests!$A:$A),MATCH(C$1,[2]quests!$1:$1,0)-MATCH($B$1,[2]quests!$1:$1,0)+1),MATCH(C$1,[2]quests!$1:$1,0)-MATCH($B$1,[2]quests!$1:$1,0)+1,FALSE)</f>
        <v>【LB渡邉】検証クエスト</v>
      </c>
      <c r="D65" s="83" t="str">
        <f ca="1">VLOOKUP($B65,OFFSET([2]quests!$A$1,0,0,COUNTA([2]quests!$A:$A),MATCH(D$1,[2]quests!$1:$1,0)-MATCH($B$1,[2]quests!$1:$1,0)+1),MATCH(D$1,[2]quests!$1:$1,0)-MATCH($B$1,[2]quests!$1:$1,0)+1,FALSE)</f>
        <v>検証</v>
      </c>
      <c r="E65" s="87" t="s">
        <v>217</v>
      </c>
      <c r="F65" s="83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3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5">
        <v>0</v>
      </c>
      <c r="I65" s="97">
        <v>10</v>
      </c>
      <c r="J65" s="84" t="s">
        <v>199</v>
      </c>
      <c r="K65" s="94" t="str">
        <f>VLOOKUP(I65,[6]stage_hints!$A:$C,3,FALSE)</f>
        <v>土日に大量のビットを獲得</v>
      </c>
      <c r="L65" s="95" t="str">
        <f>VLOOKUP(I65,[6]stage_hints!$A:$D,4,FALSE)</f>
        <v>土日限定の「ゴールドカジノ」では_x000D_売却素材ユニットが多く手に入ります</v>
      </c>
      <c r="M65" s="57" t="s">
        <v>212</v>
      </c>
    </row>
    <row r="66" spans="1:13" x14ac:dyDescent="0.15">
      <c r="A66" s="81" t="s">
        <v>201</v>
      </c>
      <c r="B66" s="82">
        <f>floors!$C$2</f>
        <v>65530</v>
      </c>
      <c r="C66" s="83" t="str">
        <f ca="1">VLOOKUP($B66,OFFSET([2]quests!$A$1,0,0,COUNTA([2]quests!$A:$A),MATCH(C$1,[2]quests!$1:$1,0)-MATCH($B$1,[2]quests!$1:$1,0)+1),MATCH(C$1,[2]quests!$1:$1,0)-MATCH($B$1,[2]quests!$1:$1,0)+1,FALSE)</f>
        <v>【LB渡邉】検証クエスト</v>
      </c>
      <c r="D66" s="83" t="str">
        <f ca="1">VLOOKUP($B66,OFFSET([2]quests!$A$1,0,0,COUNTA([2]quests!$A:$A),MATCH(D$1,[2]quests!$1:$1,0)-MATCH($B$1,[2]quests!$1:$1,0)+1),MATCH(D$1,[2]quests!$1:$1,0)-MATCH($B$1,[2]quests!$1:$1,0)+1,FALSE)</f>
        <v>検証</v>
      </c>
      <c r="E66" s="87" t="s">
        <v>217</v>
      </c>
      <c r="F66" s="83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3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5">
        <v>0</v>
      </c>
      <c r="I66" s="97">
        <v>11</v>
      </c>
      <c r="J66" s="84" t="s">
        <v>199</v>
      </c>
      <c r="K66" s="94" t="str">
        <f>VLOOKUP(I66,[6]stage_hints!$A:$C,3,FALSE)</f>
        <v>ランク解放クエスト</v>
      </c>
      <c r="L66" s="95" t="str">
        <f>VLOOKUP(I66,[6]stage_hints!$A:$D,4,FALSE)</f>
        <v>一定ランクに到達すると_x000D_報酬付きのランク開放クエストが現れます</v>
      </c>
      <c r="M66" s="57" t="s">
        <v>212</v>
      </c>
    </row>
    <row r="67" spans="1:13" x14ac:dyDescent="0.15">
      <c r="A67" s="81" t="s">
        <v>201</v>
      </c>
      <c r="B67" s="82">
        <f>floors!$C$2</f>
        <v>65530</v>
      </c>
      <c r="C67" s="83" t="str">
        <f ca="1">VLOOKUP($B67,OFFSET([2]quests!$A$1,0,0,COUNTA([2]quests!$A:$A),MATCH(C$1,[2]quests!$1:$1,0)-MATCH($B$1,[2]quests!$1:$1,0)+1),MATCH(C$1,[2]quests!$1:$1,0)-MATCH($B$1,[2]quests!$1:$1,0)+1,FALSE)</f>
        <v>【LB渡邉】検証クエスト</v>
      </c>
      <c r="D67" s="83" t="str">
        <f ca="1">VLOOKUP($B67,OFFSET([2]quests!$A$1,0,0,COUNTA([2]quests!$A:$A),MATCH(D$1,[2]quests!$1:$1,0)-MATCH($B$1,[2]quests!$1:$1,0)+1),MATCH(D$1,[2]quests!$1:$1,0)-MATCH($B$1,[2]quests!$1:$1,0)+1,FALSE)</f>
        <v>検証</v>
      </c>
      <c r="E67" s="87" t="s">
        <v>217</v>
      </c>
      <c r="F67" s="83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3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5">
        <v>0</v>
      </c>
      <c r="I67" s="97">
        <v>12</v>
      </c>
      <c r="J67" s="84" t="s">
        <v>199</v>
      </c>
      <c r="K67" s="94" t="str">
        <f>VLOOKUP(I67,[6]stage_hints!$A:$C,3,FALSE)</f>
        <v>ユニットのお気に入り登録</v>
      </c>
      <c r="L67" s="95" t="str">
        <f>VLOOKUP(I67,[6]stage_hints!$A:$D,4,FALSE)</f>
        <v>大事なユニットを誤って消さないように_x000D_フォルダから「お気に入り登録」しましょう</v>
      </c>
      <c r="M67" s="57" t="s">
        <v>212</v>
      </c>
    </row>
    <row r="68" spans="1:13" x14ac:dyDescent="0.15">
      <c r="A68" s="81" t="s">
        <v>201</v>
      </c>
      <c r="B68" s="82">
        <f>floors!$C$2</f>
        <v>65530</v>
      </c>
      <c r="C68" s="83" t="str">
        <f ca="1">VLOOKUP($B68,OFFSET([2]quests!$A$1,0,0,COUNTA([2]quests!$A:$A),MATCH(C$1,[2]quests!$1:$1,0)-MATCH($B$1,[2]quests!$1:$1,0)+1),MATCH(C$1,[2]quests!$1:$1,0)-MATCH($B$1,[2]quests!$1:$1,0)+1,FALSE)</f>
        <v>【LB渡邉】検証クエスト</v>
      </c>
      <c r="D68" s="83" t="str">
        <f ca="1">VLOOKUP($B68,OFFSET([2]quests!$A$1,0,0,COUNTA([2]quests!$A:$A),MATCH(D$1,[2]quests!$1:$1,0)-MATCH($B$1,[2]quests!$1:$1,0)+1),MATCH(D$1,[2]quests!$1:$1,0)-MATCH($B$1,[2]quests!$1:$1,0)+1,FALSE)</f>
        <v>検証</v>
      </c>
      <c r="E68" s="87" t="s">
        <v>217</v>
      </c>
      <c r="F68" s="83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3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5">
        <v>0</v>
      </c>
      <c r="I68" s="97">
        <v>13</v>
      </c>
      <c r="J68" s="84" t="s">
        <v>199</v>
      </c>
      <c r="K68" s="94" t="str">
        <f>VLOOKUP(I68,[6]stage_hints!$A:$C,3,FALSE)</f>
        <v>ユニットの覚醒</v>
      </c>
      <c r="L68" s="95" t="str">
        <f>VLOOKUP(I68,[6]stage_hints!$A:$D,4,FALSE)</f>
        <v>ユニットを覚醒させると_x000D_比べものにならない強さが手に入ります</v>
      </c>
      <c r="M68" s="57" t="s">
        <v>212</v>
      </c>
    </row>
    <row r="69" spans="1:13" x14ac:dyDescent="0.15">
      <c r="A69" s="81" t="s">
        <v>201</v>
      </c>
      <c r="B69" s="82">
        <f>floors!$C$2</f>
        <v>65530</v>
      </c>
      <c r="C69" s="83" t="str">
        <f ca="1">VLOOKUP($B69,OFFSET([2]quests!$A$1,0,0,COUNTA([2]quests!$A:$A),MATCH(C$1,[2]quests!$1:$1,0)-MATCH($B$1,[2]quests!$1:$1,0)+1),MATCH(C$1,[2]quests!$1:$1,0)-MATCH($B$1,[2]quests!$1:$1,0)+1,FALSE)</f>
        <v>【LB渡邉】検証クエスト</v>
      </c>
      <c r="D69" s="83" t="str">
        <f ca="1">VLOOKUP($B69,OFFSET([2]quests!$A$1,0,0,COUNTA([2]quests!$A:$A),MATCH(D$1,[2]quests!$1:$1,0)-MATCH($B$1,[2]quests!$1:$1,0)+1),MATCH(D$1,[2]quests!$1:$1,0)-MATCH($B$1,[2]quests!$1:$1,0)+1,FALSE)</f>
        <v>検証</v>
      </c>
      <c r="E69" s="87" t="s">
        <v>217</v>
      </c>
      <c r="F69" s="83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3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5">
        <v>0</v>
      </c>
      <c r="I69" s="97">
        <v>14</v>
      </c>
      <c r="J69" s="84" t="s">
        <v>199</v>
      </c>
      <c r="K69" s="94" t="str">
        <f>VLOOKUP(I69,[6]stage_hints!$A:$C,3,FALSE)</f>
        <v>覚醒するにはレベルを最大に</v>
      </c>
      <c r="L69" s="95" t="str">
        <f>VLOOKUP(I69,[6]stage_hints!$A:$D,4,FALSE)</f>
        <v>覚醒するにはユニットのレベルを_x000D_最大まで上げる必要があります</v>
      </c>
      <c r="M69" s="57" t="s">
        <v>212</v>
      </c>
    </row>
    <row r="70" spans="1:13" x14ac:dyDescent="0.15">
      <c r="A70" s="81" t="s">
        <v>201</v>
      </c>
      <c r="B70" s="82">
        <f>floors!$C$2</f>
        <v>65530</v>
      </c>
      <c r="C70" s="83" t="str">
        <f ca="1">VLOOKUP($B70,OFFSET([2]quests!$A$1,0,0,COUNTA([2]quests!$A:$A),MATCH(C$1,[2]quests!$1:$1,0)-MATCH($B$1,[2]quests!$1:$1,0)+1),MATCH(C$1,[2]quests!$1:$1,0)-MATCH($B$1,[2]quests!$1:$1,0)+1,FALSE)</f>
        <v>【LB渡邉】検証クエスト</v>
      </c>
      <c r="D70" s="83" t="str">
        <f ca="1">VLOOKUP($B70,OFFSET([2]quests!$A$1,0,0,COUNTA([2]quests!$A:$A),MATCH(D$1,[2]quests!$1:$1,0)-MATCH($B$1,[2]quests!$1:$1,0)+1),MATCH(D$1,[2]quests!$1:$1,0)-MATCH($B$1,[2]quests!$1:$1,0)+1,FALSE)</f>
        <v>検証</v>
      </c>
      <c r="E70" s="87" t="s">
        <v>217</v>
      </c>
      <c r="F70" s="83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3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5">
        <v>0</v>
      </c>
      <c r="I70" s="97">
        <v>15</v>
      </c>
      <c r="J70" s="84" t="s">
        <v>199</v>
      </c>
      <c r="K70" s="94" t="str">
        <f>VLOOKUP(I70,[6]stage_hints!$A:$C,3,FALSE)</f>
        <v>覚醒素材を獲得</v>
      </c>
      <c r="L70" s="95" t="str">
        <f>VLOOKUP(I70,[6]stage_hints!$A:$D,4,FALSE)</f>
        <v>「曜日クエスト」では_x000D_ユニットの覚醒に必要な素材が手に入ります</v>
      </c>
      <c r="M70" s="57" t="s">
        <v>212</v>
      </c>
    </row>
    <row r="71" spans="1:13" x14ac:dyDescent="0.15">
      <c r="A71" s="81" t="s">
        <v>201</v>
      </c>
      <c r="B71" s="82">
        <f>floors!$C$2</f>
        <v>65530</v>
      </c>
      <c r="C71" s="83" t="str">
        <f ca="1">VLOOKUP($B71,OFFSET([2]quests!$A$1,0,0,COUNTA([2]quests!$A:$A),MATCH(C$1,[2]quests!$1:$1,0)-MATCH($B$1,[2]quests!$1:$1,0)+1),MATCH(C$1,[2]quests!$1:$1,0)-MATCH($B$1,[2]quests!$1:$1,0)+1,FALSE)</f>
        <v>【LB渡邉】検証クエスト</v>
      </c>
      <c r="D71" s="83" t="str">
        <f ca="1">VLOOKUP($B71,OFFSET([2]quests!$A$1,0,0,COUNTA([2]quests!$A:$A),MATCH(D$1,[2]quests!$1:$1,0)-MATCH($B$1,[2]quests!$1:$1,0)+1),MATCH(D$1,[2]quests!$1:$1,0)-MATCH($B$1,[2]quests!$1:$1,0)+1,FALSE)</f>
        <v>検証</v>
      </c>
      <c r="E71" s="87" t="s">
        <v>217</v>
      </c>
      <c r="F71" s="83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3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5">
        <v>0</v>
      </c>
      <c r="I71" s="97">
        <v>16</v>
      </c>
      <c r="J71" s="84" t="s">
        <v>199</v>
      </c>
      <c r="K71" s="94" t="str">
        <f>VLOOKUP(I71,[6]stage_hints!$A:$C,3,FALSE)</f>
        <v>マルチプレイのメリット（その1）</v>
      </c>
      <c r="L71" s="95" t="str">
        <f>VLOOKUP(I71,[6]stage_hints!$A:$D,4,FALSE)</f>
        <v>他のプレイヤーとマルチプレイで遊ぶと_x000D_ポリゴンがもらえます（100人まで）</v>
      </c>
      <c r="M71" s="57" t="s">
        <v>212</v>
      </c>
    </row>
    <row r="72" spans="1:13" x14ac:dyDescent="0.15">
      <c r="A72" s="81" t="s">
        <v>201</v>
      </c>
      <c r="B72" s="82">
        <f>floors!$C$2</f>
        <v>65530</v>
      </c>
      <c r="C72" s="83" t="str">
        <f ca="1">VLOOKUP($B72,OFFSET([2]quests!$A$1,0,0,COUNTA([2]quests!$A:$A),MATCH(C$1,[2]quests!$1:$1,0)-MATCH($B$1,[2]quests!$1:$1,0)+1),MATCH(C$1,[2]quests!$1:$1,0)-MATCH($B$1,[2]quests!$1:$1,0)+1,FALSE)</f>
        <v>【LB渡邉】検証クエスト</v>
      </c>
      <c r="D72" s="83" t="str">
        <f ca="1">VLOOKUP($B72,OFFSET([2]quests!$A$1,0,0,COUNTA([2]quests!$A:$A),MATCH(D$1,[2]quests!$1:$1,0)-MATCH($B$1,[2]quests!$1:$1,0)+1),MATCH(D$1,[2]quests!$1:$1,0)-MATCH($B$1,[2]quests!$1:$1,0)+1,FALSE)</f>
        <v>検証</v>
      </c>
      <c r="E72" s="87" t="s">
        <v>217</v>
      </c>
      <c r="F72" s="83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3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5">
        <v>0</v>
      </c>
      <c r="I72" s="97">
        <v>17</v>
      </c>
      <c r="J72" s="84" t="s">
        <v>199</v>
      </c>
      <c r="K72" s="94" t="str">
        <f>VLOOKUP(I72,[6]stage_hints!$A:$C,3,FALSE)</f>
        <v>リンクガチャ</v>
      </c>
      <c r="L72" s="95" t="str">
        <f>VLOOKUP(I72,[6]stage_hints!$A:$D,4,FALSE)</f>
        <v>無料のリンクガチャを回して_x000D_経験値素材や売却素材を獲得しましょう</v>
      </c>
      <c r="M72" s="57" t="s">
        <v>212</v>
      </c>
    </row>
    <row r="73" spans="1:13" x14ac:dyDescent="0.15">
      <c r="A73" s="81" t="s">
        <v>201</v>
      </c>
      <c r="B73" s="82">
        <f>floors!$C$2</f>
        <v>65530</v>
      </c>
      <c r="C73" s="83" t="str">
        <f ca="1">VLOOKUP($B73,OFFSET([2]quests!$A$1,0,0,COUNTA([2]quests!$A:$A),MATCH(C$1,[2]quests!$1:$1,0)-MATCH($B$1,[2]quests!$1:$1,0)+1),MATCH(C$1,[2]quests!$1:$1,0)-MATCH($B$1,[2]quests!$1:$1,0)+1,FALSE)</f>
        <v>【LB渡邉】検証クエスト</v>
      </c>
      <c r="D73" s="83" t="str">
        <f ca="1">VLOOKUP($B73,OFFSET([2]quests!$A$1,0,0,COUNTA([2]quests!$A:$A),MATCH(D$1,[2]quests!$1:$1,0)-MATCH($B$1,[2]quests!$1:$1,0)+1),MATCH(D$1,[2]quests!$1:$1,0)-MATCH($B$1,[2]quests!$1:$1,0)+1,FALSE)</f>
        <v>検証</v>
      </c>
      <c r="E73" s="87" t="s">
        <v>217</v>
      </c>
      <c r="F73" s="83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3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5">
        <v>0</v>
      </c>
      <c r="I73" s="97">
        <v>18</v>
      </c>
      <c r="J73" s="84" t="s">
        <v>199</v>
      </c>
      <c r="K73" s="94" t="str">
        <f>VLOOKUP(I73,[6]stage_hints!$A:$C,3,FALSE)</f>
        <v>マルチプレイのメリット（その2）</v>
      </c>
      <c r="L73" s="95" t="str">
        <f>VLOOKUP(I73,[6]stage_hints!$A:$D,4,FALSE)</f>
        <v>マルチプレイならリンクが2倍もらえます_x000D_リンクガチャをたくさん回しましょう</v>
      </c>
      <c r="M73" s="57" t="s">
        <v>212</v>
      </c>
    </row>
    <row r="74" spans="1:13" x14ac:dyDescent="0.15">
      <c r="A74" s="81" t="s">
        <v>201</v>
      </c>
      <c r="B74" s="82">
        <f>floors!$C$2</f>
        <v>65530</v>
      </c>
      <c r="C74" s="83" t="str">
        <f ca="1">VLOOKUP($B74,OFFSET([2]quests!$A$1,0,0,COUNTA([2]quests!$A:$A),MATCH(C$1,[2]quests!$1:$1,0)-MATCH($B$1,[2]quests!$1:$1,0)+1),MATCH(C$1,[2]quests!$1:$1,0)-MATCH($B$1,[2]quests!$1:$1,0)+1,FALSE)</f>
        <v>【LB渡邉】検証クエスト</v>
      </c>
      <c r="D74" s="83" t="str">
        <f ca="1">VLOOKUP($B74,OFFSET([2]quests!$A$1,0,0,COUNTA([2]quests!$A:$A),MATCH(D$1,[2]quests!$1:$1,0)-MATCH($B$1,[2]quests!$1:$1,0)+1),MATCH(D$1,[2]quests!$1:$1,0)-MATCH($B$1,[2]quests!$1:$1,0)+1,FALSE)</f>
        <v>検証</v>
      </c>
      <c r="E74" s="87" t="s">
        <v>217</v>
      </c>
      <c r="F74" s="83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3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5">
        <v>0</v>
      </c>
      <c r="I74" s="97">
        <v>19</v>
      </c>
      <c r="J74" s="84" t="s">
        <v>199</v>
      </c>
      <c r="K74" s="94" t="str">
        <f>VLOOKUP(I74,[6]stage_hints!$A:$C,3,FALSE)</f>
        <v>ソロ専用タワーオブザクイーン</v>
      </c>
      <c r="L74" s="95" t="str">
        <f>VLOOKUP(I74,[6]stage_hints!$A:$D,4,FALSE)</f>
        <v>ソロ専用の「タワーオブザクイーン」は_x000D_期間限定で定期的に開催されます_x000D_ここでしか獲得できない報酬もあるようです</v>
      </c>
      <c r="M74" s="57" t="s">
        <v>212</v>
      </c>
    </row>
    <row r="75" spans="1:13" x14ac:dyDescent="0.15">
      <c r="A75" s="81" t="s">
        <v>201</v>
      </c>
      <c r="B75" s="82">
        <f>floors!$C$2</f>
        <v>65530</v>
      </c>
      <c r="C75" s="83" t="str">
        <f ca="1">VLOOKUP($B75,OFFSET([2]quests!$A$1,0,0,COUNTA([2]quests!$A:$A),MATCH(C$1,[2]quests!$1:$1,0)-MATCH($B$1,[2]quests!$1:$1,0)+1),MATCH(C$1,[2]quests!$1:$1,0)-MATCH($B$1,[2]quests!$1:$1,0)+1,FALSE)</f>
        <v>【LB渡邉】検証クエスト</v>
      </c>
      <c r="D75" s="83" t="str">
        <f ca="1">VLOOKUP($B75,OFFSET([2]quests!$A$1,0,0,COUNTA([2]quests!$A:$A),MATCH(D$1,[2]quests!$1:$1,0)-MATCH($B$1,[2]quests!$1:$1,0)+1),MATCH(D$1,[2]quests!$1:$1,0)-MATCH($B$1,[2]quests!$1:$1,0)+1,FALSE)</f>
        <v>検証</v>
      </c>
      <c r="E75" s="87" t="s">
        <v>217</v>
      </c>
      <c r="F75" s="83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3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5">
        <v>0</v>
      </c>
      <c r="I75" s="97">
        <v>20</v>
      </c>
      <c r="J75" s="84" t="s">
        <v>199</v>
      </c>
      <c r="K75" s="94" t="str">
        <f>VLOOKUP(I75,[6]stage_hints!$A:$C,3,FALSE)</f>
        <v>マルチプレイのメリット（その3）</v>
      </c>
      <c r="L75" s="95" t="str">
        <f>VLOOKUP(I75,[6]stage_hints!$A:$D,4,FALSE)</f>
        <v>マルチプレイへの参加はエナジー消費ゼロ_x000D_いつでも好きなだけ遊ぶことができます</v>
      </c>
      <c r="M75" s="57" t="s">
        <v>212</v>
      </c>
    </row>
    <row r="76" spans="1:13" x14ac:dyDescent="0.15">
      <c r="A76" s="81" t="s">
        <v>201</v>
      </c>
      <c r="B76" s="82">
        <f>floors!$C$2</f>
        <v>65530</v>
      </c>
      <c r="C76" s="83" t="str">
        <f ca="1">VLOOKUP($B76,OFFSET([2]quests!$A$1,0,0,COUNTA([2]quests!$A:$A),MATCH(C$1,[2]quests!$1:$1,0)-MATCH($B$1,[2]quests!$1:$1,0)+1),MATCH(C$1,[2]quests!$1:$1,0)-MATCH($B$1,[2]quests!$1:$1,0)+1,FALSE)</f>
        <v>【LB渡邉】検証クエスト</v>
      </c>
      <c r="D76" s="83" t="str">
        <f ca="1">VLOOKUP($B76,OFFSET([2]quests!$A$1,0,0,COUNTA([2]quests!$A:$A),MATCH(D$1,[2]quests!$1:$1,0)-MATCH($B$1,[2]quests!$1:$1,0)+1),MATCH(D$1,[2]quests!$1:$1,0)-MATCH($B$1,[2]quests!$1:$1,0)+1,FALSE)</f>
        <v>検証</v>
      </c>
      <c r="E76" s="87" t="s">
        <v>217</v>
      </c>
      <c r="F76" s="83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3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5">
        <v>0</v>
      </c>
      <c r="I76" s="97">
        <v>21</v>
      </c>
      <c r="J76" s="84" t="s">
        <v>199</v>
      </c>
      <c r="K76" s="94" t="str">
        <f>VLOOKUP(I76,[6]stage_hints!$A:$C,3,FALSE)</f>
        <v>スキルを有効に</v>
      </c>
      <c r="L76" s="95" t="str">
        <f>VLOOKUP(I76,[6]stage_hints!$A:$D,4,FALSE)</f>
        <v>ターン経過でユニットのスキルが使えます_x000D_強力スキルでバトルを有利に進めましょう</v>
      </c>
      <c r="M76" s="57" t="s">
        <v>212</v>
      </c>
    </row>
    <row r="77" spans="1:13" x14ac:dyDescent="0.15">
      <c r="A77" s="81" t="s">
        <v>201</v>
      </c>
      <c r="B77" s="82">
        <f>floors!$C$2</f>
        <v>65530</v>
      </c>
      <c r="C77" s="83" t="str">
        <f ca="1">VLOOKUP($B77,OFFSET([2]quests!$A$1,0,0,COUNTA([2]quests!$A:$A),MATCH(C$1,[2]quests!$1:$1,0)-MATCH($B$1,[2]quests!$1:$1,0)+1),MATCH(C$1,[2]quests!$1:$1,0)-MATCH($B$1,[2]quests!$1:$1,0)+1,FALSE)</f>
        <v>【LB渡邉】検証クエスト</v>
      </c>
      <c r="D77" s="83" t="str">
        <f ca="1">VLOOKUP($B77,OFFSET([2]quests!$A$1,0,0,COUNTA([2]quests!$A:$A),MATCH(D$1,[2]quests!$1:$1,0)-MATCH($B$1,[2]quests!$1:$1,0)+1),MATCH(D$1,[2]quests!$1:$1,0)-MATCH($B$1,[2]quests!$1:$1,0)+1,FALSE)</f>
        <v>検証</v>
      </c>
      <c r="E77" s="87" t="s">
        <v>217</v>
      </c>
      <c r="F77" s="83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3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5">
        <v>0</v>
      </c>
      <c r="I77" s="97">
        <v>22</v>
      </c>
      <c r="J77" s="84" t="s">
        <v>199</v>
      </c>
      <c r="K77" s="94" t="str">
        <f>VLOOKUP(I77,[6]stage_hints!$A:$C,3,FALSE)</f>
        <v>フィーバーで一発逆転（その1）</v>
      </c>
      <c r="L77" s="95" t="str">
        <f>VLOOKUP(I77,[6]stage_hints!$A:$D,4,FALSE)</f>
        <v>フィーバーは攻撃と回復を兼ね備えます_x000D_ピンチからの一発逆転を狙いましょう</v>
      </c>
      <c r="M77" s="57" t="s">
        <v>212</v>
      </c>
    </row>
    <row r="78" spans="1:13" x14ac:dyDescent="0.15">
      <c r="A78" s="81" t="s">
        <v>201</v>
      </c>
      <c r="B78" s="82">
        <f>floors!$C$2</f>
        <v>65530</v>
      </c>
      <c r="C78" s="83" t="str">
        <f ca="1">VLOOKUP($B78,OFFSET([2]quests!$A$1,0,0,COUNTA([2]quests!$A:$A),MATCH(C$1,[2]quests!$1:$1,0)-MATCH($B$1,[2]quests!$1:$1,0)+1),MATCH(C$1,[2]quests!$1:$1,0)-MATCH($B$1,[2]quests!$1:$1,0)+1,FALSE)</f>
        <v>【LB渡邉】検証クエスト</v>
      </c>
      <c r="D78" s="83" t="str">
        <f ca="1">VLOOKUP($B78,OFFSET([2]quests!$A$1,0,0,COUNTA([2]quests!$A:$A),MATCH(D$1,[2]quests!$1:$1,0)-MATCH($B$1,[2]quests!$1:$1,0)+1),MATCH(D$1,[2]quests!$1:$1,0)-MATCH($B$1,[2]quests!$1:$1,0)+1,FALSE)</f>
        <v>検証</v>
      </c>
      <c r="E78" s="87" t="s">
        <v>217</v>
      </c>
      <c r="F78" s="83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3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5">
        <v>0</v>
      </c>
      <c r="I78" s="97">
        <v>23</v>
      </c>
      <c r="J78" s="84" t="s">
        <v>199</v>
      </c>
      <c r="K78" s="94" t="str">
        <f>VLOOKUP(I78,[6]stage_hints!$A:$C,3,FALSE)</f>
        <v>フィーバーで一発逆転（その2）</v>
      </c>
      <c r="L78" s="95" t="str">
        <f>VLOOKUP(I78,[6]stage_hints!$A:$D,4,FALSE)</f>
        <v>フィーバー中は虹色のボムパネルを狙って_x000D_画面上のパネルを一気に破壊しましょう</v>
      </c>
      <c r="M78" s="57" t="s">
        <v>212</v>
      </c>
    </row>
    <row r="79" spans="1:13" x14ac:dyDescent="0.15">
      <c r="A79" s="81" t="s">
        <v>201</v>
      </c>
      <c r="B79" s="82">
        <f>floors!$C$2</f>
        <v>65530</v>
      </c>
      <c r="C79" s="83" t="str">
        <f ca="1">VLOOKUP($B79,OFFSET([2]quests!$A$1,0,0,COUNTA([2]quests!$A:$A),MATCH(C$1,[2]quests!$1:$1,0)-MATCH($B$1,[2]quests!$1:$1,0)+1),MATCH(C$1,[2]quests!$1:$1,0)-MATCH($B$1,[2]quests!$1:$1,0)+1,FALSE)</f>
        <v>【LB渡邉】検証クエスト</v>
      </c>
      <c r="D79" s="83" t="str">
        <f ca="1">VLOOKUP($B79,OFFSET([2]quests!$A$1,0,0,COUNTA([2]quests!$A:$A),MATCH(D$1,[2]quests!$1:$1,0)-MATCH($B$1,[2]quests!$1:$1,0)+1),MATCH(D$1,[2]quests!$1:$1,0)-MATCH($B$1,[2]quests!$1:$1,0)+1,FALSE)</f>
        <v>検証</v>
      </c>
      <c r="E79" s="87" t="s">
        <v>217</v>
      </c>
      <c r="F79" s="83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3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5">
        <v>0</v>
      </c>
      <c r="I79" s="97">
        <v>24</v>
      </c>
      <c r="J79" s="84" t="s">
        <v>199</v>
      </c>
      <c r="K79" s="94" t="str">
        <f>VLOOKUP(I79,[6]stage_hints!$A:$C,3,FALSE)</f>
        <v>りんごを使って限界突破</v>
      </c>
      <c r="L79" s="95" t="str">
        <f>VLOOKUP(I79,[6]stage_hints!$A:$D,4,FALSE)</f>
        <v>赤りんご(攻撃力) 青りんご(回復力)_x000D_緑りんご(体力)をユニット強化に使うと_x000D_ステータスが限界突破します（計99個迄）</v>
      </c>
      <c r="M79" s="57" t="s">
        <v>212</v>
      </c>
    </row>
    <row r="80" spans="1:13" x14ac:dyDescent="0.15">
      <c r="A80" s="81" t="s">
        <v>201</v>
      </c>
      <c r="B80" s="82">
        <f>floors!$C$2</f>
        <v>65530</v>
      </c>
      <c r="C80" s="83" t="str">
        <f ca="1">VLOOKUP($B80,OFFSET([2]quests!$A$1,0,0,COUNTA([2]quests!$A:$A),MATCH(C$1,[2]quests!$1:$1,0)-MATCH($B$1,[2]quests!$1:$1,0)+1),MATCH(C$1,[2]quests!$1:$1,0)-MATCH($B$1,[2]quests!$1:$1,0)+1,FALSE)</f>
        <v>【LB渡邉】検証クエスト</v>
      </c>
      <c r="D80" s="83" t="str">
        <f ca="1">VLOOKUP($B80,OFFSET([2]quests!$A$1,0,0,COUNTA([2]quests!$A:$A),MATCH(D$1,[2]quests!$1:$1,0)-MATCH($B$1,[2]quests!$1:$1,0)+1),MATCH(D$1,[2]quests!$1:$1,0)-MATCH($B$1,[2]quests!$1:$1,0)+1,FALSE)</f>
        <v>検証</v>
      </c>
      <c r="E80" s="87" t="s">
        <v>217</v>
      </c>
      <c r="F80" s="83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3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5">
        <v>0</v>
      </c>
      <c r="I80" s="97">
        <v>25</v>
      </c>
      <c r="J80" s="84" t="s">
        <v>199</v>
      </c>
      <c r="K80" s="94" t="str">
        <f>VLOOKUP(I80,[6]stage_hints!$A:$C,3,FALSE)</f>
        <v>スキルレベルアップ</v>
      </c>
      <c r="L80" s="95" t="str">
        <f>VLOOKUP(I80,[6]stage_hints!$A:$D,4,FALSE)</f>
        <v>「クリスタルのりんご」を強化に使うと_x000D_スキルレベルを上げることができます</v>
      </c>
      <c r="M80" s="57" t="s">
        <v>212</v>
      </c>
    </row>
    <row r="81" spans="1:13" x14ac:dyDescent="0.15">
      <c r="A81" s="81" t="s">
        <v>201</v>
      </c>
      <c r="B81" s="82">
        <f>floors!$C$2</f>
        <v>65530</v>
      </c>
      <c r="C81" s="83" t="str">
        <f ca="1">VLOOKUP($B81,OFFSET([2]quests!$A$1,0,0,COUNTA([2]quests!$A:$A),MATCH(C$1,[2]quests!$1:$1,0)-MATCH($B$1,[2]quests!$1:$1,0)+1),MATCH(C$1,[2]quests!$1:$1,0)-MATCH($B$1,[2]quests!$1:$1,0)+1,FALSE)</f>
        <v>【LB渡邉】検証クエスト</v>
      </c>
      <c r="D81" s="83" t="str">
        <f ca="1">VLOOKUP($B81,OFFSET([2]quests!$A$1,0,0,COUNTA([2]quests!$A:$A),MATCH(D$1,[2]quests!$1:$1,0)-MATCH($B$1,[2]quests!$1:$1,0)+1),MATCH(D$1,[2]quests!$1:$1,0)-MATCH($B$1,[2]quests!$1:$1,0)+1,FALSE)</f>
        <v>検証</v>
      </c>
      <c r="E81" s="87" t="s">
        <v>217</v>
      </c>
      <c r="F81" s="83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3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5">
        <v>0</v>
      </c>
      <c r="I81" s="97">
        <v>26</v>
      </c>
      <c r="J81" s="84" t="s">
        <v>199</v>
      </c>
      <c r="K81" s="94" t="str">
        <f>VLOOKUP(I81,[6]stage_hints!$A:$C,3,FALSE)</f>
        <v>スキルレベルの効果</v>
      </c>
      <c r="L81" s="95" t="str">
        <f>VLOOKUP(I81,[6]stage_hints!$A:$D,4,FALSE)</f>
        <v>スキルレベルが上がると_x000D_短いターンでスキルを使うことができます</v>
      </c>
      <c r="M81" s="57" t="s">
        <v>212</v>
      </c>
    </row>
    <row r="82" spans="1:13" x14ac:dyDescent="0.15">
      <c r="A82" s="81" t="s">
        <v>201</v>
      </c>
      <c r="B82" s="82">
        <f>floors!$C$2</f>
        <v>65530</v>
      </c>
      <c r="C82" s="83" t="str">
        <f ca="1">VLOOKUP($B82,OFFSET([2]quests!$A$1,0,0,COUNTA([2]quests!$A:$A),MATCH(C$1,[2]quests!$1:$1,0)-MATCH($B$1,[2]quests!$1:$1,0)+1),MATCH(C$1,[2]quests!$1:$1,0)-MATCH($B$1,[2]quests!$1:$1,0)+1,FALSE)</f>
        <v>【LB渡邉】検証クエスト</v>
      </c>
      <c r="D82" s="83" t="str">
        <f ca="1">VLOOKUP($B82,OFFSET([2]quests!$A$1,0,0,COUNTA([2]quests!$A:$A),MATCH(D$1,[2]quests!$1:$1,0)-MATCH($B$1,[2]quests!$1:$1,0)+1),MATCH(D$1,[2]quests!$1:$1,0)-MATCH($B$1,[2]quests!$1:$1,0)+1,FALSE)</f>
        <v>検証</v>
      </c>
      <c r="E82" s="87" t="s">
        <v>217</v>
      </c>
      <c r="F82" s="83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3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5">
        <v>0</v>
      </c>
      <c r="I82" s="97">
        <v>27</v>
      </c>
      <c r="J82" s="84" t="s">
        <v>199</v>
      </c>
      <c r="K82" s="94" t="str">
        <f>VLOOKUP(I82,[6]stage_hints!$A:$C,3,FALSE)</f>
        <v>ホーム画面からデッキを編成</v>
      </c>
      <c r="L82" s="95" t="str">
        <f>VLOOKUP(I82,[6]stage_hints!$A:$D,4,FALSE)</f>
        <v>ホーム画面でユニットを長押しすると_x000D_すぐにパーティ編成に移動できます</v>
      </c>
      <c r="M82" s="57" t="s">
        <v>212</v>
      </c>
    </row>
    <row r="83" spans="1:13" x14ac:dyDescent="0.15">
      <c r="A83" s="81" t="s">
        <v>201</v>
      </c>
      <c r="B83" s="82">
        <f>floors!$C$2</f>
        <v>65530</v>
      </c>
      <c r="C83" s="83" t="str">
        <f ca="1">VLOOKUP($B83,OFFSET([2]quests!$A$1,0,0,COUNTA([2]quests!$A:$A),MATCH(C$1,[2]quests!$1:$1,0)-MATCH($B$1,[2]quests!$1:$1,0)+1),MATCH(C$1,[2]quests!$1:$1,0)-MATCH($B$1,[2]quests!$1:$1,0)+1,FALSE)</f>
        <v>【LB渡邉】検証クエスト</v>
      </c>
      <c r="D83" s="83" t="str">
        <f ca="1">VLOOKUP($B83,OFFSET([2]quests!$A$1,0,0,COUNTA([2]quests!$A:$A),MATCH(D$1,[2]quests!$1:$1,0)-MATCH($B$1,[2]quests!$1:$1,0)+1),MATCH(D$1,[2]quests!$1:$1,0)-MATCH($B$1,[2]quests!$1:$1,0)+1,FALSE)</f>
        <v>検証</v>
      </c>
      <c r="E83" s="87" t="s">
        <v>217</v>
      </c>
      <c r="F83" s="83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3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5">
        <v>0</v>
      </c>
      <c r="I83" s="97">
        <v>28</v>
      </c>
      <c r="J83" s="84" t="s">
        <v>199</v>
      </c>
      <c r="K83" s="94" t="str">
        <f>VLOOKUP(I83,[6]stage_hints!$A:$C,3,FALSE)</f>
        <v>ステータス情報は長押しで</v>
      </c>
      <c r="L83" s="95" t="str">
        <f>VLOOKUP(I83,[6]stage_hints!$A:$D,4,FALSE)</f>
        <v>ユニットのアイコンを長押しすると_x000D_ステータス情報を確認することができます</v>
      </c>
      <c r="M83" s="57" t="s">
        <v>212</v>
      </c>
    </row>
    <row r="84" spans="1:13" x14ac:dyDescent="0.15">
      <c r="A84" s="81" t="s">
        <v>201</v>
      </c>
      <c r="B84" s="82">
        <f>floors!$C$2</f>
        <v>65530</v>
      </c>
      <c r="C84" s="83" t="str">
        <f ca="1">VLOOKUP($B84,OFFSET([2]quests!$A$1,0,0,COUNTA([2]quests!$A:$A),MATCH(C$1,[2]quests!$1:$1,0)-MATCH($B$1,[2]quests!$1:$1,0)+1),MATCH(C$1,[2]quests!$1:$1,0)-MATCH($B$1,[2]quests!$1:$1,0)+1,FALSE)</f>
        <v>【LB渡邉】検証クエスト</v>
      </c>
      <c r="D84" s="83" t="str">
        <f ca="1">VLOOKUP($B84,OFFSET([2]quests!$A$1,0,0,COUNTA([2]quests!$A:$A),MATCH(D$1,[2]quests!$1:$1,0)-MATCH($B$1,[2]quests!$1:$1,0)+1),MATCH(D$1,[2]quests!$1:$1,0)-MATCH($B$1,[2]quests!$1:$1,0)+1,FALSE)</f>
        <v>検証</v>
      </c>
      <c r="E84" s="87" t="s">
        <v>217</v>
      </c>
      <c r="F84" s="83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3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5">
        <v>0</v>
      </c>
      <c r="I84" s="97">
        <v>29</v>
      </c>
      <c r="J84" s="84" t="s">
        <v>199</v>
      </c>
      <c r="K84" s="94" t="str">
        <f>VLOOKUP(I84,[6]stage_hints!$A:$C,3,FALSE)</f>
        <v>「バグ」のメリット</v>
      </c>
      <c r="L84" s="95" t="str">
        <f>VLOOKUP(I84,[6]stage_hints!$A:$D,4,FALSE)</f>
        <v>ユニットの「バグ」を増やすと_x000D_報酬をもらえる確率がアップします</v>
      </c>
      <c r="M84" s="57" t="s">
        <v>212</v>
      </c>
    </row>
    <row r="85" spans="1:13" x14ac:dyDescent="0.15">
      <c r="A85" s="81" t="s">
        <v>201</v>
      </c>
      <c r="B85" s="82">
        <f>floors!$C$2</f>
        <v>65530</v>
      </c>
      <c r="C85" s="83" t="str">
        <f ca="1">VLOOKUP($B85,OFFSET([2]quests!$A$1,0,0,COUNTA([2]quests!$A:$A),MATCH(C$1,[2]quests!$1:$1,0)-MATCH($B$1,[2]quests!$1:$1,0)+1),MATCH(C$1,[2]quests!$1:$1,0)-MATCH($B$1,[2]quests!$1:$1,0)+1,FALSE)</f>
        <v>【LB渡邉】検証クエスト</v>
      </c>
      <c r="D85" s="83" t="str">
        <f ca="1">VLOOKUP($B85,OFFSET([2]quests!$A$1,0,0,COUNTA([2]quests!$A:$A),MATCH(D$1,[2]quests!$1:$1,0)-MATCH($B$1,[2]quests!$1:$1,0)+1),MATCH(D$1,[2]quests!$1:$1,0)-MATCH($B$1,[2]quests!$1:$1,0)+1,FALSE)</f>
        <v>検証</v>
      </c>
      <c r="E85" s="87" t="s">
        <v>217</v>
      </c>
      <c r="F85" s="83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3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5">
        <v>0</v>
      </c>
      <c r="I85" s="97">
        <v>30</v>
      </c>
      <c r="J85" s="84" t="s">
        <v>199</v>
      </c>
      <c r="K85" s="94" t="str">
        <f>VLOOKUP(I85,[6]stage_hints!$A:$C,3,FALSE)</f>
        <v>「バグ」の増やし方</v>
      </c>
      <c r="L85" s="95" t="str">
        <f>VLOOKUP(I85,[6]stage_hints!$A:$D,4,FALSE)</f>
        <v>同じユニット同士を強化で合成すると_x000D_「バグ」を増やすことができます</v>
      </c>
      <c r="M85" s="57" t="s">
        <v>212</v>
      </c>
    </row>
    <row r="86" spans="1:13" x14ac:dyDescent="0.15">
      <c r="A86" s="81" t="s">
        <v>201</v>
      </c>
      <c r="B86" s="82">
        <f>floors!$C$2</f>
        <v>65530</v>
      </c>
      <c r="C86" s="83" t="str">
        <f ca="1">VLOOKUP($B86,OFFSET([2]quests!$A$1,0,0,COUNTA([2]quests!$A:$A),MATCH(C$1,[2]quests!$1:$1,0)-MATCH($B$1,[2]quests!$1:$1,0)+1),MATCH(C$1,[2]quests!$1:$1,0)-MATCH($B$1,[2]quests!$1:$1,0)+1,FALSE)</f>
        <v>【LB渡邉】検証クエスト</v>
      </c>
      <c r="D86" s="83" t="str">
        <f ca="1">VLOOKUP($B86,OFFSET([2]quests!$A$1,0,0,COUNTA([2]quests!$A:$A),MATCH(D$1,[2]quests!$1:$1,0)-MATCH($B$1,[2]quests!$1:$1,0)+1),MATCH(D$1,[2]quests!$1:$1,0)-MATCH($B$1,[2]quests!$1:$1,0)+1,FALSE)</f>
        <v>検証</v>
      </c>
      <c r="E86" s="87" t="s">
        <v>217</v>
      </c>
      <c r="F86" s="83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3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5">
        <v>0</v>
      </c>
      <c r="I86" s="97">
        <v>31</v>
      </c>
      <c r="J86" s="84" t="s">
        <v>199</v>
      </c>
      <c r="K86" s="94" t="str">
        <f>VLOOKUP(I86,[6]stage_hints!$A:$C,3,FALSE)</f>
        <v>イベントはお知らせでチェック</v>
      </c>
      <c r="L86" s="95" t="str">
        <f>VLOOKUP(I86,[6]stage_hints!$A:$D,4,FALSE)</f>
        <v>イベント限定ユニットを取り忘れないように_x000D_お知らせをこまめにチェックしましょう</v>
      </c>
      <c r="M86" s="57" t="s">
        <v>212</v>
      </c>
    </row>
    <row r="87" spans="1:13" x14ac:dyDescent="0.15">
      <c r="A87" s="81" t="s">
        <v>201</v>
      </c>
      <c r="B87" s="82">
        <f>floors!$C$2</f>
        <v>65530</v>
      </c>
      <c r="C87" s="83" t="str">
        <f ca="1">VLOOKUP($B87,OFFSET([2]quests!$A$1,0,0,COUNTA([2]quests!$A:$A),MATCH(C$1,[2]quests!$1:$1,0)-MATCH($B$1,[2]quests!$1:$1,0)+1),MATCH(C$1,[2]quests!$1:$1,0)-MATCH($B$1,[2]quests!$1:$1,0)+1,FALSE)</f>
        <v>【LB渡邉】検証クエスト</v>
      </c>
      <c r="D87" s="83" t="str">
        <f ca="1">VLOOKUP($B87,OFFSET([2]quests!$A$1,0,0,COUNTA([2]quests!$A:$A),MATCH(D$1,[2]quests!$1:$1,0)-MATCH($B$1,[2]quests!$1:$1,0)+1),MATCH(D$1,[2]quests!$1:$1,0)-MATCH($B$1,[2]quests!$1:$1,0)+1,FALSE)</f>
        <v>検証</v>
      </c>
      <c r="E87" s="87" t="s">
        <v>217</v>
      </c>
      <c r="F87" s="83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3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5">
        <v>0</v>
      </c>
      <c r="I87" s="97">
        <v>32</v>
      </c>
      <c r="J87" s="84" t="s">
        <v>199</v>
      </c>
      <c r="K87" s="94" t="str">
        <f>VLOOKUP(I87,[6]stage_hints!$A:$C,3,FALSE)</f>
        <v>敵の連続攻撃には</v>
      </c>
      <c r="L87" s="95" t="str">
        <f>VLOOKUP(I87,[6]stage_hints!$A:$D,4,FALSE)</f>
        <v>カウンタースキルを持つユニットがいれば_x000D_ダメージ回数分の反撃ができます</v>
      </c>
      <c r="M87" s="57" t="s">
        <v>212</v>
      </c>
    </row>
    <row r="88" spans="1:13" x14ac:dyDescent="0.15">
      <c r="A88" s="81" t="s">
        <v>201</v>
      </c>
      <c r="B88" s="82">
        <f>floors!$C$2</f>
        <v>65530</v>
      </c>
      <c r="C88" s="83" t="str">
        <f ca="1">VLOOKUP($B88,OFFSET([2]quests!$A$1,0,0,COUNTA([2]quests!$A:$A),MATCH(C$1,[2]quests!$1:$1,0)-MATCH($B$1,[2]quests!$1:$1,0)+1),MATCH(C$1,[2]quests!$1:$1,0)-MATCH($B$1,[2]quests!$1:$1,0)+1,FALSE)</f>
        <v>【LB渡邉】検証クエスト</v>
      </c>
      <c r="D88" s="83" t="str">
        <f ca="1">VLOOKUP($B88,OFFSET([2]quests!$A$1,0,0,COUNTA([2]quests!$A:$A),MATCH(D$1,[2]quests!$1:$1,0)-MATCH($B$1,[2]quests!$1:$1,0)+1),MATCH(D$1,[2]quests!$1:$1,0)-MATCH($B$1,[2]quests!$1:$1,0)+1,FALSE)</f>
        <v>検証</v>
      </c>
      <c r="E88" s="87" t="s">
        <v>217</v>
      </c>
      <c r="F88" s="83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3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5">
        <v>0</v>
      </c>
      <c r="I88" s="97">
        <v>33</v>
      </c>
      <c r="J88" s="84" t="s">
        <v>199</v>
      </c>
      <c r="K88" s="94" t="str">
        <f>VLOOKUP(I88,[6]stage_hints!$A:$C,3,FALSE)</f>
        <v>敵のカウンター攻撃には</v>
      </c>
      <c r="L88" s="95" t="str">
        <f>VLOOKUP(I88,[6]stage_hints!$A:$D,4,FALSE)</f>
        <v>カウンターブレイクスキルを持っていれば_x000D_敵のカウンターを解除して攻撃ができます</v>
      </c>
      <c r="M88" s="57" t="s">
        <v>212</v>
      </c>
    </row>
    <row r="89" spans="1:13" x14ac:dyDescent="0.15">
      <c r="A89" s="81" t="s">
        <v>201</v>
      </c>
      <c r="B89" s="82">
        <f>floors!$C$2</f>
        <v>65530</v>
      </c>
      <c r="C89" s="83" t="str">
        <f ca="1">VLOOKUP($B89,OFFSET([2]quests!$A$1,0,0,COUNTA([2]quests!$A:$A),MATCH(C$1,[2]quests!$1:$1,0)-MATCH($B$1,[2]quests!$1:$1,0)+1),MATCH(C$1,[2]quests!$1:$1,0)-MATCH($B$1,[2]quests!$1:$1,0)+1,FALSE)</f>
        <v>【LB渡邉】検証クエスト</v>
      </c>
      <c r="D89" s="83" t="str">
        <f ca="1">VLOOKUP($B89,OFFSET([2]quests!$A$1,0,0,COUNTA([2]quests!$A:$A),MATCH(D$1,[2]quests!$1:$1,0)-MATCH($B$1,[2]quests!$1:$1,0)+1),MATCH(D$1,[2]quests!$1:$1,0)-MATCH($B$1,[2]quests!$1:$1,0)+1,FALSE)</f>
        <v>検証</v>
      </c>
      <c r="E89" s="87" t="s">
        <v>217</v>
      </c>
      <c r="F89" s="83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3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5">
        <v>0</v>
      </c>
      <c r="I89" s="97">
        <v>34</v>
      </c>
      <c r="J89" s="84" t="s">
        <v>199</v>
      </c>
      <c r="K89" s="94" t="str">
        <f>VLOOKUP(I89,[6]stage_hints!$A:$C,3,FALSE)</f>
        <v>ステータスをスキルで下げられたら</v>
      </c>
      <c r="L89" s="95" t="str">
        <f>VLOOKUP(I89,[6]stage_hints!$A:$D,4,FALSE)</f>
        <v>ステータスダウンのスキルを受けたら_x000D_ステータスアップスキルで上書きしましょう</v>
      </c>
      <c r="M89" s="57" t="s">
        <v>212</v>
      </c>
    </row>
    <row r="90" spans="1:13" x14ac:dyDescent="0.15">
      <c r="A90" s="81" t="s">
        <v>201</v>
      </c>
      <c r="B90" s="82">
        <f>floors!$C$2</f>
        <v>65530</v>
      </c>
      <c r="C90" s="83" t="str">
        <f ca="1">VLOOKUP($B90,OFFSET([2]quests!$A$1,0,0,COUNTA([2]quests!$A:$A),MATCH(C$1,[2]quests!$1:$1,0)-MATCH($B$1,[2]quests!$1:$1,0)+1),MATCH(C$1,[2]quests!$1:$1,0)-MATCH($B$1,[2]quests!$1:$1,0)+1,FALSE)</f>
        <v>【LB渡邉】検証クエスト</v>
      </c>
      <c r="D90" s="83" t="str">
        <f ca="1">VLOOKUP($B90,OFFSET([2]quests!$A$1,0,0,COUNTA([2]quests!$A:$A),MATCH(D$1,[2]quests!$1:$1,0)-MATCH($B$1,[2]quests!$1:$1,0)+1),MATCH(D$1,[2]quests!$1:$1,0)-MATCH($B$1,[2]quests!$1:$1,0)+1,FALSE)</f>
        <v>検証</v>
      </c>
      <c r="E90" s="87" t="s">
        <v>217</v>
      </c>
      <c r="F90" s="83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3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5">
        <v>0</v>
      </c>
      <c r="I90" s="97">
        <v>35</v>
      </c>
      <c r="J90" s="84" t="s">
        <v>199</v>
      </c>
      <c r="K90" s="94" t="str">
        <f>VLOOKUP(I90,[6]stage_hints!$A:$C,3,FALSE)</f>
        <v>敵のステータスがスキルで上がったら</v>
      </c>
      <c r="L90" s="95" t="str">
        <f>VLOOKUP(I90,[6]stage_hints!$A:$D,4,FALSE)</f>
        <v>敵のステータスがスキルでアップしたときは_x000D_ステータスダウンスキルで上書きしましょう</v>
      </c>
      <c r="M90" s="57" t="s">
        <v>212</v>
      </c>
    </row>
    <row r="91" spans="1:13" x14ac:dyDescent="0.15">
      <c r="A91" s="81" t="s">
        <v>201</v>
      </c>
      <c r="B91" s="82">
        <f>floors!$C$2</f>
        <v>65530</v>
      </c>
      <c r="C91" s="83" t="str">
        <f ca="1">VLOOKUP($B91,OFFSET([2]quests!$A$1,0,0,COUNTA([2]quests!$A:$A),MATCH(C$1,[2]quests!$1:$1,0)-MATCH($B$1,[2]quests!$1:$1,0)+1),MATCH(C$1,[2]quests!$1:$1,0)-MATCH($B$1,[2]quests!$1:$1,0)+1,FALSE)</f>
        <v>【LB渡邉】検証クエスト</v>
      </c>
      <c r="D91" s="83" t="str">
        <f ca="1">VLOOKUP($B91,OFFSET([2]quests!$A$1,0,0,COUNTA([2]quests!$A:$A),MATCH(D$1,[2]quests!$1:$1,0)-MATCH($B$1,[2]quests!$1:$1,0)+1),MATCH(D$1,[2]quests!$1:$1,0)-MATCH($B$1,[2]quests!$1:$1,0)+1,FALSE)</f>
        <v>検証</v>
      </c>
      <c r="E91" s="87" t="s">
        <v>217</v>
      </c>
      <c r="F91" s="83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3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5">
        <v>0</v>
      </c>
      <c r="I91" s="97">
        <v>36</v>
      </c>
      <c r="J91" s="84" t="s">
        <v>199</v>
      </c>
      <c r="K91" s="94" t="str">
        <f>VLOOKUP(I91,[6]stage_hints!$A:$C,3,FALSE)</f>
        <v>タワーオブザクイーンのボス</v>
      </c>
      <c r="L91" s="95" t="str">
        <f>VLOOKUP(I91,[6]stage_hints!$A:$D,4,FALSE)</f>
        <v>「タワーオブザクイーン」最上階のボスは_x000D_15階の初回クリア報酬で獲得できるほか_x000D_その階にて低確率でドロップもします</v>
      </c>
      <c r="M91" s="57" t="s">
        <v>212</v>
      </c>
    </row>
    <row r="92" spans="1:13" x14ac:dyDescent="0.15">
      <c r="A92" s="81" t="s">
        <v>201</v>
      </c>
      <c r="B92" s="82">
        <f>floors!$C$2</f>
        <v>65530</v>
      </c>
      <c r="C92" s="83" t="str">
        <f ca="1">VLOOKUP($B92,OFFSET([2]quests!$A$1,0,0,COUNTA([2]quests!$A:$A),MATCH(C$1,[2]quests!$1:$1,0)-MATCH($B$1,[2]quests!$1:$1,0)+1),MATCH(C$1,[2]quests!$1:$1,0)-MATCH($B$1,[2]quests!$1:$1,0)+1,FALSE)</f>
        <v>【LB渡邉】検証クエスト</v>
      </c>
      <c r="D92" s="83" t="str">
        <f ca="1">VLOOKUP($B92,OFFSET([2]quests!$A$1,0,0,COUNTA([2]quests!$A:$A),MATCH(D$1,[2]quests!$1:$1,0)-MATCH($B$1,[2]quests!$1:$1,0)+1),MATCH(D$1,[2]quests!$1:$1,0)-MATCH($B$1,[2]quests!$1:$1,0)+1,FALSE)</f>
        <v>検証</v>
      </c>
      <c r="E92" s="87" t="s">
        <v>217</v>
      </c>
      <c r="F92" s="83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3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5">
        <v>0</v>
      </c>
      <c r="I92" s="97">
        <v>37</v>
      </c>
      <c r="J92" s="84" t="s">
        <v>199</v>
      </c>
      <c r="K92" s="94" t="str">
        <f>VLOOKUP(I92,[6]stage_hints!$A:$C,3,FALSE)</f>
        <v>限界突破値の引き継ぎ</v>
      </c>
      <c r="L92" s="95" t="str">
        <f>VLOOKUP(I92,[6]stage_hints!$A:$D,4,FALSE)</f>
        <v>同じユニットを強化で合成すると_x000D_限界突破値を引き継げます（覚醒前後も可）</v>
      </c>
      <c r="M92" s="57" t="s">
        <v>212</v>
      </c>
    </row>
    <row r="93" spans="1:13" x14ac:dyDescent="0.15">
      <c r="A93" s="81" t="s">
        <v>201</v>
      </c>
      <c r="B93" s="82">
        <f>floors!$C$2</f>
        <v>65530</v>
      </c>
      <c r="C93" s="83" t="str">
        <f ca="1">VLOOKUP($B93,OFFSET([2]quests!$A$1,0,0,COUNTA([2]quests!$A:$A),MATCH(C$1,[2]quests!$1:$1,0)-MATCH($B$1,[2]quests!$1:$1,0)+1),MATCH(C$1,[2]quests!$1:$1,0)-MATCH($B$1,[2]quests!$1:$1,0)+1,FALSE)</f>
        <v>【LB渡邉】検証クエスト</v>
      </c>
      <c r="D93" s="83" t="str">
        <f ca="1">VLOOKUP($B93,OFFSET([2]quests!$A$1,0,0,COUNTA([2]quests!$A:$A),MATCH(D$1,[2]quests!$1:$1,0)-MATCH($B$1,[2]quests!$1:$1,0)+1),MATCH(D$1,[2]quests!$1:$1,0)-MATCH($B$1,[2]quests!$1:$1,0)+1,FALSE)</f>
        <v>検証</v>
      </c>
      <c r="E93" s="87" t="s">
        <v>217</v>
      </c>
      <c r="F93" s="83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3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5">
        <v>0</v>
      </c>
      <c r="I93" s="97">
        <v>39</v>
      </c>
      <c r="J93" s="84" t="s">
        <v>199</v>
      </c>
      <c r="K93" s="94" t="str">
        <f>VLOOKUP(I93,[6]stage_hints!$A:$C,3,FALSE)</f>
        <v>システム適合者を確認</v>
      </c>
      <c r="L93" s="95" t="str">
        <f>VLOOKUP(I93,[6]stage_hints!$A:$D,4,FALSE)</f>
        <v>ALICEが 「アナタ」を呼んでいます</v>
      </c>
      <c r="M93" s="57" t="s">
        <v>212</v>
      </c>
    </row>
    <row r="94" spans="1:13" x14ac:dyDescent="0.15">
      <c r="A94" s="81" t="s">
        <v>201</v>
      </c>
      <c r="B94" s="82">
        <f>floors!$C$2</f>
        <v>65530</v>
      </c>
      <c r="C94" s="83" t="str">
        <f ca="1">VLOOKUP($B94,OFFSET([2]quests!$A$1,0,0,COUNTA([2]quests!$A:$A),MATCH(C$1,[2]quests!$1:$1,0)-MATCH($B$1,[2]quests!$1:$1,0)+1),MATCH(C$1,[2]quests!$1:$1,0)-MATCH($B$1,[2]quests!$1:$1,0)+1,FALSE)</f>
        <v>【LB渡邉】検証クエスト</v>
      </c>
      <c r="D94" s="83" t="str">
        <f ca="1">VLOOKUP($B94,OFFSET([2]quests!$A$1,0,0,COUNTA([2]quests!$A:$A),MATCH(D$1,[2]quests!$1:$1,0)-MATCH($B$1,[2]quests!$1:$1,0)+1),MATCH(D$1,[2]quests!$1:$1,0)-MATCH($B$1,[2]quests!$1:$1,0)+1,FALSE)</f>
        <v>検証</v>
      </c>
      <c r="E94" s="87" t="s">
        <v>218</v>
      </c>
      <c r="F94" s="83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3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5">
        <v>0</v>
      </c>
      <c r="I94">
        <v>12</v>
      </c>
      <c r="J94" s="84" t="s">
        <v>199</v>
      </c>
      <c r="K94" s="94" t="str">
        <f>VLOOKUP(I94,[6]stage_hints!$A:$C,3,FALSE)</f>
        <v>ユニットのお気に入り登録</v>
      </c>
      <c r="L94" s="95" t="str">
        <f>VLOOKUP(I94,[6]stage_hints!$A:$D,4,FALSE)</f>
        <v>大事なユニットを誤って消さないように_x000D_フォルダから「お気に入り登録」しましょう</v>
      </c>
      <c r="M94" s="57" t="s">
        <v>212</v>
      </c>
    </row>
    <row r="95" spans="1:13" x14ac:dyDescent="0.15">
      <c r="A95" s="81" t="s">
        <v>201</v>
      </c>
      <c r="B95" s="82">
        <f>floors!$C$2</f>
        <v>65530</v>
      </c>
      <c r="C95" s="83" t="str">
        <f ca="1">VLOOKUP($B95,OFFSET([2]quests!$A$1,0,0,COUNTA([2]quests!$A:$A),MATCH(C$1,[2]quests!$1:$1,0)-MATCH($B$1,[2]quests!$1:$1,0)+1),MATCH(C$1,[2]quests!$1:$1,0)-MATCH($B$1,[2]quests!$1:$1,0)+1,FALSE)</f>
        <v>【LB渡邉】検証クエスト</v>
      </c>
      <c r="D95" s="83" t="str">
        <f ca="1">VLOOKUP($B95,OFFSET([2]quests!$A$1,0,0,COUNTA([2]quests!$A:$A),MATCH(D$1,[2]quests!$1:$1,0)-MATCH($B$1,[2]quests!$1:$1,0)+1),MATCH(D$1,[2]quests!$1:$1,0)-MATCH($B$1,[2]quests!$1:$1,0)+1,FALSE)</f>
        <v>検証</v>
      </c>
      <c r="E95" s="87" t="s">
        <v>218</v>
      </c>
      <c r="F95" s="83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3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5">
        <v>0</v>
      </c>
      <c r="I95">
        <v>17</v>
      </c>
      <c r="J95" s="84" t="s">
        <v>199</v>
      </c>
      <c r="K95" s="94" t="str">
        <f>VLOOKUP(I95,[6]stage_hints!$A:$C,3,FALSE)</f>
        <v>リンクガチャ</v>
      </c>
      <c r="L95" s="95" t="str">
        <f>VLOOKUP(I95,[6]stage_hints!$A:$D,4,FALSE)</f>
        <v>無料のリンクガチャを回して_x000D_経験値素材や売却素材を獲得しましょう</v>
      </c>
      <c r="M95" s="57" t="s">
        <v>212</v>
      </c>
    </row>
    <row r="96" spans="1:13" x14ac:dyDescent="0.15">
      <c r="A96" s="81" t="s">
        <v>201</v>
      </c>
      <c r="B96" s="82">
        <f>floors!$C$2</f>
        <v>65530</v>
      </c>
      <c r="C96" s="83" t="str">
        <f ca="1">VLOOKUP($B96,OFFSET([2]quests!$A$1,0,0,COUNTA([2]quests!$A:$A),MATCH(C$1,[2]quests!$1:$1,0)-MATCH($B$1,[2]quests!$1:$1,0)+1),MATCH(C$1,[2]quests!$1:$1,0)-MATCH($B$1,[2]quests!$1:$1,0)+1,FALSE)</f>
        <v>【LB渡邉】検証クエスト</v>
      </c>
      <c r="D96" s="83" t="str">
        <f ca="1">VLOOKUP($B96,OFFSET([2]quests!$A$1,0,0,COUNTA([2]quests!$A:$A),MATCH(D$1,[2]quests!$1:$1,0)-MATCH($B$1,[2]quests!$1:$1,0)+1),MATCH(D$1,[2]quests!$1:$1,0)-MATCH($B$1,[2]quests!$1:$1,0)+1,FALSE)</f>
        <v>検証</v>
      </c>
      <c r="E96" s="87" t="s">
        <v>218</v>
      </c>
      <c r="F96" s="83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3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5">
        <v>0</v>
      </c>
      <c r="I96">
        <v>19</v>
      </c>
      <c r="J96" s="84" t="s">
        <v>199</v>
      </c>
      <c r="K96" s="94" t="str">
        <f>VLOOKUP(I96,[6]stage_hints!$A:$C,3,FALSE)</f>
        <v>ソロ専用タワーオブザクイーン</v>
      </c>
      <c r="L96" s="95" t="str">
        <f>VLOOKUP(I96,[6]stage_hints!$A:$D,4,FALSE)</f>
        <v>ソロ専用の「タワーオブザクイーン」は_x000D_期間限定で定期的に開催されます_x000D_ここでしか獲得できない報酬もあるようです</v>
      </c>
      <c r="M96" s="57" t="s">
        <v>212</v>
      </c>
    </row>
    <row r="97" spans="1:13" x14ac:dyDescent="0.15">
      <c r="A97" s="81" t="s">
        <v>201</v>
      </c>
      <c r="B97" s="82">
        <f>floors!$C$2</f>
        <v>65530</v>
      </c>
      <c r="C97" s="83" t="str">
        <f ca="1">VLOOKUP($B97,OFFSET([2]quests!$A$1,0,0,COUNTA([2]quests!$A:$A),MATCH(C$1,[2]quests!$1:$1,0)-MATCH($B$1,[2]quests!$1:$1,0)+1),MATCH(C$1,[2]quests!$1:$1,0)-MATCH($B$1,[2]quests!$1:$1,0)+1,FALSE)</f>
        <v>【LB渡邉】検証クエスト</v>
      </c>
      <c r="D97" s="83" t="str">
        <f ca="1">VLOOKUP($B97,OFFSET([2]quests!$A$1,0,0,COUNTA([2]quests!$A:$A),MATCH(D$1,[2]quests!$1:$1,0)-MATCH($B$1,[2]quests!$1:$1,0)+1),MATCH(D$1,[2]quests!$1:$1,0)-MATCH($B$1,[2]quests!$1:$1,0)+1,FALSE)</f>
        <v>検証</v>
      </c>
      <c r="E97" s="87" t="s">
        <v>218</v>
      </c>
      <c r="F97" s="83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3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5">
        <v>0</v>
      </c>
      <c r="I97">
        <v>21</v>
      </c>
      <c r="J97" s="84" t="s">
        <v>199</v>
      </c>
      <c r="K97" s="94" t="str">
        <f>VLOOKUP(I97,[6]stage_hints!$A:$C,3,FALSE)</f>
        <v>スキルを有効に</v>
      </c>
      <c r="L97" s="95" t="str">
        <f>VLOOKUP(I97,[6]stage_hints!$A:$D,4,FALSE)</f>
        <v>ターン経過でユニットのスキルが使えます_x000D_強力スキルでバトルを有利に進めましょう</v>
      </c>
      <c r="M97" s="57" t="s">
        <v>212</v>
      </c>
    </row>
    <row r="98" spans="1:13" x14ac:dyDescent="0.15">
      <c r="A98" s="81" t="s">
        <v>201</v>
      </c>
      <c r="B98" s="82">
        <f>floors!$C$2</f>
        <v>65530</v>
      </c>
      <c r="C98" s="83" t="str">
        <f ca="1">VLOOKUP($B98,OFFSET([2]quests!$A$1,0,0,COUNTA([2]quests!$A:$A),MATCH(C$1,[2]quests!$1:$1,0)-MATCH($B$1,[2]quests!$1:$1,0)+1),MATCH(C$1,[2]quests!$1:$1,0)-MATCH($B$1,[2]quests!$1:$1,0)+1,FALSE)</f>
        <v>【LB渡邉】検証クエスト</v>
      </c>
      <c r="D98" s="83" t="str">
        <f ca="1">VLOOKUP($B98,OFFSET([2]quests!$A$1,0,0,COUNTA([2]quests!$A:$A),MATCH(D$1,[2]quests!$1:$1,0)-MATCH($B$1,[2]quests!$1:$1,0)+1),MATCH(D$1,[2]quests!$1:$1,0)-MATCH($B$1,[2]quests!$1:$1,0)+1,FALSE)</f>
        <v>検証</v>
      </c>
      <c r="E98" s="87" t="s">
        <v>218</v>
      </c>
      <c r="F98" s="83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3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5">
        <v>0</v>
      </c>
      <c r="I98">
        <v>27</v>
      </c>
      <c r="J98" s="84" t="s">
        <v>199</v>
      </c>
      <c r="K98" s="94" t="str">
        <f>VLOOKUP(I98,[6]stage_hints!$A:$C,3,FALSE)</f>
        <v>ホーム画面からデッキを編成</v>
      </c>
      <c r="L98" s="95" t="str">
        <f>VLOOKUP(I98,[6]stage_hints!$A:$D,4,FALSE)</f>
        <v>ホーム画面でユニットを長押しすると_x000D_すぐにパーティ編成に移動できます</v>
      </c>
      <c r="M98" s="57" t="s">
        <v>212</v>
      </c>
    </row>
    <row r="99" spans="1:13" x14ac:dyDescent="0.15">
      <c r="A99" s="81" t="s">
        <v>201</v>
      </c>
      <c r="B99" s="82">
        <f>floors!$C$2</f>
        <v>65530</v>
      </c>
      <c r="C99" s="83" t="str">
        <f ca="1">VLOOKUP($B99,OFFSET([2]quests!$A$1,0,0,COUNTA([2]quests!$A:$A),MATCH(C$1,[2]quests!$1:$1,0)-MATCH($B$1,[2]quests!$1:$1,0)+1),MATCH(C$1,[2]quests!$1:$1,0)-MATCH($B$1,[2]quests!$1:$1,0)+1,FALSE)</f>
        <v>【LB渡邉】検証クエスト</v>
      </c>
      <c r="D99" s="83" t="str">
        <f ca="1">VLOOKUP($B99,OFFSET([2]quests!$A$1,0,0,COUNTA([2]quests!$A:$A),MATCH(D$1,[2]quests!$1:$1,0)-MATCH($B$1,[2]quests!$1:$1,0)+1),MATCH(D$1,[2]quests!$1:$1,0)-MATCH($B$1,[2]quests!$1:$1,0)+1,FALSE)</f>
        <v>検証</v>
      </c>
      <c r="E99" s="87" t="s">
        <v>218</v>
      </c>
      <c r="F99" s="83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3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5">
        <v>0</v>
      </c>
      <c r="I99">
        <v>28</v>
      </c>
      <c r="J99" s="84" t="s">
        <v>199</v>
      </c>
      <c r="K99" s="94" t="str">
        <f>VLOOKUP(I99,[6]stage_hints!$A:$C,3,FALSE)</f>
        <v>ステータス情報は長押しで</v>
      </c>
      <c r="L99" s="95" t="str">
        <f>VLOOKUP(I99,[6]stage_hints!$A:$D,4,FALSE)</f>
        <v>ユニットのアイコンを長押しすると_x000D_ステータス情報を確認することができます</v>
      </c>
      <c r="M99" s="57" t="s">
        <v>212</v>
      </c>
    </row>
    <row r="100" spans="1:13" x14ac:dyDescent="0.15">
      <c r="A100" s="81" t="s">
        <v>201</v>
      </c>
      <c r="B100" s="82">
        <f>floors!$C$2</f>
        <v>65530</v>
      </c>
      <c r="C100" s="83" t="str">
        <f ca="1">VLOOKUP($B100,OFFSET([2]quests!$A$1,0,0,COUNTA([2]quests!$A:$A),MATCH(C$1,[2]quests!$1:$1,0)-MATCH($B$1,[2]quests!$1:$1,0)+1),MATCH(C$1,[2]quests!$1:$1,0)-MATCH($B$1,[2]quests!$1:$1,0)+1,FALSE)</f>
        <v>【LB渡邉】検証クエスト</v>
      </c>
      <c r="D100" s="83" t="str">
        <f ca="1">VLOOKUP($B100,OFFSET([2]quests!$A$1,0,0,COUNTA([2]quests!$A:$A),MATCH(D$1,[2]quests!$1:$1,0)-MATCH($B$1,[2]quests!$1:$1,0)+1),MATCH(D$1,[2]quests!$1:$1,0)-MATCH($B$1,[2]quests!$1:$1,0)+1,FALSE)</f>
        <v>検証</v>
      </c>
      <c r="E100" s="87" t="s">
        <v>218</v>
      </c>
      <c r="F100" s="83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3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5">
        <v>0</v>
      </c>
      <c r="I100">
        <v>29</v>
      </c>
      <c r="J100" s="84" t="s">
        <v>199</v>
      </c>
      <c r="K100" s="94" t="str">
        <f>VLOOKUP(I100,[6]stage_hints!$A:$C,3,FALSE)</f>
        <v>「バグ」のメリット</v>
      </c>
      <c r="L100" s="95" t="str">
        <f>VLOOKUP(I100,[6]stage_hints!$A:$D,4,FALSE)</f>
        <v>ユニットの「バグ」を増やすと_x000D_報酬をもらえる確率がアップします</v>
      </c>
      <c r="M100" s="57" t="s">
        <v>212</v>
      </c>
    </row>
    <row r="101" spans="1:13" x14ac:dyDescent="0.15">
      <c r="A101" s="81" t="s">
        <v>201</v>
      </c>
      <c r="B101" s="82">
        <f>floors!$C$2</f>
        <v>65530</v>
      </c>
      <c r="C101" s="83" t="str">
        <f ca="1">VLOOKUP($B101,OFFSET([2]quests!$A$1,0,0,COUNTA([2]quests!$A:$A),MATCH(C$1,[2]quests!$1:$1,0)-MATCH($B$1,[2]quests!$1:$1,0)+1),MATCH(C$1,[2]quests!$1:$1,0)-MATCH($B$1,[2]quests!$1:$1,0)+1,FALSE)</f>
        <v>【LB渡邉】検証クエスト</v>
      </c>
      <c r="D101" s="83" t="str">
        <f ca="1">VLOOKUP($B101,OFFSET([2]quests!$A$1,0,0,COUNTA([2]quests!$A:$A),MATCH(D$1,[2]quests!$1:$1,0)-MATCH($B$1,[2]quests!$1:$1,0)+1),MATCH(D$1,[2]quests!$1:$1,0)-MATCH($B$1,[2]quests!$1:$1,0)+1,FALSE)</f>
        <v>検証</v>
      </c>
      <c r="E101" s="87" t="s">
        <v>218</v>
      </c>
      <c r="F101" s="83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3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5">
        <v>0</v>
      </c>
      <c r="I101">
        <v>30</v>
      </c>
      <c r="J101" s="84" t="s">
        <v>199</v>
      </c>
      <c r="K101" s="94" t="str">
        <f>VLOOKUP(I101,[6]stage_hints!$A:$C,3,FALSE)</f>
        <v>「バグ」の増やし方</v>
      </c>
      <c r="L101" s="95" t="str">
        <f>VLOOKUP(I101,[6]stage_hints!$A:$D,4,FALSE)</f>
        <v>同じユニット同士を強化で合成すると_x000D_「バグ」を増やすことができます</v>
      </c>
      <c r="M101" s="57" t="s">
        <v>212</v>
      </c>
    </row>
    <row r="102" spans="1:13" x14ac:dyDescent="0.15">
      <c r="A102" s="81" t="s">
        <v>201</v>
      </c>
      <c r="B102" s="82">
        <f>floors!$C$2</f>
        <v>65530</v>
      </c>
      <c r="C102" s="83" t="str">
        <f ca="1">VLOOKUP($B102,OFFSET([2]quests!$A$1,0,0,COUNTA([2]quests!$A:$A),MATCH(C$1,[2]quests!$1:$1,0)-MATCH($B$1,[2]quests!$1:$1,0)+1),MATCH(C$1,[2]quests!$1:$1,0)-MATCH($B$1,[2]quests!$1:$1,0)+1,FALSE)</f>
        <v>【LB渡邉】検証クエスト</v>
      </c>
      <c r="D102" s="83" t="str">
        <f ca="1">VLOOKUP($B102,OFFSET([2]quests!$A$1,0,0,COUNTA([2]quests!$A:$A),MATCH(D$1,[2]quests!$1:$1,0)-MATCH($B$1,[2]quests!$1:$1,0)+1),MATCH(D$1,[2]quests!$1:$1,0)-MATCH($B$1,[2]quests!$1:$1,0)+1,FALSE)</f>
        <v>検証</v>
      </c>
      <c r="E102" s="87" t="s">
        <v>218</v>
      </c>
      <c r="F102" s="83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3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5">
        <v>0</v>
      </c>
      <c r="I102">
        <v>32</v>
      </c>
      <c r="J102" s="84" t="s">
        <v>199</v>
      </c>
      <c r="K102" s="94" t="str">
        <f>VLOOKUP(I102,[6]stage_hints!$A:$C,3,FALSE)</f>
        <v>敵の連続攻撃には</v>
      </c>
      <c r="L102" s="95" t="str">
        <f>VLOOKUP(I102,[6]stage_hints!$A:$D,4,FALSE)</f>
        <v>カウンタースキルを持つユニットがいれば_x000D_ダメージ回数分の反撃ができます</v>
      </c>
      <c r="M102" s="57" t="s">
        <v>212</v>
      </c>
    </row>
    <row r="103" spans="1:13" x14ac:dyDescent="0.15">
      <c r="A103" s="81" t="s">
        <v>201</v>
      </c>
      <c r="B103" s="82">
        <f>floors!$C$2</f>
        <v>65530</v>
      </c>
      <c r="C103" s="83" t="str">
        <f ca="1">VLOOKUP($B103,OFFSET([2]quests!$A$1,0,0,COUNTA([2]quests!$A:$A),MATCH(C$1,[2]quests!$1:$1,0)-MATCH($B$1,[2]quests!$1:$1,0)+1),MATCH(C$1,[2]quests!$1:$1,0)-MATCH($B$1,[2]quests!$1:$1,0)+1,FALSE)</f>
        <v>【LB渡邉】検証クエスト</v>
      </c>
      <c r="D103" s="83" t="str">
        <f ca="1">VLOOKUP($B103,OFFSET([2]quests!$A$1,0,0,COUNTA([2]quests!$A:$A),MATCH(D$1,[2]quests!$1:$1,0)-MATCH($B$1,[2]quests!$1:$1,0)+1),MATCH(D$1,[2]quests!$1:$1,0)-MATCH($B$1,[2]quests!$1:$1,0)+1,FALSE)</f>
        <v>検証</v>
      </c>
      <c r="E103" s="87" t="s">
        <v>218</v>
      </c>
      <c r="F103" s="83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3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5">
        <v>0</v>
      </c>
      <c r="I103">
        <v>33</v>
      </c>
      <c r="J103" s="84" t="s">
        <v>199</v>
      </c>
      <c r="K103" s="94" t="str">
        <f>VLOOKUP(I103,[6]stage_hints!$A:$C,3,FALSE)</f>
        <v>敵のカウンター攻撃には</v>
      </c>
      <c r="L103" s="95" t="str">
        <f>VLOOKUP(I103,[6]stage_hints!$A:$D,4,FALSE)</f>
        <v>カウンターブレイクスキルを持っていれば_x000D_敵のカウンターを解除して攻撃ができます</v>
      </c>
      <c r="M103" s="57" t="s">
        <v>212</v>
      </c>
    </row>
    <row r="104" spans="1:13" x14ac:dyDescent="0.15">
      <c r="A104" s="81" t="s">
        <v>201</v>
      </c>
      <c r="B104" s="82">
        <f>floors!$C$2</f>
        <v>65530</v>
      </c>
      <c r="C104" s="83" t="str">
        <f ca="1">VLOOKUP($B104,OFFSET([2]quests!$A$1,0,0,COUNTA([2]quests!$A:$A),MATCH(C$1,[2]quests!$1:$1,0)-MATCH($B$1,[2]quests!$1:$1,0)+1),MATCH(C$1,[2]quests!$1:$1,0)-MATCH($B$1,[2]quests!$1:$1,0)+1,FALSE)</f>
        <v>【LB渡邉】検証クエスト</v>
      </c>
      <c r="D104" s="83" t="str">
        <f ca="1">VLOOKUP($B104,OFFSET([2]quests!$A$1,0,0,COUNTA([2]quests!$A:$A),MATCH(D$1,[2]quests!$1:$1,0)-MATCH($B$1,[2]quests!$1:$1,0)+1),MATCH(D$1,[2]quests!$1:$1,0)-MATCH($B$1,[2]quests!$1:$1,0)+1,FALSE)</f>
        <v>検証</v>
      </c>
      <c r="E104" s="87" t="s">
        <v>218</v>
      </c>
      <c r="F104" s="83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3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5">
        <v>0</v>
      </c>
      <c r="I104">
        <v>34</v>
      </c>
      <c r="J104" s="84" t="s">
        <v>199</v>
      </c>
      <c r="K104" s="94" t="str">
        <f>VLOOKUP(I104,[6]stage_hints!$A:$C,3,FALSE)</f>
        <v>ステータスをスキルで下げられたら</v>
      </c>
      <c r="L104" s="95" t="str">
        <f>VLOOKUP(I104,[6]stage_hints!$A:$D,4,FALSE)</f>
        <v>ステータスダウンのスキルを受けたら_x000D_ステータスアップスキルで上書きしましょう</v>
      </c>
      <c r="M104" s="57" t="s">
        <v>212</v>
      </c>
    </row>
    <row r="105" spans="1:13" x14ac:dyDescent="0.15">
      <c r="A105" s="81" t="s">
        <v>201</v>
      </c>
      <c r="B105" s="82">
        <f>floors!$C$2</f>
        <v>65530</v>
      </c>
      <c r="C105" s="83" t="str">
        <f ca="1">VLOOKUP($B105,OFFSET([2]quests!$A$1,0,0,COUNTA([2]quests!$A:$A),MATCH(C$1,[2]quests!$1:$1,0)-MATCH($B$1,[2]quests!$1:$1,0)+1),MATCH(C$1,[2]quests!$1:$1,0)-MATCH($B$1,[2]quests!$1:$1,0)+1,FALSE)</f>
        <v>【LB渡邉】検証クエスト</v>
      </c>
      <c r="D105" s="83" t="str">
        <f ca="1">VLOOKUP($B105,OFFSET([2]quests!$A$1,0,0,COUNTA([2]quests!$A:$A),MATCH(D$1,[2]quests!$1:$1,0)-MATCH($B$1,[2]quests!$1:$1,0)+1),MATCH(D$1,[2]quests!$1:$1,0)-MATCH($B$1,[2]quests!$1:$1,0)+1,FALSE)</f>
        <v>検証</v>
      </c>
      <c r="E105" s="87" t="s">
        <v>218</v>
      </c>
      <c r="F105" s="83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3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5">
        <v>0</v>
      </c>
      <c r="I105">
        <v>35</v>
      </c>
      <c r="J105" s="84" t="s">
        <v>199</v>
      </c>
      <c r="K105" s="94" t="str">
        <f>VLOOKUP(I105,[6]stage_hints!$A:$C,3,FALSE)</f>
        <v>敵のステータスがスキルで上がったら</v>
      </c>
      <c r="L105" s="95" t="str">
        <f>VLOOKUP(I105,[6]stage_hints!$A:$D,4,FALSE)</f>
        <v>敵のステータスがスキルでアップしたときは_x000D_ステータスダウンスキルで上書きしましょう</v>
      </c>
      <c r="M105" s="57" t="s">
        <v>212</v>
      </c>
    </row>
    <row r="106" spans="1:13" x14ac:dyDescent="0.15">
      <c r="A106" s="81" t="s">
        <v>201</v>
      </c>
      <c r="B106" s="82">
        <f>floors!$C$2</f>
        <v>65530</v>
      </c>
      <c r="C106" s="83" t="str">
        <f ca="1">VLOOKUP($B106,OFFSET([2]quests!$A$1,0,0,COUNTA([2]quests!$A:$A),MATCH(C$1,[2]quests!$1:$1,0)-MATCH($B$1,[2]quests!$1:$1,0)+1),MATCH(C$1,[2]quests!$1:$1,0)-MATCH($B$1,[2]quests!$1:$1,0)+1,FALSE)</f>
        <v>【LB渡邉】検証クエスト</v>
      </c>
      <c r="D106" s="83" t="str">
        <f ca="1">VLOOKUP($B106,OFFSET([2]quests!$A$1,0,0,COUNTA([2]quests!$A:$A),MATCH(D$1,[2]quests!$1:$1,0)-MATCH($B$1,[2]quests!$1:$1,0)+1),MATCH(D$1,[2]quests!$1:$1,0)-MATCH($B$1,[2]quests!$1:$1,0)+1,FALSE)</f>
        <v>検証</v>
      </c>
      <c r="E106" s="87" t="s">
        <v>218</v>
      </c>
      <c r="F106" s="83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3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5">
        <v>0</v>
      </c>
      <c r="I106">
        <v>36</v>
      </c>
      <c r="J106" s="84" t="s">
        <v>199</v>
      </c>
      <c r="K106" s="94" t="str">
        <f>VLOOKUP(I106,[6]stage_hints!$A:$C,3,FALSE)</f>
        <v>タワーオブザクイーンのボス</v>
      </c>
      <c r="L106" s="95" t="str">
        <f>VLOOKUP(I106,[6]stage_hints!$A:$D,4,FALSE)</f>
        <v>「タワーオブザクイーン」最上階のボスは_x000D_15階の初回クリア報酬で獲得できるほか_x000D_その階にて低確率でドロップもします</v>
      </c>
      <c r="M106" s="57" t="s">
        <v>212</v>
      </c>
    </row>
    <row r="107" spans="1:13" x14ac:dyDescent="0.15">
      <c r="A107" s="81" t="s">
        <v>201</v>
      </c>
      <c r="B107" s="82">
        <f>floors!$C$2</f>
        <v>65530</v>
      </c>
      <c r="C107" s="83" t="str">
        <f ca="1">VLOOKUP($B107,OFFSET([2]quests!$A$1,0,0,COUNTA([2]quests!$A:$A),MATCH(C$1,[2]quests!$1:$1,0)-MATCH($B$1,[2]quests!$1:$1,0)+1),MATCH(C$1,[2]quests!$1:$1,0)-MATCH($B$1,[2]quests!$1:$1,0)+1,FALSE)</f>
        <v>【LB渡邉】検証クエスト</v>
      </c>
      <c r="D107" s="83" t="str">
        <f ca="1">VLOOKUP($B107,OFFSET([2]quests!$A$1,0,0,COUNTA([2]quests!$A:$A),MATCH(D$1,[2]quests!$1:$1,0)-MATCH($B$1,[2]quests!$1:$1,0)+1),MATCH(D$1,[2]quests!$1:$1,0)-MATCH($B$1,[2]quests!$1:$1,0)+1,FALSE)</f>
        <v>検証</v>
      </c>
      <c r="E107" s="87" t="s">
        <v>218</v>
      </c>
      <c r="F107" s="83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3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5">
        <v>0</v>
      </c>
      <c r="I107">
        <v>37</v>
      </c>
      <c r="J107" s="84" t="s">
        <v>199</v>
      </c>
      <c r="K107" s="94" t="str">
        <f>VLOOKUP(I107,[6]stage_hints!$A:$C,3,FALSE)</f>
        <v>限界突破値の引き継ぎ</v>
      </c>
      <c r="L107" s="95" t="str">
        <f>VLOOKUP(I107,[6]stage_hints!$A:$D,4,FALSE)</f>
        <v>同じユニットを強化で合成すると_x000D_限界突破値を引き継げます（覚醒前後も可）</v>
      </c>
      <c r="M107" s="57" t="s">
        <v>212</v>
      </c>
    </row>
    <row r="108" spans="1:13" x14ac:dyDescent="0.15">
      <c r="A108" s="81" t="s">
        <v>201</v>
      </c>
      <c r="B108" s="82">
        <f>floors!$C$2</f>
        <v>65530</v>
      </c>
      <c r="C108" s="83" t="str">
        <f ca="1">VLOOKUP($B108,OFFSET([2]quests!$A$1,0,0,COUNTA([2]quests!$A:$A),MATCH(C$1,[2]quests!$1:$1,0)-MATCH($B$1,[2]quests!$1:$1,0)+1),MATCH(C$1,[2]quests!$1:$1,0)-MATCH($B$1,[2]quests!$1:$1,0)+1,FALSE)</f>
        <v>【LB渡邉】検証クエスト</v>
      </c>
      <c r="D108" s="83" t="str">
        <f ca="1">VLOOKUP($B108,OFFSET([2]quests!$A$1,0,0,COUNTA([2]quests!$A:$A),MATCH(D$1,[2]quests!$1:$1,0)-MATCH($B$1,[2]quests!$1:$1,0)+1),MATCH(D$1,[2]quests!$1:$1,0)-MATCH($B$1,[2]quests!$1:$1,0)+1,FALSE)</f>
        <v>検証</v>
      </c>
      <c r="E108" s="87" t="s">
        <v>218</v>
      </c>
      <c r="F108" s="83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3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5">
        <v>0</v>
      </c>
      <c r="I108">
        <v>39</v>
      </c>
      <c r="J108" s="84" t="s">
        <v>199</v>
      </c>
      <c r="K108" s="94" t="str">
        <f>VLOOKUP(I108,[6]stage_hints!$A:$C,3,FALSE)</f>
        <v>システム適合者を確認</v>
      </c>
      <c r="L108" s="95" t="str">
        <f>VLOOKUP(I108,[6]stage_hints!$A:$D,4,FALSE)</f>
        <v>ALICEが 「アナタ」を呼んでいます</v>
      </c>
      <c r="M108" s="57" t="s">
        <v>212</v>
      </c>
    </row>
    <row r="109" spans="1:13" x14ac:dyDescent="0.15">
      <c r="A109" s="81" t="s">
        <v>201</v>
      </c>
      <c r="B109" s="82">
        <f>floors!$C$2</f>
        <v>65530</v>
      </c>
      <c r="C109" s="83" t="str">
        <f ca="1">VLOOKUP($B109,OFFSET([2]quests!$A$1,0,0,COUNTA([2]quests!$A:$A),MATCH(C$1,[2]quests!$1:$1,0)-MATCH($B$1,[2]quests!$1:$1,0)+1),MATCH(C$1,[2]quests!$1:$1,0)-MATCH($B$1,[2]quests!$1:$1,0)+1,FALSE)</f>
        <v>【LB渡邉】検証クエスト</v>
      </c>
      <c r="D109" s="83" t="str">
        <f ca="1">VLOOKUP($B109,OFFSET([2]quests!$A$1,0,0,COUNTA([2]quests!$A:$A),MATCH(D$1,[2]quests!$1:$1,0)-MATCH($B$1,[2]quests!$1:$1,0)+1),MATCH(D$1,[2]quests!$1:$1,0)-MATCH($B$1,[2]quests!$1:$1,0)+1,FALSE)</f>
        <v>検証</v>
      </c>
      <c r="E109" s="87" t="s">
        <v>219</v>
      </c>
      <c r="F109" s="83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3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5">
        <v>0</v>
      </c>
      <c r="I109">
        <v>12</v>
      </c>
      <c r="J109" s="84" t="s">
        <v>199</v>
      </c>
      <c r="K109" s="94" t="str">
        <f>VLOOKUP(I109,[6]stage_hints!$A:$C,3,FALSE)</f>
        <v>ユニットのお気に入り登録</v>
      </c>
      <c r="L109" s="95" t="str">
        <f>VLOOKUP(I109,[6]stage_hints!$A:$D,4,FALSE)</f>
        <v>大事なユニットを誤って消さないように_x000D_フォルダから「お気に入り登録」しましょう</v>
      </c>
      <c r="M109" s="57" t="s">
        <v>212</v>
      </c>
    </row>
    <row r="110" spans="1:13" x14ac:dyDescent="0.15">
      <c r="A110" s="81" t="s">
        <v>201</v>
      </c>
      <c r="B110" s="82">
        <f>floors!$C$2</f>
        <v>65530</v>
      </c>
      <c r="C110" s="83" t="str">
        <f ca="1">VLOOKUP($B110,OFFSET([2]quests!$A$1,0,0,COUNTA([2]quests!$A:$A),MATCH(C$1,[2]quests!$1:$1,0)-MATCH($B$1,[2]quests!$1:$1,0)+1),MATCH(C$1,[2]quests!$1:$1,0)-MATCH($B$1,[2]quests!$1:$1,0)+1,FALSE)</f>
        <v>【LB渡邉】検証クエスト</v>
      </c>
      <c r="D110" s="83" t="str">
        <f ca="1">VLOOKUP($B110,OFFSET([2]quests!$A$1,0,0,COUNTA([2]quests!$A:$A),MATCH(D$1,[2]quests!$1:$1,0)-MATCH($B$1,[2]quests!$1:$1,0)+1),MATCH(D$1,[2]quests!$1:$1,0)-MATCH($B$1,[2]quests!$1:$1,0)+1,FALSE)</f>
        <v>検証</v>
      </c>
      <c r="E110" s="87" t="s">
        <v>219</v>
      </c>
      <c r="F110" s="83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3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5">
        <v>0</v>
      </c>
      <c r="I110">
        <v>17</v>
      </c>
      <c r="J110" s="84" t="s">
        <v>199</v>
      </c>
      <c r="K110" s="94" t="str">
        <f>VLOOKUP(I110,[6]stage_hints!$A:$C,3,FALSE)</f>
        <v>リンクガチャ</v>
      </c>
      <c r="L110" s="95" t="str">
        <f>VLOOKUP(I110,[6]stage_hints!$A:$D,4,FALSE)</f>
        <v>無料のリンクガチャを回して_x000D_経験値素材や売却素材を獲得しましょう</v>
      </c>
      <c r="M110" s="57" t="s">
        <v>212</v>
      </c>
    </row>
    <row r="111" spans="1:13" x14ac:dyDescent="0.15">
      <c r="A111" s="81" t="s">
        <v>201</v>
      </c>
      <c r="B111" s="82">
        <f>floors!$C$2</f>
        <v>65530</v>
      </c>
      <c r="C111" s="83" t="str">
        <f ca="1">VLOOKUP($B111,OFFSET([2]quests!$A$1,0,0,COUNTA([2]quests!$A:$A),MATCH(C$1,[2]quests!$1:$1,0)-MATCH($B$1,[2]quests!$1:$1,0)+1),MATCH(C$1,[2]quests!$1:$1,0)-MATCH($B$1,[2]quests!$1:$1,0)+1,FALSE)</f>
        <v>【LB渡邉】検証クエスト</v>
      </c>
      <c r="D111" s="83" t="str">
        <f ca="1">VLOOKUP($B111,OFFSET([2]quests!$A$1,0,0,COUNTA([2]quests!$A:$A),MATCH(D$1,[2]quests!$1:$1,0)-MATCH($B$1,[2]quests!$1:$1,0)+1),MATCH(D$1,[2]quests!$1:$1,0)-MATCH($B$1,[2]quests!$1:$1,0)+1,FALSE)</f>
        <v>検証</v>
      </c>
      <c r="E111" s="87" t="s">
        <v>219</v>
      </c>
      <c r="F111" s="83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3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5">
        <v>0</v>
      </c>
      <c r="I111">
        <v>19</v>
      </c>
      <c r="J111" s="84" t="s">
        <v>199</v>
      </c>
      <c r="K111" s="94" t="str">
        <f>VLOOKUP(I111,[6]stage_hints!$A:$C,3,FALSE)</f>
        <v>ソロ専用タワーオブザクイーン</v>
      </c>
      <c r="L111" s="95" t="str">
        <f>VLOOKUP(I111,[6]stage_hints!$A:$D,4,FALSE)</f>
        <v>ソロ専用の「タワーオブザクイーン」は_x000D_期間限定で定期的に開催されます_x000D_ここでしか獲得できない報酬もあるようです</v>
      </c>
      <c r="M111" s="57" t="s">
        <v>212</v>
      </c>
    </row>
    <row r="112" spans="1:13" x14ac:dyDescent="0.15">
      <c r="A112" s="81" t="s">
        <v>201</v>
      </c>
      <c r="B112" s="82">
        <f>floors!$C$2</f>
        <v>65530</v>
      </c>
      <c r="C112" s="83" t="str">
        <f ca="1">VLOOKUP($B112,OFFSET([2]quests!$A$1,0,0,COUNTA([2]quests!$A:$A),MATCH(C$1,[2]quests!$1:$1,0)-MATCH($B$1,[2]quests!$1:$1,0)+1),MATCH(C$1,[2]quests!$1:$1,0)-MATCH($B$1,[2]quests!$1:$1,0)+1,FALSE)</f>
        <v>【LB渡邉】検証クエスト</v>
      </c>
      <c r="D112" s="83" t="str">
        <f ca="1">VLOOKUP($B112,OFFSET([2]quests!$A$1,0,0,COUNTA([2]quests!$A:$A),MATCH(D$1,[2]quests!$1:$1,0)-MATCH($B$1,[2]quests!$1:$1,0)+1),MATCH(D$1,[2]quests!$1:$1,0)-MATCH($B$1,[2]quests!$1:$1,0)+1,FALSE)</f>
        <v>検証</v>
      </c>
      <c r="E112" s="87" t="s">
        <v>219</v>
      </c>
      <c r="F112" s="83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3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5">
        <v>0</v>
      </c>
      <c r="I112">
        <v>21</v>
      </c>
      <c r="J112" s="84" t="s">
        <v>199</v>
      </c>
      <c r="K112" s="94" t="str">
        <f>VLOOKUP(I112,[6]stage_hints!$A:$C,3,FALSE)</f>
        <v>スキルを有効に</v>
      </c>
      <c r="L112" s="95" t="str">
        <f>VLOOKUP(I112,[6]stage_hints!$A:$D,4,FALSE)</f>
        <v>ターン経過でユニットのスキルが使えます_x000D_強力スキルでバトルを有利に進めましょう</v>
      </c>
      <c r="M112" s="57" t="s">
        <v>212</v>
      </c>
    </row>
    <row r="113" spans="1:13" x14ac:dyDescent="0.15">
      <c r="A113" s="81" t="s">
        <v>201</v>
      </c>
      <c r="B113" s="82">
        <f>floors!$C$2</f>
        <v>65530</v>
      </c>
      <c r="C113" s="83" t="str">
        <f ca="1">VLOOKUP($B113,OFFSET([2]quests!$A$1,0,0,COUNTA([2]quests!$A:$A),MATCH(C$1,[2]quests!$1:$1,0)-MATCH($B$1,[2]quests!$1:$1,0)+1),MATCH(C$1,[2]quests!$1:$1,0)-MATCH($B$1,[2]quests!$1:$1,0)+1,FALSE)</f>
        <v>【LB渡邉】検証クエスト</v>
      </c>
      <c r="D113" s="83" t="str">
        <f ca="1">VLOOKUP($B113,OFFSET([2]quests!$A$1,0,0,COUNTA([2]quests!$A:$A),MATCH(D$1,[2]quests!$1:$1,0)-MATCH($B$1,[2]quests!$1:$1,0)+1),MATCH(D$1,[2]quests!$1:$1,0)-MATCH($B$1,[2]quests!$1:$1,0)+1,FALSE)</f>
        <v>検証</v>
      </c>
      <c r="E113" s="87" t="s">
        <v>219</v>
      </c>
      <c r="F113" s="83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3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5">
        <v>0</v>
      </c>
      <c r="I113">
        <v>29</v>
      </c>
      <c r="J113" s="84" t="s">
        <v>199</v>
      </c>
      <c r="K113" s="94" t="str">
        <f>VLOOKUP(I113,[6]stage_hints!$A:$C,3,FALSE)</f>
        <v>「バグ」のメリット</v>
      </c>
      <c r="L113" s="95" t="str">
        <f>VLOOKUP(I113,[6]stage_hints!$A:$D,4,FALSE)</f>
        <v>ユニットの「バグ」を増やすと_x000D_報酬をもらえる確率がアップします</v>
      </c>
      <c r="M113" s="57" t="s">
        <v>212</v>
      </c>
    </row>
    <row r="114" spans="1:13" x14ac:dyDescent="0.15">
      <c r="A114" s="81" t="s">
        <v>201</v>
      </c>
      <c r="B114" s="82">
        <f>floors!$C$2</f>
        <v>65530</v>
      </c>
      <c r="C114" s="83" t="str">
        <f ca="1">VLOOKUP($B114,OFFSET([2]quests!$A$1,0,0,COUNTA([2]quests!$A:$A),MATCH(C$1,[2]quests!$1:$1,0)-MATCH($B$1,[2]quests!$1:$1,0)+1),MATCH(C$1,[2]quests!$1:$1,0)-MATCH($B$1,[2]quests!$1:$1,0)+1,FALSE)</f>
        <v>【LB渡邉】検証クエスト</v>
      </c>
      <c r="D114" s="83" t="str">
        <f ca="1">VLOOKUP($B114,OFFSET([2]quests!$A$1,0,0,COUNTA([2]quests!$A:$A),MATCH(D$1,[2]quests!$1:$1,0)-MATCH($B$1,[2]quests!$1:$1,0)+1),MATCH(D$1,[2]quests!$1:$1,0)-MATCH($B$1,[2]quests!$1:$1,0)+1,FALSE)</f>
        <v>検証</v>
      </c>
      <c r="E114" s="87" t="s">
        <v>219</v>
      </c>
      <c r="F114" s="83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3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5">
        <v>0</v>
      </c>
      <c r="I114">
        <v>30</v>
      </c>
      <c r="J114" s="84" t="s">
        <v>199</v>
      </c>
      <c r="K114" s="94" t="str">
        <f>VLOOKUP(I114,[6]stage_hints!$A:$C,3,FALSE)</f>
        <v>「バグ」の増やし方</v>
      </c>
      <c r="L114" s="95" t="str">
        <f>VLOOKUP(I114,[6]stage_hints!$A:$D,4,FALSE)</f>
        <v>同じユニット同士を強化で合成すると_x000D_「バグ」を増やすことができます</v>
      </c>
      <c r="M114" s="57" t="s">
        <v>212</v>
      </c>
    </row>
    <row r="115" spans="1:13" x14ac:dyDescent="0.15">
      <c r="A115" s="81" t="s">
        <v>201</v>
      </c>
      <c r="B115" s="82">
        <f>floors!$C$2</f>
        <v>65530</v>
      </c>
      <c r="C115" s="83" t="str">
        <f ca="1">VLOOKUP($B115,OFFSET([2]quests!$A$1,0,0,COUNTA([2]quests!$A:$A),MATCH(C$1,[2]quests!$1:$1,0)-MATCH($B$1,[2]quests!$1:$1,0)+1),MATCH(C$1,[2]quests!$1:$1,0)-MATCH($B$1,[2]quests!$1:$1,0)+1,FALSE)</f>
        <v>【LB渡邉】検証クエスト</v>
      </c>
      <c r="D115" s="83" t="str">
        <f ca="1">VLOOKUP($B115,OFFSET([2]quests!$A$1,0,0,COUNTA([2]quests!$A:$A),MATCH(D$1,[2]quests!$1:$1,0)-MATCH($B$1,[2]quests!$1:$1,0)+1),MATCH(D$1,[2]quests!$1:$1,0)-MATCH($B$1,[2]quests!$1:$1,0)+1,FALSE)</f>
        <v>検証</v>
      </c>
      <c r="E115" s="87" t="s">
        <v>219</v>
      </c>
      <c r="F115" s="83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3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5">
        <v>0</v>
      </c>
      <c r="I115">
        <v>32</v>
      </c>
      <c r="J115" s="84" t="s">
        <v>199</v>
      </c>
      <c r="K115" s="94" t="str">
        <f>VLOOKUP(I115,[6]stage_hints!$A:$C,3,FALSE)</f>
        <v>敵の連続攻撃には</v>
      </c>
      <c r="L115" s="95" t="str">
        <f>VLOOKUP(I115,[6]stage_hints!$A:$D,4,FALSE)</f>
        <v>カウンタースキルを持つユニットがいれば_x000D_ダメージ回数分の反撃ができます</v>
      </c>
      <c r="M115" s="57" t="s">
        <v>212</v>
      </c>
    </row>
    <row r="116" spans="1:13" x14ac:dyDescent="0.15">
      <c r="A116" s="81" t="s">
        <v>201</v>
      </c>
      <c r="B116" s="82">
        <f>floors!$C$2</f>
        <v>65530</v>
      </c>
      <c r="C116" s="83" t="str">
        <f ca="1">VLOOKUP($B116,OFFSET([2]quests!$A$1,0,0,COUNTA([2]quests!$A:$A),MATCH(C$1,[2]quests!$1:$1,0)-MATCH($B$1,[2]quests!$1:$1,0)+1),MATCH(C$1,[2]quests!$1:$1,0)-MATCH($B$1,[2]quests!$1:$1,0)+1,FALSE)</f>
        <v>【LB渡邉】検証クエスト</v>
      </c>
      <c r="D116" s="83" t="str">
        <f ca="1">VLOOKUP($B116,OFFSET([2]quests!$A$1,0,0,COUNTA([2]quests!$A:$A),MATCH(D$1,[2]quests!$1:$1,0)-MATCH($B$1,[2]quests!$1:$1,0)+1),MATCH(D$1,[2]quests!$1:$1,0)-MATCH($B$1,[2]quests!$1:$1,0)+1,FALSE)</f>
        <v>検証</v>
      </c>
      <c r="E116" s="87" t="s">
        <v>219</v>
      </c>
      <c r="F116" s="83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3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5">
        <v>0</v>
      </c>
      <c r="I116">
        <v>33</v>
      </c>
      <c r="J116" s="84" t="s">
        <v>199</v>
      </c>
      <c r="K116" s="94" t="str">
        <f>VLOOKUP(I116,[6]stage_hints!$A:$C,3,FALSE)</f>
        <v>敵のカウンター攻撃には</v>
      </c>
      <c r="L116" s="95" t="str">
        <f>VLOOKUP(I116,[6]stage_hints!$A:$D,4,FALSE)</f>
        <v>カウンターブレイクスキルを持っていれば_x000D_敵のカウンターを解除して攻撃ができます</v>
      </c>
      <c r="M116" s="57" t="s">
        <v>212</v>
      </c>
    </row>
    <row r="117" spans="1:13" x14ac:dyDescent="0.15">
      <c r="A117" s="81" t="s">
        <v>201</v>
      </c>
      <c r="B117" s="82">
        <f>floors!$C$2</f>
        <v>65530</v>
      </c>
      <c r="C117" s="83" t="str">
        <f ca="1">VLOOKUP($B117,OFFSET([2]quests!$A$1,0,0,COUNTA([2]quests!$A:$A),MATCH(C$1,[2]quests!$1:$1,0)-MATCH($B$1,[2]quests!$1:$1,0)+1),MATCH(C$1,[2]quests!$1:$1,0)-MATCH($B$1,[2]quests!$1:$1,0)+1,FALSE)</f>
        <v>【LB渡邉】検証クエスト</v>
      </c>
      <c r="D117" s="83" t="str">
        <f ca="1">VLOOKUP($B117,OFFSET([2]quests!$A$1,0,0,COUNTA([2]quests!$A:$A),MATCH(D$1,[2]quests!$1:$1,0)-MATCH($B$1,[2]quests!$1:$1,0)+1),MATCH(D$1,[2]quests!$1:$1,0)-MATCH($B$1,[2]quests!$1:$1,0)+1,FALSE)</f>
        <v>検証</v>
      </c>
      <c r="E117" s="87" t="s">
        <v>219</v>
      </c>
      <c r="F117" s="83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3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5">
        <v>0</v>
      </c>
      <c r="I117">
        <v>34</v>
      </c>
      <c r="J117" s="84" t="s">
        <v>199</v>
      </c>
      <c r="K117" s="94" t="str">
        <f>VLOOKUP(I117,[6]stage_hints!$A:$C,3,FALSE)</f>
        <v>ステータスをスキルで下げられたら</v>
      </c>
      <c r="L117" s="95" t="str">
        <f>VLOOKUP(I117,[6]stage_hints!$A:$D,4,FALSE)</f>
        <v>ステータスダウンのスキルを受けたら_x000D_ステータスアップスキルで上書きしましょう</v>
      </c>
      <c r="M117" s="57" t="s">
        <v>212</v>
      </c>
    </row>
    <row r="118" spans="1:13" x14ac:dyDescent="0.15">
      <c r="A118" s="81" t="s">
        <v>201</v>
      </c>
      <c r="B118" s="82">
        <f>floors!$C$2</f>
        <v>65530</v>
      </c>
      <c r="C118" s="83" t="str">
        <f ca="1">VLOOKUP($B118,OFFSET([2]quests!$A$1,0,0,COUNTA([2]quests!$A:$A),MATCH(C$1,[2]quests!$1:$1,0)-MATCH($B$1,[2]quests!$1:$1,0)+1),MATCH(C$1,[2]quests!$1:$1,0)-MATCH($B$1,[2]quests!$1:$1,0)+1,FALSE)</f>
        <v>【LB渡邉】検証クエスト</v>
      </c>
      <c r="D118" s="83" t="str">
        <f ca="1">VLOOKUP($B118,OFFSET([2]quests!$A$1,0,0,COUNTA([2]quests!$A:$A),MATCH(D$1,[2]quests!$1:$1,0)-MATCH($B$1,[2]quests!$1:$1,0)+1),MATCH(D$1,[2]quests!$1:$1,0)-MATCH($B$1,[2]quests!$1:$1,0)+1,FALSE)</f>
        <v>検証</v>
      </c>
      <c r="E118" s="87" t="s">
        <v>219</v>
      </c>
      <c r="F118" s="83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3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5">
        <v>0</v>
      </c>
      <c r="I118">
        <v>35</v>
      </c>
      <c r="J118" s="84" t="s">
        <v>199</v>
      </c>
      <c r="K118" s="94" t="str">
        <f>VLOOKUP(I118,[6]stage_hints!$A:$C,3,FALSE)</f>
        <v>敵のステータスがスキルで上がったら</v>
      </c>
      <c r="L118" s="95" t="str">
        <f>VLOOKUP(I118,[6]stage_hints!$A:$D,4,FALSE)</f>
        <v>敵のステータスがスキルでアップしたときは_x000D_ステータスダウンスキルで上書きしましょう</v>
      </c>
      <c r="M118" s="57" t="s">
        <v>212</v>
      </c>
    </row>
    <row r="119" spans="1:13" x14ac:dyDescent="0.15">
      <c r="A119" s="81" t="s">
        <v>201</v>
      </c>
      <c r="B119" s="82">
        <f>floors!$C$2</f>
        <v>65530</v>
      </c>
      <c r="C119" s="83" t="str">
        <f ca="1">VLOOKUP($B119,OFFSET([2]quests!$A$1,0,0,COUNTA([2]quests!$A:$A),MATCH(C$1,[2]quests!$1:$1,0)-MATCH($B$1,[2]quests!$1:$1,0)+1),MATCH(C$1,[2]quests!$1:$1,0)-MATCH($B$1,[2]quests!$1:$1,0)+1,FALSE)</f>
        <v>【LB渡邉】検証クエスト</v>
      </c>
      <c r="D119" s="83" t="str">
        <f ca="1">VLOOKUP($B119,OFFSET([2]quests!$A$1,0,0,COUNTA([2]quests!$A:$A),MATCH(D$1,[2]quests!$1:$1,0)-MATCH($B$1,[2]quests!$1:$1,0)+1),MATCH(D$1,[2]quests!$1:$1,0)-MATCH($B$1,[2]quests!$1:$1,0)+1,FALSE)</f>
        <v>検証</v>
      </c>
      <c r="E119" s="87" t="s">
        <v>219</v>
      </c>
      <c r="F119" s="83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3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5">
        <v>0</v>
      </c>
      <c r="I119">
        <v>36</v>
      </c>
      <c r="J119" s="84" t="s">
        <v>199</v>
      </c>
      <c r="K119" s="94" t="str">
        <f>VLOOKUP(I119,[6]stage_hints!$A:$C,3,FALSE)</f>
        <v>タワーオブザクイーンのボス</v>
      </c>
      <c r="L119" s="95" t="str">
        <f>VLOOKUP(I119,[6]stage_hints!$A:$D,4,FALSE)</f>
        <v>「タワーオブザクイーン」最上階のボスは_x000D_15階の初回クリア報酬で獲得できるほか_x000D_その階にて低確率でドロップもします</v>
      </c>
      <c r="M119" s="57" t="s">
        <v>212</v>
      </c>
    </row>
    <row r="120" spans="1:13" x14ac:dyDescent="0.15">
      <c r="A120" s="81" t="s">
        <v>201</v>
      </c>
      <c r="B120" s="82">
        <f>floors!$C$2</f>
        <v>65530</v>
      </c>
      <c r="C120" s="83" t="str">
        <f ca="1">VLOOKUP($B120,OFFSET([2]quests!$A$1,0,0,COUNTA([2]quests!$A:$A),MATCH(C$1,[2]quests!$1:$1,0)-MATCH($B$1,[2]quests!$1:$1,0)+1),MATCH(C$1,[2]quests!$1:$1,0)-MATCH($B$1,[2]quests!$1:$1,0)+1,FALSE)</f>
        <v>【LB渡邉】検証クエスト</v>
      </c>
      <c r="D120" s="83" t="str">
        <f ca="1">VLOOKUP($B120,OFFSET([2]quests!$A$1,0,0,COUNTA([2]quests!$A:$A),MATCH(D$1,[2]quests!$1:$1,0)-MATCH($B$1,[2]quests!$1:$1,0)+1),MATCH(D$1,[2]quests!$1:$1,0)-MATCH($B$1,[2]quests!$1:$1,0)+1,FALSE)</f>
        <v>検証</v>
      </c>
      <c r="E120" s="87" t="s">
        <v>219</v>
      </c>
      <c r="F120" s="83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3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5">
        <v>0</v>
      </c>
      <c r="I120">
        <v>37</v>
      </c>
      <c r="J120" s="84" t="s">
        <v>199</v>
      </c>
      <c r="K120" s="94" t="str">
        <f>VLOOKUP(I120,[6]stage_hints!$A:$C,3,FALSE)</f>
        <v>限界突破値の引き継ぎ</v>
      </c>
      <c r="L120" s="95" t="str">
        <f>VLOOKUP(I120,[6]stage_hints!$A:$D,4,FALSE)</f>
        <v>同じユニットを強化で合成すると_x000D_限界突破値を引き継げます（覚醒前後も可）</v>
      </c>
      <c r="M120" s="57" t="s">
        <v>212</v>
      </c>
    </row>
    <row r="121" spans="1:13" x14ac:dyDescent="0.15">
      <c r="A121" s="81" t="s">
        <v>201</v>
      </c>
      <c r="B121" s="82">
        <f>floors!$C$2</f>
        <v>65530</v>
      </c>
      <c r="C121" s="83" t="str">
        <f ca="1">VLOOKUP($B121,OFFSET([2]quests!$A$1,0,0,COUNTA([2]quests!$A:$A),MATCH(C$1,[2]quests!$1:$1,0)-MATCH($B$1,[2]quests!$1:$1,0)+1),MATCH(C$1,[2]quests!$1:$1,0)-MATCH($B$1,[2]quests!$1:$1,0)+1,FALSE)</f>
        <v>【LB渡邉】検証クエスト</v>
      </c>
      <c r="D121" s="83" t="str">
        <f ca="1">VLOOKUP($B121,OFFSET([2]quests!$A$1,0,0,COUNTA([2]quests!$A:$A),MATCH(D$1,[2]quests!$1:$1,0)-MATCH($B$1,[2]quests!$1:$1,0)+1),MATCH(D$1,[2]quests!$1:$1,0)-MATCH($B$1,[2]quests!$1:$1,0)+1,FALSE)</f>
        <v>検証</v>
      </c>
      <c r="E121" s="87" t="s">
        <v>219</v>
      </c>
      <c r="F121" s="83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3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5">
        <v>0</v>
      </c>
      <c r="I121">
        <v>39</v>
      </c>
      <c r="J121" s="84" t="s">
        <v>199</v>
      </c>
      <c r="K121" s="94" t="str">
        <f>VLOOKUP(I121,[6]stage_hints!$A:$C,3,FALSE)</f>
        <v>システム適合者を確認</v>
      </c>
      <c r="L121" s="95" t="str">
        <f>VLOOKUP(I121,[6]stage_hints!$A:$D,4,FALSE)</f>
        <v>ALICEが 「アナタ」を呼んでいます</v>
      </c>
      <c r="M121" s="57" t="s">
        <v>212</v>
      </c>
    </row>
    <row r="122" spans="1:13" x14ac:dyDescent="0.15">
      <c r="A122" s="81" t="s">
        <v>201</v>
      </c>
      <c r="B122" s="82">
        <f>floors!$C$2</f>
        <v>65530</v>
      </c>
      <c r="C122" s="83" t="str">
        <f ca="1">VLOOKUP($B122,OFFSET([2]quests!$A$1,0,0,COUNTA([2]quests!$A:$A),MATCH(C$1,[2]quests!$1:$1,0)-MATCH($B$1,[2]quests!$1:$1,0)+1),MATCH(C$1,[2]quests!$1:$1,0)-MATCH($B$1,[2]quests!$1:$1,0)+1,FALSE)</f>
        <v>【LB渡邉】検証クエスト</v>
      </c>
      <c r="D122" s="83" t="str">
        <f ca="1">VLOOKUP($B122,OFFSET([2]quests!$A$1,0,0,COUNTA([2]quests!$A:$A),MATCH(D$1,[2]quests!$1:$1,0)-MATCH($B$1,[2]quests!$1:$1,0)+1),MATCH(D$1,[2]quests!$1:$1,0)-MATCH($B$1,[2]quests!$1:$1,0)+1,FALSE)</f>
        <v>検証</v>
      </c>
      <c r="E122" s="87" t="s">
        <v>220</v>
      </c>
      <c r="F122" s="83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3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5">
        <v>0</v>
      </c>
      <c r="I122">
        <v>12</v>
      </c>
      <c r="J122" s="84" t="s">
        <v>199</v>
      </c>
      <c r="K122" s="94" t="str">
        <f>VLOOKUP(I122,[6]stage_hints!$A:$C,3,FALSE)</f>
        <v>ユニットのお気に入り登録</v>
      </c>
      <c r="L122" s="95" t="str">
        <f>VLOOKUP(I122,[6]stage_hints!$A:$D,4,FALSE)</f>
        <v>大事なユニットを誤って消さないように_x000D_フォルダから「お気に入り登録」しましょう</v>
      </c>
      <c r="M122" s="57" t="s">
        <v>212</v>
      </c>
    </row>
    <row r="123" spans="1:13" x14ac:dyDescent="0.15">
      <c r="A123" s="81" t="s">
        <v>201</v>
      </c>
      <c r="B123" s="82">
        <f>floors!$C$2</f>
        <v>65530</v>
      </c>
      <c r="C123" s="83" t="str">
        <f ca="1">VLOOKUP($B123,OFFSET([2]quests!$A$1,0,0,COUNTA([2]quests!$A:$A),MATCH(C$1,[2]quests!$1:$1,0)-MATCH($B$1,[2]quests!$1:$1,0)+1),MATCH(C$1,[2]quests!$1:$1,0)-MATCH($B$1,[2]quests!$1:$1,0)+1,FALSE)</f>
        <v>【LB渡邉】検証クエスト</v>
      </c>
      <c r="D123" s="83" t="str">
        <f ca="1">VLOOKUP($B123,OFFSET([2]quests!$A$1,0,0,COUNTA([2]quests!$A:$A),MATCH(D$1,[2]quests!$1:$1,0)-MATCH($B$1,[2]quests!$1:$1,0)+1),MATCH(D$1,[2]quests!$1:$1,0)-MATCH($B$1,[2]quests!$1:$1,0)+1,FALSE)</f>
        <v>検証</v>
      </c>
      <c r="E123" s="87" t="s">
        <v>220</v>
      </c>
      <c r="F123" s="83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3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5">
        <v>0</v>
      </c>
      <c r="I123">
        <v>17</v>
      </c>
      <c r="J123" s="84" t="s">
        <v>199</v>
      </c>
      <c r="K123" s="94" t="str">
        <f>VLOOKUP(I123,[6]stage_hints!$A:$C,3,FALSE)</f>
        <v>リンクガチャ</v>
      </c>
      <c r="L123" s="95" t="str">
        <f>VLOOKUP(I123,[6]stage_hints!$A:$D,4,FALSE)</f>
        <v>無料のリンクガチャを回して_x000D_経験値素材や売却素材を獲得しましょう</v>
      </c>
      <c r="M123" s="57" t="s">
        <v>212</v>
      </c>
    </row>
    <row r="124" spans="1:13" x14ac:dyDescent="0.15">
      <c r="A124" s="81" t="s">
        <v>201</v>
      </c>
      <c r="B124" s="82">
        <f>floors!$C$2</f>
        <v>65530</v>
      </c>
      <c r="C124" s="83" t="str">
        <f ca="1">VLOOKUP($B124,OFFSET([2]quests!$A$1,0,0,COUNTA([2]quests!$A:$A),MATCH(C$1,[2]quests!$1:$1,0)-MATCH($B$1,[2]quests!$1:$1,0)+1),MATCH(C$1,[2]quests!$1:$1,0)-MATCH($B$1,[2]quests!$1:$1,0)+1,FALSE)</f>
        <v>【LB渡邉】検証クエスト</v>
      </c>
      <c r="D124" s="83" t="str">
        <f ca="1">VLOOKUP($B124,OFFSET([2]quests!$A$1,0,0,COUNTA([2]quests!$A:$A),MATCH(D$1,[2]quests!$1:$1,0)-MATCH($B$1,[2]quests!$1:$1,0)+1),MATCH(D$1,[2]quests!$1:$1,0)-MATCH($B$1,[2]quests!$1:$1,0)+1,FALSE)</f>
        <v>検証</v>
      </c>
      <c r="E124" s="87" t="s">
        <v>220</v>
      </c>
      <c r="F124" s="83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3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5">
        <v>0</v>
      </c>
      <c r="I124">
        <v>19</v>
      </c>
      <c r="J124" s="84" t="s">
        <v>199</v>
      </c>
      <c r="K124" s="94" t="str">
        <f>VLOOKUP(I124,[6]stage_hints!$A:$C,3,FALSE)</f>
        <v>ソロ専用タワーオブザクイーン</v>
      </c>
      <c r="L124" s="95" t="str">
        <f>VLOOKUP(I124,[6]stage_hints!$A:$D,4,FALSE)</f>
        <v>ソロ専用の「タワーオブザクイーン」は_x000D_期間限定で定期的に開催されます_x000D_ここでしか獲得できない報酬もあるようです</v>
      </c>
      <c r="M124" s="57" t="s">
        <v>212</v>
      </c>
    </row>
    <row r="125" spans="1:13" x14ac:dyDescent="0.15">
      <c r="A125" s="81" t="s">
        <v>201</v>
      </c>
      <c r="B125" s="82">
        <f>floors!$C$2</f>
        <v>65530</v>
      </c>
      <c r="C125" s="83" t="str">
        <f ca="1">VLOOKUP($B125,OFFSET([2]quests!$A$1,0,0,COUNTA([2]quests!$A:$A),MATCH(C$1,[2]quests!$1:$1,0)-MATCH($B$1,[2]quests!$1:$1,0)+1),MATCH(C$1,[2]quests!$1:$1,0)-MATCH($B$1,[2]quests!$1:$1,0)+1,FALSE)</f>
        <v>【LB渡邉】検証クエスト</v>
      </c>
      <c r="D125" s="83" t="str">
        <f ca="1">VLOOKUP($B125,OFFSET([2]quests!$A$1,0,0,COUNTA([2]quests!$A:$A),MATCH(D$1,[2]quests!$1:$1,0)-MATCH($B$1,[2]quests!$1:$1,0)+1),MATCH(D$1,[2]quests!$1:$1,0)-MATCH($B$1,[2]quests!$1:$1,0)+1,FALSE)</f>
        <v>検証</v>
      </c>
      <c r="E125" s="87" t="s">
        <v>220</v>
      </c>
      <c r="F125" s="83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3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5">
        <v>0</v>
      </c>
      <c r="I125">
        <v>21</v>
      </c>
      <c r="J125" s="84" t="s">
        <v>199</v>
      </c>
      <c r="K125" s="94" t="str">
        <f>VLOOKUP(I125,[6]stage_hints!$A:$C,3,FALSE)</f>
        <v>スキルを有効に</v>
      </c>
      <c r="L125" s="95" t="str">
        <f>VLOOKUP(I125,[6]stage_hints!$A:$D,4,FALSE)</f>
        <v>ターン経過でユニットのスキルが使えます_x000D_強力スキルでバトルを有利に進めましょう</v>
      </c>
      <c r="M125" s="57" t="s">
        <v>212</v>
      </c>
    </row>
    <row r="126" spans="1:13" x14ac:dyDescent="0.15">
      <c r="A126" s="81" t="s">
        <v>201</v>
      </c>
      <c r="B126" s="82">
        <f>floors!$C$2</f>
        <v>65530</v>
      </c>
      <c r="C126" s="83" t="str">
        <f ca="1">VLOOKUP($B126,OFFSET([2]quests!$A$1,0,0,COUNTA([2]quests!$A:$A),MATCH(C$1,[2]quests!$1:$1,0)-MATCH($B$1,[2]quests!$1:$1,0)+1),MATCH(C$1,[2]quests!$1:$1,0)-MATCH($B$1,[2]quests!$1:$1,0)+1,FALSE)</f>
        <v>【LB渡邉】検証クエスト</v>
      </c>
      <c r="D126" s="83" t="str">
        <f ca="1">VLOOKUP($B126,OFFSET([2]quests!$A$1,0,0,COUNTA([2]quests!$A:$A),MATCH(D$1,[2]quests!$1:$1,0)-MATCH($B$1,[2]quests!$1:$1,0)+1),MATCH(D$1,[2]quests!$1:$1,0)-MATCH($B$1,[2]quests!$1:$1,0)+1,FALSE)</f>
        <v>検証</v>
      </c>
      <c r="E126" s="87" t="s">
        <v>220</v>
      </c>
      <c r="F126" s="83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3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5">
        <v>0</v>
      </c>
      <c r="I126">
        <v>29</v>
      </c>
      <c r="J126" s="84" t="s">
        <v>199</v>
      </c>
      <c r="K126" s="94" t="str">
        <f>VLOOKUP(I126,[6]stage_hints!$A:$C,3,FALSE)</f>
        <v>「バグ」のメリット</v>
      </c>
      <c r="L126" s="95" t="str">
        <f>VLOOKUP(I126,[6]stage_hints!$A:$D,4,FALSE)</f>
        <v>ユニットの「バグ」を増やすと_x000D_報酬をもらえる確率がアップします</v>
      </c>
      <c r="M126" s="57" t="s">
        <v>212</v>
      </c>
    </row>
    <row r="127" spans="1:13" x14ac:dyDescent="0.15">
      <c r="A127" s="81" t="s">
        <v>201</v>
      </c>
      <c r="B127" s="82">
        <f>floors!$C$2</f>
        <v>65530</v>
      </c>
      <c r="C127" s="83" t="str">
        <f ca="1">VLOOKUP($B127,OFFSET([2]quests!$A$1,0,0,COUNTA([2]quests!$A:$A),MATCH(C$1,[2]quests!$1:$1,0)-MATCH($B$1,[2]quests!$1:$1,0)+1),MATCH(C$1,[2]quests!$1:$1,0)-MATCH($B$1,[2]quests!$1:$1,0)+1,FALSE)</f>
        <v>【LB渡邉】検証クエスト</v>
      </c>
      <c r="D127" s="83" t="str">
        <f ca="1">VLOOKUP($B127,OFFSET([2]quests!$A$1,0,0,COUNTA([2]quests!$A:$A),MATCH(D$1,[2]quests!$1:$1,0)-MATCH($B$1,[2]quests!$1:$1,0)+1),MATCH(D$1,[2]quests!$1:$1,0)-MATCH($B$1,[2]quests!$1:$1,0)+1,FALSE)</f>
        <v>検証</v>
      </c>
      <c r="E127" s="87" t="s">
        <v>220</v>
      </c>
      <c r="F127" s="83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3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5">
        <v>0</v>
      </c>
      <c r="I127">
        <v>30</v>
      </c>
      <c r="J127" s="84" t="s">
        <v>199</v>
      </c>
      <c r="K127" s="94" t="str">
        <f>VLOOKUP(I127,[6]stage_hints!$A:$C,3,FALSE)</f>
        <v>「バグ」の増やし方</v>
      </c>
      <c r="L127" s="95" t="str">
        <f>VLOOKUP(I127,[6]stage_hints!$A:$D,4,FALSE)</f>
        <v>同じユニット同士を強化で合成すると_x000D_「バグ」を増やすことができます</v>
      </c>
      <c r="M127" s="57" t="s">
        <v>212</v>
      </c>
    </row>
    <row r="128" spans="1:13" x14ac:dyDescent="0.15">
      <c r="A128" s="81" t="s">
        <v>201</v>
      </c>
      <c r="B128" s="82">
        <f>floors!$C$2</f>
        <v>65530</v>
      </c>
      <c r="C128" s="83" t="str">
        <f ca="1">VLOOKUP($B128,OFFSET([2]quests!$A$1,0,0,COUNTA([2]quests!$A:$A),MATCH(C$1,[2]quests!$1:$1,0)-MATCH($B$1,[2]quests!$1:$1,0)+1),MATCH(C$1,[2]quests!$1:$1,0)-MATCH($B$1,[2]quests!$1:$1,0)+1,FALSE)</f>
        <v>【LB渡邉】検証クエスト</v>
      </c>
      <c r="D128" s="83" t="str">
        <f ca="1">VLOOKUP($B128,OFFSET([2]quests!$A$1,0,0,COUNTA([2]quests!$A:$A),MATCH(D$1,[2]quests!$1:$1,0)-MATCH($B$1,[2]quests!$1:$1,0)+1),MATCH(D$1,[2]quests!$1:$1,0)-MATCH($B$1,[2]quests!$1:$1,0)+1,FALSE)</f>
        <v>検証</v>
      </c>
      <c r="E128" s="87" t="s">
        <v>220</v>
      </c>
      <c r="F128" s="83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3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5">
        <v>0</v>
      </c>
      <c r="I128">
        <v>32</v>
      </c>
      <c r="J128" s="84" t="s">
        <v>199</v>
      </c>
      <c r="K128" s="94" t="str">
        <f>VLOOKUP(I128,[6]stage_hints!$A:$C,3,FALSE)</f>
        <v>敵の連続攻撃には</v>
      </c>
      <c r="L128" s="95" t="str">
        <f>VLOOKUP(I128,[6]stage_hints!$A:$D,4,FALSE)</f>
        <v>カウンタースキルを持つユニットがいれば_x000D_ダメージ回数分の反撃ができます</v>
      </c>
      <c r="M128" s="57" t="s">
        <v>212</v>
      </c>
    </row>
    <row r="129" spans="1:13" x14ac:dyDescent="0.15">
      <c r="A129" s="81" t="s">
        <v>201</v>
      </c>
      <c r="B129" s="82">
        <f>floors!$C$2</f>
        <v>65530</v>
      </c>
      <c r="C129" s="83" t="str">
        <f ca="1">VLOOKUP($B129,OFFSET([2]quests!$A$1,0,0,COUNTA([2]quests!$A:$A),MATCH(C$1,[2]quests!$1:$1,0)-MATCH($B$1,[2]quests!$1:$1,0)+1),MATCH(C$1,[2]quests!$1:$1,0)-MATCH($B$1,[2]quests!$1:$1,0)+1,FALSE)</f>
        <v>【LB渡邉】検証クエスト</v>
      </c>
      <c r="D129" s="83" t="str">
        <f ca="1">VLOOKUP($B129,OFFSET([2]quests!$A$1,0,0,COUNTA([2]quests!$A:$A),MATCH(D$1,[2]quests!$1:$1,0)-MATCH($B$1,[2]quests!$1:$1,0)+1),MATCH(D$1,[2]quests!$1:$1,0)-MATCH($B$1,[2]quests!$1:$1,0)+1,FALSE)</f>
        <v>検証</v>
      </c>
      <c r="E129" s="87" t="s">
        <v>220</v>
      </c>
      <c r="F129" s="83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3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5">
        <v>0</v>
      </c>
      <c r="I129">
        <v>33</v>
      </c>
      <c r="J129" s="84" t="s">
        <v>199</v>
      </c>
      <c r="K129" s="94" t="str">
        <f>VLOOKUP(I129,[6]stage_hints!$A:$C,3,FALSE)</f>
        <v>敵のカウンター攻撃には</v>
      </c>
      <c r="L129" s="95" t="str">
        <f>VLOOKUP(I129,[6]stage_hints!$A:$D,4,FALSE)</f>
        <v>カウンターブレイクスキルを持っていれば_x000D_敵のカウンターを解除して攻撃ができます</v>
      </c>
      <c r="M129" s="57" t="s">
        <v>212</v>
      </c>
    </row>
    <row r="130" spans="1:13" x14ac:dyDescent="0.15">
      <c r="A130" s="81" t="s">
        <v>201</v>
      </c>
      <c r="B130" s="82">
        <f>floors!$C$2</f>
        <v>65530</v>
      </c>
      <c r="C130" s="83" t="str">
        <f ca="1">VLOOKUP($B130,OFFSET([2]quests!$A$1,0,0,COUNTA([2]quests!$A:$A),MATCH(C$1,[2]quests!$1:$1,0)-MATCH($B$1,[2]quests!$1:$1,0)+1),MATCH(C$1,[2]quests!$1:$1,0)-MATCH($B$1,[2]quests!$1:$1,0)+1,FALSE)</f>
        <v>【LB渡邉】検証クエスト</v>
      </c>
      <c r="D130" s="83" t="str">
        <f ca="1">VLOOKUP($B130,OFFSET([2]quests!$A$1,0,0,COUNTA([2]quests!$A:$A),MATCH(D$1,[2]quests!$1:$1,0)-MATCH($B$1,[2]quests!$1:$1,0)+1),MATCH(D$1,[2]quests!$1:$1,0)-MATCH($B$1,[2]quests!$1:$1,0)+1,FALSE)</f>
        <v>検証</v>
      </c>
      <c r="E130" s="87" t="s">
        <v>220</v>
      </c>
      <c r="F130" s="83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3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5">
        <v>0</v>
      </c>
      <c r="I130">
        <v>34</v>
      </c>
      <c r="J130" s="84" t="s">
        <v>199</v>
      </c>
      <c r="K130" s="94" t="str">
        <f>VLOOKUP(I130,[6]stage_hints!$A:$C,3,FALSE)</f>
        <v>ステータスをスキルで下げられたら</v>
      </c>
      <c r="L130" s="95" t="str">
        <f>VLOOKUP(I130,[6]stage_hints!$A:$D,4,FALSE)</f>
        <v>ステータスダウンのスキルを受けたら_x000D_ステータスアップスキルで上書きしましょう</v>
      </c>
      <c r="M130" s="57" t="s">
        <v>212</v>
      </c>
    </row>
    <row r="131" spans="1:13" x14ac:dyDescent="0.15">
      <c r="A131" s="81" t="s">
        <v>201</v>
      </c>
      <c r="B131" s="82">
        <f>floors!$C$2</f>
        <v>65530</v>
      </c>
      <c r="C131" s="83" t="str">
        <f ca="1">VLOOKUP($B131,OFFSET([2]quests!$A$1,0,0,COUNTA([2]quests!$A:$A),MATCH(C$1,[2]quests!$1:$1,0)-MATCH($B$1,[2]quests!$1:$1,0)+1),MATCH(C$1,[2]quests!$1:$1,0)-MATCH($B$1,[2]quests!$1:$1,0)+1,FALSE)</f>
        <v>【LB渡邉】検証クエスト</v>
      </c>
      <c r="D131" s="83" t="str">
        <f ca="1">VLOOKUP($B131,OFFSET([2]quests!$A$1,0,0,COUNTA([2]quests!$A:$A),MATCH(D$1,[2]quests!$1:$1,0)-MATCH($B$1,[2]quests!$1:$1,0)+1),MATCH(D$1,[2]quests!$1:$1,0)-MATCH($B$1,[2]quests!$1:$1,0)+1,FALSE)</f>
        <v>検証</v>
      </c>
      <c r="E131" s="87" t="s">
        <v>220</v>
      </c>
      <c r="F131" s="83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3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5">
        <v>0</v>
      </c>
      <c r="I131">
        <v>35</v>
      </c>
      <c r="J131" s="84" t="s">
        <v>199</v>
      </c>
      <c r="K131" s="94" t="str">
        <f>VLOOKUP(I131,[6]stage_hints!$A:$C,3,FALSE)</f>
        <v>敵のステータスがスキルで上がったら</v>
      </c>
      <c r="L131" s="95" t="str">
        <f>VLOOKUP(I131,[6]stage_hints!$A:$D,4,FALSE)</f>
        <v>敵のステータスがスキルでアップしたときは_x000D_ステータスダウンスキルで上書きしましょう</v>
      </c>
      <c r="M131" s="57" t="s">
        <v>212</v>
      </c>
    </row>
    <row r="132" spans="1:13" x14ac:dyDescent="0.15">
      <c r="A132" s="81" t="s">
        <v>201</v>
      </c>
      <c r="B132" s="82">
        <f>floors!$C$2</f>
        <v>65530</v>
      </c>
      <c r="C132" s="83" t="str">
        <f ca="1">VLOOKUP($B132,OFFSET([2]quests!$A$1,0,0,COUNTA([2]quests!$A:$A),MATCH(C$1,[2]quests!$1:$1,0)-MATCH($B$1,[2]quests!$1:$1,0)+1),MATCH(C$1,[2]quests!$1:$1,0)-MATCH($B$1,[2]quests!$1:$1,0)+1,FALSE)</f>
        <v>【LB渡邉】検証クエスト</v>
      </c>
      <c r="D132" s="83" t="str">
        <f ca="1">VLOOKUP($B132,OFFSET([2]quests!$A$1,0,0,COUNTA([2]quests!$A:$A),MATCH(D$1,[2]quests!$1:$1,0)-MATCH($B$1,[2]quests!$1:$1,0)+1),MATCH(D$1,[2]quests!$1:$1,0)-MATCH($B$1,[2]quests!$1:$1,0)+1,FALSE)</f>
        <v>検証</v>
      </c>
      <c r="E132" s="87" t="s">
        <v>220</v>
      </c>
      <c r="F132" s="83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3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5">
        <v>0</v>
      </c>
      <c r="I132">
        <v>36</v>
      </c>
      <c r="J132" s="84" t="s">
        <v>199</v>
      </c>
      <c r="K132" s="94" t="str">
        <f>VLOOKUP(I132,[6]stage_hints!$A:$C,3,FALSE)</f>
        <v>タワーオブザクイーンのボス</v>
      </c>
      <c r="L132" s="95" t="str">
        <f>VLOOKUP(I132,[6]stage_hints!$A:$D,4,FALSE)</f>
        <v>「タワーオブザクイーン」最上階のボスは_x000D_15階の初回クリア報酬で獲得できるほか_x000D_その階にて低確率でドロップもします</v>
      </c>
      <c r="M132" s="57" t="s">
        <v>212</v>
      </c>
    </row>
    <row r="133" spans="1:13" x14ac:dyDescent="0.15">
      <c r="A133" s="81" t="s">
        <v>201</v>
      </c>
      <c r="B133" s="82">
        <f>floors!$C$2</f>
        <v>65530</v>
      </c>
      <c r="C133" s="83" t="str">
        <f ca="1">VLOOKUP($B133,OFFSET([2]quests!$A$1,0,0,COUNTA([2]quests!$A:$A),MATCH(C$1,[2]quests!$1:$1,0)-MATCH($B$1,[2]quests!$1:$1,0)+1),MATCH(C$1,[2]quests!$1:$1,0)-MATCH($B$1,[2]quests!$1:$1,0)+1,FALSE)</f>
        <v>【LB渡邉】検証クエスト</v>
      </c>
      <c r="D133" s="83" t="str">
        <f ca="1">VLOOKUP($B133,OFFSET([2]quests!$A$1,0,0,COUNTA([2]quests!$A:$A),MATCH(D$1,[2]quests!$1:$1,0)-MATCH($B$1,[2]quests!$1:$1,0)+1),MATCH(D$1,[2]quests!$1:$1,0)-MATCH($B$1,[2]quests!$1:$1,0)+1,FALSE)</f>
        <v>検証</v>
      </c>
      <c r="E133" s="87" t="s">
        <v>220</v>
      </c>
      <c r="F133" s="83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3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5">
        <v>0</v>
      </c>
      <c r="I133">
        <v>37</v>
      </c>
      <c r="J133" s="84" t="s">
        <v>199</v>
      </c>
      <c r="K133" s="94" t="str">
        <f>VLOOKUP(I133,[6]stage_hints!$A:$C,3,FALSE)</f>
        <v>限界突破値の引き継ぎ</v>
      </c>
      <c r="L133" s="95" t="str">
        <f>VLOOKUP(I133,[6]stage_hints!$A:$D,4,FALSE)</f>
        <v>同じユニットを強化で合成すると_x000D_限界突破値を引き継げます（覚醒前後も可）</v>
      </c>
      <c r="M133" s="57" t="s">
        <v>212</v>
      </c>
    </row>
    <row r="134" spans="1:13" x14ac:dyDescent="0.15">
      <c r="A134" s="81" t="s">
        <v>201</v>
      </c>
      <c r="B134" s="82">
        <f>floors!$C$2</f>
        <v>65530</v>
      </c>
      <c r="C134" s="83" t="str">
        <f ca="1">VLOOKUP($B134,OFFSET([2]quests!$A$1,0,0,COUNTA([2]quests!$A:$A),MATCH(C$1,[2]quests!$1:$1,0)-MATCH($B$1,[2]quests!$1:$1,0)+1),MATCH(C$1,[2]quests!$1:$1,0)-MATCH($B$1,[2]quests!$1:$1,0)+1,FALSE)</f>
        <v>【LB渡邉】検証クエスト</v>
      </c>
      <c r="D134" s="83" t="str">
        <f ca="1">VLOOKUP($B134,OFFSET([2]quests!$A$1,0,0,COUNTA([2]quests!$A:$A),MATCH(D$1,[2]quests!$1:$1,0)-MATCH($B$1,[2]quests!$1:$1,0)+1),MATCH(D$1,[2]quests!$1:$1,0)-MATCH($B$1,[2]quests!$1:$1,0)+1,FALSE)</f>
        <v>検証</v>
      </c>
      <c r="E134" s="87" t="s">
        <v>220</v>
      </c>
      <c r="F134" s="83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3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5">
        <v>0</v>
      </c>
      <c r="I134">
        <v>39</v>
      </c>
      <c r="J134" s="84" t="s">
        <v>199</v>
      </c>
      <c r="K134" s="94" t="str">
        <f>VLOOKUP(I134,[6]stage_hints!$A:$C,3,FALSE)</f>
        <v>システム適合者を確認</v>
      </c>
      <c r="L134" s="95" t="str">
        <f>VLOOKUP(I134,[6]stage_hints!$A:$D,4,FALSE)</f>
        <v>ALICEが 「アナタ」を呼んでいます</v>
      </c>
      <c r="M134" s="57" t="s">
        <v>212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B3" sqref="B3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189</v>
      </c>
      <c r="B1" s="73" t="s">
        <v>150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90" t="s">
        <v>195</v>
      </c>
      <c r="J1" s="92" t="s">
        <v>196</v>
      </c>
      <c r="K1" s="79" t="s">
        <v>126</v>
      </c>
      <c r="L1" s="78" t="s">
        <v>187</v>
      </c>
      <c r="M1" s="93" t="s">
        <v>186</v>
      </c>
      <c r="N1" s="80" t="s">
        <v>197</v>
      </c>
    </row>
    <row r="2" spans="1:14" x14ac:dyDescent="0.15">
      <c r="A2" s="81" t="s">
        <v>198</v>
      </c>
      <c r="B2" s="82">
        <f>floors!$C$2</f>
        <v>65530</v>
      </c>
      <c r="C2" s="83" t="str">
        <f ca="1">VLOOKUP($B2,OFFSET([2]quests!$A$1,0,0,COUNTA([2]quests!$A:$A),MATCH(C$1,[2]quests!$1:$1,0)-MATCH($B$1,[2]quests!$1:$1,0)+1),MATCH(C$1,[2]quests!$1:$1,0)-MATCH($B$1,[2]quests!$1:$1,0)+1,FALSE)</f>
        <v>【LB渡邉】検証クエスト</v>
      </c>
      <c r="D2" s="83" t="str">
        <f ca="1">VLOOKUP($B2,OFFSET([2]quests!$A$1,0,0,COUNTA([2]quests!$A:$A),MATCH(D$1,[2]quests!$1:$1,0)-MATCH($B$1,[2]quests!$1:$1,0)+1),MATCH(D$1,[2]quests!$1:$1,0)-MATCH($B$1,[2]quests!$1:$1,0)+1,FALSE)</f>
        <v>検証</v>
      </c>
      <c r="E2" s="84">
        <v>99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5">
        <v>99</v>
      </c>
      <c r="I2" s="91">
        <f>ROW()-1</f>
        <v>1</v>
      </c>
      <c r="J2" s="86" t="str">
        <f>B2&amp;TEXT(I2,"00")</f>
        <v>6553001</v>
      </c>
      <c r="K2" s="84" t="s">
        <v>199</v>
      </c>
      <c r="L2" s="87" t="s">
        <v>265</v>
      </c>
      <c r="M2" s="88"/>
      <c r="N2" s="57" t="s">
        <v>200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E15" sqref="E1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8" t="s">
        <v>221</v>
      </c>
      <c r="B1" s="99" t="s">
        <v>222</v>
      </c>
      <c r="C1" s="77" t="s">
        <v>223</v>
      </c>
      <c r="D1" s="77" t="s">
        <v>33</v>
      </c>
      <c r="E1" s="99" t="s">
        <v>224</v>
      </c>
      <c r="F1" s="77" t="s">
        <v>225</v>
      </c>
      <c r="G1" s="77" t="s">
        <v>33</v>
      </c>
      <c r="H1" s="99" t="s">
        <v>226</v>
      </c>
      <c r="I1" s="99" t="s">
        <v>227</v>
      </c>
      <c r="J1" s="99" t="s">
        <v>228</v>
      </c>
      <c r="K1" s="73" t="s">
        <v>229</v>
      </c>
      <c r="L1" s="73" t="s">
        <v>230</v>
      </c>
      <c r="M1" s="73" t="s">
        <v>156</v>
      </c>
      <c r="N1" s="77" t="s">
        <v>16</v>
      </c>
      <c r="O1" s="73" t="s">
        <v>231</v>
      </c>
      <c r="P1" s="73" t="s">
        <v>57</v>
      </c>
      <c r="Q1" s="73" t="s">
        <v>232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233</v>
      </c>
      <c r="X1" s="73" t="s">
        <v>234</v>
      </c>
    </row>
    <row r="2" spans="1:24" x14ac:dyDescent="0.15">
      <c r="A2" s="100" t="str">
        <f>B2&amp;"_"&amp;E2&amp;"_"&amp;H2&amp;"_"&amp;I2&amp;"_"&amp;J2</f>
        <v>65530_7_everyone_clear_1</v>
      </c>
      <c r="B2" s="82">
        <v>65530</v>
      </c>
      <c r="C2" s="83" t="str">
        <f ca="1">VLOOKUP($B2,OFFSET([2]quests!$A$1,0,0,COUNTA([2]quests!$A:$A),MATCH(C$1,[2]quests!$1:$1,0)-MATCH($B$1,[2]quests!$1:$1,0)+1),MATCH(C$1,[2]quests!$1:$1,0)-MATCH($B$1,[2]quests!$1:$1,0)+1,FALSE)</f>
        <v>【LB渡邉】検証クエスト</v>
      </c>
      <c r="D2" s="83" t="str">
        <f ca="1">VLOOKUP($B2,OFFSET([2]quests!$A$1,0,0,COUNTA([2]quests!$A:$A),MATCH(D$1,[2]quests!$1:$1,0)-MATCH($B$1,[2]quests!$1:$1,0)+1),MATCH(D$1,[2]quests!$1:$1,0)-MATCH($B$1,[2]quests!$1:$1,0)+1,FALSE)</f>
        <v>検証</v>
      </c>
      <c r="E2" s="84">
        <v>7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5" t="s">
        <v>235</v>
      </c>
      <c r="I2" s="84" t="s">
        <v>236</v>
      </c>
      <c r="J2" s="84">
        <v>1</v>
      </c>
      <c r="K2" s="84">
        <v>610</v>
      </c>
      <c r="L2" s="84" t="s">
        <v>237</v>
      </c>
      <c r="M2" s="84">
        <v>334</v>
      </c>
      <c r="N2" s="101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102" t="s">
        <v>238</v>
      </c>
      <c r="X2" s="103" t="s">
        <v>239</v>
      </c>
    </row>
    <row r="3" spans="1:24" x14ac:dyDescent="0.15">
      <c r="A3" s="100" t="str">
        <f>B3&amp;"_"&amp;E3&amp;"_"&amp;H3&amp;"_"&amp;I3&amp;"_"&amp;J3</f>
        <v>65530_7_everyone_no_continue_1</v>
      </c>
      <c r="B3" s="82">
        <v>65530</v>
      </c>
      <c r="C3" s="83" t="str">
        <f ca="1">VLOOKUP($B3,OFFSET([2]quests!$A$1,0,0,COUNTA([2]quests!$A:$A),MATCH(C$1,[2]quests!$1:$1,0)-MATCH($B$1,[2]quests!$1:$1,0)+1),MATCH(C$1,[2]quests!$1:$1,0)-MATCH($B$1,[2]quests!$1:$1,0)+1,FALSE)</f>
        <v>【LB渡邉】検証クエスト</v>
      </c>
      <c r="D3" s="83" t="str">
        <f ca="1">VLOOKUP($B3,OFFSET([2]quests!$A$1,0,0,COUNTA([2]quests!$A:$A),MATCH(D$1,[2]quests!$1:$1,0)-MATCH($B$1,[2]quests!$1:$1,0)+1),MATCH(D$1,[2]quests!$1:$1,0)-MATCH($B$1,[2]quests!$1:$1,0)+1,FALSE)</f>
        <v>検証</v>
      </c>
      <c r="E3" s="84">
        <v>7</v>
      </c>
      <c r="F3" s="83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3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5" t="s">
        <v>235</v>
      </c>
      <c r="I3" s="84" t="s">
        <v>240</v>
      </c>
      <c r="J3" s="84">
        <v>1</v>
      </c>
      <c r="K3" s="84">
        <v>610</v>
      </c>
      <c r="L3" s="84" t="s">
        <v>237</v>
      </c>
      <c r="M3" s="84">
        <v>334</v>
      </c>
      <c r="N3" s="101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102" t="s">
        <v>238</v>
      </c>
      <c r="X3" s="103" t="s">
        <v>239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2016-12-28T05:42:11Z</dcterms:modified>
</cp:coreProperties>
</file>