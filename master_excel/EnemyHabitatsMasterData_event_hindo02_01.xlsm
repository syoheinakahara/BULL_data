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011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linkedbrain/BULL_data/master_excel/"/>
    </mc:Choice>
  </mc:AlternateContent>
  <bookViews>
    <workbookView xWindow="3080" yWindow="460" windowWidth="32920" windowHeight="19800" tabRatio="740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_xlnm._FilterDatabase" localSheetId="3" hidden="1">enemy_habitat_S!$B$1:$AA$2</definedName>
    <definedName name="_xlnm._FilterDatabase" localSheetId="2" hidden="1">enemy_habitats!$B$1:$AJ$2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V16" i="1" l="1"/>
  <c r="J11" i="11"/>
  <c r="O35" i="9"/>
  <c r="N35" i="9"/>
  <c r="M35" i="9"/>
  <c r="L35" i="9"/>
  <c r="K35" i="9"/>
  <c r="J35" i="9"/>
  <c r="I35" i="9"/>
  <c r="H35" i="9"/>
  <c r="G35" i="9"/>
  <c r="E35" i="9"/>
  <c r="D35" i="9"/>
  <c r="A35" i="9"/>
  <c r="J10" i="11"/>
  <c r="O34" i="9"/>
  <c r="N34" i="9"/>
  <c r="M34" i="9"/>
  <c r="L34" i="9"/>
  <c r="K34" i="9"/>
  <c r="J34" i="9"/>
  <c r="I34" i="9"/>
  <c r="H34" i="9"/>
  <c r="G34" i="9"/>
  <c r="E34" i="9"/>
  <c r="D34" i="9"/>
  <c r="A34" i="9"/>
  <c r="J9" i="11"/>
  <c r="O33" i="9"/>
  <c r="N33" i="9"/>
  <c r="M33" i="9"/>
  <c r="L33" i="9"/>
  <c r="K33" i="9"/>
  <c r="J33" i="9"/>
  <c r="I33" i="9"/>
  <c r="H33" i="9"/>
  <c r="G33" i="9"/>
  <c r="E33" i="9"/>
  <c r="D33" i="9"/>
  <c r="A33" i="9"/>
  <c r="J30" i="11"/>
  <c r="J29" i="11"/>
  <c r="B23" i="21"/>
  <c r="I23" i="21"/>
  <c r="J23" i="21"/>
  <c r="G23" i="21"/>
  <c r="F23" i="21"/>
  <c r="D23" i="21"/>
  <c r="C23" i="21"/>
  <c r="B24" i="21"/>
  <c r="C24" i="21"/>
  <c r="D24" i="21"/>
  <c r="F24" i="21"/>
  <c r="G24" i="21"/>
  <c r="I24" i="21"/>
  <c r="J24" i="21"/>
  <c r="B15" i="21"/>
  <c r="I15" i="21"/>
  <c r="J15" i="21"/>
  <c r="G15" i="21"/>
  <c r="F15" i="21"/>
  <c r="D15" i="21"/>
  <c r="C15" i="21"/>
  <c r="B7" i="21"/>
  <c r="I7" i="21"/>
  <c r="J7" i="21"/>
  <c r="G7" i="21"/>
  <c r="F7" i="21"/>
  <c r="D7" i="21"/>
  <c r="C7" i="21"/>
  <c r="A3" i="18"/>
  <c r="C3" i="18"/>
  <c r="D3" i="18"/>
  <c r="A4" i="18"/>
  <c r="C4" i="18"/>
  <c r="D4" i="18"/>
  <c r="A5" i="18"/>
  <c r="C5" i="18"/>
  <c r="D5" i="18"/>
  <c r="A6" i="18"/>
  <c r="C6" i="18"/>
  <c r="D6" i="18"/>
  <c r="A7" i="18"/>
  <c r="C7" i="18"/>
  <c r="D7" i="18"/>
  <c r="A8" i="18"/>
  <c r="C8" i="18"/>
  <c r="D8" i="18"/>
  <c r="A9" i="18"/>
  <c r="C9" i="18"/>
  <c r="D9" i="18"/>
  <c r="A10" i="18"/>
  <c r="C10" i="18"/>
  <c r="D10" i="18"/>
  <c r="A11" i="18"/>
  <c r="C11" i="18"/>
  <c r="D11" i="18"/>
  <c r="A12" i="18"/>
  <c r="C12" i="18"/>
  <c r="D12" i="18"/>
  <c r="A13" i="18"/>
  <c r="C13" i="18"/>
  <c r="D13" i="18"/>
  <c r="A14" i="18"/>
  <c r="C14" i="18"/>
  <c r="D14" i="18"/>
  <c r="A15" i="18"/>
  <c r="C15" i="18"/>
  <c r="D15" i="18"/>
  <c r="A16" i="18"/>
  <c r="C16" i="18"/>
  <c r="D16" i="18"/>
  <c r="A17" i="18"/>
  <c r="C17" i="18"/>
  <c r="D17" i="18"/>
  <c r="A18" i="18"/>
  <c r="C18" i="18"/>
  <c r="D18" i="18"/>
  <c r="A19" i="18"/>
  <c r="C19" i="18"/>
  <c r="D19" i="18"/>
  <c r="A20" i="18"/>
  <c r="C20" i="18"/>
  <c r="D20" i="18"/>
  <c r="A21" i="18"/>
  <c r="C21" i="18"/>
  <c r="D21" i="18"/>
  <c r="A22" i="18"/>
  <c r="C22" i="18"/>
  <c r="D22" i="18"/>
  <c r="A23" i="18"/>
  <c r="C23" i="18"/>
  <c r="D23" i="18"/>
  <c r="A24" i="18"/>
  <c r="C24" i="18"/>
  <c r="D24" i="18"/>
  <c r="A25" i="18"/>
  <c r="C25" i="18"/>
  <c r="D25" i="18"/>
  <c r="A26" i="18"/>
  <c r="C26" i="18"/>
  <c r="D26" i="18"/>
  <c r="A27" i="18"/>
  <c r="C27" i="18"/>
  <c r="D27" i="18"/>
  <c r="A28" i="18"/>
  <c r="C28" i="18"/>
  <c r="D28" i="18"/>
  <c r="A29" i="18"/>
  <c r="C29" i="18"/>
  <c r="D29" i="18"/>
  <c r="A30" i="18"/>
  <c r="C30" i="18"/>
  <c r="D30" i="18"/>
  <c r="A31" i="18"/>
  <c r="C31" i="18"/>
  <c r="D31" i="18"/>
  <c r="A32" i="18"/>
  <c r="C32" i="18"/>
  <c r="D32" i="18"/>
  <c r="A33" i="18"/>
  <c r="C33" i="18"/>
  <c r="D33" i="18"/>
  <c r="A2" i="18"/>
  <c r="C2" i="18"/>
  <c r="D2" i="18"/>
  <c r="B3" i="21"/>
  <c r="C3" i="21"/>
  <c r="D3" i="21"/>
  <c r="F3" i="21"/>
  <c r="G3" i="21"/>
  <c r="I3" i="21"/>
  <c r="J3" i="21"/>
  <c r="B4" i="21"/>
  <c r="C4" i="21"/>
  <c r="D4" i="21"/>
  <c r="F4" i="21"/>
  <c r="G4" i="21"/>
  <c r="I4" i="21"/>
  <c r="J4" i="21"/>
  <c r="B5" i="21"/>
  <c r="C5" i="21"/>
  <c r="D5" i="21"/>
  <c r="F5" i="21"/>
  <c r="G5" i="21"/>
  <c r="I5" i="21"/>
  <c r="J5" i="21"/>
  <c r="B6" i="21"/>
  <c r="C6" i="21"/>
  <c r="D6" i="21"/>
  <c r="F6" i="21"/>
  <c r="G6" i="21"/>
  <c r="I6" i="21"/>
  <c r="J6" i="21"/>
  <c r="B8" i="21"/>
  <c r="C8" i="21"/>
  <c r="D8" i="21"/>
  <c r="F8" i="21"/>
  <c r="G8" i="21"/>
  <c r="I8" i="21"/>
  <c r="J8" i="21"/>
  <c r="B9" i="21"/>
  <c r="C9" i="21"/>
  <c r="D9" i="21"/>
  <c r="F9" i="21"/>
  <c r="G9" i="21"/>
  <c r="I9" i="21"/>
  <c r="J9" i="21"/>
  <c r="B10" i="21"/>
  <c r="C10" i="21"/>
  <c r="D10" i="21"/>
  <c r="F10" i="21"/>
  <c r="G10" i="21"/>
  <c r="I10" i="21"/>
  <c r="J10" i="21"/>
  <c r="B11" i="21"/>
  <c r="C11" i="21"/>
  <c r="D11" i="21"/>
  <c r="F11" i="21"/>
  <c r="G11" i="21"/>
  <c r="I11" i="21"/>
  <c r="J11" i="21"/>
  <c r="B12" i="21"/>
  <c r="C12" i="21"/>
  <c r="D12" i="21"/>
  <c r="F12" i="21"/>
  <c r="G12" i="21"/>
  <c r="I12" i="21"/>
  <c r="J12" i="21"/>
  <c r="B13" i="21"/>
  <c r="C13" i="21"/>
  <c r="D13" i="21"/>
  <c r="F13" i="21"/>
  <c r="G13" i="21"/>
  <c r="I13" i="21"/>
  <c r="J13" i="21"/>
  <c r="B14" i="21"/>
  <c r="C14" i="21"/>
  <c r="D14" i="21"/>
  <c r="F14" i="21"/>
  <c r="G14" i="21"/>
  <c r="I14" i="21"/>
  <c r="J14" i="21"/>
  <c r="B16" i="21"/>
  <c r="C16" i="21"/>
  <c r="D16" i="21"/>
  <c r="F16" i="21"/>
  <c r="G16" i="21"/>
  <c r="I16" i="21"/>
  <c r="J16" i="21"/>
  <c r="B17" i="21"/>
  <c r="C17" i="21"/>
  <c r="D17" i="21"/>
  <c r="F17" i="21"/>
  <c r="G17" i="21"/>
  <c r="I17" i="21"/>
  <c r="J17" i="21"/>
  <c r="B18" i="21"/>
  <c r="C18" i="21"/>
  <c r="D18" i="21"/>
  <c r="F18" i="21"/>
  <c r="G18" i="21"/>
  <c r="I18" i="21"/>
  <c r="J18" i="21"/>
  <c r="B19" i="21"/>
  <c r="C19" i="21"/>
  <c r="D19" i="21"/>
  <c r="F19" i="21"/>
  <c r="G19" i="21"/>
  <c r="I19" i="21"/>
  <c r="J19" i="21"/>
  <c r="B20" i="21"/>
  <c r="C20" i="21"/>
  <c r="D20" i="21"/>
  <c r="F20" i="21"/>
  <c r="G20" i="21"/>
  <c r="I20" i="21"/>
  <c r="J20" i="21"/>
  <c r="B21" i="21"/>
  <c r="C21" i="21"/>
  <c r="D21" i="21"/>
  <c r="F21" i="21"/>
  <c r="G21" i="21"/>
  <c r="I21" i="21"/>
  <c r="J21" i="21"/>
  <c r="B22" i="21"/>
  <c r="C22" i="21"/>
  <c r="D22" i="21"/>
  <c r="F22" i="21"/>
  <c r="G22" i="21"/>
  <c r="I22" i="21"/>
  <c r="J22" i="21"/>
  <c r="B25" i="21"/>
  <c r="C25" i="21"/>
  <c r="D25" i="21"/>
  <c r="F25" i="21"/>
  <c r="G25" i="21"/>
  <c r="I25" i="21"/>
  <c r="J25" i="21"/>
  <c r="O32" i="9"/>
  <c r="N32" i="9"/>
  <c r="M32" i="9"/>
  <c r="L32" i="9"/>
  <c r="K32" i="9"/>
  <c r="J32" i="9"/>
  <c r="I32" i="9"/>
  <c r="H32" i="9"/>
  <c r="G32" i="9"/>
  <c r="E32" i="9"/>
  <c r="D32" i="9"/>
  <c r="A32" i="9"/>
  <c r="J7" i="11"/>
  <c r="O31" i="9"/>
  <c r="N31" i="9"/>
  <c r="M31" i="9"/>
  <c r="L31" i="9"/>
  <c r="K31" i="9"/>
  <c r="J31" i="9"/>
  <c r="I31" i="9"/>
  <c r="H31" i="9"/>
  <c r="G31" i="9"/>
  <c r="E31" i="9"/>
  <c r="D31" i="9"/>
  <c r="A31" i="9"/>
  <c r="J6" i="11"/>
  <c r="O30" i="9"/>
  <c r="N30" i="9"/>
  <c r="M30" i="9"/>
  <c r="L30" i="9"/>
  <c r="K30" i="9"/>
  <c r="J30" i="9"/>
  <c r="I30" i="9"/>
  <c r="H30" i="9"/>
  <c r="G30" i="9"/>
  <c r="E30" i="9"/>
  <c r="D30" i="9"/>
  <c r="A30" i="9"/>
  <c r="O29" i="9"/>
  <c r="N29" i="9"/>
  <c r="M29" i="9"/>
  <c r="L29" i="9"/>
  <c r="K29" i="9"/>
  <c r="J29" i="9"/>
  <c r="I29" i="9"/>
  <c r="H29" i="9"/>
  <c r="G29" i="9"/>
  <c r="E29" i="9"/>
  <c r="D29" i="9"/>
  <c r="A29" i="9"/>
  <c r="J28" i="11"/>
  <c r="O28" i="9"/>
  <c r="N28" i="9"/>
  <c r="M28" i="9"/>
  <c r="L28" i="9"/>
  <c r="K28" i="9"/>
  <c r="J28" i="9"/>
  <c r="I28" i="9"/>
  <c r="H28" i="9"/>
  <c r="G28" i="9"/>
  <c r="E28" i="9"/>
  <c r="D28" i="9"/>
  <c r="A28" i="9"/>
  <c r="J25" i="11"/>
  <c r="M6" i="10"/>
  <c r="T6" i="10"/>
  <c r="W6" i="10"/>
  <c r="V6" i="10"/>
  <c r="X6" i="10"/>
  <c r="U6" i="10"/>
  <c r="Y6" i="10"/>
  <c r="M20" i="10"/>
  <c r="N20" i="10"/>
  <c r="Q20" i="10"/>
  <c r="P20" i="10"/>
  <c r="R20" i="10"/>
  <c r="O20" i="10"/>
  <c r="S20" i="10"/>
  <c r="N6" i="10"/>
  <c r="Q6" i="10"/>
  <c r="P6" i="10"/>
  <c r="R6" i="10"/>
  <c r="O6" i="10"/>
  <c r="S6" i="10"/>
  <c r="G6" i="10"/>
  <c r="J6" i="10"/>
  <c r="I6" i="10"/>
  <c r="K6" i="10"/>
  <c r="H6" i="10"/>
  <c r="L6" i="10"/>
  <c r="M25" i="10"/>
  <c r="T25" i="10"/>
  <c r="W25" i="10"/>
  <c r="V25" i="10"/>
  <c r="X25" i="10"/>
  <c r="U25" i="10"/>
  <c r="Y25" i="10"/>
  <c r="N25" i="10"/>
  <c r="Q25" i="10"/>
  <c r="P25" i="10"/>
  <c r="R25" i="10"/>
  <c r="O25" i="10"/>
  <c r="S25" i="10"/>
  <c r="G25" i="10"/>
  <c r="J25" i="10"/>
  <c r="I25" i="10"/>
  <c r="K25" i="10"/>
  <c r="H25" i="10"/>
  <c r="L25" i="10"/>
  <c r="J20" i="11"/>
  <c r="T20" i="10"/>
  <c r="W20" i="10"/>
  <c r="V20" i="10"/>
  <c r="X20" i="10"/>
  <c r="U20" i="10"/>
  <c r="Y20" i="10"/>
  <c r="G20" i="10"/>
  <c r="J20" i="10"/>
  <c r="I20" i="10"/>
  <c r="K20" i="10"/>
  <c r="H20" i="10"/>
  <c r="L20" i="10"/>
  <c r="J17" i="11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M11" i="10"/>
  <c r="T11" i="10"/>
  <c r="W11" i="10"/>
  <c r="V11" i="10"/>
  <c r="X11" i="10"/>
  <c r="U11" i="10"/>
  <c r="Y11" i="10"/>
  <c r="M26" i="10"/>
  <c r="N26" i="10"/>
  <c r="Q26" i="10"/>
  <c r="P26" i="10"/>
  <c r="R26" i="10"/>
  <c r="O26" i="10"/>
  <c r="S26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J27" i="11"/>
  <c r="O27" i="9"/>
  <c r="N27" i="9"/>
  <c r="M27" i="9"/>
  <c r="L27" i="9"/>
  <c r="K27" i="9"/>
  <c r="J27" i="9"/>
  <c r="I27" i="9"/>
  <c r="H27" i="9"/>
  <c r="G27" i="9"/>
  <c r="E27" i="9"/>
  <c r="D27" i="9"/>
  <c r="A27" i="9"/>
  <c r="J26" i="11"/>
  <c r="O26" i="9"/>
  <c r="N26" i="9"/>
  <c r="M26" i="9"/>
  <c r="L26" i="9"/>
  <c r="K26" i="9"/>
  <c r="J26" i="9"/>
  <c r="I26" i="9"/>
  <c r="H26" i="9"/>
  <c r="G26" i="9"/>
  <c r="E26" i="9"/>
  <c r="D26" i="9"/>
  <c r="A26" i="9"/>
  <c r="O25" i="9"/>
  <c r="N25" i="9"/>
  <c r="M25" i="9"/>
  <c r="L25" i="9"/>
  <c r="K25" i="9"/>
  <c r="J25" i="9"/>
  <c r="I25" i="9"/>
  <c r="H25" i="9"/>
  <c r="G25" i="9"/>
  <c r="E25" i="9"/>
  <c r="D25" i="9"/>
  <c r="A25" i="9"/>
  <c r="J22" i="11"/>
  <c r="J24" i="11"/>
  <c r="O24" i="9"/>
  <c r="N24" i="9"/>
  <c r="M24" i="9"/>
  <c r="L24" i="9"/>
  <c r="K24" i="9"/>
  <c r="J24" i="9"/>
  <c r="I24" i="9"/>
  <c r="H24" i="9"/>
  <c r="G24" i="9"/>
  <c r="E24" i="9"/>
  <c r="D24" i="9"/>
  <c r="A24" i="9"/>
  <c r="J21" i="11"/>
  <c r="J23" i="11"/>
  <c r="O23" i="9"/>
  <c r="N23" i="9"/>
  <c r="M23" i="9"/>
  <c r="L23" i="9"/>
  <c r="K23" i="9"/>
  <c r="J23" i="9"/>
  <c r="I23" i="9"/>
  <c r="H23" i="9"/>
  <c r="G23" i="9"/>
  <c r="E23" i="9"/>
  <c r="D23" i="9"/>
  <c r="A23" i="9"/>
  <c r="J16" i="11"/>
  <c r="M9" i="10"/>
  <c r="T9" i="10"/>
  <c r="W9" i="10"/>
  <c r="V9" i="10"/>
  <c r="X9" i="10"/>
  <c r="U9" i="10"/>
  <c r="Y9" i="10"/>
  <c r="M27" i="10"/>
  <c r="N27" i="10"/>
  <c r="Q27" i="10"/>
  <c r="P27" i="10"/>
  <c r="R27" i="10"/>
  <c r="O27" i="10"/>
  <c r="S27" i="10"/>
  <c r="N9" i="10"/>
  <c r="Q9" i="10"/>
  <c r="P9" i="10"/>
  <c r="R9" i="10"/>
  <c r="O9" i="10"/>
  <c r="S9" i="10"/>
  <c r="G9" i="10"/>
  <c r="J9" i="10"/>
  <c r="I9" i="10"/>
  <c r="K9" i="10"/>
  <c r="H9" i="10"/>
  <c r="L9" i="10"/>
  <c r="T26" i="10"/>
  <c r="W26" i="10"/>
  <c r="V26" i="10"/>
  <c r="X26" i="10"/>
  <c r="U26" i="10"/>
  <c r="Y26" i="10"/>
  <c r="G26" i="10"/>
  <c r="J26" i="10"/>
  <c r="I26" i="10"/>
  <c r="K26" i="10"/>
  <c r="H26" i="10"/>
  <c r="L26" i="10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J2" i="11"/>
  <c r="M2" i="10"/>
  <c r="T2" i="10"/>
  <c r="W2" i="10"/>
  <c r="V2" i="10"/>
  <c r="X2" i="10"/>
  <c r="U2" i="10"/>
  <c r="Y2" i="10"/>
  <c r="M15" i="10"/>
  <c r="N15" i="10"/>
  <c r="Q15" i="10"/>
  <c r="P15" i="10"/>
  <c r="R15" i="10"/>
  <c r="O15" i="10"/>
  <c r="S15" i="10"/>
  <c r="N2" i="10"/>
  <c r="Q2" i="10"/>
  <c r="P2" i="10"/>
  <c r="R2" i="10"/>
  <c r="O2" i="10"/>
  <c r="S2" i="10"/>
  <c r="G2" i="10"/>
  <c r="J2" i="10"/>
  <c r="I2" i="10"/>
  <c r="K2" i="10"/>
  <c r="H2" i="10"/>
  <c r="L2" i="10"/>
  <c r="O2" i="9"/>
  <c r="N2" i="9"/>
  <c r="M2" i="9"/>
  <c r="L2" i="9"/>
  <c r="K2" i="9"/>
  <c r="J2" i="9"/>
  <c r="I2" i="9"/>
  <c r="H2" i="9"/>
  <c r="G2" i="9"/>
  <c r="E2" i="9"/>
  <c r="D2" i="9"/>
  <c r="A2" i="9"/>
  <c r="E3" i="9"/>
  <c r="E14" i="9"/>
  <c r="E18" i="9"/>
  <c r="E19" i="9"/>
  <c r="Y7" i="7"/>
  <c r="W7" i="7"/>
  <c r="U7" i="7"/>
  <c r="R7" i="7"/>
  <c r="Q7" i="7"/>
  <c r="P7" i="7"/>
  <c r="O7" i="7"/>
  <c r="N7" i="7"/>
  <c r="H7" i="7"/>
  <c r="G2" i="2"/>
  <c r="A2" i="2"/>
  <c r="G3" i="2"/>
  <c r="A3" i="2"/>
  <c r="G4" i="2"/>
  <c r="A4" i="2"/>
  <c r="G5" i="2"/>
  <c r="A5" i="2"/>
  <c r="G6" i="2"/>
  <c r="A6" i="2"/>
  <c r="G7" i="2"/>
  <c r="A7" i="2"/>
  <c r="G8" i="2"/>
  <c r="A8" i="2"/>
  <c r="G9" i="2"/>
  <c r="A9" i="2"/>
  <c r="G10" i="2"/>
  <c r="A10" i="2"/>
  <c r="G11" i="2"/>
  <c r="A11" i="2"/>
  <c r="G12" i="2"/>
  <c r="A12" i="2"/>
  <c r="G13" i="2"/>
  <c r="A13" i="2"/>
  <c r="J7" i="7"/>
  <c r="I7" i="7"/>
  <c r="D7" i="7"/>
  <c r="F7" i="7"/>
  <c r="E7" i="7"/>
  <c r="A7" i="7"/>
  <c r="E7" i="9"/>
  <c r="E8" i="9"/>
  <c r="Y6" i="7"/>
  <c r="W6" i="7"/>
  <c r="U6" i="7"/>
  <c r="R6" i="7"/>
  <c r="Q6" i="7"/>
  <c r="P6" i="7"/>
  <c r="O6" i="7"/>
  <c r="N6" i="7"/>
  <c r="H6" i="7"/>
  <c r="J6" i="7"/>
  <c r="I6" i="7"/>
  <c r="D6" i="7"/>
  <c r="F6" i="7"/>
  <c r="E6" i="7"/>
  <c r="A6" i="7"/>
  <c r="Y5" i="7"/>
  <c r="W5" i="7"/>
  <c r="U5" i="7"/>
  <c r="R5" i="7"/>
  <c r="Q5" i="7"/>
  <c r="P5" i="7"/>
  <c r="O5" i="7"/>
  <c r="N5" i="7"/>
  <c r="H5" i="7"/>
  <c r="J5" i="7"/>
  <c r="I5" i="7"/>
  <c r="D5" i="7"/>
  <c r="F5" i="7"/>
  <c r="E5" i="7"/>
  <c r="A5" i="7"/>
  <c r="Y4" i="7"/>
  <c r="W4" i="7"/>
  <c r="U4" i="7"/>
  <c r="R4" i="7"/>
  <c r="Q4" i="7"/>
  <c r="P4" i="7"/>
  <c r="O4" i="7"/>
  <c r="N4" i="7"/>
  <c r="H4" i="7"/>
  <c r="J4" i="7"/>
  <c r="I4" i="7"/>
  <c r="D4" i="7"/>
  <c r="F4" i="7"/>
  <c r="E4" i="7"/>
  <c r="A4" i="7"/>
  <c r="Y3" i="7"/>
  <c r="Y2" i="7"/>
  <c r="W3" i="7"/>
  <c r="U3" i="7"/>
  <c r="R3" i="7"/>
  <c r="Q3" i="7"/>
  <c r="P3" i="7"/>
  <c r="O3" i="7"/>
  <c r="N3" i="7"/>
  <c r="H3" i="7"/>
  <c r="J3" i="7"/>
  <c r="I3" i="7"/>
  <c r="D3" i="7"/>
  <c r="F3" i="7"/>
  <c r="E3" i="7"/>
  <c r="A3" i="7"/>
  <c r="A2" i="7"/>
  <c r="A4" i="9"/>
  <c r="D4" i="9"/>
  <c r="E4" i="9"/>
  <c r="G4" i="9"/>
  <c r="H4" i="9"/>
  <c r="I4" i="9"/>
  <c r="J4" i="9"/>
  <c r="K4" i="9"/>
  <c r="L4" i="9"/>
  <c r="M4" i="9"/>
  <c r="N4" i="9"/>
  <c r="J4" i="11"/>
  <c r="O4" i="9"/>
  <c r="A5" i="9"/>
  <c r="D5" i="9"/>
  <c r="E5" i="9"/>
  <c r="G5" i="9"/>
  <c r="H5" i="9"/>
  <c r="I5" i="9"/>
  <c r="J5" i="9"/>
  <c r="K5" i="9"/>
  <c r="L5" i="9"/>
  <c r="M5" i="9"/>
  <c r="N5" i="9"/>
  <c r="J5" i="11"/>
  <c r="O5" i="9"/>
  <c r="A6" i="9"/>
  <c r="D6" i="9"/>
  <c r="E6" i="9"/>
  <c r="G6" i="9"/>
  <c r="H6" i="9"/>
  <c r="I6" i="9"/>
  <c r="J6" i="9"/>
  <c r="K6" i="9"/>
  <c r="L6" i="9"/>
  <c r="M6" i="9"/>
  <c r="N6" i="9"/>
  <c r="O6" i="9"/>
  <c r="A7" i="9"/>
  <c r="D7" i="9"/>
  <c r="G7" i="9"/>
  <c r="H7" i="9"/>
  <c r="I7" i="9"/>
  <c r="J7" i="9"/>
  <c r="K7" i="9"/>
  <c r="L7" i="9"/>
  <c r="M7" i="9"/>
  <c r="N7" i="9"/>
  <c r="J8" i="11"/>
  <c r="O7" i="9"/>
  <c r="A8" i="9"/>
  <c r="D8" i="9"/>
  <c r="G8" i="9"/>
  <c r="H8" i="9"/>
  <c r="I8" i="9"/>
  <c r="J8" i="9"/>
  <c r="K8" i="9"/>
  <c r="L8" i="9"/>
  <c r="M8" i="9"/>
  <c r="N8" i="9"/>
  <c r="O8" i="9"/>
  <c r="A9" i="9"/>
  <c r="D9" i="9"/>
  <c r="E9" i="9"/>
  <c r="G9" i="9"/>
  <c r="H9" i="9"/>
  <c r="I9" i="9"/>
  <c r="J9" i="9"/>
  <c r="K9" i="9"/>
  <c r="L9" i="9"/>
  <c r="M9" i="9"/>
  <c r="N9" i="9"/>
  <c r="J12" i="11"/>
  <c r="O9" i="9"/>
  <c r="A10" i="9"/>
  <c r="D10" i="9"/>
  <c r="E10" i="9"/>
  <c r="G10" i="9"/>
  <c r="H10" i="9"/>
  <c r="I10" i="9"/>
  <c r="J10" i="9"/>
  <c r="K10" i="9"/>
  <c r="L10" i="9"/>
  <c r="M10" i="9"/>
  <c r="N10" i="9"/>
  <c r="J13" i="11"/>
  <c r="O10" i="9"/>
  <c r="A11" i="9"/>
  <c r="D11" i="9"/>
  <c r="E11" i="9"/>
  <c r="G11" i="9"/>
  <c r="H11" i="9"/>
  <c r="I11" i="9"/>
  <c r="J11" i="9"/>
  <c r="K11" i="9"/>
  <c r="L11" i="9"/>
  <c r="M11" i="9"/>
  <c r="N11" i="9"/>
  <c r="J14" i="11"/>
  <c r="O11" i="9"/>
  <c r="A12" i="9"/>
  <c r="D12" i="9"/>
  <c r="E12" i="9"/>
  <c r="G12" i="9"/>
  <c r="H12" i="9"/>
  <c r="I12" i="9"/>
  <c r="J12" i="9"/>
  <c r="K12" i="9"/>
  <c r="L12" i="9"/>
  <c r="M12" i="9"/>
  <c r="N12" i="9"/>
  <c r="J15" i="11"/>
  <c r="O12" i="9"/>
  <c r="A13" i="9"/>
  <c r="D13" i="9"/>
  <c r="E13" i="9"/>
  <c r="G13" i="9"/>
  <c r="H13" i="9"/>
  <c r="I13" i="9"/>
  <c r="J13" i="9"/>
  <c r="K13" i="9"/>
  <c r="L13" i="9"/>
  <c r="M13" i="9"/>
  <c r="N13" i="9"/>
  <c r="J18" i="11"/>
  <c r="O13" i="9"/>
  <c r="A14" i="9"/>
  <c r="D14" i="9"/>
  <c r="G14" i="9"/>
  <c r="H14" i="9"/>
  <c r="I14" i="9"/>
  <c r="J14" i="9"/>
  <c r="K14" i="9"/>
  <c r="L14" i="9"/>
  <c r="M14" i="9"/>
  <c r="N14" i="9"/>
  <c r="J19" i="11"/>
  <c r="O14" i="9"/>
  <c r="A15" i="9"/>
  <c r="D15" i="9"/>
  <c r="E15" i="9"/>
  <c r="G15" i="9"/>
  <c r="H15" i="9"/>
  <c r="I15" i="9"/>
  <c r="J15" i="9"/>
  <c r="K15" i="9"/>
  <c r="L15" i="9"/>
  <c r="M15" i="9"/>
  <c r="N15" i="9"/>
  <c r="O15" i="9"/>
  <c r="A16" i="9"/>
  <c r="D16" i="9"/>
  <c r="E16" i="9"/>
  <c r="G16" i="9"/>
  <c r="H16" i="9"/>
  <c r="I16" i="9"/>
  <c r="J16" i="9"/>
  <c r="K16" i="9"/>
  <c r="L16" i="9"/>
  <c r="M16" i="9"/>
  <c r="N16" i="9"/>
  <c r="O16" i="9"/>
  <c r="A17" i="9"/>
  <c r="D17" i="9"/>
  <c r="E17" i="9"/>
  <c r="G17" i="9"/>
  <c r="H17" i="9"/>
  <c r="I17" i="9"/>
  <c r="J17" i="9"/>
  <c r="K17" i="9"/>
  <c r="L17" i="9"/>
  <c r="M17" i="9"/>
  <c r="N17" i="9"/>
  <c r="O17" i="9"/>
  <c r="A18" i="9"/>
  <c r="D18" i="9"/>
  <c r="G18" i="9"/>
  <c r="H18" i="9"/>
  <c r="I18" i="9"/>
  <c r="J18" i="9"/>
  <c r="K18" i="9"/>
  <c r="L18" i="9"/>
  <c r="M18" i="9"/>
  <c r="N18" i="9"/>
  <c r="O18" i="9"/>
  <c r="A19" i="9"/>
  <c r="D19" i="9"/>
  <c r="G19" i="9"/>
  <c r="H19" i="9"/>
  <c r="I19" i="9"/>
  <c r="J19" i="9"/>
  <c r="K19" i="9"/>
  <c r="L19" i="9"/>
  <c r="M19" i="9"/>
  <c r="N19" i="9"/>
  <c r="O19" i="9"/>
  <c r="A20" i="9"/>
  <c r="D20" i="9"/>
  <c r="E20" i="9"/>
  <c r="G20" i="9"/>
  <c r="H20" i="9"/>
  <c r="I20" i="9"/>
  <c r="J20" i="9"/>
  <c r="K20" i="9"/>
  <c r="L20" i="9"/>
  <c r="M20" i="9"/>
  <c r="N20" i="9"/>
  <c r="O20" i="9"/>
  <c r="A21" i="9"/>
  <c r="D21" i="9"/>
  <c r="E21" i="9"/>
  <c r="G21" i="9"/>
  <c r="H21" i="9"/>
  <c r="I21" i="9"/>
  <c r="J21" i="9"/>
  <c r="K21" i="9"/>
  <c r="L21" i="9"/>
  <c r="M21" i="9"/>
  <c r="N21" i="9"/>
  <c r="O21" i="9"/>
  <c r="A22" i="9"/>
  <c r="D22" i="9"/>
  <c r="E22" i="9"/>
  <c r="G22" i="9"/>
  <c r="H22" i="9"/>
  <c r="I22" i="9"/>
  <c r="J22" i="9"/>
  <c r="K22" i="9"/>
  <c r="L22" i="9"/>
  <c r="M22" i="9"/>
  <c r="N22" i="9"/>
  <c r="O22" i="9"/>
  <c r="J3" i="11"/>
  <c r="G4" i="10"/>
  <c r="H4" i="10"/>
  <c r="I4" i="10"/>
  <c r="J4" i="10"/>
  <c r="K4" i="10"/>
  <c r="L4" i="10"/>
  <c r="M4" i="10"/>
  <c r="M19" i="10"/>
  <c r="N19" i="10"/>
  <c r="Q19" i="10"/>
  <c r="P19" i="10"/>
  <c r="R19" i="10"/>
  <c r="O19" i="10"/>
  <c r="S19" i="10"/>
  <c r="N4" i="10"/>
  <c r="O4" i="10"/>
  <c r="P4" i="10"/>
  <c r="Q4" i="10"/>
  <c r="R4" i="10"/>
  <c r="S4" i="10"/>
  <c r="T4" i="10"/>
  <c r="U4" i="10"/>
  <c r="V4" i="10"/>
  <c r="W4" i="10"/>
  <c r="X4" i="10"/>
  <c r="Y4" i="10"/>
  <c r="G5" i="10"/>
  <c r="H5" i="10"/>
  <c r="I5" i="10"/>
  <c r="J5" i="10"/>
  <c r="K5" i="10"/>
  <c r="L5" i="10"/>
  <c r="M5" i="10"/>
  <c r="M24" i="10"/>
  <c r="N24" i="10"/>
  <c r="Q24" i="10"/>
  <c r="P24" i="10"/>
  <c r="R24" i="10"/>
  <c r="O24" i="10"/>
  <c r="S24" i="10"/>
  <c r="N5" i="10"/>
  <c r="O5" i="10"/>
  <c r="P5" i="10"/>
  <c r="Q5" i="10"/>
  <c r="R5" i="10"/>
  <c r="S5" i="10"/>
  <c r="T5" i="10"/>
  <c r="U5" i="10"/>
  <c r="V5" i="10"/>
  <c r="W5" i="10"/>
  <c r="X5" i="10"/>
  <c r="Y5" i="10"/>
  <c r="G7" i="10"/>
  <c r="H7" i="10"/>
  <c r="I7" i="10"/>
  <c r="J7" i="10"/>
  <c r="K7" i="10"/>
  <c r="L7" i="10"/>
  <c r="M7" i="10"/>
  <c r="M23" i="10"/>
  <c r="N23" i="10"/>
  <c r="Q23" i="10"/>
  <c r="P23" i="10"/>
  <c r="R23" i="10"/>
  <c r="O23" i="10"/>
  <c r="S23" i="10"/>
  <c r="N7" i="10"/>
  <c r="O7" i="10"/>
  <c r="P7" i="10"/>
  <c r="Q7" i="10"/>
  <c r="R7" i="10"/>
  <c r="S7" i="10"/>
  <c r="T7" i="10"/>
  <c r="U7" i="10"/>
  <c r="V7" i="10"/>
  <c r="W7" i="10"/>
  <c r="X7" i="10"/>
  <c r="Y7" i="10"/>
  <c r="G8" i="10"/>
  <c r="H8" i="10"/>
  <c r="I8" i="10"/>
  <c r="J8" i="10"/>
  <c r="K8" i="10"/>
  <c r="L8" i="10"/>
  <c r="M8" i="10"/>
  <c r="N8" i="10"/>
  <c r="O8" i="10"/>
  <c r="P8" i="10"/>
  <c r="Q8" i="10"/>
  <c r="R8" i="10"/>
  <c r="S8" i="10"/>
  <c r="T8" i="10"/>
  <c r="U8" i="10"/>
  <c r="V8" i="10"/>
  <c r="W8" i="10"/>
  <c r="X8" i="10"/>
  <c r="Y8" i="10"/>
  <c r="G10" i="10"/>
  <c r="H10" i="10"/>
  <c r="I10" i="10"/>
  <c r="J10" i="10"/>
  <c r="K10" i="10"/>
  <c r="L10" i="10"/>
  <c r="M10" i="10"/>
  <c r="M28" i="10"/>
  <c r="N28" i="10"/>
  <c r="Q28" i="10"/>
  <c r="P28" i="10"/>
  <c r="R28" i="10"/>
  <c r="O28" i="10"/>
  <c r="S28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G12" i="10"/>
  <c r="H12" i="10"/>
  <c r="I12" i="10"/>
  <c r="J12" i="10"/>
  <c r="K12" i="10"/>
  <c r="L12" i="10"/>
  <c r="M12" i="10"/>
  <c r="M29" i="10"/>
  <c r="N29" i="10"/>
  <c r="Q29" i="10"/>
  <c r="P29" i="10"/>
  <c r="R29" i="10"/>
  <c r="O29" i="10"/>
  <c r="S29" i="10"/>
  <c r="N12" i="10"/>
  <c r="O12" i="10"/>
  <c r="P12" i="10"/>
  <c r="Q12" i="10"/>
  <c r="R12" i="10"/>
  <c r="S12" i="10"/>
  <c r="T12" i="10"/>
  <c r="U12" i="10"/>
  <c r="V12" i="10"/>
  <c r="W12" i="10"/>
  <c r="X12" i="10"/>
  <c r="Y12" i="10"/>
  <c r="G13" i="10"/>
  <c r="H13" i="10"/>
  <c r="I13" i="10"/>
  <c r="J13" i="10"/>
  <c r="K13" i="10"/>
  <c r="L13" i="10"/>
  <c r="M13" i="10"/>
  <c r="M30" i="10"/>
  <c r="N30" i="10"/>
  <c r="Q30" i="10"/>
  <c r="P30" i="10"/>
  <c r="R30" i="10"/>
  <c r="O30" i="10"/>
  <c r="S30" i="10"/>
  <c r="N13" i="10"/>
  <c r="O13" i="10"/>
  <c r="P13" i="10"/>
  <c r="Q13" i="10"/>
  <c r="R13" i="10"/>
  <c r="S13" i="10"/>
  <c r="T13" i="10"/>
  <c r="U13" i="10"/>
  <c r="V13" i="10"/>
  <c r="W13" i="10"/>
  <c r="X13" i="10"/>
  <c r="Y13" i="10"/>
  <c r="G14" i="10"/>
  <c r="H14" i="10"/>
  <c r="I14" i="10"/>
  <c r="J14" i="10"/>
  <c r="K14" i="10"/>
  <c r="L14" i="10"/>
  <c r="M14" i="10"/>
  <c r="N14" i="10"/>
  <c r="O14" i="10"/>
  <c r="P14" i="10"/>
  <c r="Q14" i="10"/>
  <c r="R14" i="10"/>
  <c r="S14" i="10"/>
  <c r="T14" i="10"/>
  <c r="U14" i="10"/>
  <c r="V14" i="10"/>
  <c r="W14" i="10"/>
  <c r="X14" i="10"/>
  <c r="Y14" i="10"/>
  <c r="G15" i="10"/>
  <c r="H15" i="10"/>
  <c r="I15" i="10"/>
  <c r="J15" i="10"/>
  <c r="K15" i="10"/>
  <c r="L15" i="10"/>
  <c r="T15" i="10"/>
  <c r="U15" i="10"/>
  <c r="V15" i="10"/>
  <c r="W15" i="10"/>
  <c r="X15" i="10"/>
  <c r="Y15" i="10"/>
  <c r="G16" i="10"/>
  <c r="H16" i="10"/>
  <c r="I16" i="10"/>
  <c r="J16" i="10"/>
  <c r="K16" i="10"/>
  <c r="L16" i="10"/>
  <c r="M16" i="10"/>
  <c r="N16" i="10"/>
  <c r="O16" i="10"/>
  <c r="P16" i="10"/>
  <c r="Q16" i="10"/>
  <c r="R16" i="10"/>
  <c r="S16" i="10"/>
  <c r="T16" i="10"/>
  <c r="U16" i="10"/>
  <c r="V16" i="10"/>
  <c r="W16" i="10"/>
  <c r="X16" i="10"/>
  <c r="Y16" i="10"/>
  <c r="G19" i="10"/>
  <c r="H19" i="10"/>
  <c r="I19" i="10"/>
  <c r="J19" i="10"/>
  <c r="K19" i="10"/>
  <c r="L19" i="10"/>
  <c r="T19" i="10"/>
  <c r="U19" i="10"/>
  <c r="V19" i="10"/>
  <c r="W19" i="10"/>
  <c r="X19" i="10"/>
  <c r="Y19" i="10"/>
  <c r="G24" i="10"/>
  <c r="H24" i="10"/>
  <c r="I24" i="10"/>
  <c r="J24" i="10"/>
  <c r="K24" i="10"/>
  <c r="L24" i="10"/>
  <c r="T24" i="10"/>
  <c r="U24" i="10"/>
  <c r="V24" i="10"/>
  <c r="W24" i="10"/>
  <c r="X24" i="10"/>
  <c r="Y24" i="10"/>
  <c r="G23" i="10"/>
  <c r="H23" i="10"/>
  <c r="I23" i="10"/>
  <c r="J23" i="10"/>
  <c r="K23" i="10"/>
  <c r="L23" i="10"/>
  <c r="T23" i="10"/>
  <c r="U23" i="10"/>
  <c r="V23" i="10"/>
  <c r="W23" i="10"/>
  <c r="X23" i="10"/>
  <c r="Y23" i="10"/>
  <c r="G27" i="10"/>
  <c r="H27" i="10"/>
  <c r="I27" i="10"/>
  <c r="J27" i="10"/>
  <c r="K27" i="10"/>
  <c r="L27" i="10"/>
  <c r="T27" i="10"/>
  <c r="U27" i="10"/>
  <c r="V27" i="10"/>
  <c r="W27" i="10"/>
  <c r="X27" i="10"/>
  <c r="Y27" i="10"/>
  <c r="G28" i="10"/>
  <c r="H28" i="10"/>
  <c r="I28" i="10"/>
  <c r="J28" i="10"/>
  <c r="K28" i="10"/>
  <c r="L28" i="10"/>
  <c r="T28" i="10"/>
  <c r="U28" i="10"/>
  <c r="V28" i="10"/>
  <c r="W28" i="10"/>
  <c r="X28" i="10"/>
  <c r="Y28" i="10"/>
  <c r="G29" i="10"/>
  <c r="H29" i="10"/>
  <c r="I29" i="10"/>
  <c r="J29" i="10"/>
  <c r="K29" i="10"/>
  <c r="L29" i="10"/>
  <c r="T29" i="10"/>
  <c r="U29" i="10"/>
  <c r="V29" i="10"/>
  <c r="W29" i="10"/>
  <c r="X29" i="10"/>
  <c r="Y29" i="10"/>
  <c r="G30" i="10"/>
  <c r="H30" i="10"/>
  <c r="I30" i="10"/>
  <c r="J30" i="10"/>
  <c r="K30" i="10"/>
  <c r="L30" i="10"/>
  <c r="T30" i="10"/>
  <c r="U30" i="10"/>
  <c r="V30" i="10"/>
  <c r="W30" i="10"/>
  <c r="X30" i="10"/>
  <c r="Y30" i="10"/>
  <c r="AF16" i="1"/>
  <c r="AI16" i="1"/>
  <c r="AG16" i="1"/>
  <c r="AE16" i="1"/>
  <c r="X16" i="1"/>
  <c r="T16" i="1"/>
  <c r="Q16" i="1"/>
  <c r="P16" i="1"/>
  <c r="O16" i="1"/>
  <c r="N16" i="1"/>
  <c r="M16" i="1"/>
  <c r="H16" i="1"/>
  <c r="J16" i="1"/>
  <c r="I16" i="1"/>
  <c r="D16" i="1"/>
  <c r="F16" i="1"/>
  <c r="E16" i="1"/>
  <c r="A16" i="1"/>
  <c r="AD15" i="1"/>
  <c r="AF15" i="1"/>
  <c r="AI15" i="1"/>
  <c r="AG15" i="1"/>
  <c r="AE15" i="1"/>
  <c r="X15" i="1"/>
  <c r="V15" i="1"/>
  <c r="T15" i="1"/>
  <c r="Q15" i="1"/>
  <c r="P15" i="1"/>
  <c r="O15" i="1"/>
  <c r="N15" i="1"/>
  <c r="M15" i="1"/>
  <c r="H15" i="1"/>
  <c r="J15" i="1"/>
  <c r="I15" i="1"/>
  <c r="D15" i="1"/>
  <c r="F15" i="1"/>
  <c r="E15" i="1"/>
  <c r="A15" i="1"/>
  <c r="AD14" i="1"/>
  <c r="AF14" i="1"/>
  <c r="AI14" i="1"/>
  <c r="AG14" i="1"/>
  <c r="AE14" i="1"/>
  <c r="X14" i="1"/>
  <c r="V14" i="1"/>
  <c r="T14" i="1"/>
  <c r="Q14" i="1"/>
  <c r="P14" i="1"/>
  <c r="O14" i="1"/>
  <c r="N14" i="1"/>
  <c r="M14" i="1"/>
  <c r="H14" i="1"/>
  <c r="J14" i="1"/>
  <c r="I14" i="1"/>
  <c r="D14" i="1"/>
  <c r="F14" i="1"/>
  <c r="E14" i="1"/>
  <c r="A14" i="1"/>
  <c r="AD13" i="1"/>
  <c r="AF13" i="1"/>
  <c r="AI13" i="1"/>
  <c r="AG13" i="1"/>
  <c r="AE13" i="1"/>
  <c r="X13" i="1"/>
  <c r="V13" i="1"/>
  <c r="T13" i="1"/>
  <c r="Q13" i="1"/>
  <c r="P13" i="1"/>
  <c r="O13" i="1"/>
  <c r="N13" i="1"/>
  <c r="M13" i="1"/>
  <c r="H13" i="1"/>
  <c r="J13" i="1"/>
  <c r="I13" i="1"/>
  <c r="D13" i="1"/>
  <c r="F13" i="1"/>
  <c r="E13" i="1"/>
  <c r="A13" i="1"/>
  <c r="AD12" i="1"/>
  <c r="AF12" i="1"/>
  <c r="AI12" i="1"/>
  <c r="AG12" i="1"/>
  <c r="AE12" i="1"/>
  <c r="X12" i="1"/>
  <c r="V12" i="1"/>
  <c r="T12" i="1"/>
  <c r="Q12" i="1"/>
  <c r="P12" i="1"/>
  <c r="O12" i="1"/>
  <c r="N12" i="1"/>
  <c r="M12" i="1"/>
  <c r="H12" i="1"/>
  <c r="J12" i="1"/>
  <c r="I12" i="1"/>
  <c r="D12" i="1"/>
  <c r="F12" i="1"/>
  <c r="E12" i="1"/>
  <c r="A12" i="1"/>
  <c r="AF11" i="1"/>
  <c r="AI11" i="1"/>
  <c r="AG11" i="1"/>
  <c r="AE11" i="1"/>
  <c r="X11" i="1"/>
  <c r="V11" i="1"/>
  <c r="T11" i="1"/>
  <c r="Q11" i="1"/>
  <c r="P11" i="1"/>
  <c r="O11" i="1"/>
  <c r="N11" i="1"/>
  <c r="M11" i="1"/>
  <c r="H11" i="1"/>
  <c r="J11" i="1"/>
  <c r="I11" i="1"/>
  <c r="D11" i="1"/>
  <c r="F11" i="1"/>
  <c r="E11" i="1"/>
  <c r="A11" i="1"/>
  <c r="AD10" i="1"/>
  <c r="AF10" i="1"/>
  <c r="AI10" i="1"/>
  <c r="AG10" i="1"/>
  <c r="AE10" i="1"/>
  <c r="X10" i="1"/>
  <c r="V10" i="1"/>
  <c r="T10" i="1"/>
  <c r="Q10" i="1"/>
  <c r="P10" i="1"/>
  <c r="O10" i="1"/>
  <c r="N10" i="1"/>
  <c r="M10" i="1"/>
  <c r="H10" i="1"/>
  <c r="J10" i="1"/>
  <c r="I10" i="1"/>
  <c r="D10" i="1"/>
  <c r="F10" i="1"/>
  <c r="E10" i="1"/>
  <c r="A10" i="1"/>
  <c r="AD9" i="1"/>
  <c r="AF9" i="1"/>
  <c r="AI9" i="1"/>
  <c r="AG9" i="1"/>
  <c r="AE9" i="1"/>
  <c r="X9" i="1"/>
  <c r="V9" i="1"/>
  <c r="T9" i="1"/>
  <c r="Q9" i="1"/>
  <c r="P9" i="1"/>
  <c r="O9" i="1"/>
  <c r="N9" i="1"/>
  <c r="M9" i="1"/>
  <c r="H9" i="1"/>
  <c r="J9" i="1"/>
  <c r="I9" i="1"/>
  <c r="D9" i="1"/>
  <c r="F9" i="1"/>
  <c r="E9" i="1"/>
  <c r="A9" i="1"/>
  <c r="AD8" i="1"/>
  <c r="AF8" i="1"/>
  <c r="AI8" i="1"/>
  <c r="AG8" i="1"/>
  <c r="AE8" i="1"/>
  <c r="X8" i="1"/>
  <c r="V8" i="1"/>
  <c r="T8" i="1"/>
  <c r="Q8" i="1"/>
  <c r="P8" i="1"/>
  <c r="O8" i="1"/>
  <c r="N8" i="1"/>
  <c r="M8" i="1"/>
  <c r="H8" i="1"/>
  <c r="J8" i="1"/>
  <c r="I8" i="1"/>
  <c r="D8" i="1"/>
  <c r="F8" i="1"/>
  <c r="E8" i="1"/>
  <c r="A8" i="1"/>
  <c r="AD7" i="1"/>
  <c r="AF7" i="1"/>
  <c r="AI7" i="1"/>
  <c r="AG7" i="1"/>
  <c r="AE7" i="1"/>
  <c r="X7" i="1"/>
  <c r="V7" i="1"/>
  <c r="T7" i="1"/>
  <c r="Q7" i="1"/>
  <c r="P7" i="1"/>
  <c r="O7" i="1"/>
  <c r="N7" i="1"/>
  <c r="M7" i="1"/>
  <c r="H7" i="1"/>
  <c r="J7" i="1"/>
  <c r="I7" i="1"/>
  <c r="D7" i="1"/>
  <c r="F7" i="1"/>
  <c r="E7" i="1"/>
  <c r="A7" i="1"/>
  <c r="X3" i="1"/>
  <c r="X4" i="1"/>
  <c r="X5" i="1"/>
  <c r="X6" i="1"/>
  <c r="X2" i="1"/>
  <c r="A3" i="1"/>
  <c r="D3" i="1"/>
  <c r="E3" i="1"/>
  <c r="F3" i="1"/>
  <c r="H3" i="1"/>
  <c r="I3" i="1"/>
  <c r="J3" i="1"/>
  <c r="M3" i="1"/>
  <c r="N3" i="1"/>
  <c r="O3" i="1"/>
  <c r="P3" i="1"/>
  <c r="Q3" i="1"/>
  <c r="T3" i="1"/>
  <c r="V3" i="1"/>
  <c r="AD3" i="1"/>
  <c r="AE3" i="1"/>
  <c r="AF3" i="1"/>
  <c r="AG3" i="1"/>
  <c r="AI3" i="1"/>
  <c r="A4" i="1"/>
  <c r="D4" i="1"/>
  <c r="E4" i="1"/>
  <c r="F4" i="1"/>
  <c r="H4" i="1"/>
  <c r="I4" i="1"/>
  <c r="J4" i="1"/>
  <c r="M4" i="1"/>
  <c r="N4" i="1"/>
  <c r="O4" i="1"/>
  <c r="P4" i="1"/>
  <c r="Q4" i="1"/>
  <c r="T4" i="1"/>
  <c r="V4" i="1"/>
  <c r="AD4" i="1"/>
  <c r="AE4" i="1"/>
  <c r="AF4" i="1"/>
  <c r="AG4" i="1"/>
  <c r="AI4" i="1"/>
  <c r="A5" i="1"/>
  <c r="D5" i="1"/>
  <c r="E5" i="1"/>
  <c r="F5" i="1"/>
  <c r="H5" i="1"/>
  <c r="I5" i="1"/>
  <c r="J5" i="1"/>
  <c r="M5" i="1"/>
  <c r="N5" i="1"/>
  <c r="O5" i="1"/>
  <c r="P5" i="1"/>
  <c r="Q5" i="1"/>
  <c r="T5" i="1"/>
  <c r="V5" i="1"/>
  <c r="AD5" i="1"/>
  <c r="AE5" i="1"/>
  <c r="AF5" i="1"/>
  <c r="AG5" i="1"/>
  <c r="AI5" i="1"/>
  <c r="A6" i="1"/>
  <c r="D6" i="1"/>
  <c r="E6" i="1"/>
  <c r="F6" i="1"/>
  <c r="H6" i="1"/>
  <c r="I6" i="1"/>
  <c r="J6" i="1"/>
  <c r="M6" i="1"/>
  <c r="N6" i="1"/>
  <c r="O6" i="1"/>
  <c r="P6" i="1"/>
  <c r="Q6" i="1"/>
  <c r="T6" i="1"/>
  <c r="V6" i="1"/>
  <c r="AE6" i="1"/>
  <c r="AF6" i="1"/>
  <c r="AG6" i="1"/>
  <c r="AI6" i="1"/>
  <c r="H13" i="2"/>
  <c r="E13" i="2"/>
  <c r="D13" i="2"/>
  <c r="H2" i="1"/>
  <c r="B13" i="2"/>
  <c r="H12" i="2"/>
  <c r="E12" i="2"/>
  <c r="D12" i="2"/>
  <c r="B12" i="2"/>
  <c r="H11" i="2"/>
  <c r="E11" i="2"/>
  <c r="D11" i="2"/>
  <c r="B11" i="2"/>
  <c r="H10" i="2"/>
  <c r="E10" i="2"/>
  <c r="D10" i="2"/>
  <c r="B10" i="2"/>
  <c r="H9" i="2"/>
  <c r="E9" i="2"/>
  <c r="D9" i="2"/>
  <c r="B9" i="2"/>
  <c r="H8" i="2"/>
  <c r="E8" i="2"/>
  <c r="D8" i="2"/>
  <c r="B8" i="2"/>
  <c r="H7" i="2"/>
  <c r="E7" i="2"/>
  <c r="D7" i="2"/>
  <c r="B7" i="2"/>
  <c r="H6" i="2"/>
  <c r="E6" i="2"/>
  <c r="D6" i="2"/>
  <c r="B6" i="2"/>
  <c r="B3" i="2"/>
  <c r="D3" i="2"/>
  <c r="E3" i="2"/>
  <c r="H3" i="2"/>
  <c r="B4" i="2"/>
  <c r="D4" i="2"/>
  <c r="E4" i="2"/>
  <c r="H4" i="2"/>
  <c r="B5" i="2"/>
  <c r="D5" i="2"/>
  <c r="E5" i="2"/>
  <c r="H5" i="2"/>
  <c r="W2" i="7"/>
  <c r="U2" i="7"/>
  <c r="V2" i="1"/>
  <c r="T2" i="1"/>
  <c r="E13" i="16"/>
  <c r="B69" i="19"/>
  <c r="C69" i="19"/>
  <c r="D69" i="19"/>
  <c r="F69" i="19"/>
  <c r="G69" i="19"/>
  <c r="B70" i="19"/>
  <c r="C70" i="19"/>
  <c r="D70" i="19"/>
  <c r="F70" i="19"/>
  <c r="G70" i="19"/>
  <c r="B71" i="19"/>
  <c r="C71" i="19"/>
  <c r="D71" i="19"/>
  <c r="F71" i="19"/>
  <c r="G71" i="19"/>
  <c r="B72" i="19"/>
  <c r="C72" i="19"/>
  <c r="D72" i="19"/>
  <c r="F72" i="19"/>
  <c r="G72" i="19"/>
  <c r="B73" i="19"/>
  <c r="C73" i="19"/>
  <c r="D73" i="19"/>
  <c r="F73" i="19"/>
  <c r="G73" i="19"/>
  <c r="B74" i="19"/>
  <c r="C74" i="19"/>
  <c r="D74" i="19"/>
  <c r="F74" i="19"/>
  <c r="G74" i="19"/>
  <c r="B75" i="19"/>
  <c r="C75" i="19"/>
  <c r="D75" i="19"/>
  <c r="F75" i="19"/>
  <c r="G75" i="19"/>
  <c r="B76" i="19"/>
  <c r="C76" i="19"/>
  <c r="D76" i="19"/>
  <c r="F76" i="19"/>
  <c r="G76" i="19"/>
  <c r="B77" i="19"/>
  <c r="C77" i="19"/>
  <c r="D77" i="19"/>
  <c r="F77" i="19"/>
  <c r="G77" i="19"/>
  <c r="B78" i="19"/>
  <c r="C78" i="19"/>
  <c r="D78" i="19"/>
  <c r="F78" i="19"/>
  <c r="G78" i="19"/>
  <c r="B79" i="19"/>
  <c r="C79" i="19"/>
  <c r="D79" i="19"/>
  <c r="F79" i="19"/>
  <c r="G79" i="19"/>
  <c r="B80" i="19"/>
  <c r="C80" i="19"/>
  <c r="D80" i="19"/>
  <c r="F80" i="19"/>
  <c r="G80" i="19"/>
  <c r="B81" i="19"/>
  <c r="C81" i="19"/>
  <c r="D81" i="19"/>
  <c r="F81" i="19"/>
  <c r="G81" i="19"/>
  <c r="B82" i="19"/>
  <c r="C82" i="19"/>
  <c r="D82" i="19"/>
  <c r="F82" i="19"/>
  <c r="G82" i="19"/>
  <c r="B68" i="19"/>
  <c r="C68" i="19"/>
  <c r="D68" i="19"/>
  <c r="F68" i="19"/>
  <c r="G68" i="19"/>
  <c r="K68" i="19"/>
  <c r="L68" i="19"/>
  <c r="K69" i="19"/>
  <c r="L69" i="19"/>
  <c r="K70" i="19"/>
  <c r="L70" i="19"/>
  <c r="K71" i="19"/>
  <c r="L71" i="19"/>
  <c r="K72" i="19"/>
  <c r="L72" i="19"/>
  <c r="K73" i="19"/>
  <c r="L73" i="19"/>
  <c r="K74" i="19"/>
  <c r="L74" i="19"/>
  <c r="K75" i="19"/>
  <c r="L75" i="19"/>
  <c r="K76" i="19"/>
  <c r="L76" i="19"/>
  <c r="K77" i="19"/>
  <c r="L77" i="19"/>
  <c r="K78" i="19"/>
  <c r="L78" i="19"/>
  <c r="K79" i="19"/>
  <c r="L79" i="19"/>
  <c r="K80" i="19"/>
  <c r="L80" i="19"/>
  <c r="K81" i="19"/>
  <c r="L81" i="19"/>
  <c r="K82" i="19"/>
  <c r="L82" i="19"/>
  <c r="B35" i="19"/>
  <c r="C35" i="19"/>
  <c r="D35" i="19"/>
  <c r="F35" i="19"/>
  <c r="G35" i="19"/>
  <c r="B36" i="19"/>
  <c r="C36" i="19"/>
  <c r="D36" i="19"/>
  <c r="F36" i="19"/>
  <c r="G36" i="19"/>
  <c r="B37" i="19"/>
  <c r="C37" i="19"/>
  <c r="D37" i="19"/>
  <c r="F37" i="19"/>
  <c r="G37" i="19"/>
  <c r="B38" i="19"/>
  <c r="C38" i="19"/>
  <c r="D38" i="19"/>
  <c r="F38" i="19"/>
  <c r="G38" i="19"/>
  <c r="B39" i="19"/>
  <c r="C39" i="19"/>
  <c r="D39" i="19"/>
  <c r="F39" i="19"/>
  <c r="G39" i="19"/>
  <c r="B40" i="19"/>
  <c r="C40" i="19"/>
  <c r="D40" i="19"/>
  <c r="F40" i="19"/>
  <c r="G40" i="19"/>
  <c r="B41" i="19"/>
  <c r="C41" i="19"/>
  <c r="D41" i="19"/>
  <c r="F41" i="19"/>
  <c r="G41" i="19"/>
  <c r="B42" i="19"/>
  <c r="C42" i="19"/>
  <c r="D42" i="19"/>
  <c r="F42" i="19"/>
  <c r="G42" i="19"/>
  <c r="B43" i="19"/>
  <c r="C43" i="19"/>
  <c r="D43" i="19"/>
  <c r="F43" i="19"/>
  <c r="G43" i="19"/>
  <c r="B44" i="19"/>
  <c r="C44" i="19"/>
  <c r="D44" i="19"/>
  <c r="F44" i="19"/>
  <c r="G44" i="19"/>
  <c r="B45" i="19"/>
  <c r="C45" i="19"/>
  <c r="D45" i="19"/>
  <c r="F45" i="19"/>
  <c r="G45" i="19"/>
  <c r="B46" i="19"/>
  <c r="C46" i="19"/>
  <c r="D46" i="19"/>
  <c r="F46" i="19"/>
  <c r="G46" i="19"/>
  <c r="B47" i="19"/>
  <c r="C47" i="19"/>
  <c r="D47" i="19"/>
  <c r="F47" i="19"/>
  <c r="G47" i="19"/>
  <c r="B48" i="19"/>
  <c r="C48" i="19"/>
  <c r="D48" i="19"/>
  <c r="F48" i="19"/>
  <c r="G48" i="19"/>
  <c r="B49" i="19"/>
  <c r="C49" i="19"/>
  <c r="D49" i="19"/>
  <c r="F49" i="19"/>
  <c r="G49" i="19"/>
  <c r="B50" i="19"/>
  <c r="C50" i="19"/>
  <c r="D50" i="19"/>
  <c r="F50" i="19"/>
  <c r="G50" i="19"/>
  <c r="B51" i="19"/>
  <c r="C51" i="19"/>
  <c r="D51" i="19"/>
  <c r="F51" i="19"/>
  <c r="G51" i="19"/>
  <c r="B52" i="19"/>
  <c r="C52" i="19"/>
  <c r="D52" i="19"/>
  <c r="F52" i="19"/>
  <c r="G52" i="19"/>
  <c r="B53" i="19"/>
  <c r="C53" i="19"/>
  <c r="D53" i="19"/>
  <c r="F53" i="19"/>
  <c r="G53" i="19"/>
  <c r="B54" i="19"/>
  <c r="C54" i="19"/>
  <c r="D54" i="19"/>
  <c r="F54" i="19"/>
  <c r="G54" i="19"/>
  <c r="B55" i="19"/>
  <c r="C55" i="19"/>
  <c r="D55" i="19"/>
  <c r="F55" i="19"/>
  <c r="G55" i="19"/>
  <c r="B56" i="19"/>
  <c r="C56" i="19"/>
  <c r="D56" i="19"/>
  <c r="F56" i="19"/>
  <c r="G56" i="19"/>
  <c r="B57" i="19"/>
  <c r="C57" i="19"/>
  <c r="D57" i="19"/>
  <c r="F57" i="19"/>
  <c r="G57" i="19"/>
  <c r="B58" i="19"/>
  <c r="C58" i="19"/>
  <c r="D58" i="19"/>
  <c r="F58" i="19"/>
  <c r="G58" i="19"/>
  <c r="B59" i="19"/>
  <c r="C59" i="19"/>
  <c r="D59" i="19"/>
  <c r="F59" i="19"/>
  <c r="G59" i="19"/>
  <c r="B60" i="19"/>
  <c r="C60" i="19"/>
  <c r="D60" i="19"/>
  <c r="F60" i="19"/>
  <c r="G60" i="19"/>
  <c r="B61" i="19"/>
  <c r="C61" i="19"/>
  <c r="D61" i="19"/>
  <c r="F61" i="19"/>
  <c r="G61" i="19"/>
  <c r="B62" i="19"/>
  <c r="C62" i="19"/>
  <c r="D62" i="19"/>
  <c r="F62" i="19"/>
  <c r="G62" i="19"/>
  <c r="B63" i="19"/>
  <c r="C63" i="19"/>
  <c r="D63" i="19"/>
  <c r="F63" i="19"/>
  <c r="G63" i="19"/>
  <c r="B64" i="19"/>
  <c r="C64" i="19"/>
  <c r="D64" i="19"/>
  <c r="F64" i="19"/>
  <c r="G64" i="19"/>
  <c r="B65" i="19"/>
  <c r="C65" i="19"/>
  <c r="D65" i="19"/>
  <c r="F65" i="19"/>
  <c r="G65" i="19"/>
  <c r="B66" i="19"/>
  <c r="C66" i="19"/>
  <c r="D66" i="19"/>
  <c r="F66" i="19"/>
  <c r="G66" i="19"/>
  <c r="B67" i="19"/>
  <c r="C67" i="19"/>
  <c r="D67" i="19"/>
  <c r="F67" i="19"/>
  <c r="G67" i="19"/>
  <c r="K34" i="19"/>
  <c r="L34" i="19"/>
  <c r="K35" i="19"/>
  <c r="L35" i="19"/>
  <c r="K36" i="19"/>
  <c r="L36" i="19"/>
  <c r="K37" i="19"/>
  <c r="L37" i="19"/>
  <c r="K38" i="19"/>
  <c r="L38" i="19"/>
  <c r="K39" i="19"/>
  <c r="L39" i="19"/>
  <c r="K40" i="19"/>
  <c r="L40" i="19"/>
  <c r="K41" i="19"/>
  <c r="L41" i="19"/>
  <c r="K42" i="19"/>
  <c r="L42" i="19"/>
  <c r="K43" i="19"/>
  <c r="L43" i="19"/>
  <c r="K44" i="19"/>
  <c r="L44" i="19"/>
  <c r="K45" i="19"/>
  <c r="L45" i="19"/>
  <c r="K46" i="19"/>
  <c r="L46" i="19"/>
  <c r="K47" i="19"/>
  <c r="L47" i="19"/>
  <c r="K48" i="19"/>
  <c r="L48" i="19"/>
  <c r="K49" i="19"/>
  <c r="L49" i="19"/>
  <c r="K50" i="19"/>
  <c r="L50" i="19"/>
  <c r="K51" i="19"/>
  <c r="L51" i="19"/>
  <c r="K52" i="19"/>
  <c r="L52" i="19"/>
  <c r="K53" i="19"/>
  <c r="L53" i="19"/>
  <c r="K54" i="19"/>
  <c r="L54" i="19"/>
  <c r="K55" i="19"/>
  <c r="L55" i="19"/>
  <c r="K56" i="19"/>
  <c r="L56" i="19"/>
  <c r="K57" i="19"/>
  <c r="L57" i="19"/>
  <c r="K58" i="19"/>
  <c r="L58" i="19"/>
  <c r="K59" i="19"/>
  <c r="L59" i="19"/>
  <c r="K60" i="19"/>
  <c r="L60" i="19"/>
  <c r="K61" i="19"/>
  <c r="L61" i="19"/>
  <c r="K62" i="19"/>
  <c r="L62" i="19"/>
  <c r="K63" i="19"/>
  <c r="L63" i="19"/>
  <c r="K64" i="19"/>
  <c r="L64" i="19"/>
  <c r="K65" i="19"/>
  <c r="L65" i="19"/>
  <c r="K66" i="19"/>
  <c r="L66" i="19"/>
  <c r="K67" i="19"/>
  <c r="L67" i="19"/>
  <c r="B34" i="19"/>
  <c r="C34" i="19"/>
  <c r="D34" i="19"/>
  <c r="F34" i="19"/>
  <c r="G34" i="19"/>
  <c r="B3" i="19"/>
  <c r="C3" i="19"/>
  <c r="D3" i="19"/>
  <c r="F3" i="19"/>
  <c r="G3" i="19"/>
  <c r="B4" i="19"/>
  <c r="C4" i="19"/>
  <c r="D4" i="19"/>
  <c r="F4" i="19"/>
  <c r="G4" i="19"/>
  <c r="B5" i="19"/>
  <c r="C5" i="19"/>
  <c r="D5" i="19"/>
  <c r="F5" i="19"/>
  <c r="G5" i="19"/>
  <c r="B6" i="19"/>
  <c r="C6" i="19"/>
  <c r="D6" i="19"/>
  <c r="F6" i="19"/>
  <c r="G6" i="19"/>
  <c r="B7" i="19"/>
  <c r="C7" i="19"/>
  <c r="D7" i="19"/>
  <c r="F7" i="19"/>
  <c r="G7" i="19"/>
  <c r="B8" i="19"/>
  <c r="C8" i="19"/>
  <c r="D8" i="19"/>
  <c r="F8" i="19"/>
  <c r="G8" i="19"/>
  <c r="B9" i="19"/>
  <c r="C9" i="19"/>
  <c r="D9" i="19"/>
  <c r="F9" i="19"/>
  <c r="G9" i="19"/>
  <c r="B10" i="19"/>
  <c r="C10" i="19"/>
  <c r="D10" i="19"/>
  <c r="F10" i="19"/>
  <c r="G10" i="19"/>
  <c r="B11" i="19"/>
  <c r="C11" i="19"/>
  <c r="D11" i="19"/>
  <c r="F11" i="19"/>
  <c r="G11" i="19"/>
  <c r="B12" i="19"/>
  <c r="C12" i="19"/>
  <c r="D12" i="19"/>
  <c r="F12" i="19"/>
  <c r="G12" i="19"/>
  <c r="B13" i="19"/>
  <c r="C13" i="19"/>
  <c r="D13" i="19"/>
  <c r="F13" i="19"/>
  <c r="G13" i="19"/>
  <c r="B14" i="19"/>
  <c r="C14" i="19"/>
  <c r="D14" i="19"/>
  <c r="F14" i="19"/>
  <c r="G14" i="19"/>
  <c r="B15" i="19"/>
  <c r="C15" i="19"/>
  <c r="D15" i="19"/>
  <c r="F15" i="19"/>
  <c r="G15" i="19"/>
  <c r="B16" i="19"/>
  <c r="C16" i="19"/>
  <c r="D16" i="19"/>
  <c r="F16" i="19"/>
  <c r="G16" i="19"/>
  <c r="B17" i="19"/>
  <c r="C17" i="19"/>
  <c r="D17" i="19"/>
  <c r="F17" i="19"/>
  <c r="G17" i="19"/>
  <c r="B18" i="19"/>
  <c r="C18" i="19"/>
  <c r="D18" i="19"/>
  <c r="F18" i="19"/>
  <c r="G18" i="19"/>
  <c r="B19" i="19"/>
  <c r="C19" i="19"/>
  <c r="D19" i="19"/>
  <c r="F19" i="19"/>
  <c r="G19" i="19"/>
  <c r="B20" i="19"/>
  <c r="C20" i="19"/>
  <c r="D20" i="19"/>
  <c r="F20" i="19"/>
  <c r="G20" i="19"/>
  <c r="B21" i="19"/>
  <c r="C21" i="19"/>
  <c r="D21" i="19"/>
  <c r="F21" i="19"/>
  <c r="G21" i="19"/>
  <c r="B22" i="19"/>
  <c r="C22" i="19"/>
  <c r="D22" i="19"/>
  <c r="F22" i="19"/>
  <c r="G22" i="19"/>
  <c r="B23" i="19"/>
  <c r="C23" i="19"/>
  <c r="D23" i="19"/>
  <c r="F23" i="19"/>
  <c r="G23" i="19"/>
  <c r="B24" i="19"/>
  <c r="C24" i="19"/>
  <c r="D24" i="19"/>
  <c r="F24" i="19"/>
  <c r="G24" i="19"/>
  <c r="B25" i="19"/>
  <c r="C25" i="19"/>
  <c r="D25" i="19"/>
  <c r="F25" i="19"/>
  <c r="G25" i="19"/>
  <c r="B26" i="19"/>
  <c r="C26" i="19"/>
  <c r="D26" i="19"/>
  <c r="F26" i="19"/>
  <c r="G26" i="19"/>
  <c r="B27" i="19"/>
  <c r="C27" i="19"/>
  <c r="D27" i="19"/>
  <c r="F27" i="19"/>
  <c r="G27" i="19"/>
  <c r="B28" i="19"/>
  <c r="C28" i="19"/>
  <c r="D28" i="19"/>
  <c r="F28" i="19"/>
  <c r="G28" i="19"/>
  <c r="B29" i="19"/>
  <c r="C29" i="19"/>
  <c r="D29" i="19"/>
  <c r="F29" i="19"/>
  <c r="G29" i="19"/>
  <c r="B30" i="19"/>
  <c r="C30" i="19"/>
  <c r="D30" i="19"/>
  <c r="F30" i="19"/>
  <c r="G30" i="19"/>
  <c r="B31" i="19"/>
  <c r="C31" i="19"/>
  <c r="D31" i="19"/>
  <c r="F31" i="19"/>
  <c r="G31" i="19"/>
  <c r="B32" i="19"/>
  <c r="C32" i="19"/>
  <c r="D32" i="19"/>
  <c r="F32" i="19"/>
  <c r="G32" i="19"/>
  <c r="B33" i="19"/>
  <c r="C33" i="19"/>
  <c r="D33" i="19"/>
  <c r="F33" i="19"/>
  <c r="G33" i="19"/>
  <c r="K2" i="19"/>
  <c r="L2" i="19"/>
  <c r="K3" i="19"/>
  <c r="L3" i="19"/>
  <c r="K4" i="19"/>
  <c r="L4" i="19"/>
  <c r="K5" i="19"/>
  <c r="L5" i="19"/>
  <c r="K6" i="19"/>
  <c r="L6" i="19"/>
  <c r="K7" i="19"/>
  <c r="L7" i="19"/>
  <c r="K8" i="19"/>
  <c r="L8" i="19"/>
  <c r="K9" i="19"/>
  <c r="L9" i="19"/>
  <c r="K10" i="19"/>
  <c r="L10" i="19"/>
  <c r="K11" i="19"/>
  <c r="L11" i="19"/>
  <c r="K12" i="19"/>
  <c r="L12" i="19"/>
  <c r="K13" i="19"/>
  <c r="L13" i="19"/>
  <c r="K14" i="19"/>
  <c r="L14" i="19"/>
  <c r="K15" i="19"/>
  <c r="L15" i="19"/>
  <c r="K16" i="19"/>
  <c r="L16" i="19"/>
  <c r="K17" i="19"/>
  <c r="L17" i="19"/>
  <c r="K18" i="19"/>
  <c r="L18" i="19"/>
  <c r="K19" i="19"/>
  <c r="L19" i="19"/>
  <c r="K20" i="19"/>
  <c r="L20" i="19"/>
  <c r="K21" i="19"/>
  <c r="L21" i="19"/>
  <c r="K22" i="19"/>
  <c r="L22" i="19"/>
  <c r="K23" i="19"/>
  <c r="L23" i="19"/>
  <c r="K24" i="19"/>
  <c r="L24" i="19"/>
  <c r="K25" i="19"/>
  <c r="L25" i="19"/>
  <c r="K26" i="19"/>
  <c r="L26" i="19"/>
  <c r="K27" i="19"/>
  <c r="L27" i="19"/>
  <c r="K28" i="19"/>
  <c r="L28" i="19"/>
  <c r="K29" i="19"/>
  <c r="L29" i="19"/>
  <c r="K30" i="19"/>
  <c r="L30" i="19"/>
  <c r="K31" i="19"/>
  <c r="L31" i="19"/>
  <c r="K32" i="19"/>
  <c r="L32" i="19"/>
  <c r="K33" i="19"/>
  <c r="L33" i="19"/>
  <c r="B2" i="19"/>
  <c r="C2" i="19"/>
  <c r="D2" i="19"/>
  <c r="F2" i="19"/>
  <c r="G2" i="19"/>
  <c r="B2" i="21"/>
  <c r="I2" i="21"/>
  <c r="J2" i="21"/>
  <c r="G2" i="21"/>
  <c r="F2" i="21"/>
  <c r="D2" i="21"/>
  <c r="C2" i="21"/>
  <c r="E12" i="16"/>
  <c r="E11" i="16"/>
  <c r="E10" i="16"/>
  <c r="O3" i="9"/>
  <c r="N3" i="9"/>
  <c r="M3" i="9"/>
  <c r="L3" i="9"/>
  <c r="K3" i="9"/>
  <c r="J3" i="9"/>
  <c r="I3" i="9"/>
  <c r="H3" i="9"/>
  <c r="G3" i="9"/>
  <c r="D3" i="9"/>
  <c r="E9" i="16"/>
  <c r="R2" i="7"/>
  <c r="Q2" i="7"/>
  <c r="P2" i="7"/>
  <c r="O2" i="7"/>
  <c r="N2" i="7"/>
  <c r="AD2" i="1"/>
  <c r="AG2" i="1"/>
  <c r="AF2" i="1"/>
  <c r="AE2" i="1"/>
  <c r="Q2" i="1"/>
  <c r="P2" i="1"/>
  <c r="O2" i="1"/>
  <c r="N2" i="1"/>
  <c r="M2" i="1"/>
  <c r="M3" i="10"/>
  <c r="T3" i="10"/>
  <c r="V3" i="10"/>
  <c r="N3" i="10"/>
  <c r="P3" i="10"/>
  <c r="G3" i="10"/>
  <c r="I3" i="10"/>
  <c r="X3" i="10"/>
  <c r="W3" i="10"/>
  <c r="U3" i="10"/>
  <c r="Y3" i="10"/>
  <c r="R3" i="10"/>
  <c r="Q3" i="10"/>
  <c r="O3" i="10"/>
  <c r="S3" i="10"/>
  <c r="K3" i="10"/>
  <c r="J3" i="10"/>
  <c r="H3" i="10"/>
  <c r="L3" i="10"/>
  <c r="AI2" i="1"/>
  <c r="H2" i="7"/>
  <c r="J2" i="7"/>
  <c r="E8" i="16"/>
  <c r="E7" i="16"/>
  <c r="E6" i="16"/>
  <c r="E5" i="16"/>
  <c r="E4" i="16"/>
  <c r="E3" i="16"/>
  <c r="E2" i="16"/>
  <c r="A2" i="1"/>
  <c r="A3" i="9"/>
  <c r="I2" i="7"/>
  <c r="D2" i="7"/>
  <c r="F2" i="7"/>
  <c r="E2" i="7"/>
  <c r="J2" i="1"/>
  <c r="I2" i="1"/>
  <c r="D2" i="2"/>
  <c r="E2" i="2"/>
  <c r="H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<sst xmlns="http://schemas.openxmlformats.org/spreadsheetml/2006/main" count="1091" uniqueCount="424">
  <si>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</si>
  <si>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</si>
  <si>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</si>
  <si>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</si>
  <si>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</si>
  <si>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</si>
  <si>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</si>
  <si>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</si>
  <si>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</si>
  <si>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</si>
  <si>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</si>
  <si>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</si>
  <si>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</si>
  <si>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</si>
  <si>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</si>
  <si>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</si>
  <si>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</si>
  <si>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</si>
  <si>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</si>
  <si>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</si>
  <si>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</si>
  <si>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</si>
  <si>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</si>
  <si>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</si>
  <si>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</si>
  <si>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</si>
  <si>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</si>
  <si>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</si>
  <si>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</si>
  <si>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</si>
  <si>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</si>
  <si>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</si>
  <si>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</si>
  <si>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</si>
  <si>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</si>
  <si>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</si>
  <si>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</si>
  <si>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</si>
  <si>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</si>
  <si>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</si>
  <si>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</si>
  <si>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</si>
  <si>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</si>
  <si>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</si>
  <si>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</si>
  <si>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</si>
  <si>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</si>
  <si>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</si>
  <si>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</si>
  <si>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</si>
  <si>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</si>
  <si>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</si>
  <si>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</si>
  <si>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</si>
  <si>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</si>
  <si>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</si>
  <si>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</si>
  <si>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</si>
  <si>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</si>
  <si>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</si>
  <si>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</si>
  <si>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</si>
  <si>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</si>
  <si>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</si>
  <si>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</si>
  <si>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</si>
  <si>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</si>
  <si>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</si>
  <si>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</si>
  <si>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</si>
  <si>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</si>
  <si>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</si>
  <si>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</si>
  <si>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</si>
  <si>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</si>
  <si>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</si>
  <si>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</si>
  <si>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</si>
  <si>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</si>
  <si>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</si>
  <si>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</si>
  <si>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</si>
  <si>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</si>
  <si>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</si>
  <si>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</si>
  <si>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</si>
  <si>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</si>
  <si>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</si>
  <si>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</si>
  <si>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</si>
  <si>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</si>
  <si>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</si>
  <si>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</si>
  <si>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</si>
  <si>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</si>
  <si>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</si>
  <si>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</si>
  <si>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</si>
  <si>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</si>
  <si>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</si>
  <si>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</si>
  <si>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</si>
  <si>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</si>
  <si>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</si>
  <si>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</si>
  <si>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</si>
  <si>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</si>
  <si>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</si>
  <si>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</si>
  <si>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</si>
  <si>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</si>
  <si>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</si>
  <si>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</si>
  <si>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</si>
  <si>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</si>
  <si>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</si>
  <si>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</si>
  <si>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</si>
  <si>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</si>
  <si>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</si>
  <si>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</si>
  <si>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</si>
  <si>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</si>
  <si>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</si>
  <si>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</si>
  <si>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</si>
  <si>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</si>
  <si>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</si>
  <si>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</si>
  <si>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</si>
  <si>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</si>
  <si>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</si>
  <si>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</si>
  <si>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</si>
  <si>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</si>
  <si>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</si>
  <si>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</si>
  <si>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</si>
  <si>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</si>
  <si>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</si>
  <si>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</si>
  <si>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</si>
  <si>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</si>
  <si>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</si>
  <si>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</si>
  <si>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</si>
  <si>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</si>
  <si>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</si>
  <si>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</si>
  <si>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</si>
  <si>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</si>
  <si>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</si>
  <si>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</si>
  <si>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</si>
  <si>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</si>
  <si>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</si>
  <si>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</si>
  <si>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</si>
  <si>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</si>
  <si>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</si>
  <si>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</si>
  <si>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</si>
  <si>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</si>
  <si>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</si>
  <si>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</si>
  <si>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</si>
  <si>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</si>
  <si>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</si>
  <si>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</si>
  <si>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</si>
  <si>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</si>
  <si>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</si>
  <si>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</si>
  <si>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</si>
  <si>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</si>
  <si>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</si>
  <si>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</si>
  <si>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</si>
  <si>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</si>
  <si>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</si>
  <si>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</si>
  <si>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</si>
  <si>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</si>
  <si>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</si>
  <si>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</si>
  <si>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</si>
  <si>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</si>
  <si>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</si>
  <si>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</si>
  <si>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</si>
  <si>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</si>
  <si>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</si>
  <si>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</si>
  <si>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</si>
  <si>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</si>
  <si>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</si>
  <si>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</si>
  <si>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</si>
  <si>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NULL</t>
    <phoneticPr fontId="5"/>
  </si>
  <si>
    <t>complete</t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</si>
  <si>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</si>
  <si>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</si>
  <si>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</si>
  <si>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</si>
  <si>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</si>
  <si>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</si>
  <si>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</si>
  <si>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</si>
  <si>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</si>
  <si>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NULL</t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</si>
  <si>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</si>
  <si>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</si>
  <si>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</si>
  <si>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</si>
  <si>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</si>
  <si>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</si>
  <si>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</si>
  <si>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</si>
  <si>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</si>
  <si>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</si>
  <si>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</si>
  <si>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</si>
  <si>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</si>
  <si>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</si>
  <si>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</si>
  <si>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</si>
  <si>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</si>
  <si>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</si>
  <si>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</si>
  <si>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</si>
  <si>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</si>
  <si>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</si>
  <si>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</si>
  <si>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</si>
  <si>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</si>
  <si>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</si>
  <si>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</si>
  <si>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</si>
  <si>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</si>
  <si>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</si>
  <si>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</si>
  <si>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</si>
  <si>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</si>
  <si>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</si>
  <si>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</si>
  <si>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</si>
  <si>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</si>
  <si>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hp</t>
    <phoneticPr fontId="5"/>
  </si>
  <si>
    <t>attack</t>
    <phoneticPr fontId="5"/>
  </si>
  <si>
    <t>null</t>
    <phoneticPr fontId="5"/>
  </si>
  <si>
    <t>null</t>
    <phoneticPr fontId="5"/>
  </si>
  <si>
    <t>null</t>
    <phoneticPr fontId="5"/>
  </si>
  <si>
    <t xml:space="preserve">[effect:hungup, target:unit_one, turn:3, rate:1, animation:hungup01] </t>
    <phoneticPr fontId="5"/>
  </si>
  <si>
    <t>マダ…　マダ　アバレタリナイ！！</t>
    <phoneticPr fontId="5"/>
  </si>
  <si>
    <t>状態異常耐性</t>
    <phoneticPr fontId="5"/>
  </si>
  <si>
    <t>自己回復</t>
    <phoneticPr fontId="5"/>
  </si>
  <si>
    <t>4回連続攻撃</t>
    <phoneticPr fontId="5"/>
  </si>
  <si>
    <t>3回連続攻撃</t>
    <phoneticPr fontId="5"/>
  </si>
  <si>
    <t>[effect:rush, count:3, val:0.55]</t>
    <phoneticPr fontId="5"/>
  </si>
  <si>
    <t>3回連続攻撃</t>
    <phoneticPr fontId="5"/>
  </si>
  <si>
    <t>7回連続攻撃</t>
    <phoneticPr fontId="5"/>
  </si>
  <si>
    <t>5回連続攻撃</t>
    <phoneticPr fontId="5"/>
  </si>
  <si>
    <t>3回連続攻撃</t>
    <phoneticPr fontId="5"/>
  </si>
  <si>
    <t>全体攻撃</t>
    <phoneticPr fontId="5"/>
  </si>
  <si>
    <t>null</t>
    <phoneticPr fontId="5"/>
  </si>
  <si>
    <t>[effect:rush, count:3, val:0.47]</t>
    <phoneticPr fontId="5"/>
  </si>
  <si>
    <t>[effect:rush, count:4, val:0.38]</t>
    <phoneticPr fontId="5"/>
  </si>
  <si>
    <t>次のターン強力な攻撃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</si>
  <si>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</si>
  <si>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</si>
  <si>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</si>
  <si>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</si>
  <si>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</si>
  <si>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[effect:rush, count:3, val:0.48]</t>
    <phoneticPr fontId="5"/>
  </si>
  <si>
    <t>[effect:spread, val:0.42]</t>
    <phoneticPr fontId="5"/>
  </si>
  <si>
    <t>サイレントテール</t>
    <phoneticPr fontId="5"/>
  </si>
  <si>
    <t>link</t>
  </si>
  <si>
    <t>unit</t>
  </si>
  <si>
    <t>2015-03-27 00:00:01</t>
  </si>
  <si>
    <t>2970-01-01 09:00:01</t>
  </si>
  <si>
    <t>2015-03-27 00:00:02</t>
  </si>
  <si>
    <t>2970-01-01 09:00:02</t>
  </si>
  <si>
    <t>2015-03-27 00:00:03</t>
  </si>
  <si>
    <t>2970-01-01 09:00:03</t>
  </si>
  <si>
    <t>2015-03-27 00:00:04</t>
  </si>
  <si>
    <t>2970-01-01 09:00:04</t>
  </si>
  <si>
    <t>2015-03-27 00:00:05</t>
  </si>
  <si>
    <t>2970-01-01 09:00:05</t>
  </si>
  <si>
    <t>2015-03-27 00:00:06</t>
  </si>
  <si>
    <t>2970-01-01 09:00:06</t>
  </si>
  <si>
    <t>2015-03-27 00:00:07</t>
  </si>
  <si>
    <t>2970-01-01 09:00:07</t>
  </si>
  <si>
    <t>2015-03-27 00:00:08</t>
  </si>
  <si>
    <t>2970-01-01 09:00:08</t>
  </si>
  <si>
    <t>2015-03-27 00:00:09</t>
  </si>
  <si>
    <t>2970-01-01 09:00:09</t>
  </si>
  <si>
    <t>2015-03-27 00:00:10</t>
  </si>
  <si>
    <t>2970-01-01 09:00:10</t>
  </si>
  <si>
    <t>2015-03-27 00:00:11</t>
  </si>
  <si>
    <t>2970-01-01 09:00:11</t>
  </si>
  <si>
    <t>2015-03-27 00:00:12</t>
  </si>
  <si>
    <t>2970-01-01 09:00:12</t>
  </si>
  <si>
    <t>2015-03-27 00:00:13</t>
  </si>
  <si>
    <t>2970-01-01 09:00:13</t>
  </si>
  <si>
    <t>2015-03-27 00:00:14</t>
  </si>
  <si>
    <t>2970-01-01 09:00:14</t>
  </si>
  <si>
    <t>2015-03-27 00:00:15</t>
  </si>
  <si>
    <t>2970-01-01 09:00:15</t>
  </si>
  <si>
    <t>2015-03-27 00:00:16</t>
  </si>
  <si>
    <t>2970-01-01 09:00:16</t>
  </si>
  <si>
    <t>2015-03-27 00:00:17</t>
  </si>
  <si>
    <t>2970-01-01 09:00:17</t>
  </si>
  <si>
    <t>2015-03-27 00:00:18</t>
  </si>
  <si>
    <t>2970-01-01 09:00:18</t>
  </si>
  <si>
    <t>2015-03-27 00:00:19</t>
  </si>
  <si>
    <t>2970-01-01 09:00:19</t>
  </si>
  <si>
    <t>2015-03-27 00:00:20</t>
  </si>
  <si>
    <t>2970-01-01 09:00:20</t>
  </si>
  <si>
    <t>2015-03-27 00:00:21</t>
  </si>
  <si>
    <t>2970-01-01 09:00:21</t>
  </si>
  <si>
    <t>2015-03-27 00:00:22</t>
  </si>
  <si>
    <t>2970-01-01 09:00:22</t>
  </si>
  <si>
    <t>2015-03-27 00:00:23</t>
  </si>
  <si>
    <t>2970-01-01 09:00:23</t>
  </si>
  <si>
    <t>2015-03-27 00:00:24</t>
  </si>
  <si>
    <t>2970-01-01 09:00:24</t>
  </si>
  <si>
    <t>2015-03-27 00:00:25</t>
  </si>
  <si>
    <t>2970-01-01 09:00:25</t>
  </si>
  <si>
    <t>2015-03-27 00:00:26</t>
  </si>
  <si>
    <t>2970-01-01 09:00:26</t>
  </si>
  <si>
    <t>2015-03-27 00:00:27</t>
  </si>
  <si>
    <t>2970-01-01 09:00:27</t>
  </si>
  <si>
    <t>2015-03-27 00:00:28</t>
  </si>
  <si>
    <t>2970-01-01 09:00:28</t>
  </si>
  <si>
    <t>2015-03-27 00:00:29</t>
  </si>
  <si>
    <t>2970-01-01 09:00:29</t>
  </si>
  <si>
    <t>2015-03-27 00:00:30</t>
  </si>
  <si>
    <t>2970-01-01 09:00:30</t>
  </si>
  <si>
    <t>2015-03-27 00:00:31</t>
  </si>
  <si>
    <t>2970-01-01 09:00:31</t>
  </si>
  <si>
    <t>null</t>
    <phoneticPr fontId="5"/>
  </si>
  <si>
    <t>覇者への咆哮</t>
    <phoneticPr fontId="5"/>
  </si>
  <si>
    <t>オーバードライヴ</t>
    <phoneticPr fontId="5"/>
  </si>
  <si>
    <t>[effect:damage_anti_tribe, target:unit_all, tribe:god, val1:0.65, val2:0.43]</t>
    <phoneticPr fontId="5"/>
  </si>
  <si>
    <t>[effect:damage_anti_tribe, target:unit_all, tribe:god, val1:0.55, val2:0.37]</t>
    <phoneticPr fontId="5"/>
  </si>
  <si>
    <t>種族ゴッドのユニットに大ダメージの全体攻撃</t>
    <phoneticPr fontId="5"/>
  </si>
  <si>
    <t>種族ゴッドのユニットに大ダメージの全体攻撃</t>
    <phoneticPr fontId="5"/>
  </si>
  <si>
    <t>3ターンユニット単体にスキルバインド</t>
    <phoneticPr fontId="5"/>
  </si>
  <si>
    <t>null</t>
  </si>
  <si>
    <t>ハヤトは
攻撃力ダウンのスキルを多用してきます
攻撃力アップのスキルを持つユニットが
活躍できるでしょう</t>
    <phoneticPr fontId="5"/>
  </si>
  <si>
    <t>ハヤトは
1ゲージ目のHPが40％以下になると
自身の行動頻度をUPするスキルを使います</t>
    <phoneticPr fontId="5"/>
  </si>
  <si>
    <t>トニーはランダムで
スキルバインド攻撃を使用します
HPは低いので素早く倒しましょう</t>
    <phoneticPr fontId="5"/>
  </si>
  <si>
    <t>ヴリトラは攻撃力ダウンや
回復力ダウンのスキルを多用してきます
ステータス上昇スキルを持つユニットが
活躍できるでしょう</t>
    <phoneticPr fontId="5"/>
  </si>
  <si>
    <t>2ゲージ目のHPが35％以下になると
ヴリトラは自身の体力を回復します
フィーバーで一気に押し切りましょう</t>
    <phoneticPr fontId="5"/>
  </si>
  <si>
    <t>2ゲージ目のヴリトラは
予告をした後
次のターンで強力な攻撃をします
HPを高く保って備えましょう</t>
    <phoneticPr fontId="5"/>
  </si>
  <si>
    <t>ドコカラデモ　カカッテキナ　ヒャハ！</t>
    <phoneticPr fontId="5"/>
  </si>
  <si>
    <t>ドカーン！ドカーン！ギャハハ！！</t>
    <phoneticPr fontId="5"/>
  </si>
  <si>
    <t>英雄神への報復</t>
    <phoneticPr fontId="5"/>
  </si>
  <si>
    <t>光速だ！見切れまい！</t>
    <phoneticPr fontId="5"/>
  </si>
  <si>
    <t>ハイ・ボルテージ</t>
    <phoneticPr fontId="5"/>
  </si>
  <si>
    <t>光の矢よ、降り注げ！</t>
    <phoneticPr fontId="5"/>
  </si>
  <si>
    <t>雷刃の舞</t>
    <phoneticPr fontId="5"/>
  </si>
  <si>
    <t>ギャハーッ！ゼンブ　ブッコワレロ！！</t>
    <phoneticPr fontId="5"/>
  </si>
  <si>
    <t>コノテイドデ　ブッコワレルナヨ？　ギャハ！</t>
    <phoneticPr fontId="5"/>
  </si>
  <si>
    <t>アトデ　ジックリ　ブッコワシテヤル</t>
    <phoneticPr fontId="5"/>
  </si>
  <si>
    <t>ギャハハ！ケシトベーーーッ！</t>
    <phoneticPr fontId="5"/>
  </si>
  <si>
    <t>コレデ　キサマラモ　オシマイ</t>
    <phoneticPr fontId="5"/>
  </si>
  <si>
    <t>1ターン自身の攻撃頻度UP+クリティカル！</t>
    <phoneticPr fontId="5"/>
  </si>
  <si>
    <t>解除するまでユニット単体の攻撃力50%DOWN
+クリティカル！</t>
    <phoneticPr fontId="5"/>
  </si>
  <si>
    <t>状態異常耐性+自身の攻撃頻度UP</t>
    <phoneticPr fontId="5"/>
  </si>
  <si>
    <t>4回連続攻撃+1ターン自身の攻撃頻度UP</t>
    <phoneticPr fontId="5"/>
  </si>
  <si>
    <t>2ターン味方全体の回復力50%DOWN
+クリティカル！</t>
    <phoneticPr fontId="5"/>
  </si>
  <si>
    <t>ヒャハハ！
タノシマセテ　クレルジャナイカ！！</t>
    <phoneticPr fontId="5"/>
  </si>
  <si>
    <t>雷鳴よ、荒れ狂え！</t>
    <phoneticPr fontId="5"/>
  </si>
  <si>
    <t>雷光よ、貫け！</t>
    <phoneticPr fontId="5"/>
  </si>
  <si>
    <t>コイツラ　ナカナカ　タノシメソウダナ</t>
    <phoneticPr fontId="5"/>
  </si>
  <si>
    <t>ヴリトラは強力なゴッドキラー攻撃を
得意としています
パーティ編成の際には注意が必要です</t>
    <phoneticPr fontId="5"/>
  </si>
  <si>
    <t>[effect:degrade_unit, target:unit_one, turn:-1, status:attack, val:0.25, calc:mul],[effect:critical, val:1.4, animation:enemy_critical]</t>
    <phoneticPr fontId="5"/>
  </si>
  <si>
    <t>[effect:degrade_unit, target:unit_one, turn:-1, status:attack, val:0.35, calc:mul],[effect:critical, val:1.4, animation:enemy_critical]</t>
    <phoneticPr fontId="5"/>
  </si>
  <si>
    <t>ディス・チャージ</t>
    <phoneticPr fontId="5"/>
  </si>
  <si>
    <t>ディス・チャージ</t>
    <phoneticPr fontId="5"/>
  </si>
  <si>
    <t>解除するまでユニット単体の攻撃力25%DOWN
+クリティカル！</t>
    <phoneticPr fontId="5"/>
  </si>
  <si>
    <t>ディス・チャージ</t>
    <phoneticPr fontId="5"/>
  </si>
  <si>
    <t>ディス・チャージ</t>
    <phoneticPr fontId="5"/>
  </si>
  <si>
    <t>解除するまでユニット単体の攻撃力25%DOWN
+クリティカル！</t>
    <phoneticPr fontId="5"/>
  </si>
  <si>
    <t>解除するまでユニット単体の攻撃力35%DOWN
+クリティカル！</t>
    <phoneticPr fontId="5"/>
  </si>
  <si>
    <t>解除するまでユニット単体の攻撃力35%DOWN
+クリティカル！</t>
    <phoneticPr fontId="5"/>
  </si>
  <si>
    <t>コスト31以上のユニットに大ダメージ</t>
    <phoneticPr fontId="5"/>
  </si>
  <si>
    <t>英雄神への報復</t>
    <phoneticPr fontId="5"/>
  </si>
  <si>
    <t>ヴリトラはコスト31以上のユニットに対し
大ダメージを与えてきます
コスト30以下のユニットで挑みましょう</t>
    <phoneticPr fontId="5"/>
  </si>
  <si>
    <t>ヴリトラはコスト31以上のユニットに対し
大ダメージを与えてきます
コスト30以下のユニットで挑みましょう</t>
    <phoneticPr fontId="5"/>
  </si>
  <si>
    <t>ヴリトラはコスト31以上のユニットに対し
大ダメージを与えてきます
コスト30以下のユニットで挑みましょう</t>
    <phoneticPr fontId="5"/>
  </si>
  <si>
    <t>[effect:freq_turn, target:myself, turn:1, val:1, animation:enemy_freq_turn],[effect:critical, val:1.44, animation:enemy_critical]</t>
    <phoneticPr fontId="5"/>
  </si>
  <si>
    <t>オボエテロ……
キサマラ…カナラズ…ブッコワ…シ…テ…！</t>
    <phoneticPr fontId="5"/>
  </si>
  <si>
    <t>[effect:degrade_unit, target:unit_one, turn:-1, status:attack, val:0.25, calc:mul],[effect:critical, val:1.52, animation:enemy_critical]</t>
    <phoneticPr fontId="5"/>
  </si>
  <si>
    <t>サア　キサマラ　ゼンイン
ブッコワシテ　ヤルゾ！　ヒャハハ！！</t>
    <phoneticPr fontId="5"/>
  </si>
  <si>
    <t>ヒャハハ！　カーリーサマ！
ツギハ　ドレヲ　ブッコワス？</t>
    <phoneticPr fontId="5"/>
  </si>
  <si>
    <t>ハカイ！　フンサイ！
タノシイ！　タノシイナア！</t>
    <phoneticPr fontId="5"/>
  </si>
  <si>
    <t>ンギャ！　ツギノ　オモチャ　ハッケーン！</t>
    <phoneticPr fontId="5"/>
  </si>
  <si>
    <t>ギャハハハ！タノシイナア！！</t>
    <phoneticPr fontId="5"/>
  </si>
  <si>
    <t>ンギャァアアアアア！！</t>
    <phoneticPr fontId="5"/>
  </si>
  <si>
    <t>解除するまで味方全体の攻撃力50%DOWN
+クリティカル！</t>
    <phoneticPr fontId="5"/>
  </si>
  <si>
    <t>2ターン味方全体の攻撃をカウンター</t>
    <phoneticPr fontId="5"/>
  </si>
  <si>
    <t>[effect:degrade_unit, target:unit_one, turn:-1, status:attack, val:0.35, calc:mul],[effect:critical, val:1.52, animation:enemy_critical]</t>
    <phoneticPr fontId="5"/>
  </si>
  <si>
    <t>全体攻撃</t>
    <phoneticPr fontId="5"/>
  </si>
  <si>
    <r>
      <t>[effect:suicide, val:1, dead_type:escape],</t>
    </r>
    <r>
      <rPr>
        <sz val="13"/>
        <color rgb="FFFF0000"/>
        <rFont val="Arial"/>
      </rPr>
      <t>[effect:enemy_message, val1:2.0, val2:2.3]</t>
    </r>
    <phoneticPr fontId="5"/>
  </si>
  <si>
    <r>
      <t>[effect:tolerance, target:myself, turn:-1, count:-1, tolerance_effect:all, animation:enemy_tolerance],[effect:fix_speed, target:myself, turn:2],</t>
    </r>
    <r>
      <rPr>
        <sz val="13"/>
        <color rgb="FFFF0000"/>
        <rFont val="Arial"/>
      </rPr>
      <t>[effect:enemy_message, val1:2.0, val2:2.0]</t>
    </r>
    <phoneticPr fontId="5"/>
  </si>
  <si>
    <r>
      <t>[effect:tolerance, target:myself, turn:-1, count:-1, tolerance_effect:all, animation:enemy_tolerance],[effect:freq_turn, target:myself, turn:-1, val:1, animation:enemy_freq_turn],</t>
    </r>
    <r>
      <rPr>
        <sz val="13"/>
        <color rgb="FFFF0000"/>
        <rFont val="Arial"/>
      </rPr>
      <t>[effect:enemy_message, val1:2.0, val2:2.2]</t>
    </r>
    <phoneticPr fontId="5"/>
  </si>
  <si>
    <r>
      <t>[effect:degrade_unit, target:unit_all, turn:2, status:heal, val:0.5, calc:mul, animation:degrade_unit_all_heal],[effect:critical, val:1.27, animation:enemy_critical],</t>
    </r>
    <r>
      <rPr>
        <sz val="13"/>
        <color rgb="FFFF0000"/>
        <rFont val="Arial"/>
      </rPr>
      <t>[effect:enemy_message, val1:1.6, val2:2.0]</t>
    </r>
    <phoneticPr fontId="5"/>
  </si>
  <si>
    <t>[effect:enemy_message, val1:1.7, val2:2.0]</t>
    <phoneticPr fontId="5"/>
  </si>
  <si>
    <r>
      <t>[effect:heal, target:myself, val:0.3, animation:enemy_heal],</t>
    </r>
    <r>
      <rPr>
        <sz val="13"/>
        <color rgb="FFFF0000"/>
        <rFont val="Arial"/>
      </rPr>
      <t>[effect:enemy_message, val1:1.7, val2:1.8]</t>
    </r>
    <phoneticPr fontId="5"/>
  </si>
  <si>
    <t>[effect:enemy_message, val1:1.7, val2:2.5]</t>
    <phoneticPr fontId="5"/>
  </si>
  <si>
    <r>
      <rPr>
        <sz val="13"/>
        <color rgb="FFFF0000"/>
        <rFont val="Arial"/>
      </rPr>
      <t>[effect:enemy_message, val1:2.0 val2:2.3]</t>
    </r>
    <r>
      <rPr>
        <sz val="13"/>
        <color theme="2" tint="-0.499984740745262"/>
        <rFont val="Arial"/>
      </rPr>
      <t>,[effect:fix_speed, target:myself, turn:1]</t>
    </r>
    <phoneticPr fontId="5"/>
  </si>
  <si>
    <r>
      <t>[effect:rush, count:4, val:0.39],[effect:freq_turn, target:myself, turn:1, val:1, animation:enemy_freq_turn],</t>
    </r>
    <r>
      <rPr>
        <sz val="13"/>
        <color rgb="FFFF0000"/>
        <rFont val="Arial"/>
      </rPr>
      <t>[effect:enemy_message, val1:1.6, val2:1.9]</t>
    </r>
    <phoneticPr fontId="5"/>
  </si>
  <si>
    <r>
      <t>[effect:degrade_unit, target:unit_one, turn:-1, status:attack, val:0.5, calc:mul],[effect:critical, val:1.56, animation:enemy_critical],</t>
    </r>
    <r>
      <rPr>
        <sz val="13"/>
        <color rgb="FFFF0000"/>
        <rFont val="Arial"/>
      </rPr>
      <t>[effect:enemy_message, val1:1.5, val2:2.0]</t>
    </r>
    <phoneticPr fontId="5"/>
  </si>
  <si>
    <r>
      <t>[effect:degrade_unit, target:unit_all, turn:-1, status:attack, val:0.5, calc:mul],[effect:critical, val:1.27, animation:enemy_critical],</t>
    </r>
    <r>
      <rPr>
        <sz val="13"/>
        <color rgb="FFFF0000"/>
        <rFont val="Arial"/>
      </rPr>
      <t>[effect:enemy_message, val1:1.7, val2:2.0]</t>
    </r>
    <phoneticPr fontId="5"/>
  </si>
  <si>
    <r>
      <t>[effect:rush, count:5, val:0.30],</t>
    </r>
    <r>
      <rPr>
        <sz val="13"/>
        <color rgb="FFFF0000"/>
        <rFont val="Arial"/>
      </rPr>
      <t>[effect:enemy_message, val1:1.6, val2:1.8]</t>
    </r>
    <phoneticPr fontId="5"/>
  </si>
  <si>
    <r>
      <t>[effect:spread, val:0.68],</t>
    </r>
    <r>
      <rPr>
        <sz val="13"/>
        <color rgb="FFFF0000"/>
        <rFont val="Arial"/>
      </rPr>
      <t>[effect:enemy_message, val1:1.7, val2:1.8]</t>
    </r>
    <phoneticPr fontId="5"/>
  </si>
  <si>
    <r>
      <t>[effect:rush, count:7, val:0.25],</t>
    </r>
    <r>
      <rPr>
        <sz val="13"/>
        <color rgb="FFFF0000"/>
        <rFont val="Arial"/>
      </rPr>
      <t>[effect:enemy_message, val1:1.6, val2:1.8]</t>
    </r>
    <phoneticPr fontId="5"/>
  </si>
  <si>
    <r>
      <t>[effect:enemy_counter, target:myself, invoke_condition:unit_all, counter_target:attacker, turn:2, val:0.3, animation:enemy_counter],</t>
    </r>
    <r>
      <rPr>
        <sz val="13"/>
        <color rgb="FFFF0000"/>
        <rFont val="Arial"/>
      </rPr>
      <t>[effect:enemy_message, val1:1.6, val2:1.8]</t>
    </r>
    <phoneticPr fontId="5"/>
  </si>
  <si>
    <t>skip</t>
    <phoneticPr fontId="5"/>
  </si>
  <si>
    <t>[effect:damage_anti_cost, target:unit_all, lower:31, upper:99, val1:20, val2:0.0001, cost_type:unit],[effect:damage_anti_cost, target:unit_all, lower:31, upper:99, val1:20, val2:0.0001, cost_type:unit]</t>
    <phoneticPr fontId="5"/>
  </si>
  <si>
    <t>old</t>
  </si>
  <si>
    <t>skip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</si>
</sst>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60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  <font>
      <sz val="10"/>
      <color rgb="FFFF0000"/>
      <name val="ＭＳ Ｐゴシック"/>
      <family val="3"/>
      <charset val="128"/>
      <scheme val="minor"/>
    </font>
    <font>
      <sz val="13"/>
      <color theme="2" tint="-0.499984740745262"/>
      <name val="Arial"/>
    </font>
    <font>
      <sz val="10"/>
      <color theme="0" tint="-0.499984740745262"/>
      <name val="ＭＳ Ｐゴシック"/>
      <family val="3"/>
      <charset val="128"/>
      <scheme val="minor"/>
    </font>
    <font>
      <sz val="12"/>
      <color theme="7" tint="-0.249977111117893"/>
      <name val="ＭＳ Ｐゴシック"/>
      <family val="2"/>
      <charset val="128"/>
      <scheme val="minor"/>
    </font>
    <font>
      <sz val="13"/>
      <color theme="1" tint="0.499984740745262"/>
      <name val="Arial"/>
    </font>
    <font>
      <sz val="10"/>
      <color theme="1" tint="0.499984740745262"/>
      <name val="ＭＳ Ｐゴシック"/>
      <family val="3"/>
      <charset val="128"/>
      <scheme val="minor"/>
    </font>
    <font>
      <sz val="13"/>
      <color rgb="FFFF0000"/>
      <name val="Arial"/>
    </font>
    <font>
      <sz val="12"/>
      <color rgb="FFFF0000"/>
      <name val="ＭＳ Ｐゴシック"/>
      <family val="2"/>
      <charset val="128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79998168889431442"/>
        <bgColor indexed="2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indexed="2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79998168889431442"/>
        <bgColor indexed="24"/>
      </patternFill>
    </fill>
    <fill>
      <patternFill patternType="solid">
        <fgColor theme="8" tint="0.79998168889431442"/>
        <bgColor indexed="64"/>
      </patternFill>
    </fill>
  </fills>
  <borders count="4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/>
      <top style="double">
        <color auto="1"/>
      </top>
      <bottom/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/>
      <bottom style="thin">
        <color auto="1"/>
      </bottom>
      <diagonal/>
    </border>
    <border>
      <left style="thin">
        <color auto="1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double">
        <color auto="1"/>
      </bottom>
      <diagonal/>
    </border>
    <border>
      <left style="thin">
        <color indexed="8"/>
      </left>
      <right/>
      <top/>
      <bottom style="double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double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double">
        <color auto="1"/>
      </bottom>
      <diagonal/>
    </border>
    <border>
      <left style="thin">
        <color indexed="8"/>
      </left>
      <right style="thin">
        <color indexed="8"/>
      </right>
      <top style="double">
        <color auto="1"/>
      </top>
      <bottom style="thin">
        <color indexed="8"/>
      </bottom>
      <diagonal/>
    </border>
    <border>
      <left style="thin">
        <color indexed="8"/>
      </left>
      <right/>
      <top style="double">
        <color auto="1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double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/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indexed="8"/>
      </left>
      <right style="thin">
        <color auto="1"/>
      </right>
      <top style="double">
        <color auto="1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indexed="8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</borders>
  <cellStyleXfs count="712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261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31" fillId="14" borderId="7" xfId="0" applyFont="1" applyFill="1" applyBorder="1"/>
    <xf numFmtId="38" fontId="16" fillId="14" borderId="7" xfId="628" applyFont="1" applyFill="1" applyBorder="1" applyAlignment="1"/>
    <xf numFmtId="0" fontId="16" fillId="6" borderId="7" xfId="11" applyFont="1" applyFill="1" applyBorder="1" applyAlignment="1">
      <alignment horizontal="left"/>
    </xf>
    <xf numFmtId="0" fontId="26" fillId="0" borderId="0" xfId="0" applyFont="1"/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0" fontId="6" fillId="32" borderId="7" xfId="0" applyFont="1" applyFill="1" applyBorder="1" applyAlignment="1">
      <alignment vertical="center"/>
    </xf>
    <xf numFmtId="0" fontId="6" fillId="34" borderId="7" xfId="0" applyFont="1" applyFill="1" applyBorder="1" applyAlignment="1">
      <alignment vertical="center"/>
    </xf>
    <xf numFmtId="0" fontId="6" fillId="34" borderId="9" xfId="0" applyFont="1" applyFill="1" applyBorder="1" applyAlignment="1">
      <alignment vertical="center"/>
    </xf>
    <xf numFmtId="0" fontId="4" fillId="0" borderId="12" xfId="0" applyFont="1" applyFill="1" applyBorder="1" applyAlignment="1">
      <alignment vertical="center"/>
    </xf>
    <xf numFmtId="0" fontId="6" fillId="5" borderId="12" xfId="0" applyFont="1" applyFill="1" applyBorder="1" applyAlignment="1">
      <alignment vertical="center"/>
    </xf>
    <xf numFmtId="0" fontId="4" fillId="0" borderId="12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vertical="center"/>
    </xf>
    <xf numFmtId="0" fontId="4" fillId="3" borderId="12" xfId="0" applyFont="1" applyFill="1" applyBorder="1" applyAlignment="1">
      <alignment horizontal="center" vertical="center"/>
    </xf>
    <xf numFmtId="0" fontId="6" fillId="0" borderId="12" xfId="0" applyFont="1" applyFill="1" applyBorder="1" applyAlignment="1">
      <alignment vertical="center"/>
    </xf>
    <xf numFmtId="0" fontId="12" fillId="7" borderId="0" xfId="0" applyFont="1" applyFill="1" applyBorder="1" applyAlignment="1">
      <alignment vertical="center"/>
    </xf>
    <xf numFmtId="0" fontId="4" fillId="0" borderId="7" xfId="0" applyFont="1" applyFill="1" applyBorder="1" applyAlignment="1">
      <alignment vertical="center"/>
    </xf>
    <xf numFmtId="0" fontId="4" fillId="0" borderId="7" xfId="0" applyFont="1" applyFill="1" applyBorder="1" applyAlignment="1">
      <alignment horizontal="center" vertical="center"/>
    </xf>
    <xf numFmtId="0" fontId="12" fillId="7" borderId="24" xfId="0" applyFont="1" applyFill="1" applyBorder="1" applyAlignment="1">
      <alignment vertical="center"/>
    </xf>
    <xf numFmtId="0" fontId="4" fillId="0" borderId="23" xfId="0" applyFont="1" applyFill="1" applyBorder="1" applyAlignment="1">
      <alignment vertical="center"/>
    </xf>
    <xf numFmtId="0" fontId="6" fillId="5" borderId="23" xfId="0" applyFont="1" applyFill="1" applyBorder="1" applyAlignment="1">
      <alignment vertical="center"/>
    </xf>
    <xf numFmtId="0" fontId="4" fillId="0" borderId="23" xfId="0" applyFont="1" applyFill="1" applyBorder="1" applyAlignment="1">
      <alignment horizontal="center" vertical="center"/>
    </xf>
    <xf numFmtId="0" fontId="6" fillId="3" borderId="23" xfId="0" applyFont="1" applyFill="1" applyBorder="1" applyAlignment="1">
      <alignment vertical="center"/>
    </xf>
    <xf numFmtId="0" fontId="4" fillId="3" borderId="23" xfId="0" applyFont="1" applyFill="1" applyBorder="1" applyAlignment="1">
      <alignment horizontal="center" vertical="center"/>
    </xf>
    <xf numFmtId="0" fontId="6" fillId="0" borderId="23" xfId="0" applyFont="1" applyFill="1" applyBorder="1" applyAlignment="1">
      <alignment vertical="center"/>
    </xf>
    <xf numFmtId="0" fontId="12" fillId="7" borderId="25" xfId="0" applyFont="1" applyFill="1" applyBorder="1" applyAlignment="1">
      <alignment vertical="center"/>
    </xf>
    <xf numFmtId="0" fontId="4" fillId="0" borderId="26" xfId="0" applyFont="1" applyFill="1" applyBorder="1" applyAlignment="1">
      <alignment vertical="center"/>
    </xf>
    <xf numFmtId="0" fontId="6" fillId="5" borderId="26" xfId="0" applyFont="1" applyFill="1" applyBorder="1" applyAlignment="1">
      <alignment vertical="center"/>
    </xf>
    <xf numFmtId="0" fontId="4" fillId="0" borderId="26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vertical="center"/>
    </xf>
    <xf numFmtId="0" fontId="4" fillId="3" borderId="26" xfId="0" applyFont="1" applyFill="1" applyBorder="1" applyAlignment="1">
      <alignment horizontal="center" vertical="center"/>
    </xf>
    <xf numFmtId="0" fontId="6" fillId="0" borderId="26" xfId="0" applyFont="1" applyFill="1" applyBorder="1" applyAlignment="1">
      <alignment vertical="center"/>
    </xf>
    <xf numFmtId="0" fontId="6" fillId="34" borderId="3" xfId="0" applyFont="1" applyFill="1" applyBorder="1" applyAlignment="1">
      <alignment vertical="center"/>
    </xf>
    <xf numFmtId="0" fontId="4" fillId="0" borderId="12" xfId="0" applyFont="1" applyBorder="1" applyAlignment="1">
      <alignment horizontal="center" vertical="center"/>
    </xf>
    <xf numFmtId="0" fontId="8" fillId="0" borderId="27" xfId="0" applyFont="1" applyBorder="1" applyAlignment="1">
      <alignment vertical="center"/>
    </xf>
    <xf numFmtId="177" fontId="8" fillId="0" borderId="27" xfId="0" applyNumberFormat="1" applyFont="1" applyBorder="1" applyAlignment="1">
      <alignment vertical="center"/>
    </xf>
    <xf numFmtId="1" fontId="32" fillId="31" borderId="12" xfId="0" applyNumberFormat="1" applyFont="1" applyFill="1" applyBorder="1" applyAlignment="1">
      <alignment vertical="center"/>
    </xf>
    <xf numFmtId="0" fontId="4" fillId="0" borderId="3" xfId="0" applyFont="1" applyBorder="1" applyAlignment="1">
      <alignment vertical="center"/>
    </xf>
    <xf numFmtId="0" fontId="4" fillId="3" borderId="12" xfId="0" applyFont="1" applyFill="1" applyBorder="1" applyAlignment="1">
      <alignment vertical="center"/>
    </xf>
    <xf numFmtId="0" fontId="4" fillId="0" borderId="28" xfId="0" applyFont="1" applyBorder="1" applyAlignment="1">
      <alignment vertical="center"/>
    </xf>
    <xf numFmtId="0" fontId="4" fillId="0" borderId="12" xfId="0" applyFont="1" applyBorder="1" applyAlignment="1">
      <alignment vertical="center"/>
    </xf>
    <xf numFmtId="0" fontId="4" fillId="0" borderId="7" xfId="0" applyFont="1" applyBorder="1" applyAlignment="1">
      <alignment horizontal="center" vertical="center"/>
    </xf>
    <xf numFmtId="0" fontId="4" fillId="3" borderId="7" xfId="0" applyFont="1" applyFill="1" applyBorder="1" applyAlignment="1">
      <alignment vertical="center"/>
    </xf>
    <xf numFmtId="176" fontId="4" fillId="0" borderId="29" xfId="0" applyNumberFormat="1" applyFont="1" applyFill="1" applyBorder="1" applyAlignment="1">
      <alignment horizontal="center" vertical="center"/>
    </xf>
    <xf numFmtId="0" fontId="6" fillId="5" borderId="29" xfId="0" applyFont="1" applyFill="1" applyBorder="1" applyAlignment="1">
      <alignment vertical="center"/>
    </xf>
    <xf numFmtId="0" fontId="6" fillId="5" borderId="30" xfId="0" applyFont="1" applyFill="1" applyBorder="1" applyAlignment="1">
      <alignment vertical="center"/>
    </xf>
    <xf numFmtId="0" fontId="8" fillId="0" borderId="31" xfId="0" applyFont="1" applyBorder="1" applyAlignment="1">
      <alignment vertical="center"/>
    </xf>
    <xf numFmtId="177" fontId="8" fillId="0" borderId="31" xfId="0" applyNumberFormat="1" applyFont="1" applyBorder="1" applyAlignment="1">
      <alignment vertical="center"/>
    </xf>
    <xf numFmtId="1" fontId="32" fillId="31" borderId="23" xfId="0" applyNumberFormat="1" applyFont="1" applyFill="1" applyBorder="1" applyAlignment="1">
      <alignment vertical="center"/>
    </xf>
    <xf numFmtId="0" fontId="6" fillId="34" borderId="29" xfId="0" applyFont="1" applyFill="1" applyBorder="1" applyAlignment="1">
      <alignment vertical="center"/>
    </xf>
    <xf numFmtId="0" fontId="4" fillId="0" borderId="32" xfId="0" applyFont="1" applyBorder="1" applyAlignment="1">
      <alignment vertical="center"/>
    </xf>
    <xf numFmtId="0" fontId="4" fillId="3" borderId="23" xfId="0" applyFont="1" applyFill="1" applyBorder="1" applyAlignment="1">
      <alignment vertical="center"/>
    </xf>
    <xf numFmtId="0" fontId="4" fillId="0" borderId="23" xfId="0" applyFont="1" applyBorder="1" applyAlignment="1">
      <alignment vertical="center"/>
    </xf>
    <xf numFmtId="176" fontId="4" fillId="0" borderId="33" xfId="0" applyNumberFormat="1" applyFont="1" applyFill="1" applyBorder="1" applyAlignment="1">
      <alignment horizontal="center" vertical="center"/>
    </xf>
    <xf numFmtId="0" fontId="6" fillId="5" borderId="33" xfId="0" applyFont="1" applyFill="1" applyBorder="1" applyAlignment="1">
      <alignment vertical="center"/>
    </xf>
    <xf numFmtId="0" fontId="4" fillId="0" borderId="26" xfId="0" applyFont="1" applyBorder="1" applyAlignment="1">
      <alignment horizontal="center" vertical="center"/>
    </xf>
    <xf numFmtId="0" fontId="6" fillId="5" borderId="34" xfId="0" applyFont="1" applyFill="1" applyBorder="1" applyAlignment="1">
      <alignment vertical="center"/>
    </xf>
    <xf numFmtId="0" fontId="8" fillId="0" borderId="35" xfId="0" applyFont="1" applyBorder="1" applyAlignment="1">
      <alignment vertical="center"/>
    </xf>
    <xf numFmtId="177" fontId="8" fillId="0" borderId="35" xfId="0" applyNumberFormat="1" applyFont="1" applyBorder="1" applyAlignment="1">
      <alignment vertical="center"/>
    </xf>
    <xf numFmtId="1" fontId="32" fillId="31" borderId="26" xfId="0" applyNumberFormat="1" applyFont="1" applyFill="1" applyBorder="1" applyAlignment="1">
      <alignment vertical="center"/>
    </xf>
    <xf numFmtId="0" fontId="4" fillId="0" borderId="33" xfId="0" applyFont="1" applyBorder="1" applyAlignment="1">
      <alignment vertical="center"/>
    </xf>
    <xf numFmtId="0" fontId="4" fillId="3" borderId="26" xfId="0" applyFont="1" applyFill="1" applyBorder="1" applyAlignment="1">
      <alignment vertical="center"/>
    </xf>
    <xf numFmtId="0" fontId="4" fillId="0" borderId="26" xfId="0" applyFont="1" applyBorder="1" applyAlignment="1">
      <alignment vertical="center"/>
    </xf>
    <xf numFmtId="0" fontId="6" fillId="34" borderId="11" xfId="0" applyFont="1" applyFill="1" applyBorder="1" applyAlignment="1">
      <alignment vertical="center"/>
    </xf>
    <xf numFmtId="0" fontId="6" fillId="34" borderId="36" xfId="0" applyFont="1" applyFill="1" applyBorder="1" applyAlignment="1">
      <alignment vertical="center"/>
    </xf>
    <xf numFmtId="0" fontId="6" fillId="34" borderId="37" xfId="0" applyFont="1" applyFill="1" applyBorder="1" applyAlignment="1">
      <alignment vertical="center"/>
    </xf>
    <xf numFmtId="0" fontId="6" fillId="34" borderId="38" xfId="0" applyFont="1" applyFill="1" applyBorder="1" applyAlignment="1">
      <alignment vertical="center"/>
    </xf>
    <xf numFmtId="0" fontId="6" fillId="0" borderId="37" xfId="0" applyFont="1" applyFill="1" applyBorder="1" applyAlignment="1">
      <alignment vertical="center"/>
    </xf>
    <xf numFmtId="0" fontId="16" fillId="0" borderId="23" xfId="0" applyFont="1" applyFill="1" applyBorder="1" applyAlignment="1">
      <alignment vertical="center"/>
    </xf>
    <xf numFmtId="0" fontId="16" fillId="0" borderId="23" xfId="0" applyFont="1" applyFill="1" applyBorder="1" applyAlignment="1">
      <alignment horizontal="left" vertical="center"/>
    </xf>
    <xf numFmtId="0" fontId="16" fillId="0" borderId="23" xfId="0" applyFont="1" applyFill="1" applyBorder="1" applyAlignment="1">
      <alignment horizontal="left" vertical="center" wrapText="1"/>
    </xf>
    <xf numFmtId="0" fontId="16" fillId="0" borderId="26" xfId="0" applyFont="1" applyFill="1" applyBorder="1" applyAlignment="1">
      <alignment vertical="center"/>
    </xf>
    <xf numFmtId="0" fontId="16" fillId="0" borderId="26" xfId="0" applyFont="1" applyFill="1" applyBorder="1" applyAlignment="1">
      <alignment horizontal="left" vertical="center"/>
    </xf>
    <xf numFmtId="0" fontId="16" fillId="0" borderId="26" xfId="0" applyFont="1" applyFill="1" applyBorder="1" applyAlignment="1">
      <alignment horizontal="left" vertical="center" wrapText="1"/>
    </xf>
    <xf numFmtId="0" fontId="52" fillId="0" borderId="7" xfId="0" applyFont="1" applyFill="1" applyBorder="1" applyAlignment="1">
      <alignment horizontal="left" vertical="center" wrapText="1"/>
    </xf>
    <xf numFmtId="0" fontId="16" fillId="3" borderId="23" xfId="0" applyFont="1" applyFill="1" applyBorder="1" applyAlignment="1">
      <alignment vertical="center"/>
    </xf>
    <xf numFmtId="0" fontId="16" fillId="3" borderId="26" xfId="0" applyFont="1" applyFill="1" applyBorder="1" applyAlignment="1">
      <alignment vertical="center"/>
    </xf>
    <xf numFmtId="0" fontId="52" fillId="3" borderId="7" xfId="0" applyFont="1" applyFill="1" applyBorder="1" applyAlignment="1">
      <alignment horizontal="left" vertical="center"/>
    </xf>
    <xf numFmtId="0" fontId="6" fillId="34" borderId="39" xfId="0" applyFont="1" applyFill="1" applyBorder="1" applyAlignment="1">
      <alignment vertical="center"/>
    </xf>
    <xf numFmtId="0" fontId="6" fillId="34" borderId="32" xfId="0" applyFont="1" applyFill="1" applyBorder="1" applyAlignment="1">
      <alignment vertical="center"/>
    </xf>
    <xf numFmtId="0" fontId="4" fillId="35" borderId="23" xfId="0" applyFont="1" applyFill="1" applyBorder="1" applyAlignment="1">
      <alignment horizontal="center" vertical="center"/>
    </xf>
    <xf numFmtId="0" fontId="4" fillId="35" borderId="7" xfId="0" applyFont="1" applyFill="1" applyBorder="1" applyAlignment="1">
      <alignment horizontal="center" vertical="center"/>
    </xf>
    <xf numFmtId="0" fontId="4" fillId="35" borderId="26" xfId="0" applyFont="1" applyFill="1" applyBorder="1" applyAlignment="1">
      <alignment horizontal="center" vertical="center"/>
    </xf>
    <xf numFmtId="0" fontId="4" fillId="35" borderId="1" xfId="0" applyFont="1" applyFill="1" applyBorder="1" applyAlignment="1">
      <alignment horizontal="center" vertical="center"/>
    </xf>
    <xf numFmtId="0" fontId="4" fillId="35" borderId="12" xfId="0" applyFont="1" applyFill="1" applyBorder="1" applyAlignment="1">
      <alignment horizontal="center" vertical="center"/>
    </xf>
    <xf numFmtId="0" fontId="53" fillId="0" borderId="7" xfId="0" applyFont="1" applyBorder="1"/>
    <xf numFmtId="0" fontId="53" fillId="0" borderId="23" xfId="0" applyFont="1" applyBorder="1"/>
    <xf numFmtId="0" fontId="53" fillId="0" borderId="12" xfId="0" applyFont="1" applyBorder="1"/>
    <xf numFmtId="0" fontId="16" fillId="35" borderId="7" xfId="0" applyFont="1" applyFill="1" applyBorder="1" applyAlignment="1">
      <alignment vertical="center"/>
    </xf>
    <xf numFmtId="0" fontId="16" fillId="0" borderId="12" xfId="0" applyFont="1" applyFill="1" applyBorder="1" applyAlignment="1">
      <alignment horizontal="left" vertical="center"/>
    </xf>
    <xf numFmtId="0" fontId="52" fillId="0" borderId="12" xfId="0" applyFont="1" applyFill="1" applyBorder="1" applyAlignment="1">
      <alignment horizontal="left" vertical="center" wrapText="1"/>
    </xf>
    <xf numFmtId="0" fontId="16" fillId="33" borderId="7" xfId="0" applyFont="1" applyFill="1" applyBorder="1" applyAlignment="1">
      <alignment vertical="center"/>
    </xf>
    <xf numFmtId="0" fontId="16" fillId="35" borderId="12" xfId="0" applyFont="1" applyFill="1" applyBorder="1" applyAlignment="1">
      <alignment vertical="center"/>
    </xf>
    <xf numFmtId="0" fontId="54" fillId="3" borderId="7" xfId="0" applyFont="1" applyFill="1" applyBorder="1" applyAlignment="1">
      <alignment horizontal="left" vertical="center"/>
    </xf>
    <xf numFmtId="0" fontId="16" fillId="3" borderId="12" xfId="0" applyFont="1" applyFill="1" applyBorder="1" applyAlignment="1">
      <alignment vertical="center"/>
    </xf>
    <xf numFmtId="0" fontId="14" fillId="7" borderId="41" xfId="0" applyFont="1" applyFill="1" applyBorder="1" applyAlignment="1">
      <alignment vertical="center"/>
    </xf>
    <xf numFmtId="177" fontId="8" fillId="0" borderId="37" xfId="0" applyNumberFormat="1" applyFont="1" applyBorder="1" applyAlignment="1">
      <alignment vertical="center"/>
    </xf>
    <xf numFmtId="177" fontId="8" fillId="0" borderId="23" xfId="0" applyNumberFormat="1" applyFont="1" applyBorder="1" applyAlignment="1">
      <alignment vertical="center"/>
    </xf>
    <xf numFmtId="0" fontId="6" fillId="34" borderId="42" xfId="0" applyFont="1" applyFill="1" applyBorder="1" applyAlignment="1">
      <alignment vertical="center"/>
    </xf>
    <xf numFmtId="0" fontId="4" fillId="0" borderId="43" xfId="0" applyFont="1" applyBorder="1" applyAlignment="1">
      <alignment vertical="center"/>
    </xf>
    <xf numFmtId="0" fontId="4" fillId="13" borderId="1" xfId="0" applyFont="1" applyFill="1" applyBorder="1" applyAlignment="1">
      <alignment vertical="center"/>
    </xf>
    <xf numFmtId="0" fontId="4" fillId="13" borderId="23" xfId="0" applyFont="1" applyFill="1" applyBorder="1" applyAlignment="1">
      <alignment vertical="center"/>
    </xf>
    <xf numFmtId="0" fontId="0" fillId="6" borderId="23" xfId="0" applyFill="1" applyBorder="1"/>
    <xf numFmtId="0" fontId="6" fillId="32" borderId="23" xfId="0" applyFont="1" applyFill="1" applyBorder="1" applyAlignment="1">
      <alignment vertical="center"/>
    </xf>
    <xf numFmtId="0" fontId="0" fillId="33" borderId="12" xfId="0" applyFill="1" applyBorder="1"/>
    <xf numFmtId="0" fontId="6" fillId="34" borderId="12" xfId="0" applyFont="1" applyFill="1" applyBorder="1" applyAlignment="1">
      <alignment vertical="center"/>
    </xf>
    <xf numFmtId="0" fontId="0" fillId="33" borderId="7" xfId="0" applyFill="1" applyBorder="1"/>
    <xf numFmtId="0" fontId="0" fillId="33" borderId="23" xfId="0" applyFill="1" applyBorder="1"/>
    <xf numFmtId="0" fontId="6" fillId="34" borderId="23" xfId="0" applyFont="1" applyFill="1" applyBorder="1" applyAlignment="1">
      <alignment vertical="center"/>
    </xf>
    <xf numFmtId="0" fontId="0" fillId="6" borderId="12" xfId="0" applyFill="1" applyBorder="1"/>
    <xf numFmtId="0" fontId="6" fillId="32" borderId="12" xfId="0" applyFont="1" applyFill="1" applyBorder="1" applyAlignment="1">
      <alignment vertical="center"/>
    </xf>
    <xf numFmtId="0" fontId="55" fillId="6" borderId="7" xfId="0" applyFont="1" applyFill="1" applyBorder="1"/>
    <xf numFmtId="0" fontId="55" fillId="33" borderId="7" xfId="0" applyFont="1" applyFill="1" applyBorder="1"/>
    <xf numFmtId="0" fontId="55" fillId="33" borderId="23" xfId="0" applyFont="1" applyFill="1" applyBorder="1"/>
    <xf numFmtId="0" fontId="55" fillId="6" borderId="23" xfId="0" applyFont="1" applyFill="1" applyBorder="1"/>
    <xf numFmtId="0" fontId="57" fillId="0" borderId="23" xfId="0" applyFont="1" applyFill="1" applyBorder="1" applyAlignment="1">
      <alignment horizontal="left" vertical="center"/>
    </xf>
    <xf numFmtId="0" fontId="52" fillId="0" borderId="23" xfId="0" applyFont="1" applyFill="1" applyBorder="1" applyAlignment="1">
      <alignment horizontal="left" vertical="center" wrapText="1"/>
    </xf>
    <xf numFmtId="0" fontId="16" fillId="36" borderId="23" xfId="0" applyFont="1" applyFill="1" applyBorder="1" applyAlignment="1">
      <alignment vertical="center"/>
    </xf>
    <xf numFmtId="0" fontId="16" fillId="36" borderId="44" xfId="0" applyFont="1" applyFill="1" applyBorder="1" applyAlignment="1">
      <alignment vertical="center"/>
    </xf>
    <xf numFmtId="38" fontId="16" fillId="0" borderId="7" xfId="628" applyFont="1" applyFill="1" applyBorder="1" applyAlignment="1">
      <alignment vertical="center" wrapText="1"/>
    </xf>
    <xf numFmtId="0" fontId="27" fillId="0" borderId="12" xfId="0" applyFont="1" applyFill="1" applyBorder="1"/>
    <xf numFmtId="0" fontId="28" fillId="0" borderId="12" xfId="0" applyFont="1" applyFill="1" applyBorder="1"/>
    <xf numFmtId="0" fontId="30" fillId="0" borderId="12" xfId="0" applyFont="1" applyFill="1" applyBorder="1"/>
    <xf numFmtId="0" fontId="30" fillId="30" borderId="12" xfId="0" applyFont="1" applyFill="1" applyBorder="1"/>
    <xf numFmtId="0" fontId="30" fillId="14" borderId="12" xfId="0" applyFont="1" applyFill="1" applyBorder="1"/>
    <xf numFmtId="0" fontId="31" fillId="0" borderId="12" xfId="0" applyFont="1" applyFill="1" applyBorder="1"/>
    <xf numFmtId="38" fontId="16" fillId="0" borderId="12" xfId="628" applyFont="1" applyFill="1" applyBorder="1" applyAlignment="1">
      <alignment vertical="center" wrapText="1"/>
    </xf>
    <xf numFmtId="0" fontId="0" fillId="0" borderId="12" xfId="0" applyBorder="1"/>
    <xf numFmtId="0" fontId="29" fillId="3" borderId="7" xfId="0" applyFont="1" applyFill="1" applyBorder="1" applyAlignment="1">
      <alignment vertical="center"/>
    </xf>
    <xf numFmtId="0" fontId="27" fillId="0" borderId="23" xfId="0" applyFont="1" applyFill="1" applyBorder="1"/>
    <xf numFmtId="0" fontId="28" fillId="0" borderId="23" xfId="0" applyFont="1" applyFill="1" applyBorder="1"/>
    <xf numFmtId="0" fontId="29" fillId="3" borderId="45" xfId="0" applyFont="1" applyFill="1" applyBorder="1" applyAlignment="1">
      <alignment vertical="center"/>
    </xf>
    <xf numFmtId="0" fontId="30" fillId="0" borderId="23" xfId="0" applyFont="1" applyFill="1" applyBorder="1"/>
    <xf numFmtId="0" fontId="30" fillId="30" borderId="23" xfId="0" applyFont="1" applyFill="1" applyBorder="1"/>
    <xf numFmtId="0" fontId="30" fillId="14" borderId="23" xfId="0" applyFont="1" applyFill="1" applyBorder="1"/>
    <xf numFmtId="0" fontId="31" fillId="0" borderId="23" xfId="0" applyFont="1" applyFill="1" applyBorder="1"/>
    <xf numFmtId="38" fontId="16" fillId="0" borderId="23" xfId="628" applyFont="1" applyFill="1" applyBorder="1" applyAlignment="1">
      <alignment vertical="center" wrapText="1"/>
    </xf>
    <xf numFmtId="0" fontId="0" fillId="0" borderId="23" xfId="0" applyBorder="1"/>
    <xf numFmtId="0" fontId="27" fillId="0" borderId="26" xfId="0" applyFont="1" applyFill="1" applyBorder="1"/>
    <xf numFmtId="0" fontId="28" fillId="0" borderId="26" xfId="0" applyFont="1" applyFill="1" applyBorder="1"/>
    <xf numFmtId="0" fontId="29" fillId="3" borderId="26" xfId="0" applyFont="1" applyFill="1" applyBorder="1" applyAlignment="1">
      <alignment vertical="center"/>
    </xf>
    <xf numFmtId="0" fontId="30" fillId="0" borderId="26" xfId="0" applyFont="1" applyFill="1" applyBorder="1"/>
    <xf numFmtId="0" fontId="30" fillId="30" borderId="26" xfId="0" applyFont="1" applyFill="1" applyBorder="1"/>
    <xf numFmtId="0" fontId="30" fillId="14" borderId="26" xfId="0" applyFont="1" applyFill="1" applyBorder="1"/>
    <xf numFmtId="0" fontId="31" fillId="0" borderId="26" xfId="0" applyFont="1" applyFill="1" applyBorder="1"/>
    <xf numFmtId="38" fontId="16" fillId="0" borderId="26" xfId="628" applyFont="1" applyFill="1" applyBorder="1" applyAlignment="1">
      <alignment vertical="center" wrapText="1"/>
    </xf>
    <xf numFmtId="0" fontId="0" fillId="0" borderId="26" xfId="0" applyBorder="1"/>
    <xf numFmtId="0" fontId="16" fillId="37" borderId="7" xfId="0" applyFont="1" applyFill="1" applyBorder="1" applyAlignment="1">
      <alignment vertical="center"/>
    </xf>
    <xf numFmtId="0" fontId="16" fillId="37" borderId="12" xfId="0" applyFont="1" applyFill="1" applyBorder="1" applyAlignment="1">
      <alignment horizontal="left" vertical="center" wrapText="1"/>
    </xf>
    <xf numFmtId="0" fontId="52" fillId="37" borderId="7" xfId="0" applyFont="1" applyFill="1" applyBorder="1" applyAlignment="1">
      <alignment horizontal="left" vertical="center" wrapText="1"/>
    </xf>
    <xf numFmtId="0" fontId="11" fillId="0" borderId="12" xfId="0" applyFont="1" applyBorder="1" applyAlignment="1">
      <alignment vertical="center"/>
    </xf>
    <xf numFmtId="0" fontId="11" fillId="37" borderId="12" xfId="0" applyFont="1" applyFill="1" applyBorder="1" applyAlignment="1">
      <alignment vertical="center"/>
    </xf>
    <xf numFmtId="0" fontId="16" fillId="37" borderId="12" xfId="0" applyFont="1" applyFill="1" applyBorder="1" applyAlignment="1">
      <alignment vertical="center"/>
    </xf>
    <xf numFmtId="0" fontId="54" fillId="3" borderId="12" xfId="0" applyFont="1" applyFill="1" applyBorder="1" applyAlignment="1">
      <alignment horizontal="left" vertical="center"/>
    </xf>
    <xf numFmtId="0" fontId="16" fillId="6" borderId="23" xfId="0" applyFont="1" applyFill="1" applyBorder="1" applyAlignment="1">
      <alignment vertical="center"/>
    </xf>
    <xf numFmtId="0" fontId="52" fillId="3" borderId="23" xfId="0" applyFont="1" applyFill="1" applyBorder="1" applyAlignment="1">
      <alignment horizontal="left" vertical="center"/>
    </xf>
    <xf numFmtId="0" fontId="11" fillId="33" borderId="12" xfId="0" applyFont="1" applyFill="1" applyBorder="1" applyAlignment="1">
      <alignment vertical="center"/>
    </xf>
    <xf numFmtId="0" fontId="6" fillId="38" borderId="3" xfId="0" applyFont="1" applyFill="1" applyBorder="1" applyAlignment="1">
      <alignment vertical="center"/>
    </xf>
    <xf numFmtId="0" fontId="4" fillId="38" borderId="40" xfId="0" applyFont="1" applyFill="1" applyBorder="1" applyAlignment="1">
      <alignment vertical="center"/>
    </xf>
    <xf numFmtId="0" fontId="56" fillId="0" borderId="12" xfId="0" applyFont="1" applyBorder="1"/>
    <xf numFmtId="0" fontId="56" fillId="0" borderId="7" xfId="0" applyFont="1" applyBorder="1"/>
    <xf numFmtId="0" fontId="16" fillId="39" borderId="7" xfId="0" applyFont="1" applyFill="1" applyBorder="1" applyAlignment="1">
      <alignment horizontal="left" vertical="center"/>
    </xf>
    <xf numFmtId="0" fontId="58" fillId="0" borderId="7" xfId="0" applyFont="1" applyBorder="1"/>
    <xf numFmtId="0" fontId="58" fillId="0" borderId="23" xfId="0" applyFont="1" applyBorder="1"/>
    <xf numFmtId="0" fontId="59" fillId="6" borderId="7" xfId="0" applyFont="1" applyFill="1" applyBorder="1"/>
    <xf numFmtId="0" fontId="59" fillId="33" borderId="7" xfId="0" applyFont="1" applyFill="1" applyBorder="1"/>
  </cellXfs>
  <cellStyles count="712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赤字強調" xfId="431"/>
    <cellStyle name="青字強調" xfId="430"/>
  </cellStyles>
  <dxfs count="1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externalLink" Target="externalLinks/externalLink6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HintMasterData_template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12001</v>
          </cell>
        </row>
        <row r="89">
          <cell r="A89">
            <v>12002</v>
          </cell>
        </row>
        <row r="90">
          <cell r="A90">
            <v>12003</v>
          </cell>
        </row>
        <row r="91">
          <cell r="A91">
            <v>12004</v>
          </cell>
        </row>
        <row r="92">
          <cell r="A92">
            <v>13001</v>
          </cell>
        </row>
        <row r="93">
          <cell r="A93">
            <v>13101</v>
          </cell>
        </row>
        <row r="94">
          <cell r="A94">
            <v>13300</v>
          </cell>
        </row>
        <row r="95">
          <cell r="A95">
            <v>13301</v>
          </cell>
        </row>
        <row r="96">
          <cell r="A96">
            <v>13302</v>
          </cell>
        </row>
        <row r="97">
          <cell r="A97">
            <v>13400</v>
          </cell>
        </row>
        <row r="98">
          <cell r="A98">
            <v>14001</v>
          </cell>
        </row>
        <row r="99">
          <cell r="A99">
            <v>14002</v>
          </cell>
        </row>
        <row r="100">
          <cell r="A100">
            <v>14003</v>
          </cell>
        </row>
        <row r="101">
          <cell r="A101">
            <v>14004</v>
          </cell>
        </row>
        <row r="102">
          <cell r="A102">
            <v>14005</v>
          </cell>
        </row>
        <row r="103">
          <cell r="A103">
            <v>14006</v>
          </cell>
        </row>
        <row r="104">
          <cell r="A104">
            <v>15027</v>
          </cell>
        </row>
        <row r="105">
          <cell r="A105">
            <v>15028</v>
          </cell>
        </row>
        <row r="106">
          <cell r="A106">
            <v>15029</v>
          </cell>
        </row>
        <row r="107">
          <cell r="A107">
            <v>15030</v>
          </cell>
        </row>
        <row r="108">
          <cell r="A108">
            <v>15031</v>
          </cell>
        </row>
        <row r="109">
          <cell r="A109">
            <v>20001</v>
          </cell>
        </row>
        <row r="110">
          <cell r="A110">
            <v>20002</v>
          </cell>
        </row>
        <row r="111">
          <cell r="A111">
            <v>20003</v>
          </cell>
        </row>
        <row r="112">
          <cell r="A112">
            <v>20004</v>
          </cell>
        </row>
        <row r="113">
          <cell r="A113">
            <v>20005</v>
          </cell>
        </row>
        <row r="114">
          <cell r="A114">
            <v>20006</v>
          </cell>
        </row>
        <row r="115">
          <cell r="A115">
            <v>20007</v>
          </cell>
        </row>
        <row r="116">
          <cell r="A116">
            <v>20008</v>
          </cell>
        </row>
        <row r="117">
          <cell r="A117">
            <v>20009</v>
          </cell>
        </row>
        <row r="118">
          <cell r="A118">
            <v>20010</v>
          </cell>
        </row>
        <row r="119">
          <cell r="A119">
            <v>20011</v>
          </cell>
        </row>
        <row r="120">
          <cell r="A120">
            <v>20012</v>
          </cell>
        </row>
        <row r="121">
          <cell r="A121">
            <v>20013</v>
          </cell>
        </row>
        <row r="122">
          <cell r="A122">
            <v>20014</v>
          </cell>
        </row>
        <row r="123">
          <cell r="A123">
            <v>20015</v>
          </cell>
        </row>
        <row r="124">
          <cell r="A124">
            <v>20016</v>
          </cell>
        </row>
        <row r="125">
          <cell r="A125">
            <v>20017</v>
          </cell>
        </row>
        <row r="126">
          <cell r="A126">
            <v>20018</v>
          </cell>
        </row>
        <row r="127">
          <cell r="A127">
            <v>20019</v>
          </cell>
        </row>
        <row r="128">
          <cell r="A128">
            <v>20020</v>
          </cell>
        </row>
        <row r="129">
          <cell r="A129">
            <v>20021</v>
          </cell>
        </row>
        <row r="130">
          <cell r="A130">
            <v>20022</v>
          </cell>
        </row>
        <row r="131">
          <cell r="A131">
            <v>30001</v>
          </cell>
        </row>
        <row r="132">
          <cell r="A132">
            <v>30002</v>
          </cell>
        </row>
        <row r="133">
          <cell r="A133">
            <v>30003</v>
          </cell>
        </row>
        <row r="134">
          <cell r="A134">
            <v>30004</v>
          </cell>
        </row>
        <row r="135">
          <cell r="A135">
            <v>30005</v>
          </cell>
        </row>
        <row r="136">
          <cell r="A136">
            <v>30006</v>
          </cell>
        </row>
        <row r="137">
          <cell r="A137">
            <v>30007</v>
          </cell>
        </row>
        <row r="138">
          <cell r="A138">
            <v>30008</v>
          </cell>
        </row>
        <row r="139">
          <cell r="A139">
            <v>30009</v>
          </cell>
        </row>
        <row r="140">
          <cell r="A140">
            <v>30010</v>
          </cell>
        </row>
        <row r="141">
          <cell r="A141">
            <v>30011</v>
          </cell>
        </row>
        <row r="142">
          <cell r="A142">
            <v>30012</v>
          </cell>
        </row>
        <row r="143">
          <cell r="A143">
            <v>30013</v>
          </cell>
        </row>
        <row r="144">
          <cell r="A144">
            <v>30014</v>
          </cell>
        </row>
        <row r="145">
          <cell r="A145">
            <v>30015</v>
          </cell>
        </row>
        <row r="146">
          <cell r="A146">
            <v>30016</v>
          </cell>
        </row>
        <row r="147">
          <cell r="A147">
            <v>30017</v>
          </cell>
        </row>
        <row r="148">
          <cell r="A148">
            <v>30018</v>
          </cell>
        </row>
        <row r="149">
          <cell r="A149">
            <v>30019</v>
          </cell>
        </row>
        <row r="150">
          <cell r="A150">
            <v>30020</v>
          </cell>
        </row>
        <row r="151">
          <cell r="A151">
            <v>30021</v>
          </cell>
        </row>
        <row r="152">
          <cell r="A152">
            <v>30022</v>
          </cell>
        </row>
        <row r="153">
          <cell r="A153">
            <v>30023</v>
          </cell>
        </row>
        <row r="154">
          <cell r="A154">
            <v>30024</v>
          </cell>
        </row>
        <row r="155">
          <cell r="A155">
            <v>30025</v>
          </cell>
        </row>
        <row r="156">
          <cell r="A156">
            <v>30026</v>
          </cell>
        </row>
        <row r="157">
          <cell r="A157">
            <v>30027</v>
          </cell>
        </row>
        <row r="158">
          <cell r="A158">
            <v>30028</v>
          </cell>
        </row>
        <row r="159">
          <cell r="A159">
            <v>30029</v>
          </cell>
        </row>
        <row r="160">
          <cell r="A160">
            <v>30030</v>
          </cell>
        </row>
        <row r="161">
          <cell r="A161">
            <v>30031</v>
          </cell>
        </row>
        <row r="162">
          <cell r="A162">
            <v>30032</v>
          </cell>
        </row>
        <row r="163">
          <cell r="A163">
            <v>30033</v>
          </cell>
        </row>
        <row r="164">
          <cell r="A164">
            <v>30034</v>
          </cell>
        </row>
        <row r="165">
          <cell r="A165">
            <v>30035</v>
          </cell>
        </row>
        <row r="166">
          <cell r="A166">
            <v>30036</v>
          </cell>
        </row>
        <row r="167">
          <cell r="A167">
            <v>30037</v>
          </cell>
        </row>
        <row r="168">
          <cell r="A168">
            <v>30038</v>
          </cell>
        </row>
        <row r="169">
          <cell r="A169">
            <v>30039</v>
          </cell>
        </row>
        <row r="170">
          <cell r="A170">
            <v>30040</v>
          </cell>
        </row>
        <row r="171">
          <cell r="A171">
            <v>30041</v>
          </cell>
        </row>
        <row r="172">
          <cell r="A172">
            <v>30042</v>
          </cell>
        </row>
        <row r="173">
          <cell r="A173">
            <v>30043</v>
          </cell>
        </row>
        <row r="174">
          <cell r="A174">
            <v>30044</v>
          </cell>
        </row>
        <row r="175">
          <cell r="A175">
            <v>30045</v>
          </cell>
        </row>
        <row r="176">
          <cell r="A176">
            <v>30046</v>
          </cell>
        </row>
        <row r="177">
          <cell r="A177">
            <v>30047</v>
          </cell>
        </row>
        <row r="178">
          <cell r="A178">
            <v>30048</v>
          </cell>
        </row>
        <row r="179">
          <cell r="A179">
            <v>39001</v>
          </cell>
        </row>
        <row r="180">
          <cell r="A180">
            <v>39002</v>
          </cell>
        </row>
        <row r="181">
          <cell r="A181">
            <v>39003</v>
          </cell>
        </row>
        <row r="182">
          <cell r="A182">
            <v>39004</v>
          </cell>
        </row>
        <row r="183">
          <cell r="A183">
            <v>39005</v>
          </cell>
        </row>
        <row r="184">
          <cell r="A184">
            <v>39006</v>
          </cell>
        </row>
        <row r="185">
          <cell r="A185">
            <v>39007</v>
          </cell>
        </row>
        <row r="186">
          <cell r="A186">
            <v>39008</v>
          </cell>
        </row>
        <row r="187">
          <cell r="A187">
            <v>39009</v>
          </cell>
        </row>
        <row r="188">
          <cell r="A188">
            <v>39010</v>
          </cell>
        </row>
        <row r="189">
          <cell r="A189">
            <v>39011</v>
          </cell>
        </row>
        <row r="190">
          <cell r="A190">
            <v>39012</v>
          </cell>
        </row>
        <row r="191">
          <cell r="A191">
            <v>40001</v>
          </cell>
        </row>
        <row r="192">
          <cell r="A192">
            <v>40002</v>
          </cell>
        </row>
        <row r="193">
          <cell r="A193">
            <v>40003</v>
          </cell>
        </row>
        <row r="194">
          <cell r="A194">
            <v>40004</v>
          </cell>
        </row>
        <row r="195">
          <cell r="A195">
            <v>40005</v>
          </cell>
        </row>
        <row r="196">
          <cell r="A196">
            <v>40006</v>
          </cell>
        </row>
        <row r="197">
          <cell r="A197">
            <v>40007</v>
          </cell>
        </row>
        <row r="198">
          <cell r="A198">
            <v>40008</v>
          </cell>
        </row>
        <row r="199">
          <cell r="A199">
            <v>40009</v>
          </cell>
        </row>
        <row r="200">
          <cell r="A200">
            <v>40010</v>
          </cell>
        </row>
        <row r="201">
          <cell r="A201">
            <v>40011</v>
          </cell>
        </row>
        <row r="202">
          <cell r="A202">
            <v>40012</v>
          </cell>
        </row>
        <row r="203">
          <cell r="A203">
            <v>40013</v>
          </cell>
        </row>
        <row r="204">
          <cell r="A204">
            <v>40014</v>
          </cell>
        </row>
        <row r="205">
          <cell r="A205">
            <v>40015</v>
          </cell>
        </row>
        <row r="206">
          <cell r="A206">
            <v>40016</v>
          </cell>
        </row>
        <row r="207">
          <cell r="A207">
            <v>40017</v>
          </cell>
        </row>
        <row r="208">
          <cell r="A208">
            <v>40018</v>
          </cell>
        </row>
        <row r="209">
          <cell r="A209">
            <v>40019</v>
          </cell>
        </row>
        <row r="210">
          <cell r="A210">
            <v>40021</v>
          </cell>
        </row>
        <row r="211">
          <cell r="A211">
            <v>40022</v>
          </cell>
        </row>
        <row r="212">
          <cell r="A212">
            <v>40023</v>
          </cell>
        </row>
        <row r="213">
          <cell r="A213">
            <v>40024</v>
          </cell>
        </row>
        <row r="214">
          <cell r="A214">
            <v>40025</v>
          </cell>
        </row>
        <row r="215">
          <cell r="A215">
            <v>40026</v>
          </cell>
        </row>
        <row r="216">
          <cell r="A216">
            <v>40027</v>
          </cell>
        </row>
        <row r="217">
          <cell r="A217">
            <v>40028</v>
          </cell>
        </row>
        <row r="218">
          <cell r="A218">
            <v>40029</v>
          </cell>
        </row>
        <row r="219">
          <cell r="A219">
            <v>40030</v>
          </cell>
        </row>
        <row r="220">
          <cell r="A220">
            <v>40031</v>
          </cell>
        </row>
        <row r="221">
          <cell r="A221">
            <v>40032</v>
          </cell>
        </row>
        <row r="222">
          <cell r="A222">
            <v>40033</v>
          </cell>
        </row>
        <row r="223">
          <cell r="A223">
            <v>40034</v>
          </cell>
        </row>
        <row r="224">
          <cell r="A224">
            <v>40035</v>
          </cell>
        </row>
        <row r="225">
          <cell r="A225">
            <v>40036</v>
          </cell>
        </row>
        <row r="226">
          <cell r="A226">
            <v>40037</v>
          </cell>
        </row>
        <row r="227">
          <cell r="A227">
            <v>40038</v>
          </cell>
        </row>
        <row r="228">
          <cell r="A228">
            <v>40039</v>
          </cell>
        </row>
        <row r="229">
          <cell r="A229">
            <v>40040</v>
          </cell>
        </row>
        <row r="230">
          <cell r="A230">
            <v>40041</v>
          </cell>
        </row>
        <row r="231">
          <cell r="A231">
            <v>40042</v>
          </cell>
        </row>
        <row r="232">
          <cell r="A232">
            <v>40043</v>
          </cell>
        </row>
        <row r="233">
          <cell r="A233">
            <v>48001</v>
          </cell>
        </row>
        <row r="234">
          <cell r="A234">
            <v>48002</v>
          </cell>
        </row>
        <row r="235">
          <cell r="A235">
            <v>48003</v>
          </cell>
        </row>
        <row r="236">
          <cell r="A236">
            <v>48004</v>
          </cell>
        </row>
        <row r="237">
          <cell r="A237">
            <v>48005</v>
          </cell>
        </row>
        <row r="238">
          <cell r="A238">
            <v>48006</v>
          </cell>
        </row>
        <row r="239">
          <cell r="A239">
            <v>48007</v>
          </cell>
        </row>
        <row r="240">
          <cell r="A240">
            <v>48008</v>
          </cell>
        </row>
        <row r="241">
          <cell r="A241">
            <v>48009</v>
          </cell>
        </row>
        <row r="242">
          <cell r="A242">
            <v>48010</v>
          </cell>
        </row>
        <row r="243">
          <cell r="A243">
            <v>48011</v>
          </cell>
        </row>
        <row r="244">
          <cell r="A244">
            <v>48501</v>
          </cell>
        </row>
        <row r="245">
          <cell r="A245">
            <v>48502</v>
          </cell>
        </row>
        <row r="246">
          <cell r="A246">
            <v>48701</v>
          </cell>
        </row>
        <row r="247">
          <cell r="A247">
            <v>41001</v>
          </cell>
        </row>
        <row r="248">
          <cell r="A248">
            <v>41002</v>
          </cell>
        </row>
        <row r="249">
          <cell r="A249">
            <v>41003</v>
          </cell>
        </row>
        <row r="250">
          <cell r="A250">
            <v>41004</v>
          </cell>
        </row>
        <row r="251">
          <cell r="A251">
            <v>41005</v>
          </cell>
        </row>
        <row r="252">
          <cell r="A252">
            <v>41006</v>
          </cell>
        </row>
        <row r="253">
          <cell r="A253">
            <v>41007</v>
          </cell>
        </row>
        <row r="254">
          <cell r="A254">
            <v>41008</v>
          </cell>
        </row>
        <row r="255">
          <cell r="A255">
            <v>41009</v>
          </cell>
        </row>
        <row r="256">
          <cell r="A256">
            <v>41010</v>
          </cell>
        </row>
        <row r="257">
          <cell r="A257">
            <v>41011</v>
          </cell>
        </row>
        <row r="258">
          <cell r="A258">
            <v>41012</v>
          </cell>
        </row>
        <row r="259">
          <cell r="A259">
            <v>41013</v>
          </cell>
        </row>
        <row r="260">
          <cell r="A260">
            <v>41014</v>
          </cell>
        </row>
        <row r="261">
          <cell r="A261">
            <v>41015</v>
          </cell>
        </row>
        <row r="262">
          <cell r="A262">
            <v>47001</v>
          </cell>
        </row>
        <row r="263">
          <cell r="A263">
            <v>47002</v>
          </cell>
        </row>
        <row r="264">
          <cell r="A264">
            <v>47003</v>
          </cell>
        </row>
        <row r="265">
          <cell r="A265">
            <v>47004</v>
          </cell>
        </row>
        <row r="266">
          <cell r="A266">
            <v>47005</v>
          </cell>
        </row>
        <row r="267">
          <cell r="A267">
            <v>47006</v>
          </cell>
        </row>
        <row r="268">
          <cell r="A268">
            <v>47007</v>
          </cell>
        </row>
        <row r="269">
          <cell r="A269">
            <v>47008</v>
          </cell>
        </row>
        <row r="270">
          <cell r="A270">
            <v>47009</v>
          </cell>
        </row>
        <row r="271">
          <cell r="A271">
            <v>47010</v>
          </cell>
        </row>
        <row r="272">
          <cell r="A272">
            <v>47011</v>
          </cell>
        </row>
        <row r="273">
          <cell r="A273">
            <v>49001</v>
          </cell>
        </row>
        <row r="274">
          <cell r="A274">
            <v>49002</v>
          </cell>
        </row>
        <row r="275">
          <cell r="A275">
            <v>49003</v>
          </cell>
        </row>
        <row r="276">
          <cell r="A276">
            <v>49004</v>
          </cell>
        </row>
        <row r="277">
          <cell r="A277">
            <v>49005</v>
          </cell>
        </row>
        <row r="278">
          <cell r="A278">
            <v>49006</v>
          </cell>
        </row>
        <row r="279">
          <cell r="A279">
            <v>49007</v>
          </cell>
        </row>
        <row r="280">
          <cell r="A280">
            <v>49008</v>
          </cell>
        </row>
        <row r="281">
          <cell r="A281">
            <v>49009</v>
          </cell>
        </row>
        <row r="282">
          <cell r="A282">
            <v>49010</v>
          </cell>
        </row>
        <row r="283">
          <cell r="A283">
            <v>49011</v>
          </cell>
        </row>
        <row r="284">
          <cell r="A284">
            <v>49012</v>
          </cell>
        </row>
        <row r="285">
          <cell r="A285">
            <v>49013</v>
          </cell>
        </row>
        <row r="286">
          <cell r="A286">
            <v>49014</v>
          </cell>
        </row>
        <row r="287">
          <cell r="A287">
            <v>49015</v>
          </cell>
        </row>
        <row r="288">
          <cell r="A288">
            <v>50001</v>
          </cell>
        </row>
        <row r="289">
          <cell r="A289">
            <v>50002</v>
          </cell>
        </row>
        <row r="290">
          <cell r="A290">
            <v>50003</v>
          </cell>
        </row>
        <row r="291">
          <cell r="A291">
            <v>50004</v>
          </cell>
        </row>
        <row r="292">
          <cell r="A292">
            <v>50005</v>
          </cell>
        </row>
        <row r="293">
          <cell r="A293">
            <v>50006</v>
          </cell>
        </row>
        <row r="294">
          <cell r="A294">
            <v>50007</v>
          </cell>
        </row>
        <row r="295">
          <cell r="A295">
            <v>50008</v>
          </cell>
        </row>
        <row r="296">
          <cell r="A296">
            <v>50009</v>
          </cell>
        </row>
        <row r="297">
          <cell r="A297">
            <v>50010</v>
          </cell>
        </row>
        <row r="298">
          <cell r="A298">
            <v>50011</v>
          </cell>
        </row>
        <row r="299">
          <cell r="A299">
            <v>50012</v>
          </cell>
        </row>
        <row r="300">
          <cell r="A300">
            <v>50013</v>
          </cell>
        </row>
        <row r="301">
          <cell r="A301">
            <v>50014</v>
          </cell>
        </row>
        <row r="302">
          <cell r="A302">
            <v>51001</v>
          </cell>
        </row>
        <row r="303">
          <cell r="A303">
            <v>51002</v>
          </cell>
        </row>
        <row r="304">
          <cell r="A304">
            <v>58001</v>
          </cell>
        </row>
        <row r="305">
          <cell r="A305">
            <v>59001</v>
          </cell>
        </row>
        <row r="306">
          <cell r="A306">
            <v>59002</v>
          </cell>
        </row>
        <row r="307">
          <cell r="A307">
            <v>60001</v>
          </cell>
        </row>
        <row r="308">
          <cell r="A308">
            <v>60002</v>
          </cell>
        </row>
        <row r="309">
          <cell r="A309">
            <v>60003</v>
          </cell>
        </row>
        <row r="310">
          <cell r="A310">
            <v>60004</v>
          </cell>
        </row>
        <row r="311">
          <cell r="A311">
            <v>60005</v>
          </cell>
        </row>
        <row r="312">
          <cell r="A312">
            <v>60006</v>
          </cell>
        </row>
        <row r="313">
          <cell r="A313">
            <v>60007</v>
          </cell>
        </row>
        <row r="314">
          <cell r="A314">
            <v>60010</v>
          </cell>
        </row>
        <row r="315">
          <cell r="A315">
            <v>60011</v>
          </cell>
        </row>
        <row r="316">
          <cell r="A316">
            <v>61011</v>
          </cell>
        </row>
        <row r="317">
          <cell r="A317">
            <v>60012</v>
          </cell>
        </row>
        <row r="318">
          <cell r="A318">
            <v>60013</v>
          </cell>
        </row>
        <row r="319">
          <cell r="A319">
            <v>60014</v>
          </cell>
        </row>
        <row r="320">
          <cell r="A320">
            <v>60015</v>
          </cell>
        </row>
        <row r="321">
          <cell r="A321">
            <v>60016</v>
          </cell>
        </row>
        <row r="322">
          <cell r="A322">
            <v>60017</v>
          </cell>
        </row>
        <row r="323">
          <cell r="A323">
            <v>60018</v>
          </cell>
        </row>
        <row r="324">
          <cell r="A324">
            <v>60019</v>
          </cell>
        </row>
        <row r="325">
          <cell r="A325">
            <v>60020</v>
          </cell>
        </row>
        <row r="326">
          <cell r="A326">
            <v>60025</v>
          </cell>
        </row>
        <row r="327">
          <cell r="A327">
            <v>60026</v>
          </cell>
        </row>
        <row r="328">
          <cell r="A328">
            <v>60027</v>
          </cell>
        </row>
        <row r="329">
          <cell r="A329">
            <v>60028</v>
          </cell>
        </row>
        <row r="330">
          <cell r="A330">
            <v>65525</v>
          </cell>
        </row>
        <row r="331">
          <cell r="A331">
            <v>65526</v>
          </cell>
        </row>
        <row r="332">
          <cell r="A332">
            <v>65527</v>
          </cell>
        </row>
        <row r="333">
          <cell r="A333">
            <v>65528</v>
          </cell>
        </row>
        <row r="334">
          <cell r="A334">
            <v>65529</v>
          </cell>
        </row>
        <row r="335">
          <cell r="A335">
            <v>65530</v>
          </cell>
        </row>
        <row r="336">
          <cell r="A336">
            <v>65531</v>
          </cell>
        </row>
        <row r="337">
          <cell r="A337">
            <v>65532</v>
          </cell>
        </row>
        <row r="338">
          <cell r="A338">
            <v>65533</v>
          </cell>
        </row>
        <row r="339">
          <cell r="A339">
            <v>65534</v>
          </cell>
        </row>
        <row r="340">
          <cell r="A340">
            <v>65535</v>
          </cell>
        </row>
        <row r="341">
          <cell r="A341">
            <v>60021</v>
          </cell>
        </row>
        <row r="342">
          <cell r="A342">
            <v>60022</v>
          </cell>
        </row>
        <row r="343">
          <cell r="A343">
            <v>60023</v>
          </cell>
        </row>
        <row r="344">
          <cell r="A344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12001_1</v>
          </cell>
        </row>
        <row r="300">
          <cell r="A300" t="str">
            <v>12001_2</v>
          </cell>
        </row>
        <row r="301">
          <cell r="A301" t="str">
            <v>12001_3</v>
          </cell>
        </row>
        <row r="302">
          <cell r="A302" t="str">
            <v>12002_1</v>
          </cell>
        </row>
        <row r="303">
          <cell r="A303" t="str">
            <v>12002_2</v>
          </cell>
        </row>
        <row r="304">
          <cell r="A304" t="str">
            <v>12003_1</v>
          </cell>
        </row>
        <row r="305">
          <cell r="A305" t="str">
            <v>12003_2</v>
          </cell>
        </row>
        <row r="306">
          <cell r="A306" t="str">
            <v>12003_3</v>
          </cell>
        </row>
        <row r="307">
          <cell r="A307" t="str">
            <v>12003_4</v>
          </cell>
        </row>
        <row r="308">
          <cell r="A308" t="str">
            <v>12004_1</v>
          </cell>
        </row>
        <row r="309">
          <cell r="A309" t="str">
            <v>13001_1</v>
          </cell>
        </row>
        <row r="310">
          <cell r="A310" t="str">
            <v>13001_2</v>
          </cell>
        </row>
        <row r="311">
          <cell r="A311" t="str">
            <v>13001_3</v>
          </cell>
        </row>
        <row r="312">
          <cell r="A312" t="str">
            <v>13001_4</v>
          </cell>
        </row>
        <row r="313">
          <cell r="A313" t="str">
            <v>13001_5</v>
          </cell>
        </row>
        <row r="314">
          <cell r="A314" t="str">
            <v>13001_6</v>
          </cell>
        </row>
        <row r="315">
          <cell r="A315" t="str">
            <v>13001_7</v>
          </cell>
        </row>
        <row r="316">
          <cell r="A316" t="str">
            <v>13001_8</v>
          </cell>
        </row>
        <row r="317">
          <cell r="A317" t="str">
            <v>13001_9</v>
          </cell>
        </row>
        <row r="318">
          <cell r="A318" t="str">
            <v>13001_10</v>
          </cell>
        </row>
        <row r="319">
          <cell r="A319" t="str">
            <v>13001_11</v>
          </cell>
        </row>
        <row r="320">
          <cell r="A320" t="str">
            <v>13001_12</v>
          </cell>
        </row>
        <row r="321">
          <cell r="A321" t="str">
            <v>13001_13</v>
          </cell>
        </row>
        <row r="322">
          <cell r="A322" t="str">
            <v>13001_14</v>
          </cell>
        </row>
        <row r="323">
          <cell r="A323" t="str">
            <v>13001_15</v>
          </cell>
        </row>
        <row r="324">
          <cell r="A324" t="str">
            <v>13001_16</v>
          </cell>
        </row>
        <row r="325">
          <cell r="A325" t="str">
            <v>13001_17</v>
          </cell>
        </row>
        <row r="326">
          <cell r="A326" t="str">
            <v>13001_18</v>
          </cell>
        </row>
        <row r="327">
          <cell r="A327" t="str">
            <v>13001_19</v>
          </cell>
        </row>
        <row r="328">
          <cell r="A328" t="str">
            <v>13001_20</v>
          </cell>
        </row>
        <row r="329">
          <cell r="A329" t="str">
            <v>13001_21</v>
          </cell>
        </row>
        <row r="330">
          <cell r="A330" t="str">
            <v>13001_22</v>
          </cell>
        </row>
        <row r="331">
          <cell r="A331" t="str">
            <v>13001_23</v>
          </cell>
        </row>
        <row r="332">
          <cell r="A332" t="str">
            <v>13001_24</v>
          </cell>
        </row>
        <row r="333">
          <cell r="A333" t="str">
            <v>13001_25</v>
          </cell>
        </row>
        <row r="334">
          <cell r="A334" t="str">
            <v>13101_1</v>
          </cell>
        </row>
        <row r="335">
          <cell r="A335" t="str">
            <v>13101_2</v>
          </cell>
        </row>
        <row r="336">
          <cell r="A336" t="str">
            <v>13101_3</v>
          </cell>
        </row>
        <row r="337">
          <cell r="A337" t="str">
            <v>13101_4</v>
          </cell>
        </row>
        <row r="338">
          <cell r="A338" t="str">
            <v>13101_5</v>
          </cell>
        </row>
        <row r="339">
          <cell r="A339" t="str">
            <v>13101_6</v>
          </cell>
        </row>
        <row r="340">
          <cell r="A340" t="str">
            <v>13101_7</v>
          </cell>
        </row>
        <row r="341">
          <cell r="A341" t="str">
            <v>13101_8</v>
          </cell>
        </row>
        <row r="342">
          <cell r="A342" t="str">
            <v>13101_9</v>
          </cell>
        </row>
        <row r="343">
          <cell r="A343" t="str">
            <v>13101_10</v>
          </cell>
        </row>
        <row r="344">
          <cell r="A344" t="str">
            <v>13101_11</v>
          </cell>
        </row>
        <row r="345">
          <cell r="A345" t="str">
            <v>13101_12</v>
          </cell>
        </row>
        <row r="346">
          <cell r="A346" t="str">
            <v>13101_13</v>
          </cell>
        </row>
        <row r="347">
          <cell r="A347" t="str">
            <v>13101_14</v>
          </cell>
        </row>
        <row r="348">
          <cell r="A348" t="str">
            <v>13101_15</v>
          </cell>
        </row>
        <row r="349">
          <cell r="A349" t="str">
            <v>13101_16</v>
          </cell>
        </row>
        <row r="350">
          <cell r="A350" t="str">
            <v>13101_17</v>
          </cell>
        </row>
        <row r="351">
          <cell r="A351" t="str">
            <v>13101_18</v>
          </cell>
        </row>
        <row r="352">
          <cell r="A352" t="str">
            <v>13101_19</v>
          </cell>
        </row>
        <row r="353">
          <cell r="A353" t="str">
            <v>13101_20</v>
          </cell>
        </row>
        <row r="354">
          <cell r="A354" t="str">
            <v>13101_21</v>
          </cell>
        </row>
        <row r="355">
          <cell r="A355" t="str">
            <v>13101_22</v>
          </cell>
        </row>
        <row r="356">
          <cell r="A356" t="str">
            <v>13101_23</v>
          </cell>
        </row>
        <row r="357">
          <cell r="A357" t="str">
            <v>13101_24</v>
          </cell>
        </row>
        <row r="358">
          <cell r="A358" t="str">
            <v>13101_25</v>
          </cell>
        </row>
        <row r="359">
          <cell r="A359" t="str">
            <v>13300_1</v>
          </cell>
        </row>
        <row r="360">
          <cell r="A360" t="str">
            <v>13300_2</v>
          </cell>
        </row>
        <row r="361">
          <cell r="A361" t="str">
            <v>13300_3</v>
          </cell>
        </row>
        <row r="362">
          <cell r="A362" t="str">
            <v>13300_4</v>
          </cell>
        </row>
        <row r="363">
          <cell r="A363" t="str">
            <v>13300_5</v>
          </cell>
        </row>
        <row r="364">
          <cell r="A364" t="str">
            <v>13300_6</v>
          </cell>
        </row>
        <row r="365">
          <cell r="A365" t="str">
            <v>13300_7</v>
          </cell>
        </row>
        <row r="366">
          <cell r="A366" t="str">
            <v>13300_8</v>
          </cell>
        </row>
        <row r="367">
          <cell r="A367" t="str">
            <v>13300_9</v>
          </cell>
        </row>
        <row r="368">
          <cell r="A368" t="str">
            <v>13300_10</v>
          </cell>
        </row>
        <row r="369">
          <cell r="A369" t="str">
            <v>13300_11</v>
          </cell>
        </row>
        <row r="370">
          <cell r="A370" t="str">
            <v>13300_12</v>
          </cell>
        </row>
        <row r="371">
          <cell r="A371" t="str">
            <v>13300_13</v>
          </cell>
        </row>
        <row r="372">
          <cell r="A372" t="str">
            <v>13300_14</v>
          </cell>
        </row>
        <row r="373">
          <cell r="A373" t="str">
            <v>13300_15</v>
          </cell>
        </row>
        <row r="374">
          <cell r="A374" t="str">
            <v>13301_1</v>
          </cell>
        </row>
        <row r="375">
          <cell r="A375" t="str">
            <v>13301_2</v>
          </cell>
        </row>
        <row r="376">
          <cell r="A376" t="str">
            <v>13301_3</v>
          </cell>
        </row>
        <row r="377">
          <cell r="A377" t="str">
            <v>13301_4</v>
          </cell>
        </row>
        <row r="378">
          <cell r="A378" t="str">
            <v>13301_5</v>
          </cell>
        </row>
        <row r="379">
          <cell r="A379" t="str">
            <v>13301_6</v>
          </cell>
        </row>
        <row r="380">
          <cell r="A380" t="str">
            <v>13301_7</v>
          </cell>
        </row>
        <row r="381">
          <cell r="A381" t="str">
            <v>13301_8</v>
          </cell>
        </row>
        <row r="382">
          <cell r="A382" t="str">
            <v>13301_9</v>
          </cell>
        </row>
        <row r="383">
          <cell r="A383" t="str">
            <v>13301_10</v>
          </cell>
        </row>
        <row r="384">
          <cell r="A384" t="str">
            <v>13301_11</v>
          </cell>
        </row>
        <row r="385">
          <cell r="A385" t="str">
            <v>13301_12</v>
          </cell>
        </row>
        <row r="386">
          <cell r="A386" t="str">
            <v>13301_13</v>
          </cell>
        </row>
        <row r="387">
          <cell r="A387" t="str">
            <v>13301_14</v>
          </cell>
        </row>
        <row r="388">
          <cell r="A388" t="str">
            <v>13301_15</v>
          </cell>
        </row>
        <row r="389">
          <cell r="A389" t="str">
            <v>13302_1</v>
          </cell>
        </row>
        <row r="390">
          <cell r="A390" t="str">
            <v>13302_2</v>
          </cell>
        </row>
        <row r="391">
          <cell r="A391" t="str">
            <v>13302_3</v>
          </cell>
        </row>
        <row r="392">
          <cell r="A392" t="str">
            <v>13302_4</v>
          </cell>
        </row>
        <row r="393">
          <cell r="A393" t="str">
            <v>13302_5</v>
          </cell>
        </row>
        <row r="394">
          <cell r="A394" t="str">
            <v>13302_6</v>
          </cell>
        </row>
        <row r="395">
          <cell r="A395" t="str">
            <v>13302_7</v>
          </cell>
        </row>
        <row r="396">
          <cell r="A396" t="str">
            <v>13302_8</v>
          </cell>
        </row>
        <row r="397">
          <cell r="A397" t="str">
            <v>13302_9</v>
          </cell>
        </row>
        <row r="398">
          <cell r="A398" t="str">
            <v>13302_10</v>
          </cell>
        </row>
        <row r="399">
          <cell r="A399" t="str">
            <v>13302_11</v>
          </cell>
        </row>
        <row r="400">
          <cell r="A400" t="str">
            <v>13302_12</v>
          </cell>
        </row>
        <row r="401">
          <cell r="A401" t="str">
            <v>13302_13</v>
          </cell>
        </row>
        <row r="402">
          <cell r="A402" t="str">
            <v>13302_14</v>
          </cell>
        </row>
        <row r="403">
          <cell r="A403" t="str">
            <v>13302_15</v>
          </cell>
        </row>
        <row r="404">
          <cell r="A404" t="str">
            <v>13400_1</v>
          </cell>
        </row>
        <row r="405">
          <cell r="A405" t="str">
            <v>13400_2</v>
          </cell>
        </row>
        <row r="406">
          <cell r="A406" t="str">
            <v>13400_3</v>
          </cell>
        </row>
        <row r="407">
          <cell r="A407" t="str">
            <v>13400_4</v>
          </cell>
        </row>
        <row r="408">
          <cell r="A408" t="str">
            <v>13400_5</v>
          </cell>
        </row>
        <row r="409">
          <cell r="A409" t="str">
            <v>13400_6</v>
          </cell>
        </row>
        <row r="410">
          <cell r="A410" t="str">
            <v>13400_7</v>
          </cell>
        </row>
        <row r="411">
          <cell r="A411" t="str">
            <v>13400_8</v>
          </cell>
        </row>
        <row r="412">
          <cell r="A412" t="str">
            <v>13400_9</v>
          </cell>
        </row>
        <row r="413">
          <cell r="A413" t="str">
            <v>13400_10</v>
          </cell>
        </row>
        <row r="414">
          <cell r="A414" t="str">
            <v>13400_11</v>
          </cell>
        </row>
        <row r="415">
          <cell r="A415" t="str">
            <v>13400_12</v>
          </cell>
        </row>
        <row r="416">
          <cell r="A416" t="str">
            <v>13400_13</v>
          </cell>
        </row>
        <row r="417">
          <cell r="A417" t="str">
            <v>13400_14</v>
          </cell>
        </row>
        <row r="418">
          <cell r="A418" t="str">
            <v>13400_15</v>
          </cell>
        </row>
        <row r="419">
          <cell r="A419" t="str">
            <v>14001_1</v>
          </cell>
        </row>
        <row r="420">
          <cell r="A420" t="str">
            <v>14001_2</v>
          </cell>
        </row>
        <row r="421">
          <cell r="A421" t="str">
            <v>14001_3</v>
          </cell>
        </row>
        <row r="422">
          <cell r="A422" t="str">
            <v>14001_4</v>
          </cell>
        </row>
        <row r="423">
          <cell r="A423" t="str">
            <v>14001_5</v>
          </cell>
        </row>
        <row r="424">
          <cell r="A424" t="str">
            <v>14001_6</v>
          </cell>
        </row>
        <row r="425">
          <cell r="A425" t="str">
            <v>14001_7</v>
          </cell>
        </row>
        <row r="426">
          <cell r="A426" t="str">
            <v>14001_8</v>
          </cell>
        </row>
        <row r="427">
          <cell r="A427" t="str">
            <v>14002_1</v>
          </cell>
        </row>
        <row r="428">
          <cell r="A428" t="str">
            <v>14002_2</v>
          </cell>
        </row>
        <row r="429">
          <cell r="A429" t="str">
            <v>14003_1</v>
          </cell>
        </row>
        <row r="430">
          <cell r="A430" t="str">
            <v>14003_2</v>
          </cell>
        </row>
        <row r="431">
          <cell r="A431" t="str">
            <v>14003_3</v>
          </cell>
        </row>
        <row r="432">
          <cell r="A432" t="str">
            <v>14003_4</v>
          </cell>
        </row>
        <row r="433">
          <cell r="A433" t="str">
            <v>14004_1</v>
          </cell>
        </row>
        <row r="434">
          <cell r="A434" t="str">
            <v>14004_2</v>
          </cell>
        </row>
        <row r="435">
          <cell r="A435" t="str">
            <v>14004_3</v>
          </cell>
        </row>
        <row r="436">
          <cell r="A436" t="str">
            <v>14004_4</v>
          </cell>
        </row>
        <row r="437">
          <cell r="A437" t="str">
            <v>14005_1</v>
          </cell>
        </row>
        <row r="438">
          <cell r="A438" t="str">
            <v>14006_1</v>
          </cell>
        </row>
        <row r="439">
          <cell r="A439" t="str">
            <v>15027_1</v>
          </cell>
        </row>
        <row r="440">
          <cell r="A440" t="str">
            <v>15027_2</v>
          </cell>
        </row>
        <row r="441">
          <cell r="A441" t="str">
            <v>15027_3</v>
          </cell>
        </row>
        <row r="442">
          <cell r="A442" t="str">
            <v>15027_4</v>
          </cell>
        </row>
        <row r="443">
          <cell r="A443" t="str">
            <v>15028_1</v>
          </cell>
        </row>
        <row r="444">
          <cell r="A444" t="str">
            <v>15028_2</v>
          </cell>
        </row>
        <row r="445">
          <cell r="A445" t="str">
            <v>15028_3</v>
          </cell>
        </row>
        <row r="446">
          <cell r="A446" t="str">
            <v>15028_4</v>
          </cell>
        </row>
        <row r="447">
          <cell r="A447" t="str">
            <v>15029_1</v>
          </cell>
        </row>
        <row r="448">
          <cell r="A448" t="str">
            <v>15029_2</v>
          </cell>
        </row>
        <row r="449">
          <cell r="A449" t="str">
            <v>15029_3</v>
          </cell>
        </row>
        <row r="450">
          <cell r="A450" t="str">
            <v>15029_4</v>
          </cell>
        </row>
        <row r="451">
          <cell r="A451" t="str">
            <v>15030_1</v>
          </cell>
        </row>
        <row r="452">
          <cell r="A452" t="str">
            <v>15030_2</v>
          </cell>
        </row>
        <row r="453">
          <cell r="A453" t="str">
            <v>15030_3</v>
          </cell>
        </row>
        <row r="454">
          <cell r="A454" t="str">
            <v>15030_4</v>
          </cell>
        </row>
        <row r="455">
          <cell r="A455" t="str">
            <v>15031_1</v>
          </cell>
        </row>
        <row r="456">
          <cell r="A456" t="str">
            <v>15031_2</v>
          </cell>
        </row>
        <row r="457">
          <cell r="A457" t="str">
            <v>15031_3</v>
          </cell>
        </row>
        <row r="458">
          <cell r="A458" t="str">
            <v>15031_4</v>
          </cell>
        </row>
        <row r="459">
          <cell r="A459" t="str">
            <v>20001_1</v>
          </cell>
        </row>
        <row r="460">
          <cell r="A460" t="str">
            <v>20001_2</v>
          </cell>
        </row>
        <row r="461">
          <cell r="A461" t="str">
            <v>20001_3</v>
          </cell>
        </row>
        <row r="462">
          <cell r="A462" t="str">
            <v>20002_1</v>
          </cell>
        </row>
        <row r="463">
          <cell r="A463" t="str">
            <v>20002_2</v>
          </cell>
        </row>
        <row r="464">
          <cell r="A464" t="str">
            <v>20002_3</v>
          </cell>
        </row>
        <row r="465">
          <cell r="A465" t="str">
            <v>20003_1</v>
          </cell>
        </row>
        <row r="466">
          <cell r="A466" t="str">
            <v>20003_2</v>
          </cell>
        </row>
        <row r="467">
          <cell r="A467" t="str">
            <v>20003_3</v>
          </cell>
        </row>
        <row r="468">
          <cell r="A468" t="str">
            <v>20004_1</v>
          </cell>
        </row>
        <row r="469">
          <cell r="A469" t="str">
            <v>20004_2</v>
          </cell>
        </row>
        <row r="470">
          <cell r="A470" t="str">
            <v>20004_3</v>
          </cell>
        </row>
        <row r="471">
          <cell r="A471" t="str">
            <v>20005_1</v>
          </cell>
        </row>
        <row r="472">
          <cell r="A472" t="str">
            <v>20005_2</v>
          </cell>
        </row>
        <row r="473">
          <cell r="A473" t="str">
            <v>20005_3</v>
          </cell>
        </row>
        <row r="474">
          <cell r="A474" t="str">
            <v>20006_1</v>
          </cell>
        </row>
        <row r="475">
          <cell r="A475" t="str">
            <v>20006_2</v>
          </cell>
        </row>
        <row r="476">
          <cell r="A476" t="str">
            <v>20006_3</v>
          </cell>
        </row>
        <row r="477">
          <cell r="A477" t="str">
            <v>20007_1</v>
          </cell>
        </row>
        <row r="478">
          <cell r="A478" t="str">
            <v>20007_2</v>
          </cell>
        </row>
        <row r="479">
          <cell r="A479" t="str">
            <v>20007_3</v>
          </cell>
        </row>
        <row r="480">
          <cell r="A480" t="str">
            <v>20008_1</v>
          </cell>
        </row>
        <row r="481">
          <cell r="A481" t="str">
            <v>20008_2</v>
          </cell>
        </row>
        <row r="482">
          <cell r="A482" t="str">
            <v>20008_3</v>
          </cell>
        </row>
        <row r="483">
          <cell r="A483" t="str">
            <v>20009_1</v>
          </cell>
        </row>
        <row r="484">
          <cell r="A484" t="str">
            <v>20009_2</v>
          </cell>
        </row>
        <row r="485">
          <cell r="A485" t="str">
            <v>20009_3</v>
          </cell>
        </row>
        <row r="486">
          <cell r="A486" t="str">
            <v>20010_1</v>
          </cell>
        </row>
        <row r="487">
          <cell r="A487" t="str">
            <v>20010_2</v>
          </cell>
        </row>
        <row r="488">
          <cell r="A488" t="str">
            <v>20010_3</v>
          </cell>
        </row>
        <row r="489">
          <cell r="A489" t="str">
            <v>20011_1</v>
          </cell>
        </row>
        <row r="490">
          <cell r="A490" t="str">
            <v>20011_2</v>
          </cell>
        </row>
        <row r="491">
          <cell r="A491" t="str">
            <v>20011_3</v>
          </cell>
        </row>
        <row r="492">
          <cell r="A492" t="str">
            <v>20012_1</v>
          </cell>
        </row>
        <row r="493">
          <cell r="A493" t="str">
            <v>20012_2</v>
          </cell>
        </row>
        <row r="494">
          <cell r="A494" t="str">
            <v>20012_3</v>
          </cell>
        </row>
        <row r="495">
          <cell r="A495" t="str">
            <v>20013_1</v>
          </cell>
        </row>
        <row r="496">
          <cell r="A496" t="str">
            <v>20013_2</v>
          </cell>
        </row>
        <row r="497">
          <cell r="A497" t="str">
            <v>20013_3</v>
          </cell>
        </row>
        <row r="498">
          <cell r="A498" t="str">
            <v>20014_1</v>
          </cell>
        </row>
        <row r="499">
          <cell r="A499" t="str">
            <v>20014_2</v>
          </cell>
        </row>
        <row r="500">
          <cell r="A500" t="str">
            <v>20014_3</v>
          </cell>
        </row>
        <row r="501">
          <cell r="A501" t="str">
            <v>20015_1</v>
          </cell>
        </row>
        <row r="502">
          <cell r="A502" t="str">
            <v>20015_2</v>
          </cell>
        </row>
        <row r="503">
          <cell r="A503" t="str">
            <v>20015_3</v>
          </cell>
        </row>
        <row r="504">
          <cell r="A504" t="str">
            <v>20016_1</v>
          </cell>
        </row>
        <row r="505">
          <cell r="A505" t="str">
            <v>20016_2</v>
          </cell>
        </row>
        <row r="506">
          <cell r="A506" t="str">
            <v>20016_3</v>
          </cell>
        </row>
        <row r="507">
          <cell r="A507" t="str">
            <v>20017_1</v>
          </cell>
        </row>
        <row r="508">
          <cell r="A508" t="str">
            <v>20017_2</v>
          </cell>
        </row>
        <row r="509">
          <cell r="A509" t="str">
            <v>20017_3</v>
          </cell>
        </row>
        <row r="510">
          <cell r="A510" t="str">
            <v>20018_1</v>
          </cell>
        </row>
        <row r="511">
          <cell r="A511" t="str">
            <v>20018_2</v>
          </cell>
        </row>
        <row r="512">
          <cell r="A512" t="str">
            <v>20018_3</v>
          </cell>
        </row>
        <row r="513">
          <cell r="A513" t="str">
            <v>20019_1</v>
          </cell>
        </row>
        <row r="514">
          <cell r="A514" t="str">
            <v>20019_2</v>
          </cell>
        </row>
        <row r="515">
          <cell r="A515" t="str">
            <v>20019_3</v>
          </cell>
        </row>
        <row r="516">
          <cell r="A516" t="str">
            <v>20020_1</v>
          </cell>
        </row>
        <row r="517">
          <cell r="A517" t="str">
            <v>20020_2</v>
          </cell>
        </row>
        <row r="518">
          <cell r="A518" t="str">
            <v>20020_3</v>
          </cell>
        </row>
        <row r="519">
          <cell r="A519" t="str">
            <v>20021_1</v>
          </cell>
        </row>
        <row r="520">
          <cell r="A520" t="str">
            <v>20021_2</v>
          </cell>
        </row>
        <row r="521">
          <cell r="A521" t="str">
            <v>20021_3</v>
          </cell>
        </row>
        <row r="522">
          <cell r="A522" t="str">
            <v>20022_1</v>
          </cell>
        </row>
        <row r="523">
          <cell r="A523" t="str">
            <v>30001_1</v>
          </cell>
        </row>
        <row r="524">
          <cell r="A524" t="str">
            <v>30001_2</v>
          </cell>
        </row>
        <row r="525">
          <cell r="A525" t="str">
            <v>30001_3</v>
          </cell>
        </row>
        <row r="526">
          <cell r="A526" t="str">
            <v>30002_1</v>
          </cell>
        </row>
        <row r="527">
          <cell r="A527" t="str">
            <v>30002_2</v>
          </cell>
        </row>
        <row r="528">
          <cell r="A528" t="str">
            <v>30002_3</v>
          </cell>
        </row>
        <row r="529">
          <cell r="A529" t="str">
            <v>30003_1</v>
          </cell>
        </row>
        <row r="530">
          <cell r="A530" t="str">
            <v>30003_2</v>
          </cell>
        </row>
        <row r="531">
          <cell r="A531" t="str">
            <v>30003_3</v>
          </cell>
        </row>
        <row r="532">
          <cell r="A532" t="str">
            <v>30004_1</v>
          </cell>
        </row>
        <row r="533">
          <cell r="A533" t="str">
            <v>30004_2</v>
          </cell>
        </row>
        <row r="534">
          <cell r="A534" t="str">
            <v>30004_3</v>
          </cell>
        </row>
        <row r="535">
          <cell r="A535" t="str">
            <v>30005_1</v>
          </cell>
        </row>
        <row r="536">
          <cell r="A536" t="str">
            <v>30005_2</v>
          </cell>
        </row>
        <row r="537">
          <cell r="A537" t="str">
            <v>30005_3</v>
          </cell>
        </row>
        <row r="538">
          <cell r="A538" t="str">
            <v>30006_1</v>
          </cell>
        </row>
        <row r="539">
          <cell r="A539" t="str">
            <v>30006_2</v>
          </cell>
        </row>
        <row r="540">
          <cell r="A540" t="str">
            <v>30006_3</v>
          </cell>
        </row>
        <row r="541">
          <cell r="A541" t="str">
            <v>30007_1</v>
          </cell>
        </row>
        <row r="542">
          <cell r="A542" t="str">
            <v>30007_2</v>
          </cell>
        </row>
        <row r="543">
          <cell r="A543" t="str">
            <v>30007_3</v>
          </cell>
        </row>
        <row r="544">
          <cell r="A544" t="str">
            <v>30008_1</v>
          </cell>
        </row>
        <row r="545">
          <cell r="A545" t="str">
            <v>30008_2</v>
          </cell>
        </row>
        <row r="546">
          <cell r="A546" t="str">
            <v>30008_3</v>
          </cell>
        </row>
        <row r="547">
          <cell r="A547" t="str">
            <v>30009_3</v>
          </cell>
        </row>
        <row r="548">
          <cell r="A548" t="str">
            <v>30009_1</v>
          </cell>
        </row>
        <row r="549">
          <cell r="A549" t="str">
            <v>30009_2</v>
          </cell>
        </row>
        <row r="550">
          <cell r="A550" t="str">
            <v>30010_1</v>
          </cell>
        </row>
        <row r="551">
          <cell r="A551" t="str">
            <v>30010_2</v>
          </cell>
        </row>
        <row r="552">
          <cell r="A552" t="str">
            <v>30010_3</v>
          </cell>
        </row>
        <row r="553">
          <cell r="A553" t="str">
            <v>30011_1</v>
          </cell>
        </row>
        <row r="554">
          <cell r="A554" t="str">
            <v>30011_2</v>
          </cell>
        </row>
        <row r="555">
          <cell r="A555" t="str">
            <v>30011_3</v>
          </cell>
        </row>
        <row r="556">
          <cell r="A556" t="str">
            <v>30012_1</v>
          </cell>
        </row>
        <row r="557">
          <cell r="A557" t="str">
            <v>30012_2</v>
          </cell>
        </row>
        <row r="558">
          <cell r="A558" t="str">
            <v>30012_3</v>
          </cell>
        </row>
        <row r="559">
          <cell r="A559" t="str">
            <v>30013_1</v>
          </cell>
        </row>
        <row r="560">
          <cell r="A560" t="str">
            <v>30013_2</v>
          </cell>
        </row>
        <row r="561">
          <cell r="A561" t="str">
            <v>30014_1</v>
          </cell>
        </row>
        <row r="562">
          <cell r="A562" t="str">
            <v>30014_2</v>
          </cell>
        </row>
        <row r="563">
          <cell r="A563" t="str">
            <v>30015_1</v>
          </cell>
        </row>
        <row r="564">
          <cell r="A564" t="str">
            <v>30015_2</v>
          </cell>
        </row>
        <row r="565">
          <cell r="A565" t="str">
            <v>30016_1</v>
          </cell>
        </row>
        <row r="566">
          <cell r="A566" t="str">
            <v>30016_2</v>
          </cell>
        </row>
        <row r="567">
          <cell r="A567" t="str">
            <v>30017_1</v>
          </cell>
        </row>
        <row r="568">
          <cell r="A568" t="str">
            <v>30017_2</v>
          </cell>
        </row>
        <row r="569">
          <cell r="A569" t="str">
            <v>30018_1</v>
          </cell>
        </row>
        <row r="570">
          <cell r="A570" t="str">
            <v>30018_2</v>
          </cell>
        </row>
        <row r="571">
          <cell r="A571" t="str">
            <v>30019_1</v>
          </cell>
        </row>
        <row r="572">
          <cell r="A572" t="str">
            <v>30019_2</v>
          </cell>
        </row>
        <row r="573">
          <cell r="A573" t="str">
            <v>30020_1</v>
          </cell>
        </row>
        <row r="574">
          <cell r="A574" t="str">
            <v>30020_2</v>
          </cell>
        </row>
        <row r="575">
          <cell r="A575" t="str">
            <v>30021_1</v>
          </cell>
        </row>
        <row r="576">
          <cell r="A576" t="str">
            <v>30021_2</v>
          </cell>
        </row>
        <row r="577">
          <cell r="A577" t="str">
            <v>30021_3</v>
          </cell>
        </row>
        <row r="578">
          <cell r="A578" t="str">
            <v>30022_1</v>
          </cell>
        </row>
        <row r="579">
          <cell r="A579" t="str">
            <v>30022_2</v>
          </cell>
        </row>
        <row r="580">
          <cell r="A580" t="str">
            <v>30023_1</v>
          </cell>
        </row>
        <row r="581">
          <cell r="A581" t="str">
            <v>30023_2</v>
          </cell>
        </row>
        <row r="582">
          <cell r="A582" t="str">
            <v>30023_3</v>
          </cell>
        </row>
        <row r="583">
          <cell r="A583" t="str">
            <v>30024_1</v>
          </cell>
        </row>
        <row r="584">
          <cell r="A584" t="str">
            <v>30024_2</v>
          </cell>
        </row>
        <row r="585">
          <cell r="A585" t="str">
            <v>30024_3</v>
          </cell>
        </row>
        <row r="586">
          <cell r="A586" t="str">
            <v>30025_1</v>
          </cell>
        </row>
        <row r="587">
          <cell r="A587" t="str">
            <v>30025_2</v>
          </cell>
        </row>
        <row r="588">
          <cell r="A588" t="str">
            <v>30025_3</v>
          </cell>
        </row>
        <row r="589">
          <cell r="A589" t="str">
            <v>30026_1</v>
          </cell>
        </row>
        <row r="590">
          <cell r="A590" t="str">
            <v>30026_2</v>
          </cell>
        </row>
        <row r="591">
          <cell r="A591" t="str">
            <v>30026_3</v>
          </cell>
        </row>
        <row r="592">
          <cell r="A592" t="str">
            <v>30027_1</v>
          </cell>
        </row>
        <row r="593">
          <cell r="A593" t="str">
            <v>30027_2</v>
          </cell>
        </row>
        <row r="594">
          <cell r="A594" t="str">
            <v>30027_3</v>
          </cell>
        </row>
        <row r="595">
          <cell r="A595" t="str">
            <v>30028_1</v>
          </cell>
        </row>
        <row r="596">
          <cell r="A596" t="str">
            <v>30028_2</v>
          </cell>
        </row>
        <row r="597">
          <cell r="A597" t="str">
            <v>30028_3</v>
          </cell>
        </row>
        <row r="598">
          <cell r="A598" t="str">
            <v>30029_1</v>
          </cell>
        </row>
        <row r="599">
          <cell r="A599" t="str">
            <v>30029_2</v>
          </cell>
        </row>
        <row r="600">
          <cell r="A600" t="str">
            <v>30029_3</v>
          </cell>
        </row>
        <row r="601">
          <cell r="A601" t="str">
            <v>30030_1</v>
          </cell>
        </row>
        <row r="602">
          <cell r="A602" t="str">
            <v>30030_2</v>
          </cell>
        </row>
        <row r="603">
          <cell r="A603" t="str">
            <v>30030_3</v>
          </cell>
        </row>
        <row r="604">
          <cell r="A604" t="str">
            <v>30031_1</v>
          </cell>
        </row>
        <row r="605">
          <cell r="A605" t="str">
            <v>30031_2</v>
          </cell>
        </row>
        <row r="606">
          <cell r="A606" t="str">
            <v>30031_3</v>
          </cell>
        </row>
        <row r="607">
          <cell r="A607" t="str">
            <v>30032_1</v>
          </cell>
        </row>
        <row r="608">
          <cell r="A608" t="str">
            <v>30032_2</v>
          </cell>
        </row>
        <row r="609">
          <cell r="A609" t="str">
            <v>30032_3</v>
          </cell>
        </row>
        <row r="610">
          <cell r="A610" t="str">
            <v>30033_1</v>
          </cell>
        </row>
        <row r="611">
          <cell r="A611" t="str">
            <v>30033_2</v>
          </cell>
        </row>
        <row r="612">
          <cell r="A612" t="str">
            <v>30033_3</v>
          </cell>
        </row>
        <row r="613">
          <cell r="A613" t="str">
            <v>30034_1</v>
          </cell>
        </row>
        <row r="614">
          <cell r="A614" t="str">
            <v>30034_2</v>
          </cell>
        </row>
        <row r="615">
          <cell r="A615" t="str">
            <v>30034_3</v>
          </cell>
        </row>
        <row r="616">
          <cell r="A616" t="str">
            <v>30035_1</v>
          </cell>
        </row>
        <row r="617">
          <cell r="A617" t="str">
            <v>30035_2</v>
          </cell>
        </row>
        <row r="618">
          <cell r="A618" t="str">
            <v>30035_3</v>
          </cell>
        </row>
        <row r="619">
          <cell r="A619" t="str">
            <v>30036_1</v>
          </cell>
        </row>
        <row r="620">
          <cell r="A620" t="str">
            <v>30036_2</v>
          </cell>
        </row>
        <row r="621">
          <cell r="A621" t="str">
            <v>30036_3</v>
          </cell>
        </row>
        <row r="622">
          <cell r="A622" t="str">
            <v>30037_1</v>
          </cell>
        </row>
        <row r="623">
          <cell r="A623" t="str">
            <v>30037_2</v>
          </cell>
        </row>
        <row r="624">
          <cell r="A624" t="str">
            <v>30037_3</v>
          </cell>
        </row>
        <row r="625">
          <cell r="A625" t="str">
            <v>30038_1</v>
          </cell>
        </row>
        <row r="626">
          <cell r="A626" t="str">
            <v>30038_2</v>
          </cell>
        </row>
        <row r="627">
          <cell r="A627" t="str">
            <v>30038_3</v>
          </cell>
        </row>
        <row r="628">
          <cell r="A628" t="str">
            <v>30039_1</v>
          </cell>
        </row>
        <row r="629">
          <cell r="A629" t="str">
            <v>30039_2</v>
          </cell>
        </row>
        <row r="630">
          <cell r="A630" t="str">
            <v>30039_3</v>
          </cell>
        </row>
        <row r="631">
          <cell r="A631" t="str">
            <v>30040_1</v>
          </cell>
        </row>
        <row r="632">
          <cell r="A632" t="str">
            <v>30040_2</v>
          </cell>
        </row>
        <row r="633">
          <cell r="A633" t="str">
            <v>30040_3</v>
          </cell>
        </row>
        <row r="634">
          <cell r="A634" t="str">
            <v>30041_1</v>
          </cell>
        </row>
        <row r="635">
          <cell r="A635" t="str">
            <v>30041_2</v>
          </cell>
        </row>
        <row r="636">
          <cell r="A636" t="str">
            <v>30041_3</v>
          </cell>
        </row>
        <row r="637">
          <cell r="A637" t="str">
            <v>30042_1</v>
          </cell>
        </row>
        <row r="638">
          <cell r="A638" t="str">
            <v>30042_2</v>
          </cell>
        </row>
        <row r="639">
          <cell r="A639" t="str">
            <v>30042_3</v>
          </cell>
        </row>
        <row r="640">
          <cell r="A640" t="str">
            <v>30043_1</v>
          </cell>
        </row>
        <row r="641">
          <cell r="A641" t="str">
            <v>30043_2</v>
          </cell>
        </row>
        <row r="642">
          <cell r="A642" t="str">
            <v>30043_3</v>
          </cell>
        </row>
        <row r="643">
          <cell r="A643" t="str">
            <v>30044_1</v>
          </cell>
        </row>
        <row r="644">
          <cell r="A644" t="str">
            <v>30044_2</v>
          </cell>
        </row>
        <row r="645">
          <cell r="A645" t="str">
            <v>30044_3</v>
          </cell>
        </row>
        <row r="646">
          <cell r="A646" t="str">
            <v>30045_1</v>
          </cell>
        </row>
        <row r="647">
          <cell r="A647" t="str">
            <v>30045_2</v>
          </cell>
        </row>
        <row r="648">
          <cell r="A648" t="str">
            <v>30045_3</v>
          </cell>
        </row>
        <row r="649">
          <cell r="A649" t="str">
            <v>30046_1</v>
          </cell>
        </row>
        <row r="650">
          <cell r="A650" t="str">
            <v>30046_2</v>
          </cell>
        </row>
        <row r="651">
          <cell r="A651" t="str">
            <v>30046_3</v>
          </cell>
        </row>
        <row r="652">
          <cell r="A652" t="str">
            <v>30047_1</v>
          </cell>
        </row>
        <row r="653">
          <cell r="A653" t="str">
            <v>30047_2</v>
          </cell>
        </row>
        <row r="654">
          <cell r="A654" t="str">
            <v>30047_3</v>
          </cell>
        </row>
        <row r="655">
          <cell r="A655" t="str">
            <v>30048_1</v>
          </cell>
        </row>
        <row r="656">
          <cell r="A656" t="str">
            <v>30048_2</v>
          </cell>
        </row>
        <row r="657">
          <cell r="A657" t="str">
            <v>30048_3</v>
          </cell>
        </row>
        <row r="658">
          <cell r="A658" t="str">
            <v>39001_1</v>
          </cell>
        </row>
        <row r="659">
          <cell r="A659" t="str">
            <v>39001_2</v>
          </cell>
        </row>
        <row r="660">
          <cell r="A660" t="str">
            <v>39001_3</v>
          </cell>
        </row>
        <row r="661">
          <cell r="A661" t="str">
            <v>39001_4</v>
          </cell>
        </row>
        <row r="662">
          <cell r="A662" t="str">
            <v>39001_5</v>
          </cell>
        </row>
        <row r="663">
          <cell r="A663" t="str">
            <v>39002_1</v>
          </cell>
        </row>
        <row r="664">
          <cell r="A664" t="str">
            <v>39002_2</v>
          </cell>
        </row>
        <row r="665">
          <cell r="A665" t="str">
            <v>39002_3</v>
          </cell>
        </row>
        <row r="666">
          <cell r="A666" t="str">
            <v>39002_4</v>
          </cell>
        </row>
        <row r="667">
          <cell r="A667" t="str">
            <v>39003_1</v>
          </cell>
        </row>
        <row r="668">
          <cell r="A668" t="str">
            <v>39003_2</v>
          </cell>
        </row>
        <row r="669">
          <cell r="A669" t="str">
            <v>39003_3</v>
          </cell>
        </row>
        <row r="670">
          <cell r="A670" t="str">
            <v>39003_4</v>
          </cell>
        </row>
        <row r="671">
          <cell r="A671" t="str">
            <v>39004_1</v>
          </cell>
        </row>
        <row r="672">
          <cell r="A672" t="str">
            <v>39004_2</v>
          </cell>
        </row>
        <row r="673">
          <cell r="A673" t="str">
            <v>39004_3</v>
          </cell>
        </row>
        <row r="674">
          <cell r="A674" t="str">
            <v>39004_4</v>
          </cell>
        </row>
        <row r="675">
          <cell r="A675" t="str">
            <v>39005_1</v>
          </cell>
        </row>
        <row r="676">
          <cell r="A676" t="str">
            <v>39005_2</v>
          </cell>
        </row>
        <row r="677">
          <cell r="A677" t="str">
            <v>39005_3</v>
          </cell>
        </row>
        <row r="678">
          <cell r="A678" t="str">
            <v>39005_4</v>
          </cell>
        </row>
        <row r="679">
          <cell r="A679" t="str">
            <v>39005_5</v>
          </cell>
        </row>
        <row r="680">
          <cell r="A680" t="str">
            <v>39006_1</v>
          </cell>
        </row>
        <row r="681">
          <cell r="A681" t="str">
            <v>39006_2</v>
          </cell>
        </row>
        <row r="682">
          <cell r="A682" t="str">
            <v>39006_3</v>
          </cell>
        </row>
        <row r="683">
          <cell r="A683" t="str">
            <v>39006_4</v>
          </cell>
        </row>
        <row r="684">
          <cell r="A684" t="str">
            <v>39007_1</v>
          </cell>
        </row>
        <row r="685">
          <cell r="A685" t="str">
            <v>39007_2</v>
          </cell>
        </row>
        <row r="686">
          <cell r="A686" t="str">
            <v>39007_3</v>
          </cell>
        </row>
        <row r="687">
          <cell r="A687" t="str">
            <v>39007_4</v>
          </cell>
        </row>
        <row r="688">
          <cell r="A688" t="str">
            <v>39008_1</v>
          </cell>
        </row>
        <row r="689">
          <cell r="A689" t="str">
            <v>39008_2</v>
          </cell>
        </row>
        <row r="690">
          <cell r="A690" t="str">
            <v>39008_3</v>
          </cell>
        </row>
        <row r="691">
          <cell r="A691" t="str">
            <v>39008_4</v>
          </cell>
        </row>
        <row r="692">
          <cell r="A692" t="str">
            <v>39008_5</v>
          </cell>
        </row>
        <row r="693">
          <cell r="A693" t="str">
            <v>39009_1</v>
          </cell>
        </row>
        <row r="694">
          <cell r="A694" t="str">
            <v>39009_2</v>
          </cell>
        </row>
        <row r="695">
          <cell r="A695" t="str">
            <v>39009_3</v>
          </cell>
        </row>
        <row r="696">
          <cell r="A696" t="str">
            <v>39009_4</v>
          </cell>
        </row>
        <row r="697">
          <cell r="A697" t="str">
            <v>39009_5</v>
          </cell>
        </row>
        <row r="698">
          <cell r="A698" t="str">
            <v>39010_1</v>
          </cell>
        </row>
        <row r="699">
          <cell r="A699" t="str">
            <v>39010_2</v>
          </cell>
        </row>
        <row r="700">
          <cell r="A700" t="str">
            <v>39010_3</v>
          </cell>
        </row>
        <row r="701">
          <cell r="A701" t="str">
            <v>39010_4</v>
          </cell>
        </row>
        <row r="702">
          <cell r="A702" t="str">
            <v>39011_1</v>
          </cell>
        </row>
        <row r="703">
          <cell r="A703" t="str">
            <v>39011_2</v>
          </cell>
        </row>
        <row r="704">
          <cell r="A704" t="str">
            <v>39011_3</v>
          </cell>
        </row>
        <row r="705">
          <cell r="A705" t="str">
            <v>39011_4</v>
          </cell>
        </row>
        <row r="706">
          <cell r="A706" t="str">
            <v>39012_1</v>
          </cell>
        </row>
        <row r="707">
          <cell r="A707" t="str">
            <v>39012_2</v>
          </cell>
        </row>
        <row r="708">
          <cell r="A708" t="str">
            <v>39012_3</v>
          </cell>
        </row>
        <row r="709">
          <cell r="A709" t="str">
            <v>39012_4</v>
          </cell>
        </row>
        <row r="710">
          <cell r="A710" t="str">
            <v>39012_5</v>
          </cell>
        </row>
        <row r="711">
          <cell r="A711" t="str">
            <v>40001_1</v>
          </cell>
        </row>
        <row r="712">
          <cell r="A712" t="str">
            <v>40002_1</v>
          </cell>
        </row>
        <row r="713">
          <cell r="A713" t="str">
            <v>40002_2</v>
          </cell>
        </row>
        <row r="714">
          <cell r="A714" t="str">
            <v>40002_3</v>
          </cell>
        </row>
        <row r="715">
          <cell r="A715" t="str">
            <v>40003_1</v>
          </cell>
        </row>
        <row r="716">
          <cell r="A716" t="str">
            <v>40004_1</v>
          </cell>
        </row>
        <row r="717">
          <cell r="A717" t="str">
            <v>40005_1</v>
          </cell>
        </row>
        <row r="718">
          <cell r="A718" t="str">
            <v>40006_1</v>
          </cell>
        </row>
        <row r="719">
          <cell r="A719" t="str">
            <v>40007_1</v>
          </cell>
        </row>
        <row r="720">
          <cell r="A720" t="str">
            <v>40008_1</v>
          </cell>
        </row>
        <row r="721">
          <cell r="A721" t="str">
            <v>40009_1</v>
          </cell>
        </row>
        <row r="722">
          <cell r="A722" t="str">
            <v>40010_1</v>
          </cell>
        </row>
        <row r="723">
          <cell r="A723" t="str">
            <v>40011_1</v>
          </cell>
        </row>
        <row r="724">
          <cell r="A724" t="str">
            <v>40012_1</v>
          </cell>
        </row>
        <row r="725">
          <cell r="A725" t="str">
            <v>40013_1</v>
          </cell>
        </row>
        <row r="726">
          <cell r="A726" t="str">
            <v>40014_1</v>
          </cell>
        </row>
        <row r="727">
          <cell r="A727" t="str">
            <v>40015_1</v>
          </cell>
        </row>
        <row r="728">
          <cell r="A728" t="str">
            <v>40016_1</v>
          </cell>
        </row>
        <row r="729">
          <cell r="A729" t="str">
            <v>40016_2</v>
          </cell>
        </row>
        <row r="730">
          <cell r="A730" t="str">
            <v>40017_1</v>
          </cell>
        </row>
        <row r="731">
          <cell r="A731" t="str">
            <v>40017_2</v>
          </cell>
        </row>
        <row r="732">
          <cell r="A732" t="str">
            <v>40017_3</v>
          </cell>
        </row>
        <row r="733">
          <cell r="A733" t="str">
            <v>40018_1</v>
          </cell>
        </row>
        <row r="734">
          <cell r="A734" t="str">
            <v>40018_2</v>
          </cell>
        </row>
        <row r="735">
          <cell r="A735" t="str">
            <v>40018_3</v>
          </cell>
        </row>
        <row r="736">
          <cell r="A736" t="str">
            <v>40019_1</v>
          </cell>
        </row>
        <row r="737">
          <cell r="A737" t="str">
            <v>40019_2</v>
          </cell>
        </row>
        <row r="738">
          <cell r="A738" t="str">
            <v>40019_3</v>
          </cell>
        </row>
        <row r="739">
          <cell r="A739" t="str">
            <v>40021_1</v>
          </cell>
        </row>
        <row r="740">
          <cell r="A740" t="str">
            <v>40021_2</v>
          </cell>
        </row>
        <row r="741">
          <cell r="A741" t="str">
            <v>40022_1</v>
          </cell>
        </row>
        <row r="742">
          <cell r="A742" t="str">
            <v>40022_2</v>
          </cell>
        </row>
        <row r="743">
          <cell r="A743" t="str">
            <v>40023_1</v>
          </cell>
        </row>
        <row r="744">
          <cell r="A744" t="str">
            <v>40023_2</v>
          </cell>
        </row>
        <row r="745">
          <cell r="A745" t="str">
            <v>40024_1</v>
          </cell>
        </row>
        <row r="746">
          <cell r="A746" t="str">
            <v>40024_2</v>
          </cell>
        </row>
        <row r="747">
          <cell r="A747" t="str">
            <v>40025_1</v>
          </cell>
        </row>
        <row r="748">
          <cell r="A748" t="str">
            <v>40025_2</v>
          </cell>
        </row>
        <row r="749">
          <cell r="A749" t="str">
            <v>40026_1</v>
          </cell>
        </row>
        <row r="750">
          <cell r="A750" t="str">
            <v>40026_2</v>
          </cell>
        </row>
        <row r="751">
          <cell r="A751" t="str">
            <v>40027_1</v>
          </cell>
        </row>
        <row r="752">
          <cell r="A752" t="str">
            <v>40027_2</v>
          </cell>
        </row>
        <row r="753">
          <cell r="A753" t="str">
            <v>40028_1</v>
          </cell>
        </row>
        <row r="754">
          <cell r="A754" t="str">
            <v>40028_2</v>
          </cell>
        </row>
        <row r="755">
          <cell r="A755" t="str">
            <v>40029_1</v>
          </cell>
        </row>
        <row r="756">
          <cell r="A756" t="str">
            <v>40029_2</v>
          </cell>
        </row>
        <row r="757">
          <cell r="A757" t="str">
            <v>40030_1</v>
          </cell>
        </row>
        <row r="758">
          <cell r="A758" t="str">
            <v>40030_2</v>
          </cell>
        </row>
        <row r="759">
          <cell r="A759" t="str">
            <v>40031_1</v>
          </cell>
        </row>
        <row r="760">
          <cell r="A760" t="str">
            <v>40031_2</v>
          </cell>
        </row>
        <row r="761">
          <cell r="A761" t="str">
            <v>40032_1</v>
          </cell>
        </row>
        <row r="762">
          <cell r="A762" t="str">
            <v>40032_2</v>
          </cell>
        </row>
        <row r="763">
          <cell r="A763" t="str">
            <v>40033_1</v>
          </cell>
        </row>
        <row r="764">
          <cell r="A764" t="str">
            <v>40033_2</v>
          </cell>
        </row>
        <row r="765">
          <cell r="A765" t="str">
            <v>40034_1</v>
          </cell>
        </row>
        <row r="766">
          <cell r="A766" t="str">
            <v>40034_2</v>
          </cell>
        </row>
        <row r="767">
          <cell r="A767" t="str">
            <v>40035_1</v>
          </cell>
        </row>
        <row r="768">
          <cell r="A768" t="str">
            <v>40035_2</v>
          </cell>
        </row>
        <row r="769">
          <cell r="A769" t="str">
            <v>40036_1</v>
          </cell>
        </row>
        <row r="770">
          <cell r="A770" t="str">
            <v>40036_2</v>
          </cell>
        </row>
        <row r="771">
          <cell r="A771" t="str">
            <v>40037_1</v>
          </cell>
        </row>
        <row r="772">
          <cell r="A772" t="str">
            <v>40037_2</v>
          </cell>
        </row>
        <row r="773">
          <cell r="A773" t="str">
            <v>40038_1</v>
          </cell>
        </row>
        <row r="774">
          <cell r="A774" t="str">
            <v>40038_2</v>
          </cell>
        </row>
        <row r="775">
          <cell r="A775" t="str">
            <v>40039_1</v>
          </cell>
        </row>
        <row r="776">
          <cell r="A776" t="str">
            <v>40039_2</v>
          </cell>
        </row>
        <row r="777">
          <cell r="A777" t="str">
            <v>40040_1</v>
          </cell>
        </row>
        <row r="778">
          <cell r="A778" t="str">
            <v>40040_2</v>
          </cell>
        </row>
        <row r="779">
          <cell r="A779" t="str">
            <v>40041_1</v>
          </cell>
        </row>
        <row r="780">
          <cell r="A780" t="str">
            <v>40041_2</v>
          </cell>
        </row>
        <row r="781">
          <cell r="A781" t="str">
            <v>40042_1</v>
          </cell>
        </row>
        <row r="782">
          <cell r="A782" t="str">
            <v>40042_2</v>
          </cell>
        </row>
        <row r="783">
          <cell r="A783" t="str">
            <v>40043_1</v>
          </cell>
        </row>
        <row r="784">
          <cell r="A784" t="str">
            <v>40043_2</v>
          </cell>
        </row>
        <row r="785">
          <cell r="A785" t="str">
            <v>41001_1</v>
          </cell>
        </row>
        <row r="786">
          <cell r="A786" t="str">
            <v>41001_2</v>
          </cell>
        </row>
        <row r="787">
          <cell r="A787" t="str">
            <v>41001_3</v>
          </cell>
        </row>
        <row r="788">
          <cell r="A788" t="str">
            <v>41002_1</v>
          </cell>
        </row>
        <row r="789">
          <cell r="A789" t="str">
            <v>41002_2</v>
          </cell>
        </row>
        <row r="790">
          <cell r="A790" t="str">
            <v>41002_3</v>
          </cell>
        </row>
        <row r="791">
          <cell r="A791" t="str">
            <v>41003_1</v>
          </cell>
        </row>
        <row r="792">
          <cell r="A792" t="str">
            <v>41003_2</v>
          </cell>
        </row>
        <row r="793">
          <cell r="A793" t="str">
            <v>41003_3</v>
          </cell>
        </row>
        <row r="794">
          <cell r="A794" t="str">
            <v>41004_1</v>
          </cell>
        </row>
        <row r="795">
          <cell r="A795" t="str">
            <v>41004_2</v>
          </cell>
        </row>
        <row r="796">
          <cell r="A796" t="str">
            <v>41004_3</v>
          </cell>
        </row>
        <row r="797">
          <cell r="A797" t="str">
            <v>41005_1</v>
          </cell>
        </row>
        <row r="798">
          <cell r="A798" t="str">
            <v>41005_2</v>
          </cell>
        </row>
        <row r="799">
          <cell r="A799" t="str">
            <v>41005_3</v>
          </cell>
        </row>
        <row r="800">
          <cell r="A800" t="str">
            <v>41006_1</v>
          </cell>
        </row>
        <row r="801">
          <cell r="A801" t="str">
            <v>41006_2</v>
          </cell>
        </row>
        <row r="802">
          <cell r="A802" t="str">
            <v>41006_3</v>
          </cell>
        </row>
        <row r="803">
          <cell r="A803" t="str">
            <v>41007_1</v>
          </cell>
        </row>
        <row r="804">
          <cell r="A804" t="str">
            <v>41007_2</v>
          </cell>
        </row>
        <row r="805">
          <cell r="A805" t="str">
            <v>41007_3</v>
          </cell>
        </row>
        <row r="806">
          <cell r="A806" t="str">
            <v>41008_1</v>
          </cell>
        </row>
        <row r="807">
          <cell r="A807" t="str">
            <v>41008_2</v>
          </cell>
        </row>
        <row r="808">
          <cell r="A808" t="str">
            <v>41008_3</v>
          </cell>
        </row>
        <row r="809">
          <cell r="A809" t="str">
            <v>41009_1</v>
          </cell>
        </row>
        <row r="810">
          <cell r="A810" t="str">
            <v>41009_2</v>
          </cell>
        </row>
        <row r="811">
          <cell r="A811" t="str">
            <v>41009_3</v>
          </cell>
        </row>
        <row r="812">
          <cell r="A812" t="str">
            <v>41010_1</v>
          </cell>
        </row>
        <row r="813">
          <cell r="A813" t="str">
            <v>41010_2</v>
          </cell>
        </row>
        <row r="814">
          <cell r="A814" t="str">
            <v>41010_3</v>
          </cell>
        </row>
        <row r="815">
          <cell r="A815" t="str">
            <v>41011_1</v>
          </cell>
        </row>
        <row r="816">
          <cell r="A816" t="str">
            <v>41011_2</v>
          </cell>
        </row>
        <row r="817">
          <cell r="A817" t="str">
            <v>41012_1</v>
          </cell>
        </row>
        <row r="818">
          <cell r="A818" t="str">
            <v>41012_2</v>
          </cell>
        </row>
        <row r="819">
          <cell r="A819" t="str">
            <v>41013_1</v>
          </cell>
        </row>
        <row r="820">
          <cell r="A820" t="str">
            <v>41013_2</v>
          </cell>
        </row>
        <row r="821">
          <cell r="A821" t="str">
            <v>41014_1</v>
          </cell>
        </row>
        <row r="822">
          <cell r="A822" t="str">
            <v>41014_2</v>
          </cell>
        </row>
        <row r="823">
          <cell r="A823" t="str">
            <v>41015_1</v>
          </cell>
        </row>
        <row r="824">
          <cell r="A824" t="str">
            <v>41015_2</v>
          </cell>
        </row>
        <row r="825">
          <cell r="A825" t="str">
            <v>47001_1</v>
          </cell>
        </row>
        <row r="826">
          <cell r="A826" t="str">
            <v>47001_2</v>
          </cell>
        </row>
        <row r="827">
          <cell r="A827" t="str">
            <v>47002_1</v>
          </cell>
        </row>
        <row r="828">
          <cell r="A828" t="str">
            <v>47002_2</v>
          </cell>
        </row>
        <row r="829">
          <cell r="A829" t="str">
            <v>47003_1</v>
          </cell>
        </row>
        <row r="830">
          <cell r="A830" t="str">
            <v>47003_2</v>
          </cell>
        </row>
        <row r="831">
          <cell r="A831" t="str">
            <v>47003_3</v>
          </cell>
        </row>
        <row r="832">
          <cell r="A832" t="str">
            <v>47003_4</v>
          </cell>
        </row>
        <row r="833">
          <cell r="A833" t="str">
            <v>47004_1</v>
          </cell>
        </row>
        <row r="834">
          <cell r="A834" t="str">
            <v>47004_2</v>
          </cell>
        </row>
        <row r="835">
          <cell r="A835" t="str">
            <v>47004_3</v>
          </cell>
        </row>
        <row r="836">
          <cell r="A836" t="str">
            <v>47004_4</v>
          </cell>
        </row>
        <row r="837">
          <cell r="A837" t="str">
            <v>47005_1</v>
          </cell>
        </row>
        <row r="838">
          <cell r="A838" t="str">
            <v>47006_1</v>
          </cell>
        </row>
        <row r="839">
          <cell r="A839" t="str">
            <v>47006_2</v>
          </cell>
        </row>
        <row r="840">
          <cell r="A840" t="str">
            <v>47007_1</v>
          </cell>
        </row>
        <row r="841">
          <cell r="A841" t="str">
            <v>47007_2</v>
          </cell>
        </row>
        <row r="842">
          <cell r="A842" t="str">
            <v>47008_1</v>
          </cell>
        </row>
        <row r="843">
          <cell r="A843" t="str">
            <v>47008_2</v>
          </cell>
        </row>
        <row r="844">
          <cell r="A844" t="str">
            <v>47009_1</v>
          </cell>
        </row>
        <row r="845">
          <cell r="A845" t="str">
            <v>47009_2</v>
          </cell>
        </row>
        <row r="846">
          <cell r="A846" t="str">
            <v>47010_1</v>
          </cell>
        </row>
        <row r="847">
          <cell r="A847" t="str">
            <v>47010_2</v>
          </cell>
        </row>
        <row r="848">
          <cell r="A848" t="str">
            <v>47011_1</v>
          </cell>
        </row>
        <row r="849">
          <cell r="A849" t="str">
            <v>48001_1</v>
          </cell>
        </row>
        <row r="850">
          <cell r="A850" t="str">
            <v>48002_1</v>
          </cell>
        </row>
        <row r="851">
          <cell r="A851" t="str">
            <v>48002_2</v>
          </cell>
        </row>
        <row r="852">
          <cell r="A852" t="str">
            <v>48002_3</v>
          </cell>
        </row>
        <row r="853">
          <cell r="A853" t="str">
            <v>48003_1</v>
          </cell>
        </row>
        <row r="854">
          <cell r="A854" t="str">
            <v>48003_2</v>
          </cell>
        </row>
        <row r="855">
          <cell r="A855" t="str">
            <v>48004_1</v>
          </cell>
        </row>
        <row r="856">
          <cell r="A856" t="str">
            <v>48004_2</v>
          </cell>
        </row>
        <row r="857">
          <cell r="A857" t="str">
            <v>48005_1</v>
          </cell>
        </row>
        <row r="858">
          <cell r="A858" t="str">
            <v>48005_2</v>
          </cell>
        </row>
        <row r="859">
          <cell r="A859" t="str">
            <v>48006_1</v>
          </cell>
        </row>
        <row r="860">
          <cell r="A860" t="str">
            <v>48006_2</v>
          </cell>
        </row>
        <row r="861">
          <cell r="A861" t="str">
            <v>48007_1</v>
          </cell>
        </row>
        <row r="862">
          <cell r="A862" t="str">
            <v>48007_2</v>
          </cell>
        </row>
        <row r="863">
          <cell r="A863" t="str">
            <v>48008_1</v>
          </cell>
        </row>
        <row r="864">
          <cell r="A864" t="str">
            <v>48008_2</v>
          </cell>
        </row>
        <row r="865">
          <cell r="A865" t="str">
            <v>48009_1</v>
          </cell>
        </row>
        <row r="866">
          <cell r="A866" t="str">
            <v>48009_2</v>
          </cell>
        </row>
        <row r="867">
          <cell r="A867" t="str">
            <v>48010_1</v>
          </cell>
        </row>
        <row r="868">
          <cell r="A868" t="str">
            <v>48011_1</v>
          </cell>
        </row>
        <row r="869">
          <cell r="A869" t="str">
            <v>48011_2</v>
          </cell>
        </row>
        <row r="870">
          <cell r="A870" t="str">
            <v>48501_1</v>
          </cell>
        </row>
        <row r="871">
          <cell r="A871" t="str">
            <v>48501_2</v>
          </cell>
        </row>
        <row r="872">
          <cell r="A872" t="str">
            <v>48502_1</v>
          </cell>
        </row>
        <row r="873">
          <cell r="A873" t="str">
            <v>48502_2</v>
          </cell>
        </row>
        <row r="874">
          <cell r="A874" t="str">
            <v>48701_1</v>
          </cell>
        </row>
        <row r="875">
          <cell r="A875" t="str">
            <v>48701_2</v>
          </cell>
        </row>
        <row r="876">
          <cell r="A876" t="str">
            <v>49001_1</v>
          </cell>
        </row>
        <row r="877">
          <cell r="A877" t="str">
            <v>49002_1</v>
          </cell>
        </row>
        <row r="878">
          <cell r="A878" t="str">
            <v>49002_2</v>
          </cell>
        </row>
        <row r="879">
          <cell r="A879" t="str">
            <v>49003_1</v>
          </cell>
        </row>
        <row r="880">
          <cell r="A880" t="str">
            <v>49003_2</v>
          </cell>
        </row>
        <row r="881">
          <cell r="A881" t="str">
            <v>49004_1</v>
          </cell>
        </row>
        <row r="882">
          <cell r="A882" t="str">
            <v>49004_2</v>
          </cell>
        </row>
        <row r="883">
          <cell r="A883" t="str">
            <v>49004_3</v>
          </cell>
        </row>
        <row r="884">
          <cell r="A884" t="str">
            <v>49005_1</v>
          </cell>
        </row>
        <row r="885">
          <cell r="A885" t="str">
            <v>49006_1</v>
          </cell>
        </row>
        <row r="886">
          <cell r="A886" t="str">
            <v>49006_2</v>
          </cell>
        </row>
        <row r="887">
          <cell r="A887" t="str">
            <v>49007_1</v>
          </cell>
        </row>
        <row r="888">
          <cell r="A888" t="str">
            <v>49007_2</v>
          </cell>
        </row>
        <row r="889">
          <cell r="A889" t="str">
            <v>49007_3</v>
          </cell>
        </row>
        <row r="890">
          <cell r="A890" t="str">
            <v>49008_1</v>
          </cell>
        </row>
        <row r="891">
          <cell r="A891" t="str">
            <v>49009_1</v>
          </cell>
        </row>
        <row r="892">
          <cell r="A892" t="str">
            <v>49010_1</v>
          </cell>
        </row>
        <row r="893">
          <cell r="A893" t="str">
            <v>49011_1</v>
          </cell>
        </row>
        <row r="894">
          <cell r="A894" t="str">
            <v>49012_1</v>
          </cell>
        </row>
        <row r="895">
          <cell r="A895" t="str">
            <v>49013_1</v>
          </cell>
        </row>
        <row r="896">
          <cell r="A896" t="str">
            <v>49014_1</v>
          </cell>
        </row>
        <row r="897">
          <cell r="A897" t="str">
            <v>49014_2</v>
          </cell>
        </row>
        <row r="898">
          <cell r="A898" t="str">
            <v>49015_1</v>
          </cell>
        </row>
        <row r="899">
          <cell r="A899" t="str">
            <v>49015_2</v>
          </cell>
        </row>
        <row r="900">
          <cell r="A900" t="str">
            <v>49015_3</v>
          </cell>
        </row>
        <row r="901">
          <cell r="A901" t="str">
            <v>50001_1</v>
          </cell>
        </row>
        <row r="902">
          <cell r="A902" t="str">
            <v>50002_1</v>
          </cell>
        </row>
        <row r="903">
          <cell r="A903" t="str">
            <v>50003_1</v>
          </cell>
        </row>
        <row r="904">
          <cell r="A904" t="str">
            <v>50004_1</v>
          </cell>
        </row>
        <row r="905">
          <cell r="A905" t="str">
            <v>50005_1</v>
          </cell>
        </row>
        <row r="906">
          <cell r="A906" t="str">
            <v>50006_1</v>
          </cell>
        </row>
        <row r="907">
          <cell r="A907" t="str">
            <v>50007_1</v>
          </cell>
        </row>
        <row r="908">
          <cell r="A908" t="str">
            <v>50008_1</v>
          </cell>
        </row>
        <row r="909">
          <cell r="A909" t="str">
            <v>50009_1</v>
          </cell>
        </row>
        <row r="910">
          <cell r="A910" t="str">
            <v>50010_1</v>
          </cell>
        </row>
        <row r="911">
          <cell r="A911" t="str">
            <v>50011_1</v>
          </cell>
        </row>
        <row r="912">
          <cell r="A912" t="str">
            <v>50012_1</v>
          </cell>
        </row>
        <row r="913">
          <cell r="A913" t="str">
            <v>50013_1</v>
          </cell>
        </row>
        <row r="914">
          <cell r="A914" t="str">
            <v>50014_1</v>
          </cell>
        </row>
        <row r="915">
          <cell r="A915" t="str">
            <v>51001_1</v>
          </cell>
        </row>
        <row r="916">
          <cell r="A916" t="str">
            <v>51002_1</v>
          </cell>
        </row>
        <row r="917">
          <cell r="A917" t="str">
            <v>58001_1</v>
          </cell>
        </row>
        <row r="918">
          <cell r="A918" t="str">
            <v>59001_1</v>
          </cell>
        </row>
        <row r="919">
          <cell r="A919" t="str">
            <v>59002_1</v>
          </cell>
        </row>
        <row r="920">
          <cell r="A920" t="str">
            <v>60001_1</v>
          </cell>
        </row>
        <row r="921">
          <cell r="A921" t="str">
            <v>60002_1</v>
          </cell>
        </row>
        <row r="922">
          <cell r="A922" t="str">
            <v>60002_2</v>
          </cell>
        </row>
        <row r="923">
          <cell r="A923" t="str">
            <v>60003_1</v>
          </cell>
        </row>
        <row r="924">
          <cell r="A924" t="str">
            <v>60003_2</v>
          </cell>
        </row>
        <row r="925">
          <cell r="A925" t="str">
            <v>60003_3</v>
          </cell>
        </row>
        <row r="926">
          <cell r="A926" t="str">
            <v>60004_1</v>
          </cell>
        </row>
        <row r="927">
          <cell r="A927" t="str">
            <v>60005_1</v>
          </cell>
        </row>
        <row r="928">
          <cell r="A928" t="str">
            <v>60006_1</v>
          </cell>
        </row>
        <row r="929">
          <cell r="A929" t="str">
            <v>60006_2</v>
          </cell>
        </row>
        <row r="930">
          <cell r="A930" t="str">
            <v>60006_3</v>
          </cell>
        </row>
        <row r="931">
          <cell r="A931" t="str">
            <v>60007_1</v>
          </cell>
        </row>
        <row r="932">
          <cell r="A932" t="str">
            <v>60007_2</v>
          </cell>
        </row>
        <row r="933">
          <cell r="A933" t="str">
            <v>60007_3</v>
          </cell>
        </row>
        <row r="934">
          <cell r="A934" t="str">
            <v>60010_1</v>
          </cell>
        </row>
        <row r="935">
          <cell r="A935" t="str">
            <v>60011_1</v>
          </cell>
        </row>
        <row r="936">
          <cell r="A936" t="str">
            <v>60011_2</v>
          </cell>
        </row>
        <row r="937">
          <cell r="A937" t="str">
            <v>60012_1</v>
          </cell>
        </row>
        <row r="938">
          <cell r="A938" t="str">
            <v>60013_1</v>
          </cell>
        </row>
        <row r="939">
          <cell r="A939" t="str">
            <v>60013_2</v>
          </cell>
        </row>
        <row r="940">
          <cell r="A940" t="str">
            <v>60013_3</v>
          </cell>
        </row>
        <row r="941">
          <cell r="A941" t="str">
            <v>60014_1</v>
          </cell>
        </row>
        <row r="942">
          <cell r="A942" t="str">
            <v>60015_1</v>
          </cell>
        </row>
        <row r="943">
          <cell r="A943" t="str">
            <v>60016_1</v>
          </cell>
        </row>
        <row r="944">
          <cell r="A944" t="str">
            <v>60017_1</v>
          </cell>
        </row>
        <row r="945">
          <cell r="A945" t="str">
            <v>60018_1</v>
          </cell>
        </row>
        <row r="946">
          <cell r="A946" t="str">
            <v>60019_1</v>
          </cell>
        </row>
        <row r="947">
          <cell r="A947" t="str">
            <v>60020_1</v>
          </cell>
        </row>
        <row r="948">
          <cell r="A948" t="str">
            <v>60021_3</v>
          </cell>
        </row>
        <row r="949">
          <cell r="A949" t="str">
            <v>60022_3</v>
          </cell>
        </row>
        <row r="950">
          <cell r="A950" t="str">
            <v>60023_3</v>
          </cell>
        </row>
        <row r="951">
          <cell r="A951" t="str">
            <v>60024_3</v>
          </cell>
        </row>
        <row r="952">
          <cell r="A952" t="str">
            <v>60025_1</v>
          </cell>
        </row>
        <row r="953">
          <cell r="A953" t="str">
            <v>60026_1</v>
          </cell>
        </row>
        <row r="954">
          <cell r="A954" t="str">
            <v>61011_1</v>
          </cell>
        </row>
        <row r="955">
          <cell r="A955" t="str">
            <v>60027_1</v>
          </cell>
        </row>
        <row r="956">
          <cell r="A956" t="str">
            <v>60028_1</v>
          </cell>
        </row>
        <row r="957">
          <cell r="A957" t="str">
            <v>65525_1</v>
          </cell>
        </row>
        <row r="958">
          <cell r="A958" t="str">
            <v>65526_1</v>
          </cell>
        </row>
        <row r="959">
          <cell r="A959" t="str">
            <v>65526_2</v>
          </cell>
        </row>
        <row r="960">
          <cell r="A960" t="str">
            <v>65527_1</v>
          </cell>
        </row>
        <row r="961">
          <cell r="A961" t="str">
            <v>65528_1</v>
          </cell>
        </row>
        <row r="962">
          <cell r="A962" t="str">
            <v>65529_1</v>
          </cell>
        </row>
        <row r="963">
          <cell r="A963" t="str">
            <v>65530_1</v>
          </cell>
        </row>
        <row r="964">
          <cell r="A964" t="str">
            <v>65531_1</v>
          </cell>
        </row>
        <row r="965">
          <cell r="A965" t="str">
            <v>65531_2</v>
          </cell>
        </row>
        <row r="966">
          <cell r="A966" t="str">
            <v>65532_1</v>
          </cell>
        </row>
        <row r="967">
          <cell r="A967" t="str">
            <v>65532_2</v>
          </cell>
        </row>
        <row r="968">
          <cell r="A968" t="str">
            <v>65533_1</v>
          </cell>
        </row>
        <row r="969">
          <cell r="A969" t="str">
            <v>65533_2</v>
          </cell>
        </row>
        <row r="970">
          <cell r="A970" t="str">
            <v>65534_1</v>
          </cell>
        </row>
        <row r="971">
          <cell r="A971" t="str">
            <v>65534_2</v>
          </cell>
        </row>
        <row r="972">
          <cell r="A972" t="str">
            <v>65535_1</v>
          </cell>
        </row>
        <row r="973">
          <cell r="A973" t="str">
            <v>65535_2</v>
          </cell>
        </row>
        <row r="974">
          <cell r="A974" t="str">
            <v>65535_3</v>
          </cell>
        </row>
        <row r="975">
          <cell r="A975" t="str">
            <v>65535_4</v>
          </cell>
        </row>
        <row r="976">
          <cell r="A976" t="str">
            <v>65535_5</v>
          </cell>
        </row>
        <row r="977">
          <cell r="A977" t="str">
            <v>65535_6</v>
          </cell>
        </row>
        <row r="978">
          <cell r="A978" t="str">
            <v>65535_7</v>
          </cell>
        </row>
        <row r="979">
          <cell r="A979" t="str">
            <v>65535_8</v>
          </cell>
        </row>
        <row r="980">
          <cell r="A980" t="str">
            <v>65535_9</v>
          </cell>
        </row>
        <row r="981">
          <cell r="A981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1407</v>
          </cell>
        </row>
        <row r="1337">
          <cell r="A1337">
            <v>1408</v>
          </cell>
        </row>
        <row r="1338">
          <cell r="A1338">
            <v>1409</v>
          </cell>
        </row>
        <row r="1339">
          <cell r="A1339">
            <v>1410</v>
          </cell>
        </row>
        <row r="1340">
          <cell r="A1340">
            <v>1504</v>
          </cell>
        </row>
        <row r="1341">
          <cell r="A1341">
            <v>1505</v>
          </cell>
        </row>
        <row r="1342">
          <cell r="A1342">
            <v>1506</v>
          </cell>
        </row>
        <row r="1343">
          <cell r="A1343">
            <v>1507</v>
          </cell>
        </row>
        <row r="1344">
          <cell r="A1344">
            <v>1508</v>
          </cell>
        </row>
        <row r="1345">
          <cell r="A1345">
            <v>1509</v>
          </cell>
        </row>
        <row r="1346">
          <cell r="A1346">
            <v>1510</v>
          </cell>
        </row>
        <row r="1347">
          <cell r="A1347">
            <v>1511</v>
          </cell>
        </row>
        <row r="1348">
          <cell r="A1348">
            <v>1512</v>
          </cell>
        </row>
        <row r="1349">
          <cell r="A1349">
            <v>1523</v>
          </cell>
        </row>
        <row r="1350">
          <cell r="A1350">
            <v>1524</v>
          </cell>
        </row>
        <row r="1351">
          <cell r="A1351">
            <v>1525</v>
          </cell>
        </row>
        <row r="1352">
          <cell r="A1352">
            <v>1526</v>
          </cell>
        </row>
        <row r="1353">
          <cell r="A1353">
            <v>5001</v>
          </cell>
        </row>
        <row r="1354">
          <cell r="A1354">
            <v>5002</v>
          </cell>
        </row>
        <row r="1355">
          <cell r="A1355">
            <v>5003</v>
          </cell>
        </row>
        <row r="1356">
          <cell r="A1356">
            <v>5004</v>
          </cell>
        </row>
        <row r="1357">
          <cell r="A1357">
            <v>5005</v>
          </cell>
        </row>
        <row r="1358">
          <cell r="A1358">
            <v>5006</v>
          </cell>
        </row>
        <row r="1359">
          <cell r="A1359">
            <v>5007</v>
          </cell>
        </row>
        <row r="1360">
          <cell r="A1360">
            <v>5008</v>
          </cell>
        </row>
        <row r="1361">
          <cell r="A1361">
            <v>6001</v>
          </cell>
        </row>
        <row r="1362">
          <cell r="A1362">
            <v>6002</v>
          </cell>
        </row>
        <row r="1363">
          <cell r="A1363">
            <v>6003</v>
          </cell>
        </row>
        <row r="1364">
          <cell r="A1364">
            <v>6004</v>
          </cell>
        </row>
        <row r="1365">
          <cell r="A1365">
            <v>6005</v>
          </cell>
        </row>
        <row r="1366">
          <cell r="A1366">
            <v>6006</v>
          </cell>
        </row>
        <row r="1367">
          <cell r="A1367">
            <v>6007</v>
          </cell>
        </row>
        <row r="1368">
          <cell r="A1368">
            <v>6008</v>
          </cell>
        </row>
        <row r="1369">
          <cell r="A1369">
            <v>6009</v>
          </cell>
        </row>
        <row r="1370">
          <cell r="A1370">
            <v>6010</v>
          </cell>
        </row>
        <row r="1371">
          <cell r="A1371">
            <v>6011</v>
          </cell>
        </row>
        <row r="1372">
          <cell r="A1372">
            <v>6012</v>
          </cell>
        </row>
        <row r="1373">
          <cell r="A1373">
            <v>6013</v>
          </cell>
        </row>
        <row r="1374">
          <cell r="A1374">
            <v>6014</v>
          </cell>
        </row>
        <row r="1375">
          <cell r="A1375">
            <v>6015</v>
          </cell>
        </row>
        <row r="1376">
          <cell r="A1376">
            <v>6016</v>
          </cell>
        </row>
        <row r="1377">
          <cell r="A1377">
            <v>6017</v>
          </cell>
        </row>
        <row r="1378">
          <cell r="A1378">
            <v>6018</v>
          </cell>
        </row>
        <row r="1379">
          <cell r="A1379">
            <v>6019</v>
          </cell>
        </row>
        <row r="1380">
          <cell r="A1380">
            <v>6020</v>
          </cell>
        </row>
        <row r="1381">
          <cell r="A1381">
            <v>8001</v>
          </cell>
        </row>
        <row r="1382">
          <cell r="A1382">
            <v>8002</v>
          </cell>
        </row>
        <row r="1383">
          <cell r="A1383">
            <v>8003</v>
          </cell>
        </row>
        <row r="1384">
          <cell r="A1384">
            <v>8004</v>
          </cell>
        </row>
        <row r="1385">
          <cell r="A1385">
            <v>8005</v>
          </cell>
        </row>
        <row r="1386">
          <cell r="A1386">
            <v>8006</v>
          </cell>
        </row>
        <row r="1387">
          <cell r="A1387">
            <v>8007</v>
          </cell>
        </row>
        <row r="1388">
          <cell r="A1388">
            <v>8008</v>
          </cell>
        </row>
        <row r="1389">
          <cell r="A1389">
            <v>8009</v>
          </cell>
        </row>
        <row r="1390">
          <cell r="A1390">
            <v>8010</v>
          </cell>
        </row>
        <row r="1391">
          <cell r="A1391">
            <v>8011</v>
          </cell>
        </row>
        <row r="1392">
          <cell r="A1392">
            <v>8012</v>
          </cell>
        </row>
        <row r="1393">
          <cell r="A1393">
            <v>8013</v>
          </cell>
        </row>
        <row r="1394">
          <cell r="A1394">
            <v>8014</v>
          </cell>
        </row>
        <row r="1395">
          <cell r="A1395">
            <v>8015</v>
          </cell>
        </row>
        <row r="1396">
          <cell r="A1396">
            <v>8016</v>
          </cell>
        </row>
        <row r="1397">
          <cell r="A1397">
            <v>8017</v>
          </cell>
        </row>
        <row r="1398">
          <cell r="A1398">
            <v>8018</v>
          </cell>
        </row>
        <row r="1399">
          <cell r="A1399">
            <v>8019</v>
          </cell>
        </row>
        <row r="1400">
          <cell r="A1400">
            <v>8020</v>
          </cell>
        </row>
        <row r="1401">
          <cell r="A1401">
            <v>8021</v>
          </cell>
        </row>
        <row r="1402">
          <cell r="A1402">
            <v>8022</v>
          </cell>
        </row>
        <row r="1403">
          <cell r="A1403">
            <v>8023</v>
          </cell>
        </row>
        <row r="1404">
          <cell r="A1404">
            <v>8024</v>
          </cell>
        </row>
        <row r="1405">
          <cell r="A1405">
            <v>8025</v>
          </cell>
        </row>
        <row r="1406">
          <cell r="A1406">
            <v>8026</v>
          </cell>
        </row>
        <row r="1407">
          <cell r="A1407">
            <v>8027</v>
          </cell>
        </row>
        <row r="1408">
          <cell r="A1408">
            <v>8028</v>
          </cell>
        </row>
        <row r="1409">
          <cell r="A1409">
            <v>8029</v>
          </cell>
        </row>
        <row r="1410">
          <cell r="A1410">
            <v>8030</v>
          </cell>
        </row>
        <row r="1411">
          <cell r="A1411">
            <v>8031</v>
          </cell>
        </row>
        <row r="1412">
          <cell r="A1412">
            <v>8032</v>
          </cell>
        </row>
        <row r="1413">
          <cell r="A1413">
            <v>8033</v>
          </cell>
        </row>
        <row r="1414">
          <cell r="A1414">
            <v>8034</v>
          </cell>
        </row>
        <row r="1415">
          <cell r="A1415">
            <v>8035</v>
          </cell>
        </row>
        <row r="1416">
          <cell r="A1416">
            <v>8036</v>
          </cell>
        </row>
        <row r="1417">
          <cell r="A1417">
            <v>8037</v>
          </cell>
        </row>
        <row r="1418">
          <cell r="A1418">
            <v>8038</v>
          </cell>
        </row>
        <row r="1419">
          <cell r="A1419">
            <v>8039</v>
          </cell>
        </row>
        <row r="1420">
          <cell r="A1420">
            <v>8040</v>
          </cell>
        </row>
        <row r="1421">
          <cell r="A1421">
            <v>8041</v>
          </cell>
        </row>
        <row r="1422">
          <cell r="A1422">
            <v>8042</v>
          </cell>
        </row>
        <row r="1423">
          <cell r="A1423">
            <v>8043</v>
          </cell>
        </row>
        <row r="1424">
          <cell r="A1424">
            <v>8044</v>
          </cell>
        </row>
        <row r="1425">
          <cell r="A1425">
            <v>8045</v>
          </cell>
        </row>
        <row r="1426">
          <cell r="A1426">
            <v>8046</v>
          </cell>
        </row>
        <row r="1427">
          <cell r="A1427">
            <v>8047</v>
          </cell>
        </row>
        <row r="1428">
          <cell r="A1428">
            <v>8048</v>
          </cell>
        </row>
        <row r="1429">
          <cell r="A1429">
            <v>8049</v>
          </cell>
        </row>
        <row r="1430">
          <cell r="A1430">
            <v>8050</v>
          </cell>
        </row>
        <row r="1431">
          <cell r="A1431">
            <v>8051</v>
          </cell>
        </row>
        <row r="1432">
          <cell r="A1432">
            <v>8052</v>
          </cell>
        </row>
        <row r="1433">
          <cell r="A1433">
            <v>8053</v>
          </cell>
        </row>
        <row r="1434">
          <cell r="A1434">
            <v>8054</v>
          </cell>
        </row>
        <row r="1435">
          <cell r="A1435">
            <v>8055</v>
          </cell>
        </row>
        <row r="1436">
          <cell r="A1436">
            <v>8056</v>
          </cell>
        </row>
        <row r="1437">
          <cell r="A1437">
            <v>8057</v>
          </cell>
        </row>
        <row r="1438">
          <cell r="A1438">
            <v>8058</v>
          </cell>
        </row>
        <row r="1439">
          <cell r="A1439">
            <v>8059</v>
          </cell>
        </row>
        <row r="1440">
          <cell r="A1440">
            <v>8060</v>
          </cell>
        </row>
        <row r="1441">
          <cell r="A1441">
            <v>8061</v>
          </cell>
        </row>
        <row r="1442">
          <cell r="A1442">
            <v>8062</v>
          </cell>
        </row>
        <row r="1443">
          <cell r="A1443">
            <v>8063</v>
          </cell>
        </row>
        <row r="1444">
          <cell r="A1444">
            <v>8064</v>
          </cell>
        </row>
        <row r="1445">
          <cell r="A1445">
            <v>8065</v>
          </cell>
        </row>
        <row r="1446">
          <cell r="A1446">
            <v>8066</v>
          </cell>
        </row>
        <row r="1447">
          <cell r="A1447">
            <v>8067</v>
          </cell>
        </row>
        <row r="1448">
          <cell r="A1448">
            <v>8068</v>
          </cell>
        </row>
        <row r="1449">
          <cell r="A1449">
            <v>8069</v>
          </cell>
        </row>
        <row r="1450">
          <cell r="A1450">
            <v>8070</v>
          </cell>
        </row>
        <row r="1451">
          <cell r="A1451">
            <v>8071</v>
          </cell>
        </row>
        <row r="1452">
          <cell r="A1452">
            <v>8072</v>
          </cell>
        </row>
        <row r="1453">
          <cell r="A1453">
            <v>8073</v>
          </cell>
        </row>
        <row r="1454">
          <cell r="A1454">
            <v>8074</v>
          </cell>
        </row>
        <row r="1455">
          <cell r="A1455">
            <v>8077</v>
          </cell>
        </row>
        <row r="1456">
          <cell r="A1456">
            <v>8078</v>
          </cell>
        </row>
        <row r="1457">
          <cell r="A1457">
            <v>8079</v>
          </cell>
        </row>
        <row r="1458">
          <cell r="A1458">
            <v>8080</v>
          </cell>
        </row>
        <row r="1459">
          <cell r="A1459">
            <v>8081</v>
          </cell>
        </row>
        <row r="1460">
          <cell r="A1460">
            <v>8082</v>
          </cell>
        </row>
        <row r="1461">
          <cell r="A1461">
            <v>8083</v>
          </cell>
        </row>
        <row r="1462">
          <cell r="A1462">
            <v>8084</v>
          </cell>
        </row>
        <row r="1463">
          <cell r="A1463">
            <v>8087</v>
          </cell>
        </row>
        <row r="1464">
          <cell r="A1464">
            <v>8088</v>
          </cell>
        </row>
        <row r="1465">
          <cell r="A1465">
            <v>8089</v>
          </cell>
        </row>
        <row r="1466">
          <cell r="A1466">
            <v>8090</v>
          </cell>
        </row>
        <row r="1467">
          <cell r="A1467">
            <v>8095</v>
          </cell>
        </row>
        <row r="1468">
          <cell r="A1468">
            <v>8096</v>
          </cell>
        </row>
        <row r="1469">
          <cell r="A1469">
            <v>8097</v>
          </cell>
        </row>
        <row r="1470">
          <cell r="A1470">
            <v>8098</v>
          </cell>
        </row>
        <row r="1471">
          <cell r="A1471">
            <v>8099</v>
          </cell>
        </row>
        <row r="1472">
          <cell r="A1472">
            <v>9001</v>
          </cell>
        </row>
        <row r="1473">
          <cell r="A1473">
            <v>9002</v>
          </cell>
        </row>
        <row r="1474">
          <cell r="A1474">
            <v>9003</v>
          </cell>
        </row>
        <row r="1475">
          <cell r="A1475">
            <v>9004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1389</v>
          </cell>
        </row>
        <row r="1373">
          <cell r="A1373">
            <v>1390</v>
          </cell>
        </row>
        <row r="1374">
          <cell r="A1374">
            <v>1399</v>
          </cell>
        </row>
        <row r="1375">
          <cell r="A1375">
            <v>1400</v>
          </cell>
        </row>
        <row r="1376">
          <cell r="A1376">
            <v>1401</v>
          </cell>
        </row>
        <row r="1377">
          <cell r="A1377">
            <v>1402</v>
          </cell>
        </row>
        <row r="1378">
          <cell r="A1378">
            <v>1403</v>
          </cell>
        </row>
        <row r="1379">
          <cell r="A1379">
            <v>1404</v>
          </cell>
        </row>
        <row r="1380">
          <cell r="A1380">
            <v>1405</v>
          </cell>
        </row>
        <row r="1381">
          <cell r="A1381">
            <v>1406</v>
          </cell>
        </row>
        <row r="1382">
          <cell r="A1382">
            <v>1407</v>
          </cell>
        </row>
        <row r="1383">
          <cell r="A1383">
            <v>1408</v>
          </cell>
        </row>
        <row r="1384">
          <cell r="A1384">
            <v>1409</v>
          </cell>
        </row>
        <row r="1385">
          <cell r="A1385">
            <v>1410</v>
          </cell>
        </row>
        <row r="1386">
          <cell r="A1386">
            <v>1411</v>
          </cell>
        </row>
        <row r="1387">
          <cell r="A1387">
            <v>1412</v>
          </cell>
        </row>
        <row r="1388">
          <cell r="A1388">
            <v>1413</v>
          </cell>
        </row>
        <row r="1389">
          <cell r="A1389">
            <v>1414</v>
          </cell>
        </row>
        <row r="1390">
          <cell r="A1390">
            <v>1415</v>
          </cell>
        </row>
        <row r="1391">
          <cell r="A1391">
            <v>1416</v>
          </cell>
        </row>
        <row r="1392">
          <cell r="A1392">
            <v>1417</v>
          </cell>
        </row>
        <row r="1393">
          <cell r="A1393">
            <v>1418</v>
          </cell>
        </row>
        <row r="1394">
          <cell r="A1394">
            <v>1419</v>
          </cell>
        </row>
        <row r="1395">
          <cell r="A1395">
            <v>1420</v>
          </cell>
        </row>
        <row r="1396">
          <cell r="A1396">
            <v>1421</v>
          </cell>
        </row>
        <row r="1397">
          <cell r="A1397">
            <v>1422</v>
          </cell>
        </row>
        <row r="1398">
          <cell r="A1398">
            <v>1423</v>
          </cell>
        </row>
        <row r="1399">
          <cell r="A1399">
            <v>1424</v>
          </cell>
        </row>
        <row r="1400">
          <cell r="A1400">
            <v>1425</v>
          </cell>
        </row>
        <row r="1401">
          <cell r="A1401">
            <v>1426</v>
          </cell>
        </row>
        <row r="1402">
          <cell r="A1402">
            <v>1433</v>
          </cell>
        </row>
        <row r="1403">
          <cell r="A1403">
            <v>1434</v>
          </cell>
        </row>
        <row r="1404">
          <cell r="A1404">
            <v>1435</v>
          </cell>
        </row>
        <row r="1405">
          <cell r="A1405">
            <v>1454</v>
          </cell>
        </row>
        <row r="1406">
          <cell r="A1406">
            <v>1455</v>
          </cell>
        </row>
        <row r="1407">
          <cell r="A1407">
            <v>1458</v>
          </cell>
        </row>
        <row r="1408">
          <cell r="A1408">
            <v>1459</v>
          </cell>
        </row>
        <row r="1409">
          <cell r="A1409">
            <v>1460</v>
          </cell>
        </row>
        <row r="1410">
          <cell r="A1410">
            <v>1461</v>
          </cell>
        </row>
        <row r="1411">
          <cell r="A1411">
            <v>1462</v>
          </cell>
        </row>
        <row r="1412">
          <cell r="A1412">
            <v>1463</v>
          </cell>
        </row>
        <row r="1413">
          <cell r="A1413">
            <v>1464</v>
          </cell>
        </row>
        <row r="1414">
          <cell r="A1414">
            <v>1465</v>
          </cell>
        </row>
        <row r="1415">
          <cell r="A1415">
            <v>1466</v>
          </cell>
        </row>
        <row r="1416">
          <cell r="A1416">
            <v>1467</v>
          </cell>
        </row>
        <row r="1417">
          <cell r="A1417">
            <v>1468</v>
          </cell>
        </row>
        <row r="1418">
          <cell r="A1418">
            <v>1469</v>
          </cell>
        </row>
        <row r="1419">
          <cell r="A1419">
            <v>1470</v>
          </cell>
        </row>
        <row r="1420">
          <cell r="A1420">
            <v>1488</v>
          </cell>
        </row>
        <row r="1421">
          <cell r="A1421">
            <v>1489</v>
          </cell>
        </row>
        <row r="1422">
          <cell r="A1422">
            <v>1504</v>
          </cell>
        </row>
        <row r="1423">
          <cell r="A1423">
            <v>1505</v>
          </cell>
        </row>
        <row r="1424">
          <cell r="A1424">
            <v>1506</v>
          </cell>
        </row>
        <row r="1425">
          <cell r="A1425">
            <v>1507</v>
          </cell>
        </row>
        <row r="1426">
          <cell r="A1426">
            <v>1508</v>
          </cell>
        </row>
        <row r="1427">
          <cell r="A1427">
            <v>1509</v>
          </cell>
        </row>
        <row r="1428">
          <cell r="A1428">
            <v>1510</v>
          </cell>
        </row>
        <row r="1429">
          <cell r="A1429">
            <v>1511</v>
          </cell>
        </row>
        <row r="1430">
          <cell r="A1430">
            <v>1512</v>
          </cell>
        </row>
        <row r="1431">
          <cell r="A1431">
            <v>1513</v>
          </cell>
        </row>
        <row r="1432">
          <cell r="A1432">
            <v>1514</v>
          </cell>
        </row>
        <row r="1433">
          <cell r="A1433">
            <v>1515</v>
          </cell>
        </row>
        <row r="1434">
          <cell r="A1434">
            <v>1516</v>
          </cell>
        </row>
        <row r="1435">
          <cell r="A1435">
            <v>1517</v>
          </cell>
        </row>
        <row r="1436">
          <cell r="A1436">
            <v>1518</v>
          </cell>
        </row>
        <row r="1437">
          <cell r="A1437">
            <v>1519</v>
          </cell>
        </row>
        <row r="1438">
          <cell r="A1438">
            <v>1520</v>
          </cell>
        </row>
        <row r="1439">
          <cell r="A1439">
            <v>1521</v>
          </cell>
        </row>
        <row r="1440">
          <cell r="A1440">
            <v>1522</v>
          </cell>
        </row>
        <row r="1441">
          <cell r="A1441">
            <v>1523</v>
          </cell>
        </row>
        <row r="1442">
          <cell r="A1442">
            <v>1524</v>
          </cell>
        </row>
        <row r="1443">
          <cell r="A1443">
            <v>1525</v>
          </cell>
        </row>
        <row r="1444">
          <cell r="A1444">
            <v>1526</v>
          </cell>
        </row>
        <row r="1445">
          <cell r="A1445">
            <v>1527</v>
          </cell>
        </row>
        <row r="1446">
          <cell r="A1446">
            <v>1528</v>
          </cell>
        </row>
        <row r="1447">
          <cell r="A1447">
            <v>1529</v>
          </cell>
        </row>
        <row r="1448">
          <cell r="A1448">
            <v>1530</v>
          </cell>
        </row>
        <row r="1449">
          <cell r="A1449">
            <v>1531</v>
          </cell>
        </row>
        <row r="1450">
          <cell r="A1450">
            <v>1532</v>
          </cell>
        </row>
        <row r="1451">
          <cell r="A1451">
            <v>1533</v>
          </cell>
        </row>
        <row r="1452">
          <cell r="A1452">
            <v>1534</v>
          </cell>
        </row>
        <row r="1453">
          <cell r="A1453">
            <v>1535</v>
          </cell>
        </row>
        <row r="1454">
          <cell r="A1454">
            <v>1536</v>
          </cell>
        </row>
        <row r="1455">
          <cell r="A1455">
            <v>1537</v>
          </cell>
        </row>
        <row r="1456">
          <cell r="A1456">
            <v>1538</v>
          </cell>
        </row>
        <row r="1457">
          <cell r="A1457">
            <v>1539</v>
          </cell>
        </row>
        <row r="1458">
          <cell r="A1458">
            <v>1540</v>
          </cell>
        </row>
        <row r="1459">
          <cell r="A1459">
            <v>1541</v>
          </cell>
        </row>
        <row r="1460">
          <cell r="A1460">
            <v>1542</v>
          </cell>
        </row>
        <row r="1461">
          <cell r="A1461">
            <v>1543</v>
          </cell>
        </row>
        <row r="1462">
          <cell r="A1462">
            <v>1544</v>
          </cell>
        </row>
        <row r="1463">
          <cell r="A1463">
            <v>1545</v>
          </cell>
        </row>
        <row r="1464">
          <cell r="A1464">
            <v>1546</v>
          </cell>
        </row>
        <row r="1465">
          <cell r="A1465">
            <v>1547</v>
          </cell>
        </row>
        <row r="1466">
          <cell r="A1466">
            <v>1548</v>
          </cell>
        </row>
        <row r="1467">
          <cell r="A1467">
            <v>1549</v>
          </cell>
        </row>
        <row r="1468">
          <cell r="A1468">
            <v>1550</v>
          </cell>
        </row>
        <row r="1469">
          <cell r="A1469">
            <v>5001</v>
          </cell>
        </row>
        <row r="1470">
          <cell r="A1470">
            <v>5002</v>
          </cell>
        </row>
        <row r="1471">
          <cell r="A1471">
            <v>5003</v>
          </cell>
        </row>
        <row r="1472">
          <cell r="A1472">
            <v>5004</v>
          </cell>
        </row>
        <row r="1473">
          <cell r="A1473">
            <v>5005</v>
          </cell>
        </row>
        <row r="1474">
          <cell r="A1474">
            <v>5006</v>
          </cell>
        </row>
        <row r="1475">
          <cell r="A1475">
            <v>5007</v>
          </cell>
        </row>
        <row r="1476">
          <cell r="A1476">
            <v>5008</v>
          </cell>
        </row>
        <row r="1477">
          <cell r="A1477">
            <v>6001</v>
          </cell>
        </row>
        <row r="1478">
          <cell r="A1478">
            <v>6002</v>
          </cell>
        </row>
        <row r="1479">
          <cell r="A1479">
            <v>6003</v>
          </cell>
        </row>
        <row r="1480">
          <cell r="A1480">
            <v>6004</v>
          </cell>
        </row>
        <row r="1481">
          <cell r="A1481">
            <v>6005</v>
          </cell>
        </row>
        <row r="1482">
          <cell r="A1482">
            <v>6006</v>
          </cell>
        </row>
        <row r="1483">
          <cell r="A1483">
            <v>6007</v>
          </cell>
        </row>
        <row r="1484">
          <cell r="A1484">
            <v>6008</v>
          </cell>
        </row>
        <row r="1485">
          <cell r="A1485">
            <v>6009</v>
          </cell>
        </row>
        <row r="1486">
          <cell r="A1486">
            <v>6010</v>
          </cell>
        </row>
        <row r="1487">
          <cell r="A1487">
            <v>6011</v>
          </cell>
        </row>
        <row r="1488">
          <cell r="A1488">
            <v>6012</v>
          </cell>
        </row>
        <row r="1489">
          <cell r="A1489">
            <v>6013</v>
          </cell>
        </row>
        <row r="1490">
          <cell r="A1490">
            <v>6014</v>
          </cell>
        </row>
        <row r="1491">
          <cell r="A1491">
            <v>6015</v>
          </cell>
        </row>
        <row r="1492">
          <cell r="A1492">
            <v>6016</v>
          </cell>
        </row>
        <row r="1493">
          <cell r="A1493">
            <v>6017</v>
          </cell>
        </row>
        <row r="1494">
          <cell r="A1494">
            <v>6018</v>
          </cell>
        </row>
        <row r="1495">
          <cell r="A1495">
            <v>6019</v>
          </cell>
        </row>
        <row r="1496">
          <cell r="A1496">
            <v>6020</v>
          </cell>
        </row>
        <row r="1497">
          <cell r="A1497">
            <v>8001</v>
          </cell>
        </row>
        <row r="1498">
          <cell r="A1498">
            <v>8002</v>
          </cell>
        </row>
        <row r="1499">
          <cell r="A1499">
            <v>8003</v>
          </cell>
        </row>
        <row r="1500">
          <cell r="A1500">
            <v>8004</v>
          </cell>
        </row>
        <row r="1501">
          <cell r="A1501">
            <v>8005</v>
          </cell>
        </row>
        <row r="1502">
          <cell r="A1502">
            <v>8006</v>
          </cell>
        </row>
        <row r="1503">
          <cell r="A1503">
            <v>8007</v>
          </cell>
        </row>
        <row r="1504">
          <cell r="A1504">
            <v>8008</v>
          </cell>
        </row>
        <row r="1505">
          <cell r="A1505">
            <v>8009</v>
          </cell>
        </row>
        <row r="1506">
          <cell r="A1506">
            <v>8010</v>
          </cell>
        </row>
        <row r="1507">
          <cell r="A1507">
            <v>8011</v>
          </cell>
        </row>
        <row r="1508">
          <cell r="A1508">
            <v>8012</v>
          </cell>
        </row>
        <row r="1509">
          <cell r="A1509">
            <v>8013</v>
          </cell>
        </row>
        <row r="1510">
          <cell r="A1510">
            <v>8014</v>
          </cell>
        </row>
        <row r="1511">
          <cell r="A1511">
            <v>8015</v>
          </cell>
        </row>
        <row r="1512">
          <cell r="A1512">
            <v>8016</v>
          </cell>
        </row>
        <row r="1513">
          <cell r="A1513">
            <v>8017</v>
          </cell>
        </row>
        <row r="1514">
          <cell r="A1514">
            <v>8018</v>
          </cell>
        </row>
        <row r="1515">
          <cell r="A1515">
            <v>8019</v>
          </cell>
        </row>
        <row r="1516">
          <cell r="A1516">
            <v>8020</v>
          </cell>
        </row>
        <row r="1517">
          <cell r="A1517">
            <v>8021</v>
          </cell>
        </row>
        <row r="1518">
          <cell r="A1518">
            <v>8022</v>
          </cell>
        </row>
        <row r="1519">
          <cell r="A1519">
            <v>8023</v>
          </cell>
        </row>
        <row r="1520">
          <cell r="A1520">
            <v>8024</v>
          </cell>
        </row>
        <row r="1521">
          <cell r="A1521">
            <v>8025</v>
          </cell>
        </row>
        <row r="1522">
          <cell r="A1522">
            <v>8026</v>
          </cell>
        </row>
        <row r="1523">
          <cell r="A1523">
            <v>8027</v>
          </cell>
        </row>
        <row r="1524">
          <cell r="A1524">
            <v>8028</v>
          </cell>
        </row>
        <row r="1525">
          <cell r="A1525">
            <v>8029</v>
          </cell>
        </row>
        <row r="1526">
          <cell r="A1526">
            <v>8030</v>
          </cell>
        </row>
        <row r="1527">
          <cell r="A1527">
            <v>8031</v>
          </cell>
        </row>
        <row r="1528">
          <cell r="A1528">
            <v>8032</v>
          </cell>
        </row>
        <row r="1529">
          <cell r="A1529">
            <v>8033</v>
          </cell>
        </row>
        <row r="1530">
          <cell r="A1530">
            <v>8034</v>
          </cell>
        </row>
        <row r="1531">
          <cell r="A1531">
            <v>8035</v>
          </cell>
        </row>
        <row r="1532">
          <cell r="A1532">
            <v>8036</v>
          </cell>
        </row>
        <row r="1533">
          <cell r="A1533">
            <v>8037</v>
          </cell>
        </row>
        <row r="1534">
          <cell r="A1534">
            <v>8038</v>
          </cell>
        </row>
        <row r="1535">
          <cell r="A1535">
            <v>8039</v>
          </cell>
        </row>
        <row r="1536">
          <cell r="A1536">
            <v>8040</v>
          </cell>
        </row>
        <row r="1537">
          <cell r="A1537">
            <v>8041</v>
          </cell>
        </row>
        <row r="1538">
          <cell r="A1538">
            <v>8042</v>
          </cell>
        </row>
        <row r="1539">
          <cell r="A1539">
            <v>8043</v>
          </cell>
        </row>
        <row r="1540">
          <cell r="A1540">
            <v>8044</v>
          </cell>
        </row>
        <row r="1541">
          <cell r="A1541">
            <v>8045</v>
          </cell>
        </row>
        <row r="1542">
          <cell r="A1542">
            <v>8046</v>
          </cell>
        </row>
        <row r="1543">
          <cell r="A1543">
            <v>8047</v>
          </cell>
        </row>
        <row r="1544">
          <cell r="A1544">
            <v>8048</v>
          </cell>
        </row>
        <row r="1545">
          <cell r="A1545">
            <v>8049</v>
          </cell>
        </row>
        <row r="1546">
          <cell r="A1546">
            <v>8050</v>
          </cell>
        </row>
        <row r="1547">
          <cell r="A1547">
            <v>8051</v>
          </cell>
        </row>
        <row r="1548">
          <cell r="A1548">
            <v>8052</v>
          </cell>
        </row>
        <row r="1549">
          <cell r="A1549">
            <v>8053</v>
          </cell>
        </row>
        <row r="1550">
          <cell r="A1550">
            <v>8054</v>
          </cell>
        </row>
        <row r="1551">
          <cell r="A1551">
            <v>8055</v>
          </cell>
        </row>
        <row r="1552">
          <cell r="A1552">
            <v>8056</v>
          </cell>
        </row>
        <row r="1553">
          <cell r="A1553">
            <v>8057</v>
          </cell>
        </row>
        <row r="1554">
          <cell r="A1554">
            <v>8058</v>
          </cell>
        </row>
        <row r="1555">
          <cell r="A1555">
            <v>8059</v>
          </cell>
        </row>
        <row r="1556">
          <cell r="A1556">
            <v>8060</v>
          </cell>
        </row>
        <row r="1557">
          <cell r="A1557">
            <v>8061</v>
          </cell>
        </row>
        <row r="1558">
          <cell r="A1558">
            <v>8062</v>
          </cell>
        </row>
        <row r="1559">
          <cell r="A1559">
            <v>8063</v>
          </cell>
        </row>
        <row r="1560">
          <cell r="A1560">
            <v>8064</v>
          </cell>
        </row>
        <row r="1561">
          <cell r="A1561">
            <v>8065</v>
          </cell>
        </row>
        <row r="1562">
          <cell r="A1562">
            <v>8066</v>
          </cell>
        </row>
        <row r="1563">
          <cell r="A1563">
            <v>8067</v>
          </cell>
        </row>
        <row r="1564">
          <cell r="A1564">
            <v>8068</v>
          </cell>
        </row>
        <row r="1565">
          <cell r="A1565">
            <v>8069</v>
          </cell>
        </row>
        <row r="1566">
          <cell r="A1566">
            <v>8070</v>
          </cell>
        </row>
        <row r="1567">
          <cell r="A1567">
            <v>8071</v>
          </cell>
        </row>
        <row r="1568">
          <cell r="A1568">
            <v>8072</v>
          </cell>
        </row>
        <row r="1569">
          <cell r="A1569">
            <v>8073</v>
          </cell>
        </row>
        <row r="1570">
          <cell r="A1570">
            <v>8074</v>
          </cell>
        </row>
        <row r="1571">
          <cell r="A1571">
            <v>8075</v>
          </cell>
        </row>
        <row r="1572">
          <cell r="A1572">
            <v>8076</v>
          </cell>
        </row>
        <row r="1573">
          <cell r="A1573">
            <v>8077</v>
          </cell>
        </row>
        <row r="1574">
          <cell r="A1574">
            <v>8078</v>
          </cell>
        </row>
        <row r="1575">
          <cell r="A1575">
            <v>8079</v>
          </cell>
        </row>
        <row r="1576">
          <cell r="A1576">
            <v>8080</v>
          </cell>
        </row>
        <row r="1577">
          <cell r="A1577">
            <v>8081</v>
          </cell>
        </row>
        <row r="1578">
          <cell r="A1578">
            <v>8082</v>
          </cell>
        </row>
        <row r="1579">
          <cell r="A1579">
            <v>8083</v>
          </cell>
        </row>
        <row r="1580">
          <cell r="A1580">
            <v>8084</v>
          </cell>
        </row>
        <row r="1581">
          <cell r="A1581">
            <v>8087</v>
          </cell>
        </row>
        <row r="1582">
          <cell r="A1582">
            <v>8088</v>
          </cell>
        </row>
        <row r="1583">
          <cell r="A1583">
            <v>8089</v>
          </cell>
        </row>
        <row r="1584">
          <cell r="A1584">
            <v>8090</v>
          </cell>
        </row>
        <row r="1585">
          <cell r="A1585">
            <v>8095</v>
          </cell>
        </row>
        <row r="1586">
          <cell r="A1586">
            <v>8096</v>
          </cell>
        </row>
        <row r="1587">
          <cell r="A1587">
            <v>8097</v>
          </cell>
        </row>
        <row r="1588">
          <cell r="A1588">
            <v>8098</v>
          </cell>
        </row>
        <row r="1589">
          <cell r="A1589">
            <v>8099</v>
          </cell>
        </row>
        <row r="1590">
          <cell r="A1590">
            <v>9001</v>
          </cell>
        </row>
        <row r="1591">
          <cell r="A1591">
            <v>9002</v>
          </cell>
        </row>
        <row r="1592">
          <cell r="A1592">
            <v>9003</v>
          </cell>
        </row>
        <row r="1593">
          <cell r="A1593">
            <v>9004</v>
          </cell>
        </row>
        <row r="1594">
          <cell r="A1594">
            <v>10001</v>
          </cell>
        </row>
        <row r="1595">
          <cell r="A1595">
            <v>10002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パネルを長くつなげるほど_x000D_大ダメージを与えることができます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属性の相性</v>
          </cell>
          <cell r="D3" t="str">
            <v>赤＞青　青＞黄　黄＞緑　緑＞赤_x000D_敵属性に最適なパーティがオススメです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敵ユニットをタップすると_x000D_その敵を狙い撃ちできます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ノーマルクエストを進めると_x000D_嬉しいボーナスクエストが登場します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ユニット強化でレベルアップ</v>
          </cell>
          <cell r="D6" t="str">
            <v>「ユニット強化」でレベルアップすると_x000D_勝てない敵にも勝てるようになります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ユニット強化の属性ボーナス</v>
          </cell>
          <cell r="D7" t="str">
            <v>同属性ユニットを強化素材にすると_x000D_経験値が多くもらえます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メタルダックで経験値を獲得</v>
          </cell>
          <cell r="D8" t="str">
            <v>「メタルなアヒル」を強化素材にすると_x000D_大量の経験値がもらえます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ゲリラクエストは要チェック</v>
          </cell>
          <cell r="D9" t="str">
            <v>時間限定の「アヒル捕獲作戦」では_x000D_経験値素材ユニットが多く手に入ります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ゴールドダックでビットを獲得</v>
          </cell>
          <cell r="D10" t="str">
            <v>「ゴールドなアヒル」を売却すると_x000D_大量のビットがもらえます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土日に大量のビットを獲得</v>
          </cell>
          <cell r="D11" t="str">
            <v>土日限定の「ゴールドカジノ」では_x000D_売却素材ユニットが多く手に入ります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ランク解放クエスト</v>
          </cell>
          <cell r="D12" t="str">
            <v>一定ランクに到達すると_x000D_報酬付きのランク開放クエストが現れます</v>
          </cell>
        </row>
        <row r="13">
          <cell r="A13">
            <v>12</v>
          </cell>
          <cell r="B13" t="str">
            <v>ja</v>
          </cell>
          <cell r="C13" t="str">
            <v>ユニットのお気に入り登録</v>
          </cell>
          <cell r="D13" t="str">
            <v>大事なユニットを誤って消さないように_x000D_フォルダから「お気に入り登録」しましょう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ユニットの覚醒</v>
          </cell>
          <cell r="D14" t="str">
            <v>ユニットを覚醒させると_x000D_比べものにならない強さが手に入ります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覚醒するにはレベルを最大に</v>
          </cell>
          <cell r="D15" t="str">
            <v>覚醒するにはユニットのレベルを_x000D_最大まで上げる必要があります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覚醒素材を獲得</v>
          </cell>
          <cell r="D16" t="str">
            <v>「曜日クエスト」では_x000D_ユニットの覚醒に必要な素材が手に入ります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マルチプレイのメリット（その1）</v>
          </cell>
          <cell r="D17" t="str">
            <v>他のプレイヤーとマルチプレイで遊ぶと_x000D_ポリゴンがもらえます（100人まで）</v>
          </cell>
        </row>
        <row r="18">
          <cell r="A18">
            <v>17</v>
          </cell>
          <cell r="B18" t="str">
            <v>ja</v>
          </cell>
          <cell r="C18" t="str">
            <v>リンクガチャ</v>
          </cell>
          <cell r="D18" t="str">
            <v>無料のリンクガチャを回して_x000D_経験値素材や売却素材を獲得しましょう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マルチプレイのメリット（その2）</v>
          </cell>
          <cell r="D19" t="str">
            <v>マルチプレイならリンクが2倍もらえます_x000D_リンクガチャをたくさん回しましょう</v>
          </cell>
        </row>
        <row r="20">
          <cell r="A20">
            <v>19</v>
          </cell>
          <cell r="B20" t="str">
            <v>ja</v>
          </cell>
          <cell r="C20" t="str">
            <v>ソロ専用タワーオブザクイーン</v>
          </cell>
          <cell r="D20" t="str">
            <v>ソロ専用の「タワーオブザクイーン」は_x000D_期間限定で定期的に開催されます_x000D_ここでしか獲得できない報酬もあるようです</v>
          </cell>
        </row>
        <row r="21">
          <cell r="A21">
            <v>20</v>
          </cell>
          <cell r="B21" t="str">
            <v>ja</v>
          </cell>
          <cell r="C21" t="str">
            <v>マルチプレイのメリット（その3）</v>
          </cell>
          <cell r="D21" t="str">
            <v>マルチプレイへの参加はエナジー消費ゼロ_x000D_いつでも好きなだけ遊ぶことができます</v>
          </cell>
        </row>
        <row r="22">
          <cell r="A22">
            <v>21</v>
          </cell>
          <cell r="B22" t="str">
            <v>ja</v>
          </cell>
          <cell r="C22" t="str">
            <v>スキルを有効に</v>
          </cell>
          <cell r="D22" t="str">
            <v>ターン経過でユニットのスキルが使えます_x000D_強力スキルでバトルを有利に進めましょう</v>
          </cell>
        </row>
        <row r="23">
          <cell r="A23">
            <v>22</v>
          </cell>
          <cell r="B23" t="str">
            <v>ja</v>
          </cell>
          <cell r="C23" t="str">
            <v>フィーバーで一発逆転（その1）</v>
          </cell>
          <cell r="D23" t="str">
            <v>フィーバーは攻撃と回復を兼ね備えます_x000D_ピンチからの一発逆転を狙いましょう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フィーバーで一発逆転（その2）</v>
          </cell>
          <cell r="D24" t="str">
            <v>フィーバー中は虹色のボムパネルを狙って_x000D_画面上のパネルを一気に破壊しましょう</v>
          </cell>
        </row>
        <row r="25">
          <cell r="A25">
            <v>24</v>
          </cell>
          <cell r="B25" t="str">
            <v>ja</v>
          </cell>
          <cell r="C25" t="str">
            <v>りんごを使って限界突破</v>
          </cell>
          <cell r="D25" t="str">
            <v>赤りんご(攻撃力) 青りんご(回復力)_x000D_緑りんご(体力)をユニット強化に使うと_x000D_ステータスが限界突破します（計99個迄）</v>
          </cell>
        </row>
        <row r="26">
          <cell r="A26">
            <v>25</v>
          </cell>
          <cell r="B26" t="str">
            <v>ja</v>
          </cell>
          <cell r="C26" t="str">
            <v>スキルレベルアップ</v>
          </cell>
          <cell r="D26" t="str">
            <v>「クリスタルのりんご」を強化に使うと_x000D_スキルレベルを上げることができます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スキルレベルの効果</v>
          </cell>
          <cell r="D27" t="str">
            <v>スキルレベルが上がると_x000D_短いターンでスキルを使うことができます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</v>
          </cell>
          <cell r="D28" t="str">
            <v>ホーム画面でユニットを長押しすると_x000D_すぐにパーティ編成に移動できます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ステータス情報は長押しで</v>
          </cell>
          <cell r="D29" t="str">
            <v>ユニットのアイコンを長押しすると_x000D_ステータス情報を確認することができます</v>
          </cell>
        </row>
        <row r="30">
          <cell r="A30">
            <v>29</v>
          </cell>
          <cell r="B30" t="str">
            <v>ja</v>
          </cell>
          <cell r="C30" t="str">
            <v>「バグ」のメリット</v>
          </cell>
          <cell r="D30" t="str">
            <v>ユニットの「バグ」を増やすと_x000D_報酬をもらえる確率がアップします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「バグ」の増やし方</v>
          </cell>
          <cell r="D31" t="str">
            <v>同じユニット同士を強化で合成すると_x000D_「バグ」を増やすことができます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イベントはお知らせでチェック</v>
          </cell>
          <cell r="D32" t="str">
            <v>イベント限定ユニットを取り忘れないように_x000D_お知らせをこまめにチェックしましょう</v>
          </cell>
        </row>
        <row r="33">
          <cell r="A33">
            <v>38</v>
          </cell>
          <cell r="B33" t="str">
            <v>ja</v>
          </cell>
          <cell r="C33" t="str">
            <v>お邪魔パネルはフィーバーで</v>
          </cell>
          <cell r="D33" t="str">
            <v>つなげて消せない「お邪魔パネル」は_x000D_フィーバーで下へ落としてしまいましょう</v>
          </cell>
        </row>
        <row r="34">
          <cell r="A34">
            <v>32</v>
          </cell>
          <cell r="B34" t="str">
            <v>ja</v>
          </cell>
          <cell r="C34" t="str">
            <v>敵の連続攻撃には</v>
          </cell>
          <cell r="D34" t="str">
            <v>カウンタースキルを持つユニットがいれば_x000D_ダメージ回数分の反撃ができます</v>
          </cell>
        </row>
        <row r="35">
          <cell r="A35">
            <v>33</v>
          </cell>
          <cell r="B35" t="str">
            <v>ja</v>
          </cell>
          <cell r="C35" t="str">
            <v>敵のカウンター攻撃には</v>
          </cell>
          <cell r="D35" t="str">
            <v>カウンターブレイクスキルを持っていれば_x000D_敵のカウンターを解除して攻撃ができます</v>
          </cell>
        </row>
        <row r="36">
          <cell r="A36">
            <v>34</v>
          </cell>
          <cell r="B36" t="str">
            <v>ja</v>
          </cell>
          <cell r="C36" t="str">
            <v>ステータスをスキルで下げられたら</v>
          </cell>
          <cell r="D36" t="str">
            <v>ステータスダウンのスキルを受けたら_x000D_ステータスアップスキルで上書きしましょう</v>
          </cell>
        </row>
        <row r="37">
          <cell r="A37">
            <v>35</v>
          </cell>
          <cell r="B37" t="str">
            <v>ja</v>
          </cell>
          <cell r="C37" t="str">
            <v>敵のステータスがスキルで上がったら</v>
          </cell>
          <cell r="D37" t="str">
            <v>敵のステータスがスキルでアップしたときは_x000D_ステータスダウンスキルで上書きしましょう</v>
          </cell>
        </row>
        <row r="38">
          <cell r="A38">
            <v>36</v>
          </cell>
          <cell r="B38" t="str">
            <v>ja</v>
          </cell>
          <cell r="C38" t="str">
            <v>タワーオブザクイーンのボス</v>
          </cell>
          <cell r="D38" t="str">
            <v>「タワーオブザクイーン」最上階のボスは_x000D_15階の初回クリア報酬で獲得できるほか_x000D_その階にて低確率でドロップもします</v>
          </cell>
        </row>
        <row r="39">
          <cell r="A39">
            <v>37</v>
          </cell>
          <cell r="B39" t="str">
            <v>ja</v>
          </cell>
          <cell r="C39" t="str">
            <v>限界突破値の引き継ぎ</v>
          </cell>
          <cell r="D39" t="str">
            <v>同じユニットを強化で合成すると_x000D_限界突破値を引き継げます（覚醒前後も可）</v>
          </cell>
        </row>
        <row r="40">
          <cell r="A40">
            <v>39</v>
          </cell>
          <cell r="B40" t="str">
            <v>ja</v>
          </cell>
          <cell r="C40" t="str">
            <v>システム適合者を確認</v>
          </cell>
          <cell r="D40" t="str">
            <v>ALICEが 「アナタ」を呼んでいます</v>
          </cell>
        </row>
        <row r="41">
          <cell r="A41">
            <v>40</v>
          </cell>
          <cell r="B41" t="str">
            <v>ja</v>
          </cell>
          <cell r="C41" t="str">
            <v>ケロケロを使って経験値を獲得</v>
          </cell>
          <cell r="D41" t="str">
            <v>「ケロケロ」を育てて_x000D_「メタルフロッグ」に覚醒させましょう_x000D__x000D_超大量の経験値素材になります</v>
          </cell>
        </row>
        <row r="42">
          <cell r="A42">
            <v>65535</v>
          </cell>
          <cell r="B42" t="str">
            <v>ja</v>
          </cell>
          <cell r="C42" t="str">
            <v>文字数テスト</v>
          </cell>
          <cell r="D42" t="str">
            <v>チャレンジタワー15F、20F、25Fのボスは_x000D_一定確率でドロップするようです</v>
          </cell>
        </row>
        <row r="43">
          <cell r="A43">
            <v>50002001</v>
          </cell>
          <cell r="B43" t="str">
            <v>ja</v>
          </cell>
          <cell r="C43" t="str">
            <v>オーディン事件の真相</v>
          </cell>
          <cell r="D43" t="str">
            <v>オーディンは女王勢力を内側から_x000D_抑えていた。_x000D_貴方の力を認めたオーディンは_x000D_女王事件の事を託し、_x000D_再びALICEの守護に就いた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tabSelected="1" workbookViewId="0">
      <selection activeCell="J22" sqref="J22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59" t="s">
        <v>129</v>
      </c>
      <c r="B1" s="54" t="s">
        <v>99</v>
      </c>
      <c r="C1" s="54" t="s">
        <v>100</v>
      </c>
      <c r="D1" s="54" t="s">
        <v>101</v>
      </c>
      <c r="E1" s="54" t="s">
        <v>102</v>
      </c>
      <c r="F1" s="54" t="s">
        <v>103</v>
      </c>
      <c r="G1" s="54" t="s">
        <v>104</v>
      </c>
      <c r="H1" s="54"/>
      <c r="I1" s="54"/>
      <c r="J1" s="54"/>
      <c r="K1" s="54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</row>
    <row r="2" spans="1:30" x14ac:dyDescent="0.15">
      <c r="A2" s="60" t="s">
        <v>423</v>
      </c>
      <c r="B2" s="56" t="s">
        <v>105</v>
      </c>
      <c r="C2" s="61">
        <v>30043</v>
      </c>
      <c r="D2" s="56" t="s">
        <v>106</v>
      </c>
      <c r="E2" s="55" t="str">
        <f>B2&amp;C2&amp;D2</f>
        <v>floors_30043.tmp</v>
      </c>
      <c r="F2" s="56" t="s">
        <v>107</v>
      </c>
      <c r="G2" s="57" t="s">
        <v>0</v>
      </c>
      <c r="H2" s="57" t="s">
        <v>1</v>
      </c>
      <c r="I2" s="57" t="s">
        <v>13</v>
      </c>
      <c r="J2" s="57" t="s">
        <v>14</v>
      </c>
      <c r="K2" s="57" t="s">
        <v>15</v>
      </c>
      <c r="L2" s="56"/>
      <c r="M2" s="56"/>
      <c r="N2" s="56"/>
      <c r="O2" s="56"/>
      <c r="P2" s="56"/>
      <c r="Q2" s="56"/>
      <c r="R2" s="56"/>
      <c r="S2" s="56"/>
      <c r="T2" s="56"/>
      <c r="U2" s="56"/>
      <c r="V2" s="56"/>
      <c r="W2" s="56"/>
      <c r="X2" s="56"/>
      <c r="Y2" s="56"/>
      <c r="Z2" s="56"/>
      <c r="AA2" s="56"/>
      <c r="AB2" s="56"/>
      <c r="AC2" s="56"/>
      <c r="AD2" s="56"/>
    </row>
    <row r="3" spans="1:30" x14ac:dyDescent="0.15">
      <c r="A3" s="60" t="s">
        <v>422</v>
      </c>
      <c r="B3" s="56" t="s">
        <v>108</v>
      </c>
      <c r="C3" s="61">
        <v>30043</v>
      </c>
      <c r="D3" s="56" t="s">
        <v>106</v>
      </c>
      <c r="E3" s="55" t="str">
        <f>B3&amp;C3&amp;D3</f>
        <v>enemy_habitats_30043.tmp</v>
      </c>
      <c r="F3" s="56" t="s">
        <v>109</v>
      </c>
      <c r="G3" s="57" t="s">
        <v>0</v>
      </c>
      <c r="H3" s="57" t="s">
        <v>1</v>
      </c>
      <c r="I3" s="57" t="s">
        <v>13</v>
      </c>
      <c r="J3" s="57" t="s">
        <v>2</v>
      </c>
      <c r="K3" s="57" t="s">
        <v>3</v>
      </c>
      <c r="L3" s="57" t="s">
        <v>47</v>
      </c>
      <c r="M3" s="57" t="s">
        <v>49</v>
      </c>
      <c r="N3" s="57" t="s">
        <v>51</v>
      </c>
      <c r="O3" s="57" t="s">
        <v>22</v>
      </c>
      <c r="P3" s="57" t="s">
        <v>5</v>
      </c>
      <c r="Q3" s="57" t="s">
        <v>6</v>
      </c>
      <c r="R3" s="57" t="s">
        <v>7</v>
      </c>
      <c r="S3" s="57" t="s">
        <v>8</v>
      </c>
      <c r="T3" s="57" t="s">
        <v>9</v>
      </c>
      <c r="U3" s="57" t="s">
        <v>10</v>
      </c>
      <c r="V3" s="57" t="s">
        <v>11</v>
      </c>
      <c r="W3" s="57" t="s">
        <v>12</v>
      </c>
      <c r="X3" s="57" t="s">
        <v>37</v>
      </c>
      <c r="Y3" s="57" t="s">
        <v>39</v>
      </c>
      <c r="Z3" s="57" t="s">
        <v>41</v>
      </c>
      <c r="AA3" s="57" t="s">
        <v>43</v>
      </c>
      <c r="AB3" s="57" t="s">
        <v>45</v>
      </c>
      <c r="AC3" s="57" t="s">
        <v>54</v>
      </c>
      <c r="AD3" s="57" t="s">
        <v>177</v>
      </c>
    </row>
    <row r="4" spans="1:30" x14ac:dyDescent="0.15">
      <c r="A4" s="60" t="s">
        <v>422</v>
      </c>
      <c r="B4" s="56" t="s">
        <v>110</v>
      </c>
      <c r="C4" s="61">
        <v>30043</v>
      </c>
      <c r="D4" s="56" t="s">
        <v>106</v>
      </c>
      <c r="E4" s="55" t="str">
        <f>B4&amp;C4&amp;D4</f>
        <v>enemy_habitat_S_30043.tmp</v>
      </c>
      <c r="F4" s="56" t="s">
        <v>111</v>
      </c>
      <c r="G4" s="57" t="s">
        <v>0</v>
      </c>
      <c r="H4" s="57" t="s">
        <v>1</v>
      </c>
      <c r="I4" s="57" t="s">
        <v>13</v>
      </c>
      <c r="J4" s="57" t="s">
        <v>54</v>
      </c>
      <c r="K4" s="57" t="s">
        <v>55</v>
      </c>
      <c r="L4" s="57" t="s">
        <v>56</v>
      </c>
      <c r="M4" s="57" t="s">
        <v>57</v>
      </c>
      <c r="N4" s="57" t="s">
        <v>58</v>
      </c>
      <c r="O4" s="57" t="s">
        <v>59</v>
      </c>
      <c r="P4" s="57" t="s">
        <v>48</v>
      </c>
      <c r="Q4" s="57" t="s">
        <v>50</v>
      </c>
      <c r="R4" s="57" t="s">
        <v>52</v>
      </c>
      <c r="S4" s="56"/>
      <c r="T4" s="56"/>
      <c r="U4" s="56"/>
      <c r="V4" s="56"/>
      <c r="W4" s="56"/>
      <c r="X4" s="56"/>
      <c r="Y4" s="56"/>
      <c r="Z4" s="56"/>
      <c r="AA4" s="56"/>
      <c r="AB4" s="56"/>
      <c r="AC4" s="56"/>
      <c r="AD4" s="56"/>
    </row>
    <row r="5" spans="1:30" x14ac:dyDescent="0.15">
      <c r="A5" s="60" t="s">
        <v>422</v>
      </c>
      <c r="B5" s="56" t="s">
        <v>112</v>
      </c>
      <c r="C5" s="61">
        <v>30043</v>
      </c>
      <c r="D5" s="56" t="s">
        <v>106</v>
      </c>
      <c r="E5" s="55" t="str">
        <f>B5&amp;C5&amp;D5</f>
        <v>enemy_skill_sets_30043.tmp</v>
      </c>
      <c r="F5" s="56" t="s">
        <v>113</v>
      </c>
      <c r="G5" s="58" t="s">
        <v>22</v>
      </c>
      <c r="H5" s="58" t="s">
        <v>98</v>
      </c>
      <c r="I5" s="58" t="s">
        <v>93</v>
      </c>
      <c r="J5" s="56"/>
      <c r="K5" s="56"/>
      <c r="L5" s="56"/>
      <c r="M5" s="56"/>
      <c r="N5" s="56"/>
      <c r="O5" s="56"/>
      <c r="P5" s="56"/>
      <c r="Q5" s="56"/>
      <c r="R5" s="56"/>
      <c r="S5" s="56"/>
      <c r="T5" s="56"/>
      <c r="U5" s="56"/>
      <c r="V5" s="56"/>
      <c r="W5" s="56"/>
      <c r="X5" s="56"/>
      <c r="Y5" s="56"/>
      <c r="Z5" s="56"/>
      <c r="AA5" s="56"/>
      <c r="AB5" s="56"/>
      <c r="AC5" s="56"/>
      <c r="AD5" s="56"/>
    </row>
    <row r="6" spans="1:30" x14ac:dyDescent="0.15">
      <c r="A6" s="60" t="s">
        <v>422</v>
      </c>
      <c r="B6" s="56" t="s">
        <v>114</v>
      </c>
      <c r="C6" s="61">
        <v>30043</v>
      </c>
      <c r="D6" s="56" t="s">
        <v>115</v>
      </c>
      <c r="E6" s="55" t="str">
        <f t="shared" ref="E6:E10" si="0">B6&amp;C6&amp;D6</f>
        <v>enemy_skills_tmp_30043.tmp</v>
      </c>
      <c r="F6" s="56" t="s">
        <v>89</v>
      </c>
      <c r="G6" s="57" t="s">
        <v>79</v>
      </c>
      <c r="H6" s="57" t="s">
        <v>80</v>
      </c>
      <c r="I6" s="57" t="s">
        <v>81</v>
      </c>
      <c r="J6" s="56"/>
      <c r="K6" s="56"/>
      <c r="L6" s="56"/>
      <c r="M6" s="56"/>
      <c r="N6" s="56"/>
      <c r="O6" s="56"/>
      <c r="P6" s="56"/>
      <c r="Q6" s="56"/>
      <c r="R6" s="56"/>
      <c r="S6" s="56"/>
      <c r="T6" s="56"/>
      <c r="U6" s="56"/>
      <c r="V6" s="56"/>
      <c r="W6" s="56"/>
      <c r="X6" s="56"/>
      <c r="Y6" s="56"/>
      <c r="Z6" s="56"/>
      <c r="AA6" s="56"/>
      <c r="AB6" s="56"/>
      <c r="AC6" s="56"/>
      <c r="AD6" s="56"/>
    </row>
    <row r="7" spans="1:30" x14ac:dyDescent="0.15">
      <c r="A7" s="60" t="s">
        <v>422</v>
      </c>
      <c r="B7" s="56" t="s">
        <v>116</v>
      </c>
      <c r="C7" s="61">
        <v>30043</v>
      </c>
      <c r="D7" s="56" t="s">
        <v>106</v>
      </c>
      <c r="E7" s="55" t="str">
        <f>B7&amp;C7&amp;D7</f>
        <v>enemy_skills_i18n_30043.tmp</v>
      </c>
      <c r="F7" s="56" t="s">
        <v>117</v>
      </c>
      <c r="G7" s="57" t="s">
        <v>79</v>
      </c>
      <c r="H7" s="57" t="s">
        <v>90</v>
      </c>
      <c r="I7" s="57" t="s">
        <v>91</v>
      </c>
      <c r="J7" s="57" t="s">
        <v>92</v>
      </c>
      <c r="K7" s="56"/>
      <c r="L7" s="56"/>
      <c r="M7" s="56"/>
      <c r="N7" s="56"/>
      <c r="O7" s="56"/>
      <c r="P7" s="56"/>
      <c r="Q7" s="56"/>
      <c r="R7" s="56"/>
      <c r="S7" s="56"/>
      <c r="T7" s="56"/>
      <c r="U7" s="56"/>
      <c r="V7" s="56"/>
      <c r="W7" s="56"/>
      <c r="X7" s="56"/>
      <c r="Y7" s="56"/>
      <c r="Z7" s="56"/>
      <c r="AA7" s="56"/>
      <c r="AB7" s="56"/>
      <c r="AC7" s="56"/>
      <c r="AD7" s="56"/>
    </row>
    <row r="8" spans="1:30" x14ac:dyDescent="0.15">
      <c r="A8" s="60" t="s">
        <v>422</v>
      </c>
      <c r="B8" s="56" t="s">
        <v>118</v>
      </c>
      <c r="C8" s="61">
        <v>30043</v>
      </c>
      <c r="D8" s="56" t="s">
        <v>119</v>
      </c>
      <c r="E8" s="55" t="str">
        <f t="shared" si="0"/>
        <v>enemy_skill_triggers_30043.tmp</v>
      </c>
      <c r="F8" s="56" t="s">
        <v>120</v>
      </c>
      <c r="G8" s="57" t="s">
        <v>93</v>
      </c>
      <c r="H8" s="57" t="s">
        <v>94</v>
      </c>
      <c r="I8" s="57" t="s">
        <v>95</v>
      </c>
      <c r="J8" s="57" t="s">
        <v>96</v>
      </c>
      <c r="K8" s="57" t="s">
        <v>121</v>
      </c>
      <c r="L8" s="57" t="s">
        <v>97</v>
      </c>
      <c r="M8" s="57" t="s">
        <v>122</v>
      </c>
      <c r="N8" s="57" t="s">
        <v>123</v>
      </c>
      <c r="O8" s="57" t="s">
        <v>124</v>
      </c>
      <c r="P8" s="57" t="s">
        <v>67</v>
      </c>
      <c r="Q8" s="56"/>
      <c r="R8" s="56"/>
      <c r="S8" s="56"/>
      <c r="T8" s="56"/>
      <c r="U8" s="56"/>
      <c r="V8" s="56"/>
      <c r="W8" s="56"/>
      <c r="X8" s="56"/>
      <c r="Y8" s="56"/>
      <c r="Z8" s="56"/>
      <c r="AA8" s="56"/>
      <c r="AB8" s="56"/>
      <c r="AC8" s="56"/>
      <c r="AD8" s="56"/>
    </row>
    <row r="9" spans="1:30" x14ac:dyDescent="0.15">
      <c r="A9" s="60" t="s">
        <v>422</v>
      </c>
      <c r="B9" s="66" t="s">
        <v>176</v>
      </c>
      <c r="C9" s="61">
        <v>30043</v>
      </c>
      <c r="D9" s="66" t="s">
        <v>170</v>
      </c>
      <c r="E9" s="67" t="str">
        <f t="shared" si="0"/>
        <v>stage_bug_bonuses_30043.tmp</v>
      </c>
      <c r="F9" s="66" t="s">
        <v>171</v>
      </c>
      <c r="G9" s="63" t="s">
        <v>149</v>
      </c>
      <c r="H9" s="63" t="s">
        <v>172</v>
      </c>
      <c r="I9" s="63" t="s">
        <v>173</v>
      </c>
      <c r="J9" s="65" t="s">
        <v>174</v>
      </c>
      <c r="K9" s="63" t="s">
        <v>175</v>
      </c>
      <c r="L9" s="63" t="s">
        <v>155</v>
      </c>
      <c r="M9" s="63" t="s">
        <v>156</v>
      </c>
      <c r="N9" s="63" t="s">
        <v>157</v>
      </c>
      <c r="O9" s="63" t="s">
        <v>158</v>
      </c>
      <c r="P9" s="63" t="s">
        <v>159</v>
      </c>
      <c r="Q9" s="63" t="s">
        <v>160</v>
      </c>
      <c r="R9" s="63" t="s">
        <v>161</v>
      </c>
      <c r="S9" s="63" t="s">
        <v>162</v>
      </c>
      <c r="T9" s="63" t="s">
        <v>163</v>
      </c>
      <c r="U9" s="63" t="s">
        <v>164</v>
      </c>
      <c r="V9" s="63" t="s">
        <v>165</v>
      </c>
      <c r="W9" s="63" t="s">
        <v>166</v>
      </c>
      <c r="X9" s="56"/>
      <c r="Y9" s="56"/>
      <c r="Z9" s="56"/>
      <c r="AA9" s="56"/>
      <c r="AB9" s="56"/>
      <c r="AC9" s="56"/>
      <c r="AD9" s="56"/>
    </row>
    <row r="10" spans="1:30" s="72" customFormat="1" x14ac:dyDescent="0.15">
      <c r="A10" s="60" t="s">
        <v>422</v>
      </c>
      <c r="B10" s="66" t="s">
        <v>200</v>
      </c>
      <c r="C10" s="61">
        <v>30043</v>
      </c>
      <c r="D10" s="66" t="s">
        <v>179</v>
      </c>
      <c r="E10" s="67" t="str">
        <f t="shared" si="0"/>
        <v>stage_hints_data_c_30043.tmp</v>
      </c>
      <c r="F10" s="66" t="s">
        <v>208</v>
      </c>
      <c r="G10" s="70" t="s">
        <v>180</v>
      </c>
      <c r="H10" s="70" t="s">
        <v>172</v>
      </c>
      <c r="I10" s="71" t="s">
        <v>181</v>
      </c>
      <c r="J10" s="65" t="s">
        <v>182</v>
      </c>
      <c r="K10" s="65" t="s">
        <v>183</v>
      </c>
      <c r="L10" s="96"/>
      <c r="M10" s="96"/>
      <c r="N10" s="96"/>
      <c r="O10" s="96"/>
      <c r="P10" s="96"/>
      <c r="Q10" s="96"/>
      <c r="R10" s="96"/>
      <c r="S10" s="96"/>
      <c r="T10" s="96"/>
      <c r="U10" s="96"/>
      <c r="V10" s="96"/>
      <c r="W10" s="96"/>
      <c r="X10" s="96"/>
      <c r="Y10" s="96"/>
      <c r="Z10" s="96"/>
      <c r="AA10" s="96"/>
      <c r="AB10" s="96"/>
      <c r="AC10" s="96"/>
      <c r="AD10" s="96"/>
    </row>
    <row r="11" spans="1:30" s="72" customFormat="1" x14ac:dyDescent="0.15">
      <c r="A11" s="60" t="s">
        <v>422</v>
      </c>
      <c r="B11" s="66" t="s">
        <v>201</v>
      </c>
      <c r="C11" s="61">
        <v>30043</v>
      </c>
      <c r="D11" s="66" t="s">
        <v>170</v>
      </c>
      <c r="E11" s="67" t="str">
        <f t="shared" ref="E11:E13" si="1">B11&amp;C11&amp;D11</f>
        <v>stage_hints_data_f_30043.tmp</v>
      </c>
      <c r="F11" s="66" t="s">
        <v>210</v>
      </c>
      <c r="G11" s="70" t="s">
        <v>180</v>
      </c>
      <c r="H11" s="70" t="s">
        <v>172</v>
      </c>
      <c r="I11" s="71" t="s">
        <v>181</v>
      </c>
      <c r="J11" s="65" t="s">
        <v>182</v>
      </c>
      <c r="K11" s="65" t="s">
        <v>183</v>
      </c>
      <c r="L11" s="96"/>
      <c r="M11" s="96"/>
      <c r="N11" s="96"/>
      <c r="O11" s="96"/>
      <c r="P11" s="96"/>
      <c r="Q11" s="96"/>
      <c r="R11" s="96"/>
      <c r="S11" s="96"/>
      <c r="T11" s="96"/>
      <c r="U11" s="96"/>
      <c r="V11" s="96"/>
      <c r="W11" s="96"/>
      <c r="X11" s="96"/>
      <c r="Y11" s="96"/>
      <c r="Z11" s="96"/>
      <c r="AA11" s="96"/>
      <c r="AB11" s="96"/>
      <c r="AC11" s="96"/>
      <c r="AD11" s="96"/>
    </row>
    <row r="12" spans="1:30" s="72" customFormat="1" x14ac:dyDescent="0.15">
      <c r="A12" s="60" t="s">
        <v>422</v>
      </c>
      <c r="B12" s="66" t="s">
        <v>202</v>
      </c>
      <c r="C12" s="61">
        <v>30043</v>
      </c>
      <c r="D12" s="66" t="s">
        <v>170</v>
      </c>
      <c r="E12" s="67" t="str">
        <f t="shared" si="1"/>
        <v>stage_hints_i18n_30043.tmp</v>
      </c>
      <c r="F12" s="66" t="s">
        <v>211</v>
      </c>
      <c r="G12" s="71" t="s">
        <v>203</v>
      </c>
      <c r="H12" s="92" t="s">
        <v>204</v>
      </c>
      <c r="I12" s="70" t="s">
        <v>205</v>
      </c>
      <c r="J12" s="97" t="s">
        <v>206</v>
      </c>
      <c r="K12" s="65" t="s">
        <v>207</v>
      </c>
      <c r="L12" s="96"/>
      <c r="M12" s="96"/>
      <c r="N12" s="96"/>
      <c r="O12" s="96"/>
      <c r="P12" s="96"/>
      <c r="Q12" s="96"/>
      <c r="R12" s="96"/>
      <c r="S12" s="96"/>
      <c r="T12" s="96"/>
      <c r="U12" s="96"/>
      <c r="V12" s="96"/>
      <c r="W12" s="96"/>
      <c r="X12" s="96"/>
      <c r="Y12" s="96"/>
      <c r="Z12" s="96"/>
      <c r="AA12" s="96"/>
      <c r="AB12" s="96"/>
      <c r="AC12" s="96"/>
      <c r="AD12" s="96"/>
    </row>
    <row r="13" spans="1:30" s="72" customFormat="1" x14ac:dyDescent="0.15">
      <c r="A13" s="60" t="s">
        <v>420</v>
      </c>
      <c r="B13" s="66" t="s">
        <v>246</v>
      </c>
      <c r="C13" s="61">
        <v>30043</v>
      </c>
      <c r="D13" s="66" t="s">
        <v>227</v>
      </c>
      <c r="E13" s="67" t="str">
        <f t="shared" si="1"/>
        <v>stage_bonuses_30043.tmp</v>
      </c>
      <c r="F13" s="66" t="s">
        <v>226</v>
      </c>
      <c r="G13" s="70" t="s">
        <v>228</v>
      </c>
      <c r="H13" s="70" t="s">
        <v>229</v>
      </c>
      <c r="I13" s="70" t="s">
        <v>230</v>
      </c>
      <c r="J13" s="70" t="s">
        <v>231</v>
      </c>
      <c r="K13" s="70" t="s">
        <v>232</v>
      </c>
      <c r="L13" s="70" t="s">
        <v>233</v>
      </c>
      <c r="M13" s="70" t="s">
        <v>234</v>
      </c>
      <c r="N13" s="70" t="s">
        <v>235</v>
      </c>
      <c r="O13" s="70" t="s">
        <v>236</v>
      </c>
      <c r="P13" s="70" t="s">
        <v>237</v>
      </c>
      <c r="Q13" s="70" t="s">
        <v>238</v>
      </c>
      <c r="R13" s="70" t="s">
        <v>239</v>
      </c>
      <c r="S13" s="70" t="s">
        <v>240</v>
      </c>
      <c r="T13" s="70" t="s">
        <v>241</v>
      </c>
      <c r="U13" s="70" t="s">
        <v>242</v>
      </c>
      <c r="V13" s="70" t="s">
        <v>243</v>
      </c>
      <c r="W13" s="70" t="s">
        <v>244</v>
      </c>
      <c r="X13" s="70" t="s">
        <v>245</v>
      </c>
      <c r="Y13" s="96"/>
      <c r="Z13" s="96"/>
      <c r="AA13" s="96"/>
      <c r="AB13" s="96"/>
      <c r="AC13" s="96"/>
      <c r="AD13" s="96"/>
    </row>
  </sheetData>
  <phoneticPr fontId="5"/>
  <dataValidations count="1">
    <dataValidation type="list" allowBlank="1" showInputMessage="1" showErrorMessage="1" sqref="A2:A13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13"/>
  <sheetViews>
    <sheetView showGridLines="0" workbookViewId="0">
      <pane ySplit="1" topLeftCell="A2" activePane="bottomLeft" state="frozen"/>
      <selection activeCell="V2" sqref="V2:X34"/>
      <selection pane="bottomLeft" activeCell="H19" sqref="H19"/>
    </sheetView>
  </sheetViews>
  <sheetFormatPr baseColWidth="12" defaultColWidth="13" defaultRowHeight="21" customHeight="1" outlineLevelCol="1" x14ac:dyDescent="0.15"/>
  <cols>
    <col min="1" max="1" width="8.83203125" style="18" bestFit="1" customWidth="1"/>
    <col min="2" max="2" width="5" style="18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8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5" t="s">
        <v>30</v>
      </c>
      <c r="B1" s="15" t="s">
        <v>36</v>
      </c>
      <c r="C1" s="1" t="s">
        <v>0</v>
      </c>
      <c r="D1" s="2" t="s">
        <v>18</v>
      </c>
      <c r="E1" s="14" t="s">
        <v>33</v>
      </c>
      <c r="F1" s="1" t="s">
        <v>1</v>
      </c>
      <c r="G1" s="22" t="s">
        <v>32</v>
      </c>
      <c r="H1" s="14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10" t="str">
        <f>G2&amp;"-"&amp;I2</f>
        <v>30043_1-1</v>
      </c>
      <c r="B2" s="110" t="str">
        <f>IF(COUNTIF(enemy_habitats!$H:$H,A2),"OK","NG")</f>
        <v>OK</v>
      </c>
      <c r="C2" s="111">
        <v>30043</v>
      </c>
      <c r="D2" s="17" t="str">
        <f ca="1">VLOOKUP($C2,OFFSET([2]quests!$A$1,0,0,COUNTA([2]quests!$A:$A),MATCH(D$1,[2]quests!$1:$1,0)-MATCH($C$1,[2]quests!$1:$1,0)+1),MATCH(D$1,[2]quests!$1:$1,0)-MATCH($C$1,[2]quests!$1:$1,0)+1,FALSE)</f>
        <v>小さな破壊竜</v>
      </c>
      <c r="E2" s="17" t="str">
        <f ca="1">VLOOKUP($C2,OFFSET([2]quests!$A$1,0,0,COUNTA([2]quests!$A:$A),MATCH(E$1,[2]quests!$1:$1,0)-MATCH($C$1,[2]quests!$1:$1,0)+1),MATCH(E$1,[2]quests!$1:$1,0)-MATCH($C$1,[2]quests!$1:$1,0)+1,FALSE)</f>
        <v>ヒンドゥー神話第二弾超級</v>
      </c>
      <c r="F2" s="112">
        <v>1</v>
      </c>
      <c r="G2" s="22" t="str">
        <f>C2&amp;"_"&amp;F2</f>
        <v>30043_1</v>
      </c>
      <c r="H2" s="14" t="str">
        <f ca="1">VLOOKUP($G2,OFFSET([2]stages!$A$1,0,0,COUNTA([2]stages!$A:$A),MATCH(H$1,[2]stages!$2:$2,0)-MATCH($G$1,[2]stages!$2:$2,0)+1),MATCH(H$1,[2]stages!$2:$2,0)-MATCH($G$1,[2]stages!$2:$2,0)+1,FALSE)</f>
        <v>【中級】小さな破壊竜</v>
      </c>
      <c r="I2" s="112">
        <v>1</v>
      </c>
      <c r="J2" s="37">
        <v>30</v>
      </c>
      <c r="K2" s="37">
        <v>30</v>
      </c>
    </row>
    <row r="3" spans="1:11" ht="21" customHeight="1" x14ac:dyDescent="0.15">
      <c r="A3" s="110" t="str">
        <f t="shared" ref="A3:A5" si="0">G3&amp;"-"&amp;I3</f>
        <v>30043_1-2</v>
      </c>
      <c r="B3" s="110" t="str">
        <f>IF(COUNTIF(enemy_habitats!$H:$H,A3),"OK","NG")</f>
        <v>OK</v>
      </c>
      <c r="C3" s="111">
        <v>30043</v>
      </c>
      <c r="D3" s="17" t="str">
        <f ca="1">VLOOKUP($C3,OFFSET([2]quests!$A$1,0,0,COUNTA([2]quests!$A:$A),MATCH(D$1,[2]quests!$1:$1,0)-MATCH($C$1,[2]quests!$1:$1,0)+1),MATCH(D$1,[2]quests!$1:$1,0)-MATCH($C$1,[2]quests!$1:$1,0)+1,FALSE)</f>
        <v>小さな破壊竜</v>
      </c>
      <c r="E3" s="17" t="str">
        <f ca="1">VLOOKUP($C3,OFFSET([2]quests!$A$1,0,0,COUNTA([2]quests!$A:$A),MATCH(E$1,[2]quests!$1:$1,0)-MATCH($C$1,[2]quests!$1:$1,0)+1),MATCH(E$1,[2]quests!$1:$1,0)-MATCH($C$1,[2]quests!$1:$1,0)+1,FALSE)</f>
        <v>ヒンドゥー神話第二弾超級</v>
      </c>
      <c r="F3" s="112">
        <v>1</v>
      </c>
      <c r="G3" s="22" t="str">
        <f t="shared" ref="G3:G5" si="1">C3&amp;"_"&amp;F3</f>
        <v>30043_1</v>
      </c>
      <c r="H3" s="14" t="str">
        <f ca="1">VLOOKUP($G3,OFFSET([2]stages!$A$1,0,0,COUNTA([2]stages!$A:$A),MATCH(H$1,[2]stages!$2:$2,0)-MATCH($G$1,[2]stages!$2:$2,0)+1),MATCH(H$1,[2]stages!$2:$2,0)-MATCH($G$1,[2]stages!$2:$2,0)+1,FALSE)</f>
        <v>【中級】小さな破壊竜</v>
      </c>
      <c r="I3" s="112">
        <v>2</v>
      </c>
      <c r="J3" s="37">
        <v>60</v>
      </c>
      <c r="K3" s="37">
        <v>60</v>
      </c>
    </row>
    <row r="4" spans="1:11" ht="21" customHeight="1" x14ac:dyDescent="0.15">
      <c r="A4" s="110" t="str">
        <f t="shared" si="0"/>
        <v>30043_1-3</v>
      </c>
      <c r="B4" s="110" t="str">
        <f>IF(COUNTIF(enemy_habitats!$H:$H,A4),"OK","NG")</f>
        <v>OK</v>
      </c>
      <c r="C4" s="111">
        <v>30043</v>
      </c>
      <c r="D4" s="17" t="str">
        <f ca="1">VLOOKUP($C4,OFFSET([2]quests!$A$1,0,0,COUNTA([2]quests!$A:$A),MATCH(D$1,[2]quests!$1:$1,0)-MATCH($C$1,[2]quests!$1:$1,0)+1),MATCH(D$1,[2]quests!$1:$1,0)-MATCH($C$1,[2]quests!$1:$1,0)+1,FALSE)</f>
        <v>小さな破壊竜</v>
      </c>
      <c r="E4" s="17" t="str">
        <f ca="1">VLOOKUP($C4,OFFSET([2]quests!$A$1,0,0,COUNTA([2]quests!$A:$A),MATCH(E$1,[2]quests!$1:$1,0)-MATCH($C$1,[2]quests!$1:$1,0)+1),MATCH(E$1,[2]quests!$1:$1,0)-MATCH($C$1,[2]quests!$1:$1,0)+1,FALSE)</f>
        <v>ヒンドゥー神話第二弾超級</v>
      </c>
      <c r="F4" s="112">
        <v>1</v>
      </c>
      <c r="G4" s="22" t="str">
        <f t="shared" si="1"/>
        <v>30043_1</v>
      </c>
      <c r="H4" s="14" t="str">
        <f ca="1">VLOOKUP($G4,OFFSET([2]stages!$A$1,0,0,COUNTA([2]stages!$A:$A),MATCH(H$1,[2]stages!$2:$2,0)-MATCH($G$1,[2]stages!$2:$2,0)+1),MATCH(H$1,[2]stages!$2:$2,0)-MATCH($G$1,[2]stages!$2:$2,0)+1,FALSE)</f>
        <v>【中級】小さな破壊竜</v>
      </c>
      <c r="I4" s="112">
        <v>3</v>
      </c>
      <c r="J4" s="37">
        <v>50</v>
      </c>
      <c r="K4" s="37">
        <v>50</v>
      </c>
    </row>
    <row r="5" spans="1:11" ht="21" customHeight="1" thickBot="1" x14ac:dyDescent="0.2">
      <c r="A5" s="113" t="str">
        <f t="shared" si="0"/>
        <v>30043_1-4</v>
      </c>
      <c r="B5" s="113" t="str">
        <f>IF(COUNTIF(enemy_habitats!$H:$H,A5),"OK","NG")</f>
        <v>OK</v>
      </c>
      <c r="C5" s="114">
        <v>30043</v>
      </c>
      <c r="D5" s="115" t="str">
        <f ca="1">VLOOKUP($C5,OFFSET([2]quests!$A$1,0,0,COUNTA([2]quests!$A:$A),MATCH(D$1,[2]quests!$1:$1,0)-MATCH($C$1,[2]quests!$1:$1,0)+1),MATCH(D$1,[2]quests!$1:$1,0)-MATCH($C$1,[2]quests!$1:$1,0)+1,FALSE)</f>
        <v>小さな破壊竜</v>
      </c>
      <c r="E5" s="115" t="str">
        <f ca="1">VLOOKUP($C5,OFFSET([2]quests!$A$1,0,0,COUNTA([2]quests!$A:$A),MATCH(E$1,[2]quests!$1:$1,0)-MATCH($C$1,[2]quests!$1:$1,0)+1),MATCH(E$1,[2]quests!$1:$1,0)-MATCH($C$1,[2]quests!$1:$1,0)+1,FALSE)</f>
        <v>ヒンドゥー神話第二弾超級</v>
      </c>
      <c r="F5" s="116">
        <v>1</v>
      </c>
      <c r="G5" s="117" t="str">
        <f t="shared" si="1"/>
        <v>30043_1</v>
      </c>
      <c r="H5" s="118" t="str">
        <f ca="1">VLOOKUP($G5,OFFSET([2]stages!$A$1,0,0,COUNTA([2]stages!$A:$A),MATCH(H$1,[2]stages!$2:$2,0)-MATCH($G$1,[2]stages!$2:$2,0)+1),MATCH(H$1,[2]stages!$2:$2,0)-MATCH($G$1,[2]stages!$2:$2,0)+1,FALSE)</f>
        <v>【中級】小さな破壊竜</v>
      </c>
      <c r="I5" s="116">
        <v>4</v>
      </c>
      <c r="J5" s="119">
        <v>60</v>
      </c>
      <c r="K5" s="119">
        <v>60</v>
      </c>
    </row>
    <row r="6" spans="1:11" ht="21" customHeight="1" thickTop="1" x14ac:dyDescent="0.15">
      <c r="A6" s="120" t="str">
        <f>G6&amp;"-"&amp;I6</f>
        <v>30043_2-1</v>
      </c>
      <c r="B6" s="120" t="str">
        <f>IF(COUNTIF(enemy_habitats!$H:$H,A6),"OK","NG")</f>
        <v>OK</v>
      </c>
      <c r="C6" s="121">
        <v>30043</v>
      </c>
      <c r="D6" s="122" t="str">
        <f ca="1">VLOOKUP($C6,OFFSET([2]quests!$A$1,0,0,COUNTA([2]quests!$A:$A),MATCH(D$1,[2]quests!$1:$1,0)-MATCH($C$1,[2]quests!$1:$1,0)+1),MATCH(D$1,[2]quests!$1:$1,0)-MATCH($C$1,[2]quests!$1:$1,0)+1,FALSE)</f>
        <v>小さな破壊竜</v>
      </c>
      <c r="E6" s="122" t="str">
        <f ca="1">VLOOKUP($C6,OFFSET([2]quests!$A$1,0,0,COUNTA([2]quests!$A:$A),MATCH(E$1,[2]quests!$1:$1,0)-MATCH($C$1,[2]quests!$1:$1,0)+1),MATCH(E$1,[2]quests!$1:$1,0)-MATCH($C$1,[2]quests!$1:$1,0)+1,FALSE)</f>
        <v>ヒンドゥー神話第二弾超級</v>
      </c>
      <c r="F6" s="123">
        <v>2</v>
      </c>
      <c r="G6" s="124" t="str">
        <f>C6&amp;"_"&amp;F6</f>
        <v>30043_2</v>
      </c>
      <c r="H6" s="125" t="str">
        <f ca="1">VLOOKUP($G6,OFFSET([2]stages!$A$1,0,0,COUNTA([2]stages!$A:$A),MATCH(H$1,[2]stages!$2:$2,0)-MATCH($G$1,[2]stages!$2:$2,0)+1),MATCH(H$1,[2]stages!$2:$2,0)-MATCH($G$1,[2]stages!$2:$2,0)+1,FALSE)</f>
        <v>【上級】小さな破壊竜</v>
      </c>
      <c r="I6" s="123">
        <v>1</v>
      </c>
      <c r="J6" s="37">
        <v>30</v>
      </c>
      <c r="K6" s="37">
        <v>30</v>
      </c>
    </row>
    <row r="7" spans="1:11" ht="21" customHeight="1" x14ac:dyDescent="0.15">
      <c r="A7" s="110" t="str">
        <f t="shared" ref="A7:A9" si="2">G7&amp;"-"&amp;I7</f>
        <v>30043_2-2</v>
      </c>
      <c r="B7" s="110" t="str">
        <f>IF(COUNTIF(enemy_habitats!$H:$H,A7),"OK","NG")</f>
        <v>OK</v>
      </c>
      <c r="C7" s="111">
        <v>30043</v>
      </c>
      <c r="D7" s="17" t="str">
        <f ca="1">VLOOKUP($C7,OFFSET([2]quests!$A$1,0,0,COUNTA([2]quests!$A:$A),MATCH(D$1,[2]quests!$1:$1,0)-MATCH($C$1,[2]quests!$1:$1,0)+1),MATCH(D$1,[2]quests!$1:$1,0)-MATCH($C$1,[2]quests!$1:$1,0)+1,FALSE)</f>
        <v>小さな破壊竜</v>
      </c>
      <c r="E7" s="17" t="str">
        <f ca="1">VLOOKUP($C7,OFFSET([2]quests!$A$1,0,0,COUNTA([2]quests!$A:$A),MATCH(E$1,[2]quests!$1:$1,0)-MATCH($C$1,[2]quests!$1:$1,0)+1),MATCH(E$1,[2]quests!$1:$1,0)-MATCH($C$1,[2]quests!$1:$1,0)+1,FALSE)</f>
        <v>ヒンドゥー神話第二弾超級</v>
      </c>
      <c r="F7" s="112">
        <v>2</v>
      </c>
      <c r="G7" s="22" t="str">
        <f t="shared" ref="G7:G9" si="3">C7&amp;"_"&amp;F7</f>
        <v>30043_2</v>
      </c>
      <c r="H7" s="14" t="str">
        <f ca="1">VLOOKUP($G7,OFFSET([2]stages!$A$1,0,0,COUNTA([2]stages!$A:$A),MATCH(H$1,[2]stages!$2:$2,0)-MATCH($G$1,[2]stages!$2:$2,0)+1),MATCH(H$1,[2]stages!$2:$2,0)-MATCH($G$1,[2]stages!$2:$2,0)+1,FALSE)</f>
        <v>【上級】小さな破壊竜</v>
      </c>
      <c r="I7" s="112">
        <v>2</v>
      </c>
      <c r="J7" s="37">
        <v>60</v>
      </c>
      <c r="K7" s="37">
        <v>60</v>
      </c>
    </row>
    <row r="8" spans="1:11" ht="21" customHeight="1" x14ac:dyDescent="0.15">
      <c r="A8" s="110" t="str">
        <f t="shared" si="2"/>
        <v>30043_2-3</v>
      </c>
      <c r="B8" s="110" t="str">
        <f>IF(COUNTIF(enemy_habitats!$H:$H,A8),"OK","NG")</f>
        <v>OK</v>
      </c>
      <c r="C8" s="111">
        <v>30043</v>
      </c>
      <c r="D8" s="17" t="str">
        <f ca="1">VLOOKUP($C8,OFFSET([2]quests!$A$1,0,0,COUNTA([2]quests!$A:$A),MATCH(D$1,[2]quests!$1:$1,0)-MATCH($C$1,[2]quests!$1:$1,0)+1),MATCH(D$1,[2]quests!$1:$1,0)-MATCH($C$1,[2]quests!$1:$1,0)+1,FALSE)</f>
        <v>小さな破壊竜</v>
      </c>
      <c r="E8" s="17" t="str">
        <f ca="1">VLOOKUP($C8,OFFSET([2]quests!$A$1,0,0,COUNTA([2]quests!$A:$A),MATCH(E$1,[2]quests!$1:$1,0)-MATCH($C$1,[2]quests!$1:$1,0)+1),MATCH(E$1,[2]quests!$1:$1,0)-MATCH($C$1,[2]quests!$1:$1,0)+1,FALSE)</f>
        <v>ヒンドゥー神話第二弾超級</v>
      </c>
      <c r="F8" s="112">
        <v>2</v>
      </c>
      <c r="G8" s="22" t="str">
        <f t="shared" si="3"/>
        <v>30043_2</v>
      </c>
      <c r="H8" s="14" t="str">
        <f ca="1">VLOOKUP($G8,OFFSET([2]stages!$A$1,0,0,COUNTA([2]stages!$A:$A),MATCH(H$1,[2]stages!$2:$2,0)-MATCH($G$1,[2]stages!$2:$2,0)+1),MATCH(H$1,[2]stages!$2:$2,0)-MATCH($G$1,[2]stages!$2:$2,0)+1,FALSE)</f>
        <v>【上級】小さな破壊竜</v>
      </c>
      <c r="I8" s="112">
        <v>3</v>
      </c>
      <c r="J8" s="37">
        <v>50</v>
      </c>
      <c r="K8" s="37">
        <v>50</v>
      </c>
    </row>
    <row r="9" spans="1:11" ht="21" customHeight="1" thickBot="1" x14ac:dyDescent="0.2">
      <c r="A9" s="113" t="str">
        <f t="shared" si="2"/>
        <v>30043_2-4</v>
      </c>
      <c r="B9" s="113" t="str">
        <f>IF(COUNTIF(enemy_habitats!$H:$H,A9),"OK","NG")</f>
        <v>OK</v>
      </c>
      <c r="C9" s="114">
        <v>30043</v>
      </c>
      <c r="D9" s="115" t="str">
        <f ca="1">VLOOKUP($C9,OFFSET([2]quests!$A$1,0,0,COUNTA([2]quests!$A:$A),MATCH(D$1,[2]quests!$1:$1,0)-MATCH($C$1,[2]quests!$1:$1,0)+1),MATCH(D$1,[2]quests!$1:$1,0)-MATCH($C$1,[2]quests!$1:$1,0)+1,FALSE)</f>
        <v>小さな破壊竜</v>
      </c>
      <c r="E9" s="115" t="str">
        <f ca="1">VLOOKUP($C9,OFFSET([2]quests!$A$1,0,0,COUNTA([2]quests!$A:$A),MATCH(E$1,[2]quests!$1:$1,0)-MATCH($C$1,[2]quests!$1:$1,0)+1),MATCH(E$1,[2]quests!$1:$1,0)-MATCH($C$1,[2]quests!$1:$1,0)+1,FALSE)</f>
        <v>ヒンドゥー神話第二弾超級</v>
      </c>
      <c r="F9" s="116">
        <v>2</v>
      </c>
      <c r="G9" s="117" t="str">
        <f t="shared" si="3"/>
        <v>30043_2</v>
      </c>
      <c r="H9" s="118" t="str">
        <f ca="1">VLOOKUP($G9,OFFSET([2]stages!$A$1,0,0,COUNTA([2]stages!$A:$A),MATCH(H$1,[2]stages!$2:$2,0)-MATCH($G$1,[2]stages!$2:$2,0)+1),MATCH(H$1,[2]stages!$2:$2,0)-MATCH($G$1,[2]stages!$2:$2,0)+1,FALSE)</f>
        <v>【上級】小さな破壊竜</v>
      </c>
      <c r="I9" s="116">
        <v>4</v>
      </c>
      <c r="J9" s="119">
        <v>60</v>
      </c>
      <c r="K9" s="119">
        <v>60</v>
      </c>
    </row>
    <row r="10" spans="1:11" ht="21" customHeight="1" thickTop="1" x14ac:dyDescent="0.15">
      <c r="A10" s="15" t="str">
        <f>G10&amp;"-"&amp;I10</f>
        <v>30043_3-1</v>
      </c>
      <c r="B10" s="15" t="str">
        <f>IF(COUNTIF(enemy_habitats!$H:$H,A10),"OK","NG")</f>
        <v>OK</v>
      </c>
      <c r="C10" s="104">
        <v>30043</v>
      </c>
      <c r="D10" s="105" t="str">
        <f ca="1">VLOOKUP($C10,OFFSET([2]quests!$A$1,0,0,COUNTA([2]quests!$A:$A),MATCH(D$1,[2]quests!$1:$1,0)-MATCH($C$1,[2]quests!$1:$1,0)+1),MATCH(D$1,[2]quests!$1:$1,0)-MATCH($C$1,[2]quests!$1:$1,0)+1,FALSE)</f>
        <v>小さな破壊竜</v>
      </c>
      <c r="E10" s="105" t="str">
        <f ca="1">VLOOKUP($C10,OFFSET([2]quests!$A$1,0,0,COUNTA([2]quests!$A:$A),MATCH(E$1,[2]quests!$1:$1,0)-MATCH($C$1,[2]quests!$1:$1,0)+1),MATCH(E$1,[2]quests!$1:$1,0)-MATCH($C$1,[2]quests!$1:$1,0)+1,FALSE)</f>
        <v>ヒンドゥー神話第二弾超級</v>
      </c>
      <c r="F10" s="106">
        <v>3</v>
      </c>
      <c r="G10" s="107" t="str">
        <f>C10&amp;"_"&amp;F10</f>
        <v>30043_3</v>
      </c>
      <c r="H10" s="108" t="str">
        <f ca="1">VLOOKUP($G10,OFFSET([2]stages!$A$1,0,0,COUNTA([2]stages!$A:$A),MATCH(H$1,[2]stages!$2:$2,0)-MATCH($G$1,[2]stages!$2:$2,0)+1),MATCH(H$1,[2]stages!$2:$2,0)-MATCH($G$1,[2]stages!$2:$2,0)+1,FALSE)</f>
        <v>【超級】小さな破壊竜</v>
      </c>
      <c r="I10" s="106">
        <v>1</v>
      </c>
      <c r="J10" s="37">
        <v>30</v>
      </c>
      <c r="K10" s="37">
        <v>30</v>
      </c>
    </row>
    <row r="11" spans="1:11" ht="21" customHeight="1" x14ac:dyDescent="0.15">
      <c r="A11" s="15" t="str">
        <f t="shared" ref="A11:A13" si="4">G11&amp;"-"&amp;I11</f>
        <v>30043_3-2</v>
      </c>
      <c r="B11" s="15" t="str">
        <f>IF(COUNTIF(enemy_habitats!$H:$H,A11),"OK","NG")</f>
        <v>OK</v>
      </c>
      <c r="C11" s="7">
        <v>30043</v>
      </c>
      <c r="D11" s="11" t="str">
        <f ca="1">VLOOKUP($C11,OFFSET([2]quests!$A$1,0,0,COUNTA([2]quests!$A:$A),MATCH(D$1,[2]quests!$1:$1,0)-MATCH($C$1,[2]quests!$1:$1,0)+1),MATCH(D$1,[2]quests!$1:$1,0)-MATCH($C$1,[2]quests!$1:$1,0)+1,FALSE)</f>
        <v>小さな破壊竜</v>
      </c>
      <c r="E11" s="17" t="str">
        <f ca="1">VLOOKUP($C11,OFFSET([2]quests!$A$1,0,0,COUNTA([2]quests!$A:$A),MATCH(E$1,[2]quests!$1:$1,0)-MATCH($C$1,[2]quests!$1:$1,0)+1),MATCH(E$1,[2]quests!$1:$1,0)-MATCH($C$1,[2]quests!$1:$1,0)+1,FALSE)</f>
        <v>ヒンドゥー神話第二弾超級</v>
      </c>
      <c r="F11" s="20">
        <v>3</v>
      </c>
      <c r="G11" s="22" t="str">
        <f t="shared" ref="G11:G13" si="5">C11&amp;"_"&amp;F11</f>
        <v>30043_3</v>
      </c>
      <c r="H11" s="14" t="str">
        <f ca="1">VLOOKUP($G11,OFFSET([2]stages!$A$1,0,0,COUNTA([2]stages!$A:$A),MATCH(H$1,[2]stages!$2:$2,0)-MATCH($G$1,[2]stages!$2:$2,0)+1),MATCH(H$1,[2]stages!$2:$2,0)-MATCH($G$1,[2]stages!$2:$2,0)+1,FALSE)</f>
        <v>【超級】小さな破壊竜</v>
      </c>
      <c r="I11" s="20">
        <v>2</v>
      </c>
      <c r="J11" s="37">
        <v>60</v>
      </c>
      <c r="K11" s="37">
        <v>60</v>
      </c>
    </row>
    <row r="12" spans="1:11" ht="21" customHeight="1" x14ac:dyDescent="0.15">
      <c r="A12" s="15" t="str">
        <f t="shared" si="4"/>
        <v>30043_3-3</v>
      </c>
      <c r="B12" s="15" t="str">
        <f>IF(COUNTIF(enemy_habitats!$H:$H,A12),"OK","NG")</f>
        <v>OK</v>
      </c>
      <c r="C12" s="7">
        <v>30043</v>
      </c>
      <c r="D12" s="11" t="str">
        <f ca="1">VLOOKUP($C12,OFFSET([2]quests!$A$1,0,0,COUNTA([2]quests!$A:$A),MATCH(D$1,[2]quests!$1:$1,0)-MATCH($C$1,[2]quests!$1:$1,0)+1),MATCH(D$1,[2]quests!$1:$1,0)-MATCH($C$1,[2]quests!$1:$1,0)+1,FALSE)</f>
        <v>小さな破壊竜</v>
      </c>
      <c r="E12" s="17" t="str">
        <f ca="1">VLOOKUP($C12,OFFSET([2]quests!$A$1,0,0,COUNTA([2]quests!$A:$A),MATCH(E$1,[2]quests!$1:$1,0)-MATCH($C$1,[2]quests!$1:$1,0)+1),MATCH(E$1,[2]quests!$1:$1,0)-MATCH($C$1,[2]quests!$1:$1,0)+1,FALSE)</f>
        <v>ヒンドゥー神話第二弾超級</v>
      </c>
      <c r="F12" s="20">
        <v>3</v>
      </c>
      <c r="G12" s="22" t="str">
        <f t="shared" si="5"/>
        <v>30043_3</v>
      </c>
      <c r="H12" s="14" t="str">
        <f ca="1">VLOOKUP($G12,OFFSET([2]stages!$A$1,0,0,COUNTA([2]stages!$A:$A),MATCH(H$1,[2]stages!$2:$2,0)-MATCH($G$1,[2]stages!$2:$2,0)+1),MATCH(H$1,[2]stages!$2:$2,0)-MATCH($G$1,[2]stages!$2:$2,0)+1,FALSE)</f>
        <v>【超級】小さな破壊竜</v>
      </c>
      <c r="I12" s="20">
        <v>3</v>
      </c>
      <c r="J12" s="37">
        <v>50</v>
      </c>
      <c r="K12" s="37">
        <v>50</v>
      </c>
    </row>
    <row r="13" spans="1:11" ht="21" customHeight="1" x14ac:dyDescent="0.15">
      <c r="A13" s="15" t="str">
        <f t="shared" si="4"/>
        <v>30043_3-4</v>
      </c>
      <c r="B13" s="15" t="str">
        <f>IF(COUNTIF(enemy_habitats!$H:$H,A13),"OK","NG")</f>
        <v>OK</v>
      </c>
      <c r="C13" s="7">
        <v>30043</v>
      </c>
      <c r="D13" s="11" t="str">
        <f ca="1">VLOOKUP($C13,OFFSET([2]quests!$A$1,0,0,COUNTA([2]quests!$A:$A),MATCH(D$1,[2]quests!$1:$1,0)-MATCH($C$1,[2]quests!$1:$1,0)+1),MATCH(D$1,[2]quests!$1:$1,0)-MATCH($C$1,[2]quests!$1:$1,0)+1,FALSE)</f>
        <v>小さな破壊竜</v>
      </c>
      <c r="E13" s="17" t="str">
        <f ca="1">VLOOKUP($C13,OFFSET([2]quests!$A$1,0,0,COUNTA([2]quests!$A:$A),MATCH(E$1,[2]quests!$1:$1,0)-MATCH($C$1,[2]quests!$1:$1,0)+1),MATCH(E$1,[2]quests!$1:$1,0)-MATCH($C$1,[2]quests!$1:$1,0)+1,FALSE)</f>
        <v>ヒンドゥー神話第二弾超級</v>
      </c>
      <c r="F13" s="20">
        <v>3</v>
      </c>
      <c r="G13" s="22" t="str">
        <f t="shared" si="5"/>
        <v>30043_3</v>
      </c>
      <c r="H13" s="14" t="str">
        <f ca="1">VLOOKUP($G13,OFFSET([2]stages!$A$1,0,0,COUNTA([2]stages!$A:$A),MATCH(H$1,[2]stages!$2:$2,0)-MATCH($G$1,[2]stages!$2:$2,0)+1),MATCH(H$1,[2]stages!$2:$2,0)-MATCH($G$1,[2]stages!$2:$2,0)+1,FALSE)</f>
        <v>【超級】小さな破壊竜</v>
      </c>
      <c r="I13" s="20">
        <v>4</v>
      </c>
      <c r="J13" s="37">
        <v>60</v>
      </c>
      <c r="K13" s="37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16"/>
  <sheetViews>
    <sheetView showGridLines="0" workbookViewId="0">
      <pane xSplit="17" ySplit="1" topLeftCell="Y2" activePane="bottomRight" state="frozen"/>
      <selection pane="topRight" activeCell="N1" sqref="N1"/>
      <selection pane="bottomLeft" activeCell="A2" sqref="A2"/>
      <selection pane="bottomRight" activeCell="AJ12" sqref="AJ12"/>
    </sheetView>
  </sheetViews>
  <sheetFormatPr baseColWidth="12" defaultColWidth="13" defaultRowHeight="21" customHeight="1" outlineLevelCol="1" x14ac:dyDescent="0.15"/>
  <cols>
    <col min="1" max="1" width="15.83203125" style="18" bestFit="1" customWidth="1"/>
    <col min="2" max="2" width="10.83203125" style="3" bestFit="1" customWidth="1"/>
    <col min="3" max="3" width="10.6640625" style="3" bestFit="1" customWidth="1" collapsed="1"/>
    <col min="4" max="4" width="13" style="13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 collapsed="1"/>
    <col min="13" max="13" width="8.83203125" style="3" hidden="1" customWidth="1" outlineLevel="1"/>
    <col min="14" max="14" width="8.6640625" style="3" hidden="1" customWidth="1" outlineLevel="1"/>
    <col min="15" max="15" width="12" style="3" hidden="1" customWidth="1" outlineLevel="1"/>
    <col min="16" max="16" width="21" style="3" hidden="1" customWidth="1" outlineLevel="1"/>
    <col min="17" max="17" width="8" style="3" hidden="1" customWidth="1" outlineLevel="1"/>
    <col min="18" max="18" width="8.33203125" style="3" bestFit="1" customWidth="1"/>
    <col min="19" max="19" width="14.83203125" style="3" bestFit="1" customWidth="1"/>
    <col min="20" max="20" width="14.83203125" style="100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11.33203125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17.5" style="12" customWidth="1" outlineLevel="1"/>
    <col min="32" max="32" width="8" style="13" bestFit="1" customWidth="1" outlineLevel="1"/>
    <col min="33" max="33" width="12" style="13" bestFit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4" customFormat="1" ht="21" customHeight="1" x14ac:dyDescent="0.15">
      <c r="A1" s="26" t="s">
        <v>29</v>
      </c>
      <c r="B1" s="27" t="s">
        <v>0</v>
      </c>
      <c r="C1" s="27" t="s">
        <v>1</v>
      </c>
      <c r="D1" s="28" t="s">
        <v>28</v>
      </c>
      <c r="E1" s="29" t="s">
        <v>20</v>
      </c>
      <c r="F1" s="29" t="s">
        <v>20</v>
      </c>
      <c r="G1" s="27" t="s">
        <v>19</v>
      </c>
      <c r="H1" s="28" t="s">
        <v>35</v>
      </c>
      <c r="I1" s="28" t="s">
        <v>14</v>
      </c>
      <c r="J1" s="28" t="s">
        <v>15</v>
      </c>
      <c r="K1" s="35" t="s">
        <v>54</v>
      </c>
      <c r="L1" s="36" t="s">
        <v>2</v>
      </c>
      <c r="M1" s="30" t="s">
        <v>21</v>
      </c>
      <c r="N1" s="28" t="s">
        <v>24</v>
      </c>
      <c r="O1" s="28" t="s">
        <v>23</v>
      </c>
      <c r="P1" s="31" t="s">
        <v>26</v>
      </c>
      <c r="Q1" s="29" t="s">
        <v>25</v>
      </c>
      <c r="R1" s="27" t="s">
        <v>3</v>
      </c>
      <c r="S1" s="25" t="s">
        <v>48</v>
      </c>
      <c r="T1" s="98" t="s">
        <v>247</v>
      </c>
      <c r="U1" s="25" t="s">
        <v>50</v>
      </c>
      <c r="V1" s="98" t="s">
        <v>248</v>
      </c>
      <c r="W1" s="25" t="s">
        <v>52</v>
      </c>
      <c r="X1" s="28" t="s">
        <v>31</v>
      </c>
      <c r="Y1" s="27" t="s">
        <v>4</v>
      </c>
      <c r="Z1" s="27" t="s">
        <v>5</v>
      </c>
      <c r="AA1" s="27" t="s">
        <v>6</v>
      </c>
      <c r="AB1" s="27" t="s">
        <v>7</v>
      </c>
      <c r="AC1" s="27" t="s">
        <v>8</v>
      </c>
      <c r="AD1" s="32" t="s">
        <v>9</v>
      </c>
      <c r="AE1" s="33" t="s">
        <v>16</v>
      </c>
      <c r="AF1" s="33" t="s">
        <v>17</v>
      </c>
      <c r="AG1" s="33" t="s">
        <v>27</v>
      </c>
      <c r="AH1" s="32" t="s">
        <v>10</v>
      </c>
      <c r="AI1" s="27" t="s">
        <v>11</v>
      </c>
      <c r="AJ1" s="27" t="s">
        <v>12</v>
      </c>
      <c r="AK1" s="27" t="s">
        <v>38</v>
      </c>
      <c r="AL1" s="27" t="s">
        <v>40</v>
      </c>
      <c r="AM1" s="27" t="s">
        <v>42</v>
      </c>
      <c r="AN1" s="27" t="s">
        <v>44</v>
      </c>
      <c r="AO1" s="27" t="s">
        <v>46</v>
      </c>
      <c r="AP1" s="35" t="s">
        <v>178</v>
      </c>
    </row>
    <row r="2" spans="1:42" ht="21" customHeight="1" x14ac:dyDescent="0.15">
      <c r="A2" s="110" t="str">
        <f>B2&amp;"_"&amp;C2&amp;"-"&amp;G2&amp;"/"&amp;L2&amp;"&lt;lv"&amp;R2&amp;"&gt;s"&amp;AC2</f>
        <v>30043_1-1/1145&lt;lv30&gt;s1</v>
      </c>
      <c r="B2" s="21">
        <v>30043</v>
      </c>
      <c r="C2" s="112">
        <v>1</v>
      </c>
      <c r="D2" s="14" t="str">
        <f>B2&amp;"_"&amp;C2</f>
        <v>30043_1</v>
      </c>
      <c r="E2" s="4" t="str">
        <f ca="1">VLOOKUP($B2,OFFSET([2]quests!$A$1,0,0,COUNTA([2]quests!$A:$A),MATCH(E$1,[2]quests!$1:$1,0)-MATCH($B$1,[2]quests!$1:$1,0)+1),MATCH(E$1,[2]quests!$1:$1,0)-MATCH($B$1,[2]quests!$1:$1,0)+1,FALSE)</f>
        <v>小さな破壊竜</v>
      </c>
      <c r="F2" s="4" t="str">
        <f ca="1">VLOOKUP($D2,OFFSET([2]stages!$A$1,0,0,COUNTA([2]stages!$A:$A),MATCH(F$1,[2]stages!$2:$2,0)-MATCH($D$1,[2]stages!$2:$2,0)+1),MATCH(F$1,[2]stages!$2:$2,0)-MATCH($D$1,[2]stages!$2:$2,0)+1,FALSE)</f>
        <v>【中級】小さな破壊竜</v>
      </c>
      <c r="G2" s="112">
        <v>1</v>
      </c>
      <c r="H2" s="14" t="str">
        <f>B2&amp;"_"&amp;C2&amp;"-"&amp;G2</f>
        <v>30043_1-1</v>
      </c>
      <c r="I2" s="4">
        <f ca="1">VLOOKUP($H2,OFFSET(floors!$A$1,0,0,COUNTA(floors!$A:$A),MATCH(I$1,floors!$1:$1,0)-MATCH($H$1,floors!$1:$1,0)+1),MATCH(I$1,floors!$1:$1,0)-MATCH($H$1,floors!$1:$1,0)+1,FALSE)</f>
        <v>30</v>
      </c>
      <c r="J2" s="4">
        <f ca="1">VLOOKUP($H2,OFFSET(floors!$A$1,0,0,COUNTA(floors!$A:$A),MATCH(J$1,floors!$1:$1,0)-MATCH($H$1,floors!$1:$1,0)+1),MATCH(J$1,floors!$1:$1,0)-MATCH($H$1,floors!$1:$1,0)+1,FALSE)</f>
        <v>30</v>
      </c>
      <c r="K2" s="37" t="s">
        <v>53</v>
      </c>
      <c r="L2" s="176">
        <v>1145</v>
      </c>
      <c r="M2" s="16" t="str">
        <f ca="1">VLOOKUP($L2,OFFSET([3]enemies!$A$1,0,0,COUNTA([3]enemies!$A:$A),MATCH(M$1,[3]enemies!$1:$1,0)-MATCH($L$1,[3]enemies!$1:$1,0)+1),MATCH(M$1,[3]enemies!$1:$1,0)-MATCH($L$1,[3]enemies!$1:$1,0)+1,FALSE)</f>
        <v>ヴリトラ</v>
      </c>
      <c r="N2" s="16" t="str">
        <f ca="1">VLOOKUP($L2,OFFSET([3]enemies!$A$1,0,0,COUNTA([3]enemies!$A:$A),MATCH(N$1,[3]enemies!$1:$1,0)-MATCH($L$1,[3]enemies!$1:$1,0)+1),MATCH(N$1,[3]enemies!$1:$1,0)-MATCH($L$1,[3]enemies!$1:$1,0)+1,FALSE)</f>
        <v>yellow</v>
      </c>
      <c r="O2" s="16" t="str">
        <f ca="1">VLOOKUP($L2,OFFSET([4]characters!$A$1,0,0,COUNTA([4]characters!$A:$A),MATCH(O$1,[4]characters!$1:$1,0)-MATCH($L$1,[4]characters!$1:$1,0)+1),MATCH(O$1,[4]characters!$1:$1,0)-MATCH($L$1,[4]characters!$1:$1,0)+1,FALSE)</f>
        <v>Drop2N</v>
      </c>
      <c r="P2" s="16" t="str">
        <f ca="1">VLOOKUP($L2,OFFSET([3]enemies!$A$1,0,0,COUNTA([3]enemies!$A:$A),MATCH(P$1,[3]enemies!$1:$1,0)-MATCH($L$1,[3]enemies!$1:$1,0)+1),MATCH(P$1,[3]enemies!$1:$1,0)-MATCH($L$1,[3]enemies!$1:$1,0)+1,FALSE)</f>
        <v>dragon</v>
      </c>
      <c r="Q2" s="16">
        <f ca="1">VLOOKUP($L2,OFFSET([3]enemies!$A$1,0,0,COUNTA([3]enemies!$A:$A),MATCH(Q$1,[3]enemies!$1:$1,0)-MATCH($L$1,[3]enemies!$1:$1,0)+1),MATCH(Q$1,[3]enemies!$1:$1,0)-MATCH($L$1,[3]enemies!$1:$1,0)+1,FALSE)</f>
        <v>30</v>
      </c>
      <c r="R2" s="5">
        <v>30</v>
      </c>
      <c r="S2" s="130">
        <v>3.3</v>
      </c>
      <c r="T2" s="99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220829.4</v>
      </c>
      <c r="U2" s="130">
        <v>1.3</v>
      </c>
      <c r="V2" s="99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3920.8</v>
      </c>
      <c r="W2" s="5">
        <v>0</v>
      </c>
      <c r="X2" s="4" t="str">
        <f ca="1">VLOOKUP($Y2,OFFSET(enemy_skill_sets!$B$1,0,0,COUNTA(enemy_skill_sets!$B:$B),MATCH(M$1,enemy_skill_sets!$1:$1,0)-MATCH($Y$1,enemy_skill_sets!$1:$1,0)+2),MATCH(M$1,enemy_skill_sets!$1:$1,0)-MATCH($Y$1,enemy_skill_sets!$1:$1,0)+2,FALSE)</f>
        <v>ンギャ！　ツギノ　オモチャ　ハッケーン！</v>
      </c>
      <c r="Y2" s="127">
        <v>30043001</v>
      </c>
      <c r="Z2" s="6">
        <v>1</v>
      </c>
      <c r="AA2" s="6">
        <v>100</v>
      </c>
      <c r="AB2" s="6">
        <v>1</v>
      </c>
      <c r="AC2" s="103">
        <v>1</v>
      </c>
      <c r="AD2" s="137">
        <f>L2</f>
        <v>1145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ヴリトラ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4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Drop2N</v>
      </c>
      <c r="AH2" s="111">
        <v>1</v>
      </c>
      <c r="AI2" s="137">
        <f ca="1">AF2</f>
        <v>4</v>
      </c>
      <c r="AJ2" s="8">
        <v>0</v>
      </c>
      <c r="AK2" s="111">
        <v>0</v>
      </c>
      <c r="AL2" s="111">
        <v>0</v>
      </c>
      <c r="AM2" s="111">
        <v>0</v>
      </c>
      <c r="AN2" s="111">
        <v>0</v>
      </c>
      <c r="AO2" s="111">
        <v>1</v>
      </c>
      <c r="AP2" s="68">
        <v>1</v>
      </c>
    </row>
    <row r="3" spans="1:42" ht="21" customHeight="1" x14ac:dyDescent="0.15">
      <c r="A3" s="110" t="str">
        <f t="shared" ref="A3:A6" si="0">B3&amp;"_"&amp;C3&amp;"-"&amp;G3&amp;"/"&amp;L3&amp;"&lt;lv"&amp;R3&amp;"&gt;s"&amp;AC3</f>
        <v>30043_1-2/133&lt;lv30&gt;s2</v>
      </c>
      <c r="B3" s="21">
        <v>30043</v>
      </c>
      <c r="C3" s="112">
        <v>1</v>
      </c>
      <c r="D3" s="14" t="str">
        <f t="shared" ref="D3:D6" si="1">B3&amp;"_"&amp;C3</f>
        <v>30043_1</v>
      </c>
      <c r="E3" s="4" t="str">
        <f ca="1">VLOOKUP($B3,OFFSET([2]quests!$A$1,0,0,COUNTA([2]quests!$A:$A),MATCH(E$1,[2]quests!$1:$1,0)-MATCH($B$1,[2]quests!$1:$1,0)+1),MATCH(E$1,[2]quests!$1:$1,0)-MATCH($B$1,[2]quests!$1:$1,0)+1,FALSE)</f>
        <v>小さな破壊竜</v>
      </c>
      <c r="F3" s="4" t="str">
        <f ca="1">VLOOKUP($D3,OFFSET([2]stages!$A$1,0,0,COUNTA([2]stages!$A:$A),MATCH(F$1,[2]stages!$2:$2,0)-MATCH($D$1,[2]stages!$2:$2,0)+1),MATCH(F$1,[2]stages!$2:$2,0)-MATCH($D$1,[2]stages!$2:$2,0)+1,FALSE)</f>
        <v>【中級】小さな破壊竜</v>
      </c>
      <c r="G3" s="112">
        <v>2</v>
      </c>
      <c r="H3" s="14" t="str">
        <f t="shared" ref="H3:H6" si="2">B3&amp;"_"&amp;C3&amp;"-"&amp;G3</f>
        <v>30043_1-2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7">
        <v>1</v>
      </c>
      <c r="L3" s="136">
        <v>133</v>
      </c>
      <c r="M3" s="16" t="str">
        <f ca="1">VLOOKUP($L3,OFFSET([3]enemies!$A$1,0,0,COUNTA([3]enemies!$A:$A),MATCH(M$1,[3]enemies!$1:$1,0)-MATCH($L$1,[3]enemies!$1:$1,0)+1),MATCH(M$1,[3]enemies!$1:$1,0)-MATCH($L$1,[3]enemies!$1:$1,0)+1,FALSE)</f>
        <v>迅雷の刀剣 ハヤト</v>
      </c>
      <c r="N3" s="16" t="str">
        <f ca="1">VLOOKUP($L3,OFFSET([3]enemies!$A$1,0,0,COUNTA([3]enemies!$A:$A),MATCH(N$1,[3]enemies!$1:$1,0)-MATCH($L$1,[3]enemies!$1:$1,0)+1),MATCH(N$1,[3]enemies!$1:$1,0)-MATCH($L$1,[3]enemies!$1:$1,0)+1,FALSE)</f>
        <v>yellow</v>
      </c>
      <c r="O3" s="16" t="str">
        <f ca="1">VLOOKUP($L3,OFFSET([4]characters!$A$1,0,0,COUNTA([4]characters!$A:$A),MATCH(O$1,[4]characters!$1:$1,0)-MATCH($L$1,[4]characters!$1:$1,0)+1),MATCH(O$1,[4]characters!$1:$1,0)-MATCH($L$1,[4]characters!$1:$1,0)+1,FALSE)</f>
        <v>PremiumW</v>
      </c>
      <c r="P3" s="16" t="str">
        <f ca="1">VLOOKUP($L3,OFFSET([3]enemies!$A$1,0,0,COUNTA([3]enemies!$A:$A),MATCH(P$1,[3]enemies!$1:$1,0)-MATCH($L$1,[3]enemies!$1:$1,0)+1),MATCH(P$1,[3]enemies!$1:$1,0)-MATCH($L$1,[3]enemies!$1:$1,0)+1,FALSE)</f>
        <v>human</v>
      </c>
      <c r="Q3" s="16">
        <f ca="1">VLOOKUP($L3,OFFSET([3]enemies!$A$1,0,0,COUNTA([3]enemies!$A:$A),MATCH(Q$1,[3]enemies!$1:$1,0)-MATCH($L$1,[3]enemies!$1:$1,0)+1),MATCH(Q$1,[3]enemies!$1:$1,0)-MATCH($L$1,[3]enemies!$1:$1,0)+1,FALSE)</f>
        <v>30</v>
      </c>
      <c r="R3" s="5">
        <v>30</v>
      </c>
      <c r="S3" s="24">
        <v>2.7</v>
      </c>
      <c r="T3" s="99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101852.1</v>
      </c>
      <c r="U3" s="24">
        <v>1</v>
      </c>
      <c r="V3" s="99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4248</v>
      </c>
      <c r="W3" s="5">
        <v>0</v>
      </c>
      <c r="X3" s="4" t="str">
        <f ca="1">VLOOKUP($Y3,OFFSET(enemy_skill_sets!$B$1,0,0,COUNTA(enemy_skill_sets!$B:$B),MATCH(M$1,enemy_skill_sets!$1:$1,0)-MATCH($Y$1,enemy_skill_sets!$1:$1,0)+2),MATCH(M$1,enemy_skill_sets!$1:$1,0)-MATCH($Y$1,enemy_skill_sets!$1:$1,0)+2,FALSE)</f>
        <v>解除するまでユニット単体の攻撃力25%DOWN_x000D_+クリティカル！</v>
      </c>
      <c r="Y3" s="127">
        <v>30043002</v>
      </c>
      <c r="Z3" s="6">
        <v>1</v>
      </c>
      <c r="AA3" s="6">
        <v>100</v>
      </c>
      <c r="AB3" s="6">
        <v>1</v>
      </c>
      <c r="AC3" s="103">
        <v>2</v>
      </c>
      <c r="AD3" s="137">
        <f t="shared" ref="AD3:AD5" si="3">L3</f>
        <v>133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迅雷の刀剣 ハヤト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4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PremiumW</v>
      </c>
      <c r="AH3" s="111">
        <v>1</v>
      </c>
      <c r="AI3" s="137">
        <f t="shared" ref="AI3:AI6" ca="1" si="4">AF3</f>
        <v>4</v>
      </c>
      <c r="AJ3" s="8">
        <v>0</v>
      </c>
      <c r="AK3" s="111">
        <v>0</v>
      </c>
      <c r="AL3" s="111">
        <v>0</v>
      </c>
      <c r="AM3" s="111">
        <v>0</v>
      </c>
      <c r="AN3" s="111">
        <v>0</v>
      </c>
      <c r="AO3" s="111">
        <v>1</v>
      </c>
      <c r="AP3" s="68">
        <v>1</v>
      </c>
    </row>
    <row r="4" spans="1:42" ht="21" customHeight="1" x14ac:dyDescent="0.15">
      <c r="A4" s="110" t="str">
        <f t="shared" si="0"/>
        <v>30043_1-3/64&lt;lv30&gt;s2</v>
      </c>
      <c r="B4" s="21">
        <v>30043</v>
      </c>
      <c r="C4" s="112">
        <v>1</v>
      </c>
      <c r="D4" s="14" t="str">
        <f t="shared" si="1"/>
        <v>30043_1</v>
      </c>
      <c r="E4" s="4" t="str">
        <f ca="1">VLOOKUP($B4,OFFSET([2]quests!$A$1,0,0,COUNTA([2]quests!$A:$A),MATCH(E$1,[2]quests!$1:$1,0)-MATCH($B$1,[2]quests!$1:$1,0)+1),MATCH(E$1,[2]quests!$1:$1,0)-MATCH($B$1,[2]quests!$1:$1,0)+1,FALSE)</f>
        <v>小さな破壊竜</v>
      </c>
      <c r="F4" s="4" t="str">
        <f ca="1">VLOOKUP($D4,OFFSET([2]stages!$A$1,0,0,COUNTA([2]stages!$A:$A),MATCH(F$1,[2]stages!$2:$2,0)-MATCH($D$1,[2]stages!$2:$2,0)+1),MATCH(F$1,[2]stages!$2:$2,0)-MATCH($D$1,[2]stages!$2:$2,0)+1,FALSE)</f>
        <v>【中級】小さな破壊竜</v>
      </c>
      <c r="G4" s="112">
        <v>3</v>
      </c>
      <c r="H4" s="14" t="str">
        <f t="shared" si="2"/>
        <v>30043_1-3</v>
      </c>
      <c r="I4" s="4">
        <f ca="1">VLOOKUP($H4,OFFSET(floors!$A$1,0,0,COUNTA(floors!$A:$A),MATCH(I$1,floors!$1:$1,0)-MATCH($H$1,floors!$1:$1,0)+1),MATCH(I$1,floors!$1:$1,0)-MATCH($H$1,floors!$1:$1,0)+1,FALSE)</f>
        <v>50</v>
      </c>
      <c r="J4" s="4">
        <f ca="1">VLOOKUP($H4,OFFSET(floors!$A$1,0,0,COUNTA(floors!$A:$A),MATCH(J$1,floors!$1:$1,0)-MATCH($H$1,floors!$1:$1,0)+1),MATCH(J$1,floors!$1:$1,0)-MATCH($H$1,floors!$1:$1,0)+1,FALSE)</f>
        <v>50</v>
      </c>
      <c r="K4" s="37" t="s">
        <v>53</v>
      </c>
      <c r="L4" s="136">
        <v>64</v>
      </c>
      <c r="M4" s="16" t="str">
        <f ca="1">VLOOKUP($L4,OFFSET([3]enemies!$A$1,0,0,COUNTA([3]enemies!$A:$A),MATCH(M$1,[3]enemies!$1:$1,0)-MATCH($L$1,[3]enemies!$1:$1,0)+1),MATCH(M$1,[3]enemies!$1:$1,0)-MATCH($L$1,[3]enemies!$1:$1,0)+1,FALSE)</f>
        <v>フレイムエッジ トニー</v>
      </c>
      <c r="N4" s="16" t="str">
        <f ca="1">VLOOKUP($L4,OFFSET([3]enemies!$A$1,0,0,COUNTA([3]enemies!$A:$A),MATCH(N$1,[3]enemies!$1:$1,0)-MATCH($L$1,[3]enemies!$1:$1,0)+1),MATCH(N$1,[3]enemies!$1:$1,0)-MATCH($L$1,[3]enemies!$1:$1,0)+1,FALSE)</f>
        <v>yellow</v>
      </c>
      <c r="O4" s="16" t="str">
        <f ca="1">VLOOKUP($L4,OFFSET([4]characters!$A$1,0,0,COUNTA([4]characters!$A:$A),MATCH(O$1,[4]characters!$1:$1,0)-MATCH($L$1,[4]characters!$1:$1,0)+1),MATCH(O$1,[4]characters!$1:$1,0)-MATCH($L$1,[4]characters!$1:$1,0)+1,FALSE)</f>
        <v>Drop1N</v>
      </c>
      <c r="P4" s="16" t="str">
        <f ca="1">VLOOKUP($L4,OFFSET([3]enemies!$A$1,0,0,COUNTA([3]enemies!$A:$A),MATCH(P$1,[3]enemies!$1:$1,0)-MATCH($L$1,[3]enemies!$1:$1,0)+1),MATCH(P$1,[3]enemies!$1:$1,0)-MATCH($L$1,[3]enemies!$1:$1,0)+1,FALSE)</f>
        <v>animal</v>
      </c>
      <c r="Q4" s="16">
        <f ca="1">VLOOKUP($L4,OFFSET([3]enemies!$A$1,0,0,COUNTA([3]enemies!$A:$A),MATCH(Q$1,[3]enemies!$1:$1,0)-MATCH($L$1,[3]enemies!$1:$1,0)+1),MATCH(Q$1,[3]enemies!$1:$1,0)-MATCH($L$1,[3]enemies!$1:$1,0)+1,FALSE)</f>
        <v>20</v>
      </c>
      <c r="R4" s="5">
        <v>30</v>
      </c>
      <c r="S4" s="24">
        <v>1.4</v>
      </c>
      <c r="T4" s="99">
        <f ca="1">ROUND(VLOOKUP(R4,[3]enemy_base_stats!$A:$F,2,FALSE)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INDIRECT("[EnemyMasterData.xlsm]enemies!AD"&amp;(L4+1))*[4]ステータス!$B$2,0)*S4</f>
        <v>25671.8</v>
      </c>
      <c r="U4" s="24">
        <v>0.8</v>
      </c>
      <c r="V4" s="99">
        <f ca="1">ROUND(VLOOKUP(R4,[3]enemy_base_stats!$A:$F,3,FALSE)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INDIRECT("[EnemyMasterData.xlsm]enemies!AE"&amp;(L4+1))*[4]ステータス!$C$2,0)*U4</f>
        <v>2540</v>
      </c>
      <c r="W4" s="5">
        <v>0</v>
      </c>
      <c r="X4" s="4" t="str">
        <f ca="1">VLOOKUP($Y4,OFFSET(enemy_skill_sets!$B$1,0,0,COUNTA(enemy_skill_sets!$B:$B),MATCH(M$1,enemy_skill_sets!$1:$1,0)-MATCH($Y$1,enemy_skill_sets!$1:$1,0)+2),MATCH(M$1,enemy_skill_sets!$1:$1,0)-MATCH($Y$1,enemy_skill_sets!$1:$1,0)+2,FALSE)</f>
        <v>3ターンユニット単体にスキルバインド</v>
      </c>
      <c r="Y4" s="127">
        <v>30043004</v>
      </c>
      <c r="Z4" s="6">
        <v>1</v>
      </c>
      <c r="AA4" s="6">
        <v>100</v>
      </c>
      <c r="AB4" s="6">
        <v>1</v>
      </c>
      <c r="AC4" s="103">
        <v>2</v>
      </c>
      <c r="AD4" s="137">
        <f t="shared" si="3"/>
        <v>64</v>
      </c>
      <c r="AE4" s="4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フレイムエッジ トニー</v>
      </c>
      <c r="AF4" s="4">
        <f ca="1">VLOOKUP($AD4,OFFSET([4]characters!$A$1,0,0,COUNTA([4]characters!$A:$A),MATCH(AF$1,[4]characters!$1:$1,0)-MATCH("character_id",[4]characters!$1:$1,0)+1),MATCH(AF$1,[4]characters!$1:$1,0)-MATCH("character_id",[4]characters!$1:$1,0)+1,FALSE)</f>
        <v>3</v>
      </c>
      <c r="AG4" s="4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Drop1N</v>
      </c>
      <c r="AH4" s="111">
        <v>1</v>
      </c>
      <c r="AI4" s="137">
        <f t="shared" ca="1" si="4"/>
        <v>3</v>
      </c>
      <c r="AJ4" s="8">
        <v>10</v>
      </c>
      <c r="AK4" s="111">
        <v>0</v>
      </c>
      <c r="AL4" s="111">
        <v>0</v>
      </c>
      <c r="AM4" s="111">
        <v>0</v>
      </c>
      <c r="AN4" s="111">
        <v>0</v>
      </c>
      <c r="AO4" s="111">
        <v>1</v>
      </c>
      <c r="AP4" s="68">
        <v>1</v>
      </c>
    </row>
    <row r="5" spans="1:42" ht="21" customHeight="1" x14ac:dyDescent="0.15">
      <c r="A5" s="110" t="str">
        <f t="shared" si="0"/>
        <v>30043_1-3/47&lt;lv30&gt;s1</v>
      </c>
      <c r="B5" s="21">
        <v>30043</v>
      </c>
      <c r="C5" s="112">
        <v>1</v>
      </c>
      <c r="D5" s="14" t="str">
        <f t="shared" si="1"/>
        <v>30043_1</v>
      </c>
      <c r="E5" s="4" t="str">
        <f ca="1">VLOOKUP($B5,OFFSET([2]quests!$A$1,0,0,COUNTA([2]quests!$A:$A),MATCH(E$1,[2]quests!$1:$1,0)-MATCH($B$1,[2]quests!$1:$1,0)+1),MATCH(E$1,[2]quests!$1:$1,0)-MATCH($B$1,[2]quests!$1:$1,0)+1,FALSE)</f>
        <v>小さな破壊竜</v>
      </c>
      <c r="F5" s="4" t="str">
        <f ca="1">VLOOKUP($D5,OFFSET([2]stages!$A$1,0,0,COUNTA([2]stages!$A:$A),MATCH(F$1,[2]stages!$2:$2,0)-MATCH($D$1,[2]stages!$2:$2,0)+1),MATCH(F$1,[2]stages!$2:$2,0)-MATCH($D$1,[2]stages!$2:$2,0)+1,FALSE)</f>
        <v>【中級】小さな破壊竜</v>
      </c>
      <c r="G5" s="112">
        <v>3</v>
      </c>
      <c r="H5" s="14" t="str">
        <f t="shared" si="2"/>
        <v>30043_1-3</v>
      </c>
      <c r="I5" s="4">
        <f ca="1">VLOOKUP($H5,OFFSET(floors!$A$1,0,0,COUNTA(floors!$A:$A),MATCH(I$1,floors!$1:$1,0)-MATCH($H$1,floors!$1:$1,0)+1),MATCH(I$1,floors!$1:$1,0)-MATCH($H$1,floors!$1:$1,0)+1,FALSE)</f>
        <v>50</v>
      </c>
      <c r="J5" s="4">
        <f ca="1">VLOOKUP($H5,OFFSET(floors!$A$1,0,0,COUNTA(floors!$A:$A),MATCH(J$1,floors!$1:$1,0)-MATCH($H$1,floors!$1:$1,0)+1),MATCH(J$1,floors!$1:$1,0)-MATCH($H$1,floors!$1:$1,0)+1,FALSE)</f>
        <v>50</v>
      </c>
      <c r="K5" s="37" t="s">
        <v>53</v>
      </c>
      <c r="L5" s="136">
        <v>47</v>
      </c>
      <c r="M5" s="16" t="str">
        <f ca="1">VLOOKUP($L5,OFFSET([3]enemies!$A$1,0,0,COUNTA([3]enemies!$A:$A),MATCH(M$1,[3]enemies!$1:$1,0)-MATCH($L$1,[3]enemies!$1:$1,0)+1),MATCH(M$1,[3]enemies!$1:$1,0)-MATCH($L$1,[3]enemies!$1:$1,0)+1,FALSE)</f>
        <v>ヒロ</v>
      </c>
      <c r="N5" s="16" t="str">
        <f ca="1">VLOOKUP($L5,OFFSET([3]enemies!$A$1,0,0,COUNTA([3]enemies!$A:$A),MATCH(N$1,[3]enemies!$1:$1,0)-MATCH($L$1,[3]enemies!$1:$1,0)+1),MATCH(N$1,[3]enemies!$1:$1,0)-MATCH($L$1,[3]enemies!$1:$1,0)+1,FALSE)</f>
        <v>yellow</v>
      </c>
      <c r="O5" s="16" t="str">
        <f ca="1">VLOOKUP($L5,OFFSET([4]characters!$A$1,0,0,COUNTA([4]characters!$A:$A),MATCH(O$1,[4]characters!$1:$1,0)-MATCH($L$1,[4]characters!$1:$1,0)+1),MATCH(O$1,[4]characters!$1:$1,0)-MATCH($L$1,[4]characters!$1:$1,0)+1,FALSE)</f>
        <v>Drop1N</v>
      </c>
      <c r="P5" s="16" t="str">
        <f ca="1">VLOOKUP($L5,OFFSET([3]enemies!$A$1,0,0,COUNTA([3]enemies!$A:$A),MATCH(P$1,[3]enemies!$1:$1,0)-MATCH($L$1,[3]enemies!$1:$1,0)+1),MATCH(P$1,[3]enemies!$1:$1,0)-MATCH($L$1,[3]enemies!$1:$1,0)+1,FALSE)</f>
        <v>animal</v>
      </c>
      <c r="Q5" s="16">
        <f ca="1">VLOOKUP($L5,OFFSET([3]enemies!$A$1,0,0,COUNTA([3]enemies!$A:$A),MATCH(Q$1,[3]enemies!$1:$1,0)-MATCH($L$1,[3]enemies!$1:$1,0)+1),MATCH(Q$1,[3]enemies!$1:$1,0)-MATCH($L$1,[3]enemies!$1:$1,0)+1,FALSE)</f>
        <v>15</v>
      </c>
      <c r="R5" s="5">
        <v>30</v>
      </c>
      <c r="S5" s="24">
        <v>1.7</v>
      </c>
      <c r="T5" s="99">
        <f ca="1">ROUND(VLOOKUP(R5,[3]enemy_base_stats!$A:$F,2,FALSE)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INDIRECT("[EnemyMasterData.xlsm]enemies!AD"&amp;(L5+1))*[4]ステータス!$B$2,0)*S5</f>
        <v>10495.8</v>
      </c>
      <c r="U5" s="24">
        <v>0.7</v>
      </c>
      <c r="V5" s="99">
        <f ca="1">ROUND(VLOOKUP(R5,[3]enemy_base_stats!$A:$F,3,FALSE)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INDIRECT("[EnemyMasterData.xlsm]enemies!AE"&amp;(L5+1))*[4]ステータス!$C$2,0)*U5</f>
        <v>1955.1</v>
      </c>
      <c r="W5" s="5">
        <v>0</v>
      </c>
      <c r="X5" s="4" t="str">
        <f ca="1">VLOOKUP($Y5,OFFSET(enemy_skill_sets!$B$1,0,0,COUNTA(enemy_skill_sets!$B:$B),MATCH(M$1,enemy_skill_sets!$1:$1,0)-MATCH($Y$1,enemy_skill_sets!$1:$1,0)+2),MATCH(M$1,enemy_skill_sets!$1:$1,0)-MATCH($Y$1,enemy_skill_sets!$1:$1,0)+2,FALSE)</f>
        <v>3回連続攻撃</v>
      </c>
      <c r="Y5" s="127">
        <v>30043005</v>
      </c>
      <c r="Z5" s="6">
        <v>2</v>
      </c>
      <c r="AA5" s="6">
        <v>100</v>
      </c>
      <c r="AB5" s="6">
        <v>0</v>
      </c>
      <c r="AC5" s="103">
        <v>1</v>
      </c>
      <c r="AD5" s="137">
        <f t="shared" si="3"/>
        <v>47</v>
      </c>
      <c r="AE5" s="4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ヒロ</v>
      </c>
      <c r="AF5" s="4">
        <f ca="1">VLOOKUP($AD5,OFFSET([4]characters!$A$1,0,0,COUNTA([4]characters!$A:$A),MATCH(AF$1,[4]characters!$1:$1,0)-MATCH("character_id",[4]characters!$1:$1,0)+1),MATCH(AF$1,[4]characters!$1:$1,0)-MATCH("character_id",[4]characters!$1:$1,0)+1,FALSE)</f>
        <v>2</v>
      </c>
      <c r="AG5" s="4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Drop1N</v>
      </c>
      <c r="AH5" s="111">
        <v>1</v>
      </c>
      <c r="AI5" s="137">
        <f t="shared" ca="1" si="4"/>
        <v>2</v>
      </c>
      <c r="AJ5" s="8">
        <v>10</v>
      </c>
      <c r="AK5" s="111">
        <v>0</v>
      </c>
      <c r="AL5" s="111">
        <v>0</v>
      </c>
      <c r="AM5" s="111">
        <v>0</v>
      </c>
      <c r="AN5" s="111">
        <v>0</v>
      </c>
      <c r="AO5" s="111">
        <v>1</v>
      </c>
      <c r="AP5" s="68">
        <v>1</v>
      </c>
    </row>
    <row r="6" spans="1:42" ht="21" customHeight="1" thickBot="1" x14ac:dyDescent="0.2">
      <c r="A6" s="113" t="str">
        <f t="shared" si="0"/>
        <v>30043_1-4/1145&lt;lv30&gt;s2</v>
      </c>
      <c r="B6" s="138">
        <v>30043</v>
      </c>
      <c r="C6" s="116">
        <v>1</v>
      </c>
      <c r="D6" s="118" t="str">
        <f t="shared" si="1"/>
        <v>30043_1</v>
      </c>
      <c r="E6" s="139" t="str">
        <f ca="1">VLOOKUP($B6,OFFSET([2]quests!$A$1,0,0,COUNTA([2]quests!$A:$A),MATCH(E$1,[2]quests!$1:$1,0)-MATCH($B$1,[2]quests!$1:$1,0)+1),MATCH(E$1,[2]quests!$1:$1,0)-MATCH($B$1,[2]quests!$1:$1,0)+1,FALSE)</f>
        <v>小さな破壊竜</v>
      </c>
      <c r="F6" s="139" t="str">
        <f ca="1">VLOOKUP($D6,OFFSET([2]stages!$A$1,0,0,COUNTA([2]stages!$A:$A),MATCH(F$1,[2]stages!$2:$2,0)-MATCH($D$1,[2]stages!$2:$2,0)+1),MATCH(F$1,[2]stages!$2:$2,0)-MATCH($D$1,[2]stages!$2:$2,0)+1,FALSE)</f>
        <v>【中級】小さな破壊竜</v>
      </c>
      <c r="G6" s="116">
        <v>4</v>
      </c>
      <c r="H6" s="118" t="str">
        <f t="shared" si="2"/>
        <v>30043_1-4</v>
      </c>
      <c r="I6" s="139">
        <f ca="1">VLOOKUP($H6,OFFSET(floors!$A$1,0,0,COUNTA(floors!$A:$A),MATCH(I$1,floors!$1:$1,0)-MATCH($H$1,floors!$1:$1,0)+1),MATCH(I$1,floors!$1:$1,0)-MATCH($H$1,floors!$1:$1,0)+1,FALSE)</f>
        <v>60</v>
      </c>
      <c r="J6" s="139">
        <f ca="1">VLOOKUP($H6,OFFSET(floors!$A$1,0,0,COUNTA(floors!$A:$A),MATCH(J$1,floors!$1:$1,0)-MATCH($H$1,floors!$1:$1,0)+1),MATCH(J$1,floors!$1:$1,0)-MATCH($H$1,floors!$1:$1,0)+1,FALSE)</f>
        <v>60</v>
      </c>
      <c r="K6" s="119">
        <v>2</v>
      </c>
      <c r="L6" s="175">
        <v>1145</v>
      </c>
      <c r="M6" s="140" t="str">
        <f ca="1">VLOOKUP($L6,OFFSET([3]enemies!$A$1,0,0,COUNTA([3]enemies!$A:$A),MATCH(M$1,[3]enemies!$1:$1,0)-MATCH($L$1,[3]enemies!$1:$1,0)+1),MATCH(M$1,[3]enemies!$1:$1,0)-MATCH($L$1,[3]enemies!$1:$1,0)+1,FALSE)</f>
        <v>ヴリトラ</v>
      </c>
      <c r="N6" s="140" t="str">
        <f ca="1">VLOOKUP($L6,OFFSET([3]enemies!$A$1,0,0,COUNTA([3]enemies!$A:$A),MATCH(N$1,[3]enemies!$1:$1,0)-MATCH($L$1,[3]enemies!$1:$1,0)+1),MATCH(N$1,[3]enemies!$1:$1,0)-MATCH($L$1,[3]enemies!$1:$1,0)+1,FALSE)</f>
        <v>yellow</v>
      </c>
      <c r="O6" s="140" t="str">
        <f ca="1">VLOOKUP($L6,OFFSET([4]characters!$A$1,0,0,COUNTA([4]characters!$A:$A),MATCH(O$1,[4]characters!$1:$1,0)-MATCH($L$1,[4]characters!$1:$1,0)+1),MATCH(O$1,[4]characters!$1:$1,0)-MATCH($L$1,[4]characters!$1:$1,0)+1,FALSE)</f>
        <v>Drop2N</v>
      </c>
      <c r="P6" s="140" t="str">
        <f ca="1">VLOOKUP($L6,OFFSET([3]enemies!$A$1,0,0,COUNTA([3]enemies!$A:$A),MATCH(P$1,[3]enemies!$1:$1,0)-MATCH($L$1,[3]enemies!$1:$1,0)+1),MATCH(P$1,[3]enemies!$1:$1,0)-MATCH($L$1,[3]enemies!$1:$1,0)+1,FALSE)</f>
        <v>dragon</v>
      </c>
      <c r="Q6" s="140">
        <f ca="1">VLOOKUP($L6,OFFSET([3]enemies!$A$1,0,0,COUNTA([3]enemies!$A:$A),MATCH(Q$1,[3]enemies!$1:$1,0)-MATCH($L$1,[3]enemies!$1:$1,0)+1),MATCH(Q$1,[3]enemies!$1:$1,0)-MATCH($L$1,[3]enemies!$1:$1,0)+1,FALSE)</f>
        <v>30</v>
      </c>
      <c r="R6" s="141">
        <v>30</v>
      </c>
      <c r="S6" s="191">
        <v>2.2999999999999998</v>
      </c>
      <c r="T6" s="143">
        <f ca="1">ROUND(VLOOKUP(R6,[3]enemy_base_stats!$A:$F,2,FALSE) *INDIRECT("[EnemyMasterData.xlsm]enemies!Y"&amp;(L6+1))*  INDIRECT("[EnemyMasterData.xlsm]enemies!J"&amp;(L6+1))* INDIRECT("[EnemyMasterData.xlsm]enemies!O"&amp;(L6+1))* INDIRECT("[EnemyMasterData.xlsm]enemies!E"&amp;(L6+1))* INDIRECT("[EnemyMasterData.xlsm]enemies!S"&amp;(L6+1))* INDIRECT("[EnemyMasterData.xlsm]enemies!AD"&amp;(L6+1))*[4]ステータス!$B$2,0)*S6</f>
        <v>153911.4</v>
      </c>
      <c r="U6" s="192">
        <v>1.3</v>
      </c>
      <c r="V6" s="143">
        <f ca="1">ROUND(VLOOKUP(R6,[3]enemy_base_stats!$A:$F,3,FALSE) *INDIRECT("[EnemyMasterData.xlsm]enemies!Z"&amp;(L6+1))*  INDIRECT("[EnemyMasterData.xlsm]enemies!K"&amp;(L6+1))* INDIRECT("[EnemyMasterData.xlsm]enemies!P"&amp;(L6+1))* INDIRECT("[EnemyMasterData.xlsm]enemies!F"&amp;(L6+1))* INDIRECT("[EnemyMasterData.xlsm]enemies!T"&amp;(L6+1))* INDIRECT("[EnemyMasterData.xlsm]enemies!AE"&amp;(L6+1))*[4]ステータス!$C$2,0)*U6</f>
        <v>3920.8</v>
      </c>
      <c r="W6" s="141">
        <v>0</v>
      </c>
      <c r="X6" s="139" t="str">
        <f ca="1">VLOOKUP($Y6,OFFSET(enemy_skill_sets!$B$1,0,0,COUNTA(enemy_skill_sets!$B:$B),MATCH(M$1,enemy_skill_sets!$1:$1,0)-MATCH($Y$1,enemy_skill_sets!$1:$1,0)+2),MATCH(M$1,enemy_skill_sets!$1:$1,0)-MATCH($Y$1,enemy_skill_sets!$1:$1,0)+2,FALSE)</f>
        <v>状態異常耐性</v>
      </c>
      <c r="Y6" s="174">
        <v>30043006</v>
      </c>
      <c r="Z6" s="145">
        <v>1</v>
      </c>
      <c r="AA6" s="145">
        <v>100</v>
      </c>
      <c r="AB6" s="145">
        <v>1</v>
      </c>
      <c r="AC6" s="193">
        <v>2</v>
      </c>
      <c r="AD6" s="196">
        <v>1145</v>
      </c>
      <c r="AE6" s="139" t="str">
        <f ca="1">VLOOKUP($AD6,OFFSET([4]characters!$A$1,0,0,COUNTA([4]characters!$A:$A),MATCH(AE$1,[4]characters!$1:$1,0)-MATCH("character_id",[4]characters!$1:$1,0)+1),MATCH(AE$1,[4]characters!$1:$1,0)-MATCH("character_id",[4]characters!$1:$1,0)+1,FALSE)</f>
        <v>ヴリトラ</v>
      </c>
      <c r="AF6" s="139">
        <f ca="1">VLOOKUP($AD6,OFFSET([4]characters!$A$1,0,0,COUNTA([4]characters!$A:$A),MATCH(AF$1,[4]characters!$1:$1,0)-MATCH("character_id",[4]characters!$1:$1,0)+1),MATCH(AF$1,[4]characters!$1:$1,0)-MATCH("character_id",[4]characters!$1:$1,0)+1,FALSE)</f>
        <v>4</v>
      </c>
      <c r="AG6" s="139" t="str">
        <f ca="1">VLOOKUP($AD6,OFFSET([4]characters!$A$1,0,0,COUNTA([4]characters!$A:$A),MATCH(AG$1,[4]characters!$1:$1,0)-MATCH("character_id",[4]characters!$1:$1,0)+1),MATCH(AG$1,[4]characters!$1:$1,0)-MATCH("character_id",[4]characters!$1:$1,0)+1,FALSE)</f>
        <v>Drop2N</v>
      </c>
      <c r="AH6" s="114">
        <v>1</v>
      </c>
      <c r="AI6" s="146">
        <f t="shared" ca="1" si="4"/>
        <v>4</v>
      </c>
      <c r="AJ6" s="194">
        <v>20</v>
      </c>
      <c r="AK6" s="114">
        <v>0</v>
      </c>
      <c r="AL6" s="114">
        <v>0</v>
      </c>
      <c r="AM6" s="114">
        <v>0</v>
      </c>
      <c r="AN6" s="114">
        <v>0</v>
      </c>
      <c r="AO6" s="114">
        <v>1</v>
      </c>
      <c r="AP6" s="147">
        <v>1</v>
      </c>
    </row>
    <row r="7" spans="1:42" ht="21" customHeight="1" thickTop="1" x14ac:dyDescent="0.15">
      <c r="A7" s="120" t="str">
        <f>B7&amp;"_"&amp;C7&amp;"-"&amp;G7&amp;"/"&amp;L7&amp;"&lt;lv"&amp;R7&amp;"&gt;s"&amp;AC7</f>
        <v>30043_2-1/1145&lt;lv40&gt;s1</v>
      </c>
      <c r="B7" s="148">
        <v>30043</v>
      </c>
      <c r="C7" s="123">
        <v>2</v>
      </c>
      <c r="D7" s="125" t="str">
        <f>B7&amp;"_"&amp;C7</f>
        <v>30043_2</v>
      </c>
      <c r="E7" s="149" t="str">
        <f ca="1">VLOOKUP($B7,OFFSET([2]quests!$A$1,0,0,COUNTA([2]quests!$A:$A),MATCH(E$1,[2]quests!$1:$1,0)-MATCH($B$1,[2]quests!$1:$1,0)+1),MATCH(E$1,[2]quests!$1:$1,0)-MATCH($B$1,[2]quests!$1:$1,0)+1,FALSE)</f>
        <v>小さな破壊竜</v>
      </c>
      <c r="F7" s="149" t="str">
        <f ca="1">VLOOKUP($D7,OFFSET([2]stages!$A$1,0,0,COUNTA([2]stages!$A:$A),MATCH(F$1,[2]stages!$2:$2,0)-MATCH($D$1,[2]stages!$2:$2,0)+1),MATCH(F$1,[2]stages!$2:$2,0)-MATCH($D$1,[2]stages!$2:$2,0)+1,FALSE)</f>
        <v>【上級】小さな破壊竜</v>
      </c>
      <c r="G7" s="123">
        <v>1</v>
      </c>
      <c r="H7" s="125" t="str">
        <f>B7&amp;"_"&amp;C7&amp;"-"&amp;G7</f>
        <v>30043_2-1</v>
      </c>
      <c r="I7" s="149">
        <f ca="1">VLOOKUP($H7,OFFSET(floors!$A$1,0,0,COUNTA(floors!$A:$A),MATCH(I$1,floors!$1:$1,0)-MATCH($H$1,floors!$1:$1,0)+1),MATCH(I$1,floors!$1:$1,0)-MATCH($H$1,floors!$1:$1,0)+1,FALSE)</f>
        <v>30</v>
      </c>
      <c r="J7" s="149">
        <f ca="1">VLOOKUP($H7,OFFSET(floors!$A$1,0,0,COUNTA(floors!$A:$A),MATCH(J$1,floors!$1:$1,0)-MATCH($H$1,floors!$1:$1,0)+1),MATCH(J$1,floors!$1:$1,0)-MATCH($H$1,floors!$1:$1,0)+1,FALSE)</f>
        <v>30</v>
      </c>
      <c r="K7" s="126" t="s">
        <v>53</v>
      </c>
      <c r="L7" s="177">
        <v>1145</v>
      </c>
      <c r="M7" s="151" t="str">
        <f ca="1">VLOOKUP($L7,OFFSET([3]enemies!$A$1,0,0,COUNTA([3]enemies!$A:$A),MATCH(M$1,[3]enemies!$1:$1,0)-MATCH($L$1,[3]enemies!$1:$1,0)+1),MATCH(M$1,[3]enemies!$1:$1,0)-MATCH($L$1,[3]enemies!$1:$1,0)+1,FALSE)</f>
        <v>ヴリトラ</v>
      </c>
      <c r="N7" s="151" t="str">
        <f ca="1">VLOOKUP($L7,OFFSET([3]enemies!$A$1,0,0,COUNTA([3]enemies!$A:$A),MATCH(N$1,[3]enemies!$1:$1,0)-MATCH($L$1,[3]enemies!$1:$1,0)+1),MATCH(N$1,[3]enemies!$1:$1,0)-MATCH($L$1,[3]enemies!$1:$1,0)+1,FALSE)</f>
        <v>yellow</v>
      </c>
      <c r="O7" s="151" t="str">
        <f ca="1">VLOOKUP($L7,OFFSET([4]characters!$A$1,0,0,COUNTA([4]characters!$A:$A),MATCH(O$1,[4]characters!$1:$1,0)-MATCH($L$1,[4]characters!$1:$1,0)+1),MATCH(O$1,[4]characters!$1:$1,0)-MATCH($L$1,[4]characters!$1:$1,0)+1,FALSE)</f>
        <v>Drop2N</v>
      </c>
      <c r="P7" s="151" t="str">
        <f ca="1">VLOOKUP($L7,OFFSET([3]enemies!$A$1,0,0,COUNTA([3]enemies!$A:$A),MATCH(P$1,[3]enemies!$1:$1,0)-MATCH($L$1,[3]enemies!$1:$1,0)+1),MATCH(P$1,[3]enemies!$1:$1,0)-MATCH($L$1,[3]enemies!$1:$1,0)+1,FALSE)</f>
        <v>dragon</v>
      </c>
      <c r="Q7" s="151">
        <f ca="1">VLOOKUP($L7,OFFSET([3]enemies!$A$1,0,0,COUNTA([3]enemies!$A:$A),MATCH(Q$1,[3]enemies!$1:$1,0)-MATCH($L$1,[3]enemies!$1:$1,0)+1),MATCH(Q$1,[3]enemies!$1:$1,0)-MATCH($L$1,[3]enemies!$1:$1,0)+1,FALSE)</f>
        <v>30</v>
      </c>
      <c r="R7" s="152">
        <v>40</v>
      </c>
      <c r="S7" s="130">
        <v>3.3</v>
      </c>
      <c r="T7" s="154">
        <f ca="1">ROUND(VLOOKUP(R7,[3]enemy_base_stats!$A:$F,2,FALSE) *INDIRECT("[EnemyMasterData.xlsm]enemies!Y"&amp;(L7+1))*  INDIRECT("[EnemyMasterData.xlsm]enemies!J"&amp;(L7+1))* INDIRECT("[EnemyMasterData.xlsm]enemies!O"&amp;(L7+1))* INDIRECT("[EnemyMasterData.xlsm]enemies!E"&amp;(L7+1))* INDIRECT("[EnemyMasterData.xlsm]enemies!S"&amp;(L7+1))* INDIRECT("[EnemyMasterData.xlsm]enemies!AD"&amp;(L7+1))*[4]ステータス!$B$2,0)*S7</f>
        <v>290934.59999999998</v>
      </c>
      <c r="U7" s="130">
        <v>1.3</v>
      </c>
      <c r="V7" s="154">
        <f ca="1">ROUND(VLOOKUP(R7,[3]enemy_base_stats!$A:$F,3,FALSE) *INDIRECT("[EnemyMasterData.xlsm]enemies!Z"&amp;(L7+1))*  INDIRECT("[EnemyMasterData.xlsm]enemies!K"&amp;(L7+1))* INDIRECT("[EnemyMasterData.xlsm]enemies!P"&amp;(L7+1))* INDIRECT("[EnemyMasterData.xlsm]enemies!F"&amp;(L7+1))* INDIRECT("[EnemyMasterData.xlsm]enemies!T"&amp;(L7+1))* INDIRECT("[EnemyMasterData.xlsm]enemies!AE"&amp;(L7+1))*[4]ステータス!$C$2,0)*U7</f>
        <v>5166.2</v>
      </c>
      <c r="W7" s="152">
        <v>0</v>
      </c>
      <c r="X7" s="149" t="str">
        <f ca="1">VLOOKUP($Y7,OFFSET(enemy_skill_sets!$B$1,0,0,COUNTA(enemy_skill_sets!$B:$B),MATCH(M$1,enemy_skill_sets!$1:$1,0)-MATCH($Y$1,enemy_skill_sets!$1:$1,0)+2),MATCH(M$1,enemy_skill_sets!$1:$1,0)-MATCH($Y$1,enemy_skill_sets!$1:$1,0)+2,FALSE)</f>
        <v>ンギャ！　ツギノ　オモチャ　ハッケーン！</v>
      </c>
      <c r="Y7" s="127">
        <v>30043001</v>
      </c>
      <c r="Z7" s="155">
        <v>1</v>
      </c>
      <c r="AA7" s="155">
        <v>100</v>
      </c>
      <c r="AB7" s="155">
        <v>1</v>
      </c>
      <c r="AC7" s="103">
        <v>1</v>
      </c>
      <c r="AD7" s="156">
        <f>L7</f>
        <v>1145</v>
      </c>
      <c r="AE7" s="149" t="str">
        <f ca="1">VLOOKUP($AD7,OFFSET([4]characters!$A$1,0,0,COUNTA([4]characters!$A:$A),MATCH(AE$1,[4]characters!$1:$1,0)-MATCH("character_id",[4]characters!$1:$1,0)+1),MATCH(AE$1,[4]characters!$1:$1,0)-MATCH("character_id",[4]characters!$1:$1,0)+1,FALSE)</f>
        <v>ヴリトラ</v>
      </c>
      <c r="AF7" s="149">
        <f ca="1">VLOOKUP($AD7,OFFSET([4]characters!$A$1,0,0,COUNTA([4]characters!$A:$A),MATCH(AF$1,[4]characters!$1:$1,0)-MATCH("character_id",[4]characters!$1:$1,0)+1),MATCH(AF$1,[4]characters!$1:$1,0)-MATCH("character_id",[4]characters!$1:$1,0)+1,FALSE)</f>
        <v>4</v>
      </c>
      <c r="AG7" s="149" t="str">
        <f ca="1">VLOOKUP($AD7,OFFSET([4]characters!$A$1,0,0,COUNTA([4]characters!$A:$A),MATCH(AG$1,[4]characters!$1:$1,0)-MATCH("character_id",[4]characters!$1:$1,0)+1),MATCH(AG$1,[4]characters!$1:$1,0)-MATCH("character_id",[4]characters!$1:$1,0)+1,FALSE)</f>
        <v>Drop2N</v>
      </c>
      <c r="AH7" s="121">
        <v>1</v>
      </c>
      <c r="AI7" s="156">
        <f ca="1">AF7</f>
        <v>4</v>
      </c>
      <c r="AJ7" s="134">
        <v>0</v>
      </c>
      <c r="AK7" s="121">
        <v>0</v>
      </c>
      <c r="AL7" s="121">
        <v>0</v>
      </c>
      <c r="AM7" s="121">
        <v>0</v>
      </c>
      <c r="AN7" s="121">
        <v>0</v>
      </c>
      <c r="AO7" s="121">
        <v>1</v>
      </c>
      <c r="AP7" s="157">
        <v>1</v>
      </c>
    </row>
    <row r="8" spans="1:42" ht="21" customHeight="1" x14ac:dyDescent="0.15">
      <c r="A8" s="110" t="str">
        <f t="shared" ref="A8:A11" si="5">B8&amp;"_"&amp;C8&amp;"-"&amp;G8&amp;"/"&amp;L8&amp;"&lt;lv"&amp;R8&amp;"&gt;s"&amp;AC8</f>
        <v>30043_2-2/133&lt;lv40&gt;s2</v>
      </c>
      <c r="B8" s="21">
        <v>30043</v>
      </c>
      <c r="C8" s="112">
        <v>2</v>
      </c>
      <c r="D8" s="14" t="str">
        <f t="shared" ref="D8:D11" si="6">B8&amp;"_"&amp;C8</f>
        <v>30043_2</v>
      </c>
      <c r="E8" s="4" t="str">
        <f ca="1">VLOOKUP($B8,OFFSET([2]quests!$A$1,0,0,COUNTA([2]quests!$A:$A),MATCH(E$1,[2]quests!$1:$1,0)-MATCH($B$1,[2]quests!$1:$1,0)+1),MATCH(E$1,[2]quests!$1:$1,0)-MATCH($B$1,[2]quests!$1:$1,0)+1,FALSE)</f>
        <v>小さな破壊竜</v>
      </c>
      <c r="F8" s="4" t="str">
        <f ca="1">VLOOKUP($D8,OFFSET([2]stages!$A$1,0,0,COUNTA([2]stages!$A:$A),MATCH(F$1,[2]stages!$2:$2,0)-MATCH($D$1,[2]stages!$2:$2,0)+1),MATCH(F$1,[2]stages!$2:$2,0)-MATCH($D$1,[2]stages!$2:$2,0)+1,FALSE)</f>
        <v>【上級】小さな破壊竜</v>
      </c>
      <c r="G8" s="112">
        <v>2</v>
      </c>
      <c r="H8" s="14" t="str">
        <f t="shared" ref="H8:H11" si="7">B8&amp;"_"&amp;C8&amp;"-"&amp;G8</f>
        <v>30043_2-2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37">
        <v>3</v>
      </c>
      <c r="L8" s="136">
        <v>133</v>
      </c>
      <c r="M8" s="16" t="str">
        <f ca="1">VLOOKUP($L8,OFFSET([3]enemies!$A$1,0,0,COUNTA([3]enemies!$A:$A),MATCH(M$1,[3]enemies!$1:$1,0)-MATCH($L$1,[3]enemies!$1:$1,0)+1),MATCH(M$1,[3]enemies!$1:$1,0)-MATCH($L$1,[3]enemies!$1:$1,0)+1,FALSE)</f>
        <v>迅雷の刀剣 ハヤト</v>
      </c>
      <c r="N8" s="16" t="str">
        <f ca="1">VLOOKUP($L8,OFFSET([3]enemies!$A$1,0,0,COUNTA([3]enemies!$A:$A),MATCH(N$1,[3]enemies!$1:$1,0)-MATCH($L$1,[3]enemies!$1:$1,0)+1),MATCH(N$1,[3]enemies!$1:$1,0)-MATCH($L$1,[3]enemies!$1:$1,0)+1,FALSE)</f>
        <v>yellow</v>
      </c>
      <c r="O8" s="16" t="str">
        <f ca="1">VLOOKUP($L8,OFFSET([4]characters!$A$1,0,0,COUNTA([4]characters!$A:$A),MATCH(O$1,[4]characters!$1:$1,0)-MATCH($L$1,[4]characters!$1:$1,0)+1),MATCH(O$1,[4]characters!$1:$1,0)-MATCH($L$1,[4]characters!$1:$1,0)+1,FALSE)</f>
        <v>PremiumW</v>
      </c>
      <c r="P8" s="16" t="str">
        <f ca="1">VLOOKUP($L8,OFFSET([3]enemies!$A$1,0,0,COUNTA([3]enemies!$A:$A),MATCH(P$1,[3]enemies!$1:$1,0)-MATCH($L$1,[3]enemies!$1:$1,0)+1),MATCH(P$1,[3]enemies!$1:$1,0)-MATCH($L$1,[3]enemies!$1:$1,0)+1,FALSE)</f>
        <v>human</v>
      </c>
      <c r="Q8" s="16">
        <f ca="1">VLOOKUP($L8,OFFSET([3]enemies!$A$1,0,0,COUNTA([3]enemies!$A:$A),MATCH(Q$1,[3]enemies!$1:$1,0)-MATCH($L$1,[3]enemies!$1:$1,0)+1),MATCH(Q$1,[3]enemies!$1:$1,0)-MATCH($L$1,[3]enemies!$1:$1,0)+1,FALSE)</f>
        <v>30</v>
      </c>
      <c r="R8" s="5">
        <v>40</v>
      </c>
      <c r="S8" s="24">
        <v>2.7</v>
      </c>
      <c r="T8" s="99">
        <f ca="1">ROUND(VLOOKUP(R8,[3]enemy_base_stats!$A:$F,2,FALSE) *INDIRECT("[EnemyMasterData.xlsm]enemies!Y"&amp;(L8+1))*  INDIRECT("[EnemyMasterData.xlsm]enemies!J"&amp;(L8+1))* INDIRECT("[EnemyMasterData.xlsm]enemies!O"&amp;(L8+1))* INDIRECT("[EnemyMasterData.xlsm]enemies!E"&amp;(L8+1))* INDIRECT("[EnemyMasterData.xlsm]enemies!S"&amp;(L8+1))* INDIRECT("[EnemyMasterData.xlsm]enemies!AD"&amp;(L8+1))*[4]ステータス!$B$2,0)*S8</f>
        <v>134187.30000000002</v>
      </c>
      <c r="U8" s="24">
        <v>1</v>
      </c>
      <c r="V8" s="99">
        <f ca="1">ROUND(VLOOKUP(R8,[3]enemy_base_stats!$A:$F,3,FALSE) *INDIRECT("[EnemyMasterData.xlsm]enemies!Z"&amp;(L8+1))*  INDIRECT("[EnemyMasterData.xlsm]enemies!K"&amp;(L8+1))* INDIRECT("[EnemyMasterData.xlsm]enemies!P"&amp;(L8+1))* INDIRECT("[EnemyMasterData.xlsm]enemies!F"&amp;(L8+1))* INDIRECT("[EnemyMasterData.xlsm]enemies!T"&amp;(L8+1))* INDIRECT("[EnemyMasterData.xlsm]enemies!AE"&amp;(L8+1))*[4]ステータス!$C$2,0)*U8</f>
        <v>5596</v>
      </c>
      <c r="W8" s="5">
        <v>0</v>
      </c>
      <c r="X8" s="4" t="str">
        <f ca="1">VLOOKUP($Y8,OFFSET(enemy_skill_sets!$B$1,0,0,COUNTA(enemy_skill_sets!$B:$B),MATCH(M$1,enemy_skill_sets!$1:$1,0)-MATCH($Y$1,enemy_skill_sets!$1:$1,0)+2),MATCH(M$1,enemy_skill_sets!$1:$1,0)-MATCH($Y$1,enemy_skill_sets!$1:$1,0)+2,FALSE)</f>
        <v>解除するまでユニット単体の攻撃力25%DOWN_x000D_+クリティカル！</v>
      </c>
      <c r="Y8" s="127">
        <v>30043002</v>
      </c>
      <c r="Z8" s="6">
        <v>1</v>
      </c>
      <c r="AA8" s="6">
        <v>100</v>
      </c>
      <c r="AB8" s="6">
        <v>1</v>
      </c>
      <c r="AC8" s="103">
        <v>2</v>
      </c>
      <c r="AD8" s="137">
        <f t="shared" ref="AD8:AD10" si="8">L8</f>
        <v>133</v>
      </c>
      <c r="AE8" s="4" t="str">
        <f ca="1">VLOOKUP($AD8,OFFSET([4]characters!$A$1,0,0,COUNTA([4]characters!$A:$A),MATCH(AE$1,[4]characters!$1:$1,0)-MATCH("character_id",[4]characters!$1:$1,0)+1),MATCH(AE$1,[4]characters!$1:$1,0)-MATCH("character_id",[4]characters!$1:$1,0)+1,FALSE)</f>
        <v>迅雷の刀剣 ハヤト</v>
      </c>
      <c r="AF8" s="4">
        <f ca="1">VLOOKUP($AD8,OFFSET([4]characters!$A$1,0,0,COUNTA([4]characters!$A:$A),MATCH(AF$1,[4]characters!$1:$1,0)-MATCH("character_id",[4]characters!$1:$1,0)+1),MATCH(AF$1,[4]characters!$1:$1,0)-MATCH("character_id",[4]characters!$1:$1,0)+1,FALSE)</f>
        <v>4</v>
      </c>
      <c r="AG8" s="4" t="str">
        <f ca="1">VLOOKUP($AD8,OFFSET([4]characters!$A$1,0,0,COUNTA([4]characters!$A:$A),MATCH(AG$1,[4]characters!$1:$1,0)-MATCH("character_id",[4]characters!$1:$1,0)+1),MATCH(AG$1,[4]characters!$1:$1,0)-MATCH("character_id",[4]characters!$1:$1,0)+1,FALSE)</f>
        <v>PremiumW</v>
      </c>
      <c r="AH8" s="111">
        <v>1</v>
      </c>
      <c r="AI8" s="137">
        <f t="shared" ref="AI8:AI11" ca="1" si="9">AF8</f>
        <v>4</v>
      </c>
      <c r="AJ8" s="8">
        <v>0</v>
      </c>
      <c r="AK8" s="111">
        <v>0</v>
      </c>
      <c r="AL8" s="111">
        <v>0</v>
      </c>
      <c r="AM8" s="111">
        <v>0</v>
      </c>
      <c r="AN8" s="111">
        <v>0</v>
      </c>
      <c r="AO8" s="111">
        <v>1</v>
      </c>
      <c r="AP8" s="68">
        <v>1</v>
      </c>
    </row>
    <row r="9" spans="1:42" ht="21" customHeight="1" x14ac:dyDescent="0.15">
      <c r="A9" s="110" t="str">
        <f t="shared" si="5"/>
        <v>30043_2-3/64&lt;lv40&gt;s2</v>
      </c>
      <c r="B9" s="21">
        <v>30043</v>
      </c>
      <c r="C9" s="112">
        <v>2</v>
      </c>
      <c r="D9" s="14" t="str">
        <f t="shared" si="6"/>
        <v>30043_2</v>
      </c>
      <c r="E9" s="4" t="str">
        <f ca="1">VLOOKUP($B9,OFFSET([2]quests!$A$1,0,0,COUNTA([2]quests!$A:$A),MATCH(E$1,[2]quests!$1:$1,0)-MATCH($B$1,[2]quests!$1:$1,0)+1),MATCH(E$1,[2]quests!$1:$1,0)-MATCH($B$1,[2]quests!$1:$1,0)+1,FALSE)</f>
        <v>小さな破壊竜</v>
      </c>
      <c r="F9" s="4" t="str">
        <f ca="1">VLOOKUP($D9,OFFSET([2]stages!$A$1,0,0,COUNTA([2]stages!$A:$A),MATCH(F$1,[2]stages!$2:$2,0)-MATCH($D$1,[2]stages!$2:$2,0)+1),MATCH(F$1,[2]stages!$2:$2,0)-MATCH($D$1,[2]stages!$2:$2,0)+1,FALSE)</f>
        <v>【上級】小さな破壊竜</v>
      </c>
      <c r="G9" s="112">
        <v>3</v>
      </c>
      <c r="H9" s="14" t="str">
        <f t="shared" si="7"/>
        <v>30043_2-3</v>
      </c>
      <c r="I9" s="4">
        <f ca="1">VLOOKUP($H9,OFFSET(floors!$A$1,0,0,COUNTA(floors!$A:$A),MATCH(I$1,floors!$1:$1,0)-MATCH($H$1,floors!$1:$1,0)+1),MATCH(I$1,floors!$1:$1,0)-MATCH($H$1,floors!$1:$1,0)+1,FALSE)</f>
        <v>50</v>
      </c>
      <c r="J9" s="4">
        <f ca="1">VLOOKUP($H9,OFFSET(floors!$A$1,0,0,COUNTA(floors!$A:$A),MATCH(J$1,floors!$1:$1,0)-MATCH($H$1,floors!$1:$1,0)+1),MATCH(J$1,floors!$1:$1,0)-MATCH($H$1,floors!$1:$1,0)+1,FALSE)</f>
        <v>50</v>
      </c>
      <c r="K9" s="37" t="s">
        <v>53</v>
      </c>
      <c r="L9" s="136">
        <v>64</v>
      </c>
      <c r="M9" s="16" t="str">
        <f ca="1">VLOOKUP($L9,OFFSET([3]enemies!$A$1,0,0,COUNTA([3]enemies!$A:$A),MATCH(M$1,[3]enemies!$1:$1,0)-MATCH($L$1,[3]enemies!$1:$1,0)+1),MATCH(M$1,[3]enemies!$1:$1,0)-MATCH($L$1,[3]enemies!$1:$1,0)+1,FALSE)</f>
        <v>フレイムエッジ トニー</v>
      </c>
      <c r="N9" s="16" t="str">
        <f ca="1">VLOOKUP($L9,OFFSET([3]enemies!$A$1,0,0,COUNTA([3]enemies!$A:$A),MATCH(N$1,[3]enemies!$1:$1,0)-MATCH($L$1,[3]enemies!$1:$1,0)+1),MATCH(N$1,[3]enemies!$1:$1,0)-MATCH($L$1,[3]enemies!$1:$1,0)+1,FALSE)</f>
        <v>yellow</v>
      </c>
      <c r="O9" s="16" t="str">
        <f ca="1">VLOOKUP($L9,OFFSET([4]characters!$A$1,0,0,COUNTA([4]characters!$A:$A),MATCH(O$1,[4]characters!$1:$1,0)-MATCH($L$1,[4]characters!$1:$1,0)+1),MATCH(O$1,[4]characters!$1:$1,0)-MATCH($L$1,[4]characters!$1:$1,0)+1,FALSE)</f>
        <v>Drop1N</v>
      </c>
      <c r="P9" s="16" t="str">
        <f ca="1">VLOOKUP($L9,OFFSET([3]enemies!$A$1,0,0,COUNTA([3]enemies!$A:$A),MATCH(P$1,[3]enemies!$1:$1,0)-MATCH($L$1,[3]enemies!$1:$1,0)+1),MATCH(P$1,[3]enemies!$1:$1,0)-MATCH($L$1,[3]enemies!$1:$1,0)+1,FALSE)</f>
        <v>animal</v>
      </c>
      <c r="Q9" s="16">
        <f ca="1">VLOOKUP($L9,OFFSET([3]enemies!$A$1,0,0,COUNTA([3]enemies!$A:$A),MATCH(Q$1,[3]enemies!$1:$1,0)-MATCH($L$1,[3]enemies!$1:$1,0)+1),MATCH(Q$1,[3]enemies!$1:$1,0)-MATCH($L$1,[3]enemies!$1:$1,0)+1,FALSE)</f>
        <v>20</v>
      </c>
      <c r="R9" s="5">
        <v>40</v>
      </c>
      <c r="S9" s="24">
        <v>1.4</v>
      </c>
      <c r="T9" s="99">
        <f ca="1">ROUND(VLOOKUP(R9,[3]enemy_base_stats!$A:$F,2,FALSE) *INDIRECT("[EnemyMasterData.xlsm]enemies!Y"&amp;(L9+1))*  INDIRECT("[EnemyMasterData.xlsm]enemies!J"&amp;(L9+1))* INDIRECT("[EnemyMasterData.xlsm]enemies!O"&amp;(L9+1))* INDIRECT("[EnemyMasterData.xlsm]enemies!E"&amp;(L9+1))* INDIRECT("[EnemyMasterData.xlsm]enemies!S"&amp;(L9+1))* INDIRECT("[EnemyMasterData.xlsm]enemies!AD"&amp;(L9+1))*[4]ステータス!$B$2,0)*S9</f>
        <v>33821.199999999997</v>
      </c>
      <c r="U9" s="24">
        <v>0.8</v>
      </c>
      <c r="V9" s="99">
        <f ca="1">ROUND(VLOOKUP(R9,[3]enemy_base_stats!$A:$F,3,FALSE) *INDIRECT("[EnemyMasterData.xlsm]enemies!Z"&amp;(L9+1))*  INDIRECT("[EnemyMasterData.xlsm]enemies!K"&amp;(L9+1))* INDIRECT("[EnemyMasterData.xlsm]enemies!P"&amp;(L9+1))* INDIRECT("[EnemyMasterData.xlsm]enemies!F"&amp;(L9+1))* INDIRECT("[EnemyMasterData.xlsm]enemies!T"&amp;(L9+1))* INDIRECT("[EnemyMasterData.xlsm]enemies!AE"&amp;(L9+1))*[4]ステータス!$C$2,0)*U9</f>
        <v>3346.4</v>
      </c>
      <c r="W9" s="5">
        <v>0</v>
      </c>
      <c r="X9" s="4" t="str">
        <f ca="1">VLOOKUP($Y9,OFFSET(enemy_skill_sets!$B$1,0,0,COUNTA(enemy_skill_sets!$B:$B),MATCH(M$1,enemy_skill_sets!$1:$1,0)-MATCH($Y$1,enemy_skill_sets!$1:$1,0)+2),MATCH(M$1,enemy_skill_sets!$1:$1,0)-MATCH($Y$1,enemy_skill_sets!$1:$1,0)+2,FALSE)</f>
        <v>3ターンユニット単体にスキルバインド</v>
      </c>
      <c r="Y9" s="127">
        <v>30043004</v>
      </c>
      <c r="Z9" s="6">
        <v>1</v>
      </c>
      <c r="AA9" s="6">
        <v>100</v>
      </c>
      <c r="AB9" s="6">
        <v>1</v>
      </c>
      <c r="AC9" s="103">
        <v>2</v>
      </c>
      <c r="AD9" s="137">
        <f t="shared" si="8"/>
        <v>64</v>
      </c>
      <c r="AE9" s="4" t="str">
        <f ca="1">VLOOKUP($AD9,OFFSET([4]characters!$A$1,0,0,COUNTA([4]characters!$A:$A),MATCH(AE$1,[4]characters!$1:$1,0)-MATCH("character_id",[4]characters!$1:$1,0)+1),MATCH(AE$1,[4]characters!$1:$1,0)-MATCH("character_id",[4]characters!$1:$1,0)+1,FALSE)</f>
        <v>フレイムエッジ トニー</v>
      </c>
      <c r="AF9" s="4">
        <f ca="1">VLOOKUP($AD9,OFFSET([4]characters!$A$1,0,0,COUNTA([4]characters!$A:$A),MATCH(AF$1,[4]characters!$1:$1,0)-MATCH("character_id",[4]characters!$1:$1,0)+1),MATCH(AF$1,[4]characters!$1:$1,0)-MATCH("character_id",[4]characters!$1:$1,0)+1,FALSE)</f>
        <v>3</v>
      </c>
      <c r="AG9" s="4" t="str">
        <f ca="1">VLOOKUP($AD9,OFFSET([4]characters!$A$1,0,0,COUNTA([4]characters!$A:$A),MATCH(AG$1,[4]characters!$1:$1,0)-MATCH("character_id",[4]characters!$1:$1,0)+1),MATCH(AG$1,[4]characters!$1:$1,0)-MATCH("character_id",[4]characters!$1:$1,0)+1,FALSE)</f>
        <v>Drop1N</v>
      </c>
      <c r="AH9" s="111">
        <v>1</v>
      </c>
      <c r="AI9" s="137">
        <f t="shared" ca="1" si="9"/>
        <v>3</v>
      </c>
      <c r="AJ9" s="8">
        <v>15</v>
      </c>
      <c r="AK9" s="111">
        <v>0</v>
      </c>
      <c r="AL9" s="111">
        <v>0</v>
      </c>
      <c r="AM9" s="111">
        <v>0</v>
      </c>
      <c r="AN9" s="111">
        <v>0</v>
      </c>
      <c r="AO9" s="111">
        <v>1</v>
      </c>
      <c r="AP9" s="68">
        <v>1</v>
      </c>
    </row>
    <row r="10" spans="1:42" ht="21" customHeight="1" x14ac:dyDescent="0.15">
      <c r="A10" s="110" t="str">
        <f t="shared" si="5"/>
        <v>30043_2-3/47&lt;lv40&gt;s1</v>
      </c>
      <c r="B10" s="21">
        <v>30043</v>
      </c>
      <c r="C10" s="112">
        <v>2</v>
      </c>
      <c r="D10" s="14" t="str">
        <f t="shared" si="6"/>
        <v>30043_2</v>
      </c>
      <c r="E10" s="4" t="str">
        <f ca="1">VLOOKUP($B10,OFFSET([2]quests!$A$1,0,0,COUNTA([2]quests!$A:$A),MATCH(E$1,[2]quests!$1:$1,0)-MATCH($B$1,[2]quests!$1:$1,0)+1),MATCH(E$1,[2]quests!$1:$1,0)-MATCH($B$1,[2]quests!$1:$1,0)+1,FALSE)</f>
        <v>小さな破壊竜</v>
      </c>
      <c r="F10" s="4" t="str">
        <f ca="1">VLOOKUP($D10,OFFSET([2]stages!$A$1,0,0,COUNTA([2]stages!$A:$A),MATCH(F$1,[2]stages!$2:$2,0)-MATCH($D$1,[2]stages!$2:$2,0)+1),MATCH(F$1,[2]stages!$2:$2,0)-MATCH($D$1,[2]stages!$2:$2,0)+1,FALSE)</f>
        <v>【上級】小さな破壊竜</v>
      </c>
      <c r="G10" s="112">
        <v>3</v>
      </c>
      <c r="H10" s="14" t="str">
        <f t="shared" si="7"/>
        <v>30043_2-3</v>
      </c>
      <c r="I10" s="4">
        <f ca="1">VLOOKUP($H10,OFFSET(floors!$A$1,0,0,COUNTA(floors!$A:$A),MATCH(I$1,floors!$1:$1,0)-MATCH($H$1,floors!$1:$1,0)+1),MATCH(I$1,floors!$1:$1,0)-MATCH($H$1,floors!$1:$1,0)+1,FALSE)</f>
        <v>50</v>
      </c>
      <c r="J10" s="4">
        <f ca="1">VLOOKUP($H10,OFFSET(floors!$A$1,0,0,COUNTA(floors!$A:$A),MATCH(J$1,floors!$1:$1,0)-MATCH($H$1,floors!$1:$1,0)+1),MATCH(J$1,floors!$1:$1,0)-MATCH($H$1,floors!$1:$1,0)+1,FALSE)</f>
        <v>50</v>
      </c>
      <c r="K10" s="37" t="s">
        <v>53</v>
      </c>
      <c r="L10" s="136">
        <v>47</v>
      </c>
      <c r="M10" s="16" t="str">
        <f ca="1">VLOOKUP($L10,OFFSET([3]enemies!$A$1,0,0,COUNTA([3]enemies!$A:$A),MATCH(M$1,[3]enemies!$1:$1,0)-MATCH($L$1,[3]enemies!$1:$1,0)+1),MATCH(M$1,[3]enemies!$1:$1,0)-MATCH($L$1,[3]enemies!$1:$1,0)+1,FALSE)</f>
        <v>ヒロ</v>
      </c>
      <c r="N10" s="16" t="str">
        <f ca="1">VLOOKUP($L10,OFFSET([3]enemies!$A$1,0,0,COUNTA([3]enemies!$A:$A),MATCH(N$1,[3]enemies!$1:$1,0)-MATCH($L$1,[3]enemies!$1:$1,0)+1),MATCH(N$1,[3]enemies!$1:$1,0)-MATCH($L$1,[3]enemies!$1:$1,0)+1,FALSE)</f>
        <v>yellow</v>
      </c>
      <c r="O10" s="16" t="str">
        <f ca="1">VLOOKUP($L10,OFFSET([4]characters!$A$1,0,0,COUNTA([4]characters!$A:$A),MATCH(O$1,[4]characters!$1:$1,0)-MATCH($L$1,[4]characters!$1:$1,0)+1),MATCH(O$1,[4]characters!$1:$1,0)-MATCH($L$1,[4]characters!$1:$1,0)+1,FALSE)</f>
        <v>Drop1N</v>
      </c>
      <c r="P10" s="16" t="str">
        <f ca="1">VLOOKUP($L10,OFFSET([3]enemies!$A$1,0,0,COUNTA([3]enemies!$A:$A),MATCH(P$1,[3]enemies!$1:$1,0)-MATCH($L$1,[3]enemies!$1:$1,0)+1),MATCH(P$1,[3]enemies!$1:$1,0)-MATCH($L$1,[3]enemies!$1:$1,0)+1,FALSE)</f>
        <v>animal</v>
      </c>
      <c r="Q10" s="16">
        <f ca="1">VLOOKUP($L10,OFFSET([3]enemies!$A$1,0,0,COUNTA([3]enemies!$A:$A),MATCH(Q$1,[3]enemies!$1:$1,0)-MATCH($L$1,[3]enemies!$1:$1,0)+1),MATCH(Q$1,[3]enemies!$1:$1,0)-MATCH($L$1,[3]enemies!$1:$1,0)+1,FALSE)</f>
        <v>15</v>
      </c>
      <c r="R10" s="5">
        <v>40</v>
      </c>
      <c r="S10" s="24">
        <v>1.7</v>
      </c>
      <c r="T10" s="99">
        <f ca="1">ROUND(VLOOKUP(R10,[3]enemy_base_stats!$A:$F,2,FALSE) *INDIRECT("[EnemyMasterData.xlsm]enemies!Y"&amp;(L10+1))*  INDIRECT("[EnemyMasterData.xlsm]enemies!J"&amp;(L10+1))* INDIRECT("[EnemyMasterData.xlsm]enemies!O"&amp;(L10+1))* INDIRECT("[EnemyMasterData.xlsm]enemies!E"&amp;(L10+1))* INDIRECT("[EnemyMasterData.xlsm]enemies!S"&amp;(L10+1))* INDIRECT("[EnemyMasterData.xlsm]enemies!AD"&amp;(L10+1))*[4]ステータス!$B$2,0)*S10</f>
        <v>13827.8</v>
      </c>
      <c r="U10" s="24">
        <v>0.7</v>
      </c>
      <c r="V10" s="99">
        <f ca="1">ROUND(VLOOKUP(R10,[3]enemy_base_stats!$A:$F,3,FALSE) *INDIRECT("[EnemyMasterData.xlsm]enemies!Z"&amp;(L10+1))*  INDIRECT("[EnemyMasterData.xlsm]enemies!K"&amp;(L10+1))* INDIRECT("[EnemyMasterData.xlsm]enemies!P"&amp;(L10+1))* INDIRECT("[EnemyMasterData.xlsm]enemies!F"&amp;(L10+1))* INDIRECT("[EnemyMasterData.xlsm]enemies!T"&amp;(L10+1))* INDIRECT("[EnemyMasterData.xlsm]enemies!AE"&amp;(L10+1))*[4]ステータス!$C$2,0)*U10</f>
        <v>2575.2999999999997</v>
      </c>
      <c r="W10" s="5">
        <v>0</v>
      </c>
      <c r="X10" s="4" t="str">
        <f ca="1">VLOOKUP($Y10,OFFSET(enemy_skill_sets!$B$1,0,0,COUNTA(enemy_skill_sets!$B:$B),MATCH(M$1,enemy_skill_sets!$1:$1,0)-MATCH($Y$1,enemy_skill_sets!$1:$1,0)+2),MATCH(M$1,enemy_skill_sets!$1:$1,0)-MATCH($Y$1,enemy_skill_sets!$1:$1,0)+2,FALSE)</f>
        <v>3回連続攻撃</v>
      </c>
      <c r="Y10" s="127">
        <v>30043005</v>
      </c>
      <c r="Z10" s="6">
        <v>2</v>
      </c>
      <c r="AA10" s="6">
        <v>100</v>
      </c>
      <c r="AB10" s="6">
        <v>0</v>
      </c>
      <c r="AC10" s="103">
        <v>1</v>
      </c>
      <c r="AD10" s="137">
        <f t="shared" si="8"/>
        <v>47</v>
      </c>
      <c r="AE10" s="4" t="str">
        <f ca="1">VLOOKUP($AD10,OFFSET([4]characters!$A$1,0,0,COUNTA([4]characters!$A:$A),MATCH(AE$1,[4]characters!$1:$1,0)-MATCH("character_id",[4]characters!$1:$1,0)+1),MATCH(AE$1,[4]characters!$1:$1,0)-MATCH("character_id",[4]characters!$1:$1,0)+1,FALSE)</f>
        <v>ヒロ</v>
      </c>
      <c r="AF10" s="4">
        <f ca="1">VLOOKUP($AD10,OFFSET([4]characters!$A$1,0,0,COUNTA([4]characters!$A:$A),MATCH(AF$1,[4]characters!$1:$1,0)-MATCH("character_id",[4]characters!$1:$1,0)+1),MATCH(AF$1,[4]characters!$1:$1,0)-MATCH("character_id",[4]characters!$1:$1,0)+1,FALSE)</f>
        <v>2</v>
      </c>
      <c r="AG10" s="4" t="str">
        <f ca="1">VLOOKUP($AD10,OFFSET([4]characters!$A$1,0,0,COUNTA([4]characters!$A:$A),MATCH(AG$1,[4]characters!$1:$1,0)-MATCH("character_id",[4]characters!$1:$1,0)+1),MATCH(AG$1,[4]characters!$1:$1,0)-MATCH("character_id",[4]characters!$1:$1,0)+1,FALSE)</f>
        <v>Drop1N</v>
      </c>
      <c r="AH10" s="111">
        <v>1</v>
      </c>
      <c r="AI10" s="137">
        <f t="shared" ca="1" si="9"/>
        <v>2</v>
      </c>
      <c r="AJ10" s="8">
        <v>15</v>
      </c>
      <c r="AK10" s="111">
        <v>0</v>
      </c>
      <c r="AL10" s="111">
        <v>0</v>
      </c>
      <c r="AM10" s="111">
        <v>0</v>
      </c>
      <c r="AN10" s="111">
        <v>0</v>
      </c>
      <c r="AO10" s="111">
        <v>1</v>
      </c>
      <c r="AP10" s="68">
        <v>1</v>
      </c>
    </row>
    <row r="11" spans="1:42" ht="21" customHeight="1" thickBot="1" x14ac:dyDescent="0.2">
      <c r="A11" s="113" t="str">
        <f t="shared" si="5"/>
        <v>30043_2-4/1145&lt;lv40&gt;s2</v>
      </c>
      <c r="B11" s="138">
        <v>30043</v>
      </c>
      <c r="C11" s="116">
        <v>2</v>
      </c>
      <c r="D11" s="118" t="str">
        <f t="shared" si="6"/>
        <v>30043_2</v>
      </c>
      <c r="E11" s="139" t="str">
        <f ca="1">VLOOKUP($B11,OFFSET([2]quests!$A$1,0,0,COUNTA([2]quests!$A:$A),MATCH(E$1,[2]quests!$1:$1,0)-MATCH($B$1,[2]quests!$1:$1,0)+1),MATCH(E$1,[2]quests!$1:$1,0)-MATCH($B$1,[2]quests!$1:$1,0)+1,FALSE)</f>
        <v>小さな破壊竜</v>
      </c>
      <c r="F11" s="139" t="str">
        <f ca="1">VLOOKUP($D11,OFFSET([2]stages!$A$1,0,0,COUNTA([2]stages!$A:$A),MATCH(F$1,[2]stages!$2:$2,0)-MATCH($D$1,[2]stages!$2:$2,0)+1),MATCH(F$1,[2]stages!$2:$2,0)-MATCH($D$1,[2]stages!$2:$2,0)+1,FALSE)</f>
        <v>【上級】小さな破壊竜</v>
      </c>
      <c r="G11" s="116">
        <v>4</v>
      </c>
      <c r="H11" s="118" t="str">
        <f t="shared" si="7"/>
        <v>30043_2-4</v>
      </c>
      <c r="I11" s="139">
        <f ca="1">VLOOKUP($H11,OFFSET(floors!$A$1,0,0,COUNTA(floors!$A:$A),MATCH(I$1,floors!$1:$1,0)-MATCH($H$1,floors!$1:$1,0)+1),MATCH(I$1,floors!$1:$1,0)-MATCH($H$1,floors!$1:$1,0)+1,FALSE)</f>
        <v>60</v>
      </c>
      <c r="J11" s="139">
        <f ca="1">VLOOKUP($H11,OFFSET(floors!$A$1,0,0,COUNTA(floors!$A:$A),MATCH(J$1,floors!$1:$1,0)-MATCH($H$1,floors!$1:$1,0)+1),MATCH(J$1,floors!$1:$1,0)-MATCH($H$1,floors!$1:$1,0)+1,FALSE)</f>
        <v>60</v>
      </c>
      <c r="K11" s="119">
        <v>4</v>
      </c>
      <c r="L11" s="175">
        <v>1145</v>
      </c>
      <c r="M11" s="140" t="str">
        <f ca="1">VLOOKUP($L11,OFFSET([3]enemies!$A$1,0,0,COUNTA([3]enemies!$A:$A),MATCH(M$1,[3]enemies!$1:$1,0)-MATCH($L$1,[3]enemies!$1:$1,0)+1),MATCH(M$1,[3]enemies!$1:$1,0)-MATCH($L$1,[3]enemies!$1:$1,0)+1,FALSE)</f>
        <v>ヴリトラ</v>
      </c>
      <c r="N11" s="140" t="str">
        <f ca="1">VLOOKUP($L11,OFFSET([3]enemies!$A$1,0,0,COUNTA([3]enemies!$A:$A),MATCH(N$1,[3]enemies!$1:$1,0)-MATCH($L$1,[3]enemies!$1:$1,0)+1),MATCH(N$1,[3]enemies!$1:$1,0)-MATCH($L$1,[3]enemies!$1:$1,0)+1,FALSE)</f>
        <v>yellow</v>
      </c>
      <c r="O11" s="140" t="str">
        <f ca="1">VLOOKUP($L11,OFFSET([4]characters!$A$1,0,0,COUNTA([4]characters!$A:$A),MATCH(O$1,[4]characters!$1:$1,0)-MATCH($L$1,[4]characters!$1:$1,0)+1),MATCH(O$1,[4]characters!$1:$1,0)-MATCH($L$1,[4]characters!$1:$1,0)+1,FALSE)</f>
        <v>Drop2N</v>
      </c>
      <c r="P11" s="140" t="str">
        <f ca="1">VLOOKUP($L11,OFFSET([3]enemies!$A$1,0,0,COUNTA([3]enemies!$A:$A),MATCH(P$1,[3]enemies!$1:$1,0)-MATCH($L$1,[3]enemies!$1:$1,0)+1),MATCH(P$1,[3]enemies!$1:$1,0)-MATCH($L$1,[3]enemies!$1:$1,0)+1,FALSE)</f>
        <v>dragon</v>
      </c>
      <c r="Q11" s="140">
        <f ca="1">VLOOKUP($L11,OFFSET([3]enemies!$A$1,0,0,COUNTA([3]enemies!$A:$A),MATCH(Q$1,[3]enemies!$1:$1,0)-MATCH($L$1,[3]enemies!$1:$1,0)+1),MATCH(Q$1,[3]enemies!$1:$1,0)-MATCH($L$1,[3]enemies!$1:$1,0)+1,FALSE)</f>
        <v>30</v>
      </c>
      <c r="R11" s="141">
        <v>40</v>
      </c>
      <c r="S11" s="191">
        <v>2.2999999999999998</v>
      </c>
      <c r="T11" s="143">
        <f ca="1">ROUND(VLOOKUP(R11,[3]enemy_base_stats!$A:$F,2,FALSE) *INDIRECT("[EnemyMasterData.xlsm]enemies!Y"&amp;(L11+1))*  INDIRECT("[EnemyMasterData.xlsm]enemies!J"&amp;(L11+1))* INDIRECT("[EnemyMasterData.xlsm]enemies!O"&amp;(L11+1))* INDIRECT("[EnemyMasterData.xlsm]enemies!E"&amp;(L11+1))* INDIRECT("[EnemyMasterData.xlsm]enemies!S"&amp;(L11+1))* INDIRECT("[EnemyMasterData.xlsm]enemies!AD"&amp;(L11+1))*[4]ステータス!$B$2,0)*S11</f>
        <v>202772.59999999998</v>
      </c>
      <c r="U11" s="192">
        <v>1.3</v>
      </c>
      <c r="V11" s="143">
        <f ca="1">ROUND(VLOOKUP(R11,[3]enemy_base_stats!$A:$F,3,FALSE) *INDIRECT("[EnemyMasterData.xlsm]enemies!Z"&amp;(L11+1))*  INDIRECT("[EnemyMasterData.xlsm]enemies!K"&amp;(L11+1))* INDIRECT("[EnemyMasterData.xlsm]enemies!P"&amp;(L11+1))* INDIRECT("[EnemyMasterData.xlsm]enemies!F"&amp;(L11+1))* INDIRECT("[EnemyMasterData.xlsm]enemies!T"&amp;(L11+1))* INDIRECT("[EnemyMasterData.xlsm]enemies!AE"&amp;(L11+1))*[4]ステータス!$C$2,0)*U11</f>
        <v>5166.2</v>
      </c>
      <c r="W11" s="141">
        <v>0</v>
      </c>
      <c r="X11" s="139" t="str">
        <f ca="1">VLOOKUP($Y11,OFFSET(enemy_skill_sets!$B$1,0,0,COUNTA(enemy_skill_sets!$B:$B),MATCH(M$1,enemy_skill_sets!$1:$1,0)-MATCH($Y$1,enemy_skill_sets!$1:$1,0)+2),MATCH(M$1,enemy_skill_sets!$1:$1,0)-MATCH($Y$1,enemy_skill_sets!$1:$1,0)+2,FALSE)</f>
        <v>状態異常耐性</v>
      </c>
      <c r="Y11" s="174">
        <v>30043006</v>
      </c>
      <c r="Z11" s="145">
        <v>1</v>
      </c>
      <c r="AA11" s="145">
        <v>100</v>
      </c>
      <c r="AB11" s="145">
        <v>1</v>
      </c>
      <c r="AC11" s="193">
        <v>2</v>
      </c>
      <c r="AD11" s="196">
        <v>1145</v>
      </c>
      <c r="AE11" s="139" t="str">
        <f ca="1">VLOOKUP($AD11,OFFSET([4]characters!$A$1,0,0,COUNTA([4]characters!$A:$A),MATCH(AE$1,[4]characters!$1:$1,0)-MATCH("character_id",[4]characters!$1:$1,0)+1),MATCH(AE$1,[4]characters!$1:$1,0)-MATCH("character_id",[4]characters!$1:$1,0)+1,FALSE)</f>
        <v>ヴリトラ</v>
      </c>
      <c r="AF11" s="139">
        <f ca="1">VLOOKUP($AD11,OFFSET([4]characters!$A$1,0,0,COUNTA([4]characters!$A:$A),MATCH(AF$1,[4]characters!$1:$1,0)-MATCH("character_id",[4]characters!$1:$1,0)+1),MATCH(AF$1,[4]characters!$1:$1,0)-MATCH("character_id",[4]characters!$1:$1,0)+1,FALSE)</f>
        <v>4</v>
      </c>
      <c r="AG11" s="139" t="str">
        <f ca="1">VLOOKUP($AD11,OFFSET([4]characters!$A$1,0,0,COUNTA([4]characters!$A:$A),MATCH(AG$1,[4]characters!$1:$1,0)-MATCH("character_id",[4]characters!$1:$1,0)+1),MATCH(AG$1,[4]characters!$1:$1,0)-MATCH("character_id",[4]characters!$1:$1,0)+1,FALSE)</f>
        <v>Drop2N</v>
      </c>
      <c r="AH11" s="114">
        <v>1</v>
      </c>
      <c r="AI11" s="146">
        <f t="shared" ca="1" si="9"/>
        <v>4</v>
      </c>
      <c r="AJ11" s="194">
        <v>50</v>
      </c>
      <c r="AK11" s="114">
        <v>0</v>
      </c>
      <c r="AL11" s="114">
        <v>0</v>
      </c>
      <c r="AM11" s="114">
        <v>0</v>
      </c>
      <c r="AN11" s="114">
        <v>0</v>
      </c>
      <c r="AO11" s="114">
        <v>1</v>
      </c>
      <c r="AP11" s="147">
        <v>1</v>
      </c>
    </row>
    <row r="12" spans="1:42" ht="21" customHeight="1" thickTop="1" x14ac:dyDescent="0.15">
      <c r="A12" s="15" t="str">
        <f>B12&amp;"_"&amp;C12&amp;"-"&amp;G12&amp;"/"&amp;L12&amp;"&lt;lv"&amp;R12&amp;"&gt;s"&amp;AC12</f>
        <v>30043_3-1/1145&lt;lv60&gt;s1</v>
      </c>
      <c r="B12" s="21">
        <v>30043</v>
      </c>
      <c r="C12" s="106">
        <v>3</v>
      </c>
      <c r="D12" s="108" t="str">
        <f>B12&amp;"_"&amp;C12</f>
        <v>30043_3</v>
      </c>
      <c r="E12" s="4" t="str">
        <f ca="1">VLOOKUP($B12,OFFSET([2]quests!$A$1,0,0,COUNTA([2]quests!$A:$A),MATCH(E$1,[2]quests!$1:$1,0)-MATCH($B$1,[2]quests!$1:$1,0)+1),MATCH(E$1,[2]quests!$1:$1,0)-MATCH($B$1,[2]quests!$1:$1,0)+1,FALSE)</f>
        <v>小さな破壊竜</v>
      </c>
      <c r="F12" s="4" t="str">
        <f ca="1">VLOOKUP($D12,OFFSET([2]stages!$A$1,0,0,COUNTA([2]stages!$A:$A),MATCH(F$1,[2]stages!$2:$2,0)-MATCH($D$1,[2]stages!$2:$2,0)+1),MATCH(F$1,[2]stages!$2:$2,0)-MATCH($D$1,[2]stages!$2:$2,0)+1,FALSE)</f>
        <v>【超級】小さな破壊竜</v>
      </c>
      <c r="G12" s="106">
        <v>1</v>
      </c>
      <c r="H12" s="108" t="str">
        <f>B12&amp;"_"&amp;C12&amp;"-"&amp;G12</f>
        <v>30043_3-1</v>
      </c>
      <c r="I12" s="4">
        <f ca="1">VLOOKUP($H12,OFFSET(floors!$A$1,0,0,COUNTA(floors!$A:$A),MATCH(I$1,floors!$1:$1,0)-MATCH($H$1,floors!$1:$1,0)+1),MATCH(I$1,floors!$1:$1,0)-MATCH($H$1,floors!$1:$1,0)+1,FALSE)</f>
        <v>30</v>
      </c>
      <c r="J12" s="4">
        <f ca="1">VLOOKUP($H12,OFFSET(floors!$A$1,0,0,COUNTA(floors!$A:$A),MATCH(J$1,floors!$1:$1,0)-MATCH($H$1,floors!$1:$1,0)+1),MATCH(J$1,floors!$1:$1,0)-MATCH($H$1,floors!$1:$1,0)+1,FALSE)</f>
        <v>30</v>
      </c>
      <c r="K12" s="109" t="s">
        <v>53</v>
      </c>
      <c r="L12" s="179">
        <v>1145</v>
      </c>
      <c r="M12" s="16" t="str">
        <f ca="1">VLOOKUP($L12,OFFSET([3]enemies!$A$1,0,0,COUNTA([3]enemies!$A:$A),MATCH(M$1,[3]enemies!$1:$1,0)-MATCH($L$1,[3]enemies!$1:$1,0)+1),MATCH(M$1,[3]enemies!$1:$1,0)-MATCH($L$1,[3]enemies!$1:$1,0)+1,FALSE)</f>
        <v>ヴリトラ</v>
      </c>
      <c r="N12" s="16" t="str">
        <f ca="1">VLOOKUP($L12,OFFSET([3]enemies!$A$1,0,0,COUNTA([3]enemies!$A:$A),MATCH(N$1,[3]enemies!$1:$1,0)-MATCH($L$1,[3]enemies!$1:$1,0)+1),MATCH(N$1,[3]enemies!$1:$1,0)-MATCH($L$1,[3]enemies!$1:$1,0)+1,FALSE)</f>
        <v>yellow</v>
      </c>
      <c r="O12" s="16" t="str">
        <f ca="1">VLOOKUP($L12,OFFSET([4]characters!$A$1,0,0,COUNTA([4]characters!$A:$A),MATCH(O$1,[4]characters!$1:$1,0)-MATCH($L$1,[4]characters!$1:$1,0)+1),MATCH(O$1,[4]characters!$1:$1,0)-MATCH($L$1,[4]characters!$1:$1,0)+1,FALSE)</f>
        <v>Drop2N</v>
      </c>
      <c r="P12" s="16" t="str">
        <f ca="1">VLOOKUP($L12,OFFSET([3]enemies!$A$1,0,0,COUNTA([3]enemies!$A:$A),MATCH(P$1,[3]enemies!$1:$1,0)-MATCH($L$1,[3]enemies!$1:$1,0)+1),MATCH(P$1,[3]enemies!$1:$1,0)-MATCH($L$1,[3]enemies!$1:$1,0)+1,FALSE)</f>
        <v>dragon</v>
      </c>
      <c r="Q12" s="16">
        <f ca="1">VLOOKUP($L12,OFFSET([3]enemies!$A$1,0,0,COUNTA([3]enemies!$A:$A),MATCH(Q$1,[3]enemies!$1:$1,0)-MATCH($L$1,[3]enemies!$1:$1,0)+1),MATCH(Q$1,[3]enemies!$1:$1,0)-MATCH($L$1,[3]enemies!$1:$1,0)+1,FALSE)</f>
        <v>30</v>
      </c>
      <c r="R12" s="129">
        <v>60</v>
      </c>
      <c r="S12" s="130">
        <v>3.3</v>
      </c>
      <c r="T12" s="131">
        <f ca="1">ROUND(VLOOKUP(R12,[3]enemy_base_stats!$A:$F,2,FALSE) *INDIRECT("[EnemyMasterData.xlsm]enemies!Y"&amp;(L12+1))*  INDIRECT("[EnemyMasterData.xlsm]enemies!J"&amp;(L12+1))* INDIRECT("[EnemyMasterData.xlsm]enemies!O"&amp;(L12+1))* INDIRECT("[EnemyMasterData.xlsm]enemies!E"&amp;(L12+1))* INDIRECT("[EnemyMasterData.xlsm]enemies!S"&amp;(L12+1))* INDIRECT("[EnemyMasterData.xlsm]enemies!AD"&amp;(L12+1))*[4]ステータス!$B$2,0)*S12</f>
        <v>431145</v>
      </c>
      <c r="U12" s="130">
        <v>1.3</v>
      </c>
      <c r="V12" s="131">
        <f ca="1">ROUND(VLOOKUP(R12,[3]enemy_base_stats!$A:$F,3,FALSE) *INDIRECT("[EnemyMasterData.xlsm]enemies!Z"&amp;(L12+1))*  INDIRECT("[EnemyMasterData.xlsm]enemies!K"&amp;(L12+1))* INDIRECT("[EnemyMasterData.xlsm]enemies!P"&amp;(L12+1))* INDIRECT("[EnemyMasterData.xlsm]enemies!F"&amp;(L12+1))* INDIRECT("[EnemyMasterData.xlsm]enemies!T"&amp;(L12+1))* INDIRECT("[EnemyMasterData.xlsm]enemies!AE"&amp;(L12+1))*[4]ステータス!$C$2,0)*U12</f>
        <v>7655.7</v>
      </c>
      <c r="W12" s="129">
        <v>0</v>
      </c>
      <c r="X12" s="4" t="str">
        <f ca="1">VLOOKUP($Y12,OFFSET(enemy_skill_sets!$B$1,0,0,COUNTA(enemy_skill_sets!$B:$B),MATCH(M$1,enemy_skill_sets!$1:$1,0)-MATCH($Y$1,enemy_skill_sets!$1:$1,0)+2),MATCH(M$1,enemy_skill_sets!$1:$1,0)-MATCH($Y$1,enemy_skill_sets!$1:$1,0)+2,FALSE)</f>
        <v>ンギャ！　ツギノ　オモチャ　ハッケーン！</v>
      </c>
      <c r="Y12" s="127">
        <v>30043001</v>
      </c>
      <c r="Z12" s="132">
        <v>1</v>
      </c>
      <c r="AA12" s="132">
        <v>100</v>
      </c>
      <c r="AB12" s="132">
        <v>1</v>
      </c>
      <c r="AC12" s="103">
        <v>1</v>
      </c>
      <c r="AD12" s="133">
        <f>L12</f>
        <v>1145</v>
      </c>
      <c r="AE12" s="4" t="str">
        <f ca="1">VLOOKUP($AD12,OFFSET([4]characters!$A$1,0,0,COUNTA([4]characters!$A:$A),MATCH(AE$1,[4]characters!$1:$1,0)-MATCH("character_id",[4]characters!$1:$1,0)+1),MATCH(AE$1,[4]characters!$1:$1,0)-MATCH("character_id",[4]characters!$1:$1,0)+1,FALSE)</f>
        <v>ヴリトラ</v>
      </c>
      <c r="AF12" s="4">
        <f ca="1">VLOOKUP($AD12,OFFSET([4]characters!$A$1,0,0,COUNTA([4]characters!$A:$A),MATCH(AF$1,[4]characters!$1:$1,0)-MATCH("character_id",[4]characters!$1:$1,0)+1),MATCH(AF$1,[4]characters!$1:$1,0)-MATCH("character_id",[4]characters!$1:$1,0)+1,FALSE)</f>
        <v>4</v>
      </c>
      <c r="AG12" s="4" t="str">
        <f ca="1">VLOOKUP($AD12,OFFSET([4]characters!$A$1,0,0,COUNTA([4]characters!$A:$A),MATCH(AG$1,[4]characters!$1:$1,0)-MATCH("character_id",[4]characters!$1:$1,0)+1),MATCH(AG$1,[4]characters!$1:$1,0)-MATCH("character_id",[4]characters!$1:$1,0)+1,FALSE)</f>
        <v>Drop2N</v>
      </c>
      <c r="AH12" s="104">
        <v>1</v>
      </c>
      <c r="AI12" s="133">
        <f ca="1">AF12</f>
        <v>4</v>
      </c>
      <c r="AJ12" s="134">
        <v>0</v>
      </c>
      <c r="AK12" s="104">
        <v>0</v>
      </c>
      <c r="AL12" s="104">
        <v>0</v>
      </c>
      <c r="AM12" s="104">
        <v>0</v>
      </c>
      <c r="AN12" s="104">
        <v>0</v>
      </c>
      <c r="AO12" s="104">
        <v>1</v>
      </c>
      <c r="AP12" s="135">
        <v>1</v>
      </c>
    </row>
    <row r="13" spans="1:42" ht="21" customHeight="1" x14ac:dyDescent="0.15">
      <c r="A13" s="15" t="str">
        <f t="shared" ref="A13:A16" si="10">B13&amp;"_"&amp;C13&amp;"-"&amp;G13&amp;"/"&amp;L13&amp;"&lt;lv"&amp;R13&amp;"&gt;s"&amp;AC13</f>
        <v>30043_3-2/133&lt;lv60&gt;s2</v>
      </c>
      <c r="B13" s="21">
        <v>30043</v>
      </c>
      <c r="C13" s="20">
        <v>3</v>
      </c>
      <c r="D13" s="2" t="str">
        <f t="shared" ref="D13:D16" si="11">B13&amp;"_"&amp;C13</f>
        <v>30043_3</v>
      </c>
      <c r="E13" s="4" t="str">
        <f ca="1">VLOOKUP($B13,OFFSET([2]quests!$A$1,0,0,COUNTA([2]quests!$A:$A),MATCH(E$1,[2]quests!$1:$1,0)-MATCH($B$1,[2]quests!$1:$1,0)+1),MATCH(E$1,[2]quests!$1:$1,0)-MATCH($B$1,[2]quests!$1:$1,0)+1,FALSE)</f>
        <v>小さな破壊竜</v>
      </c>
      <c r="F13" s="4" t="str">
        <f ca="1">VLOOKUP($D13,OFFSET([2]stages!$A$1,0,0,COUNTA([2]stages!$A:$A),MATCH(F$1,[2]stages!$2:$2,0)-MATCH($D$1,[2]stages!$2:$2,0)+1),MATCH(F$1,[2]stages!$2:$2,0)-MATCH($D$1,[2]stages!$2:$2,0)+1,FALSE)</f>
        <v>【超級】小さな破壊竜</v>
      </c>
      <c r="G13" s="20">
        <v>2</v>
      </c>
      <c r="H13" s="14" t="str">
        <f t="shared" ref="H13:H16" si="12">B13&amp;"_"&amp;C13&amp;"-"&amp;G13</f>
        <v>30043_3-2</v>
      </c>
      <c r="I13" s="4">
        <f ca="1">VLOOKUP($H13,OFFSET(floors!$A$1,0,0,COUNTA(floors!$A:$A),MATCH(I$1,floors!$1:$1,0)-MATCH($H$1,floors!$1:$1,0)+1),MATCH(I$1,floors!$1:$1,0)-MATCH($H$1,floors!$1:$1,0)+1,FALSE)</f>
        <v>60</v>
      </c>
      <c r="J13" s="4">
        <f ca="1">VLOOKUP($H13,OFFSET(floors!$A$1,0,0,COUNTA(floors!$A:$A),MATCH(J$1,floors!$1:$1,0)-MATCH($H$1,floors!$1:$1,0)+1),MATCH(J$1,floors!$1:$1,0)-MATCH($H$1,floors!$1:$1,0)+1,FALSE)</f>
        <v>60</v>
      </c>
      <c r="K13" s="37">
        <v>5</v>
      </c>
      <c r="L13" s="19">
        <v>133</v>
      </c>
      <c r="M13" s="16" t="str">
        <f ca="1">VLOOKUP($L13,OFFSET([3]enemies!$A$1,0,0,COUNTA([3]enemies!$A:$A),MATCH(M$1,[3]enemies!$1:$1,0)-MATCH($L$1,[3]enemies!$1:$1,0)+1),MATCH(M$1,[3]enemies!$1:$1,0)-MATCH($L$1,[3]enemies!$1:$1,0)+1,FALSE)</f>
        <v>迅雷の刀剣 ハヤト</v>
      </c>
      <c r="N13" s="16" t="str">
        <f ca="1">VLOOKUP($L13,OFFSET([3]enemies!$A$1,0,0,COUNTA([3]enemies!$A:$A),MATCH(N$1,[3]enemies!$1:$1,0)-MATCH($L$1,[3]enemies!$1:$1,0)+1),MATCH(N$1,[3]enemies!$1:$1,0)-MATCH($L$1,[3]enemies!$1:$1,0)+1,FALSE)</f>
        <v>yellow</v>
      </c>
      <c r="O13" s="16" t="str">
        <f ca="1">VLOOKUP($L13,OFFSET([4]characters!$A$1,0,0,COUNTA([4]characters!$A:$A),MATCH(O$1,[4]characters!$1:$1,0)-MATCH($L$1,[4]characters!$1:$1,0)+1),MATCH(O$1,[4]characters!$1:$1,0)-MATCH($L$1,[4]characters!$1:$1,0)+1,FALSE)</f>
        <v>PremiumW</v>
      </c>
      <c r="P13" s="16" t="str">
        <f ca="1">VLOOKUP($L13,OFFSET([3]enemies!$A$1,0,0,COUNTA([3]enemies!$A:$A),MATCH(P$1,[3]enemies!$1:$1,0)-MATCH($L$1,[3]enemies!$1:$1,0)+1),MATCH(P$1,[3]enemies!$1:$1,0)-MATCH($L$1,[3]enemies!$1:$1,0)+1,FALSE)</f>
        <v>human</v>
      </c>
      <c r="Q13" s="16">
        <f ca="1">VLOOKUP($L13,OFFSET([3]enemies!$A$1,0,0,COUNTA([3]enemies!$A:$A),MATCH(Q$1,[3]enemies!$1:$1,0)-MATCH($L$1,[3]enemies!$1:$1,0)+1),MATCH(Q$1,[3]enemies!$1:$1,0)-MATCH($L$1,[3]enemies!$1:$1,0)+1,FALSE)</f>
        <v>30</v>
      </c>
      <c r="R13" s="5">
        <v>60</v>
      </c>
      <c r="S13" s="24">
        <v>2.7</v>
      </c>
      <c r="T13" s="99">
        <f ca="1">ROUND(VLOOKUP(R13,[3]enemy_base_stats!$A:$F,2,FALSE) *INDIRECT("[EnemyMasterData.xlsm]enemies!Y"&amp;(L13+1))*  INDIRECT("[EnemyMasterData.xlsm]enemies!J"&amp;(L13+1))* INDIRECT("[EnemyMasterData.xlsm]enemies!O"&amp;(L13+1))* INDIRECT("[EnemyMasterData.xlsm]enemies!E"&amp;(L13+1))* INDIRECT("[EnemyMasterData.xlsm]enemies!S"&amp;(L13+1))* INDIRECT("[EnemyMasterData.xlsm]enemies!AD"&amp;(L13+1))*[4]ステータス!$B$2,0)*S13</f>
        <v>198855</v>
      </c>
      <c r="U13" s="24">
        <v>1</v>
      </c>
      <c r="V13" s="99">
        <f ca="1">ROUND(VLOOKUP(R13,[3]enemy_base_stats!$A:$F,3,FALSE) *INDIRECT("[EnemyMasterData.xlsm]enemies!Z"&amp;(L13+1))*  INDIRECT("[EnemyMasterData.xlsm]enemies!K"&amp;(L13+1))* INDIRECT("[EnemyMasterData.xlsm]enemies!P"&amp;(L13+1))* INDIRECT("[EnemyMasterData.xlsm]enemies!F"&amp;(L13+1))* INDIRECT("[EnemyMasterData.xlsm]enemies!T"&amp;(L13+1))* INDIRECT("[EnemyMasterData.xlsm]enemies!AE"&amp;(L13+1))*[4]ステータス!$C$2,0)*U13</f>
        <v>8293</v>
      </c>
      <c r="W13" s="5">
        <v>0</v>
      </c>
      <c r="X13" s="4" t="str">
        <f ca="1">VLOOKUP($Y13,OFFSET(enemy_skill_sets!$B$1,0,0,COUNTA(enemy_skill_sets!$B:$B),MATCH(M$1,enemy_skill_sets!$1:$1,0)-MATCH($Y$1,enemy_skill_sets!$1:$1,0)+2),MATCH(M$1,enemy_skill_sets!$1:$1,0)-MATCH($Y$1,enemy_skill_sets!$1:$1,0)+2,FALSE)</f>
        <v>解除するまでユニット単体の攻撃力35%DOWN_x000D_+クリティカル！</v>
      </c>
      <c r="Y13" s="252">
        <v>30043008</v>
      </c>
      <c r="Z13" s="6">
        <v>1</v>
      </c>
      <c r="AA13" s="6">
        <v>100</v>
      </c>
      <c r="AB13" s="6">
        <v>1</v>
      </c>
      <c r="AC13" s="103">
        <v>2</v>
      </c>
      <c r="AD13" s="23">
        <f t="shared" ref="AD13:AD15" si="13">L13</f>
        <v>133</v>
      </c>
      <c r="AE13" s="4" t="str">
        <f ca="1">VLOOKUP($AD13,OFFSET([4]characters!$A$1,0,0,COUNTA([4]characters!$A:$A),MATCH(AE$1,[4]characters!$1:$1,0)-MATCH("character_id",[4]characters!$1:$1,0)+1),MATCH(AE$1,[4]characters!$1:$1,0)-MATCH("character_id",[4]characters!$1:$1,0)+1,FALSE)</f>
        <v>迅雷の刀剣 ハヤト</v>
      </c>
      <c r="AF13" s="4">
        <f ca="1">VLOOKUP($AD13,OFFSET([4]characters!$A$1,0,0,COUNTA([4]characters!$A:$A),MATCH(AF$1,[4]characters!$1:$1,0)-MATCH("character_id",[4]characters!$1:$1,0)+1),MATCH(AF$1,[4]characters!$1:$1,0)-MATCH("character_id",[4]characters!$1:$1,0)+1,FALSE)</f>
        <v>4</v>
      </c>
      <c r="AG13" s="4" t="str">
        <f ca="1">VLOOKUP($AD13,OFFSET([4]characters!$A$1,0,0,COUNTA([4]characters!$A:$A),MATCH(AG$1,[4]characters!$1:$1,0)-MATCH("character_id",[4]characters!$1:$1,0)+1),MATCH(AG$1,[4]characters!$1:$1,0)-MATCH("character_id",[4]characters!$1:$1,0)+1,FALSE)</f>
        <v>PremiumW</v>
      </c>
      <c r="AH13" s="7">
        <v>1</v>
      </c>
      <c r="AI13" s="23">
        <f t="shared" ref="AI13:AI16" ca="1" si="14">AF13</f>
        <v>4</v>
      </c>
      <c r="AJ13" s="8">
        <v>0</v>
      </c>
      <c r="AK13" s="7">
        <v>0</v>
      </c>
      <c r="AL13" s="7">
        <v>0</v>
      </c>
      <c r="AM13" s="7">
        <v>0</v>
      </c>
      <c r="AN13" s="7">
        <v>0</v>
      </c>
      <c r="AO13" s="7">
        <v>1</v>
      </c>
      <c r="AP13" s="68">
        <v>1</v>
      </c>
    </row>
    <row r="14" spans="1:42" ht="21" customHeight="1" x14ac:dyDescent="0.15">
      <c r="A14" s="15" t="str">
        <f t="shared" si="10"/>
        <v>30043_3-3/64&lt;lv60&gt;s2</v>
      </c>
      <c r="B14" s="21">
        <v>30043</v>
      </c>
      <c r="C14" s="20">
        <v>3</v>
      </c>
      <c r="D14" s="2" t="str">
        <f t="shared" si="11"/>
        <v>30043_3</v>
      </c>
      <c r="E14" s="4" t="str">
        <f ca="1">VLOOKUP($B14,OFFSET([2]quests!$A$1,0,0,COUNTA([2]quests!$A:$A),MATCH(E$1,[2]quests!$1:$1,0)-MATCH($B$1,[2]quests!$1:$1,0)+1),MATCH(E$1,[2]quests!$1:$1,0)-MATCH($B$1,[2]quests!$1:$1,0)+1,FALSE)</f>
        <v>小さな破壊竜</v>
      </c>
      <c r="F14" s="4" t="str">
        <f ca="1">VLOOKUP($D14,OFFSET([2]stages!$A$1,0,0,COUNTA([2]stages!$A:$A),MATCH(F$1,[2]stages!$2:$2,0)-MATCH($D$1,[2]stages!$2:$2,0)+1),MATCH(F$1,[2]stages!$2:$2,0)-MATCH($D$1,[2]stages!$2:$2,0)+1,FALSE)</f>
        <v>【超級】小さな破壊竜</v>
      </c>
      <c r="G14" s="20">
        <v>3</v>
      </c>
      <c r="H14" s="14" t="str">
        <f t="shared" si="12"/>
        <v>30043_3-3</v>
      </c>
      <c r="I14" s="4">
        <f ca="1">VLOOKUP($H14,OFFSET(floors!$A$1,0,0,COUNTA(floors!$A:$A),MATCH(I$1,floors!$1:$1,0)-MATCH($H$1,floors!$1:$1,0)+1),MATCH(I$1,floors!$1:$1,0)-MATCH($H$1,floors!$1:$1,0)+1,FALSE)</f>
        <v>50</v>
      </c>
      <c r="J14" s="4">
        <f ca="1">VLOOKUP($H14,OFFSET(floors!$A$1,0,0,COUNTA(floors!$A:$A),MATCH(J$1,floors!$1:$1,0)-MATCH($H$1,floors!$1:$1,0)+1),MATCH(J$1,floors!$1:$1,0)-MATCH($H$1,floors!$1:$1,0)+1,FALSE)</f>
        <v>50</v>
      </c>
      <c r="K14" s="37" t="s">
        <v>53</v>
      </c>
      <c r="L14" s="19">
        <v>64</v>
      </c>
      <c r="M14" s="16" t="str">
        <f ca="1">VLOOKUP($L14,OFFSET([3]enemies!$A$1,0,0,COUNTA([3]enemies!$A:$A),MATCH(M$1,[3]enemies!$1:$1,0)-MATCH($L$1,[3]enemies!$1:$1,0)+1),MATCH(M$1,[3]enemies!$1:$1,0)-MATCH($L$1,[3]enemies!$1:$1,0)+1,FALSE)</f>
        <v>フレイムエッジ トニー</v>
      </c>
      <c r="N14" s="16" t="str">
        <f ca="1">VLOOKUP($L14,OFFSET([3]enemies!$A$1,0,0,COUNTA([3]enemies!$A:$A),MATCH(N$1,[3]enemies!$1:$1,0)-MATCH($L$1,[3]enemies!$1:$1,0)+1),MATCH(N$1,[3]enemies!$1:$1,0)-MATCH($L$1,[3]enemies!$1:$1,0)+1,FALSE)</f>
        <v>yellow</v>
      </c>
      <c r="O14" s="16" t="str">
        <f ca="1">VLOOKUP($L14,OFFSET([4]characters!$A$1,0,0,COUNTA([4]characters!$A:$A),MATCH(O$1,[4]characters!$1:$1,0)-MATCH($L$1,[4]characters!$1:$1,0)+1),MATCH(O$1,[4]characters!$1:$1,0)-MATCH($L$1,[4]characters!$1:$1,0)+1,FALSE)</f>
        <v>Drop1N</v>
      </c>
      <c r="P14" s="16" t="str">
        <f ca="1">VLOOKUP($L14,OFFSET([3]enemies!$A$1,0,0,COUNTA([3]enemies!$A:$A),MATCH(P$1,[3]enemies!$1:$1,0)-MATCH($L$1,[3]enemies!$1:$1,0)+1),MATCH(P$1,[3]enemies!$1:$1,0)-MATCH($L$1,[3]enemies!$1:$1,0)+1,FALSE)</f>
        <v>animal</v>
      </c>
      <c r="Q14" s="16">
        <f ca="1">VLOOKUP($L14,OFFSET([3]enemies!$A$1,0,0,COUNTA([3]enemies!$A:$A),MATCH(Q$1,[3]enemies!$1:$1,0)-MATCH($L$1,[3]enemies!$1:$1,0)+1),MATCH(Q$1,[3]enemies!$1:$1,0)-MATCH($L$1,[3]enemies!$1:$1,0)+1,FALSE)</f>
        <v>20</v>
      </c>
      <c r="R14" s="5">
        <v>60</v>
      </c>
      <c r="S14" s="24">
        <v>1.4</v>
      </c>
      <c r="T14" s="99">
        <f ca="1">ROUND(VLOOKUP(R14,[3]enemy_base_stats!$A:$F,2,FALSE) *INDIRECT("[EnemyMasterData.xlsm]enemies!Y"&amp;(L14+1))*  INDIRECT("[EnemyMasterData.xlsm]enemies!J"&amp;(L14+1))* INDIRECT("[EnemyMasterData.xlsm]enemies!O"&amp;(L14+1))* INDIRECT("[EnemyMasterData.xlsm]enemies!E"&amp;(L14+1))* INDIRECT("[EnemyMasterData.xlsm]enemies!S"&amp;(L14+1))* INDIRECT("[EnemyMasterData.xlsm]enemies!AD"&amp;(L14+1))*[4]ステータス!$B$2,0)*S14</f>
        <v>50120</v>
      </c>
      <c r="U14" s="24">
        <v>0.8</v>
      </c>
      <c r="V14" s="99">
        <f ca="1">ROUND(VLOOKUP(R14,[3]enemy_base_stats!$A:$F,3,FALSE) *INDIRECT("[EnemyMasterData.xlsm]enemies!Z"&amp;(L14+1))*  INDIRECT("[EnemyMasterData.xlsm]enemies!K"&amp;(L14+1))* INDIRECT("[EnemyMasterData.xlsm]enemies!P"&amp;(L14+1))* INDIRECT("[EnemyMasterData.xlsm]enemies!F"&amp;(L14+1))* INDIRECT("[EnemyMasterData.xlsm]enemies!T"&amp;(L14+1))* INDIRECT("[EnemyMasterData.xlsm]enemies!AE"&amp;(L14+1))*[4]ステータス!$C$2,0)*U14</f>
        <v>4959.2000000000007</v>
      </c>
      <c r="W14" s="5">
        <v>0</v>
      </c>
      <c r="X14" s="4" t="str">
        <f ca="1">VLOOKUP($Y14,OFFSET(enemy_skill_sets!$B$1,0,0,COUNTA(enemy_skill_sets!$B:$B),MATCH(M$1,enemy_skill_sets!$1:$1,0)-MATCH($Y$1,enemy_skill_sets!$1:$1,0)+2),MATCH(M$1,enemy_skill_sets!$1:$1,0)-MATCH($Y$1,enemy_skill_sets!$1:$1,0)+2,FALSE)</f>
        <v>3ターンユニット単体にスキルバインド</v>
      </c>
      <c r="Y14" s="127">
        <v>30043004</v>
      </c>
      <c r="Z14" s="6">
        <v>1</v>
      </c>
      <c r="AA14" s="6">
        <v>100</v>
      </c>
      <c r="AB14" s="6">
        <v>1</v>
      </c>
      <c r="AC14" s="103">
        <v>2</v>
      </c>
      <c r="AD14" s="23">
        <f t="shared" si="13"/>
        <v>64</v>
      </c>
      <c r="AE14" s="4" t="str">
        <f ca="1">VLOOKUP($AD14,OFFSET([4]characters!$A$1,0,0,COUNTA([4]characters!$A:$A),MATCH(AE$1,[4]characters!$1:$1,0)-MATCH("character_id",[4]characters!$1:$1,0)+1),MATCH(AE$1,[4]characters!$1:$1,0)-MATCH("character_id",[4]characters!$1:$1,0)+1,FALSE)</f>
        <v>フレイムエッジ トニー</v>
      </c>
      <c r="AF14" s="4">
        <f ca="1">VLOOKUP($AD14,OFFSET([4]characters!$A$1,0,0,COUNTA([4]characters!$A:$A),MATCH(AF$1,[4]characters!$1:$1,0)-MATCH("character_id",[4]characters!$1:$1,0)+1),MATCH(AF$1,[4]characters!$1:$1,0)-MATCH("character_id",[4]characters!$1:$1,0)+1,FALSE)</f>
        <v>3</v>
      </c>
      <c r="AG14" s="4" t="str">
        <f ca="1">VLOOKUP($AD14,OFFSET([4]characters!$A$1,0,0,COUNTA([4]characters!$A:$A),MATCH(AG$1,[4]characters!$1:$1,0)-MATCH("character_id",[4]characters!$1:$1,0)+1),MATCH(AG$1,[4]characters!$1:$1,0)-MATCH("character_id",[4]characters!$1:$1,0)+1,FALSE)</f>
        <v>Drop1N</v>
      </c>
      <c r="AH14" s="7">
        <v>1</v>
      </c>
      <c r="AI14" s="23">
        <f t="shared" ca="1" si="14"/>
        <v>3</v>
      </c>
      <c r="AJ14" s="8">
        <v>20</v>
      </c>
      <c r="AK14" s="7">
        <v>0</v>
      </c>
      <c r="AL14" s="7">
        <v>0</v>
      </c>
      <c r="AM14" s="7">
        <v>0</v>
      </c>
      <c r="AN14" s="7">
        <v>0</v>
      </c>
      <c r="AO14" s="7">
        <v>1</v>
      </c>
      <c r="AP14" s="68">
        <v>1</v>
      </c>
    </row>
    <row r="15" spans="1:42" ht="21" customHeight="1" x14ac:dyDescent="0.15">
      <c r="A15" s="15" t="str">
        <f t="shared" si="10"/>
        <v>30043_3-3/47&lt;lv60&gt;s1</v>
      </c>
      <c r="B15" s="21">
        <v>30043</v>
      </c>
      <c r="C15" s="20">
        <v>3</v>
      </c>
      <c r="D15" s="2" t="str">
        <f t="shared" si="11"/>
        <v>30043_3</v>
      </c>
      <c r="E15" s="4" t="str">
        <f ca="1">VLOOKUP($B15,OFFSET([2]quests!$A$1,0,0,COUNTA([2]quests!$A:$A),MATCH(E$1,[2]quests!$1:$1,0)-MATCH($B$1,[2]quests!$1:$1,0)+1),MATCH(E$1,[2]quests!$1:$1,0)-MATCH($B$1,[2]quests!$1:$1,0)+1,FALSE)</f>
        <v>小さな破壊竜</v>
      </c>
      <c r="F15" s="4" t="str">
        <f ca="1">VLOOKUP($D15,OFFSET([2]stages!$A$1,0,0,COUNTA([2]stages!$A:$A),MATCH(F$1,[2]stages!$2:$2,0)-MATCH($D$1,[2]stages!$2:$2,0)+1),MATCH(F$1,[2]stages!$2:$2,0)-MATCH($D$1,[2]stages!$2:$2,0)+1,FALSE)</f>
        <v>【超級】小さな破壊竜</v>
      </c>
      <c r="G15" s="20">
        <v>3</v>
      </c>
      <c r="H15" s="14" t="str">
        <f t="shared" si="12"/>
        <v>30043_3-3</v>
      </c>
      <c r="I15" s="4">
        <f ca="1">VLOOKUP($H15,OFFSET(floors!$A$1,0,0,COUNTA(floors!$A:$A),MATCH(I$1,floors!$1:$1,0)-MATCH($H$1,floors!$1:$1,0)+1),MATCH(I$1,floors!$1:$1,0)-MATCH($H$1,floors!$1:$1,0)+1,FALSE)</f>
        <v>50</v>
      </c>
      <c r="J15" s="4">
        <f ca="1">VLOOKUP($H15,OFFSET(floors!$A$1,0,0,COUNTA(floors!$A:$A),MATCH(J$1,floors!$1:$1,0)-MATCH($H$1,floors!$1:$1,0)+1),MATCH(J$1,floors!$1:$1,0)-MATCH($H$1,floors!$1:$1,0)+1,FALSE)</f>
        <v>50</v>
      </c>
      <c r="K15" s="37" t="s">
        <v>53</v>
      </c>
      <c r="L15" s="19">
        <v>47</v>
      </c>
      <c r="M15" s="16" t="str">
        <f ca="1">VLOOKUP($L15,OFFSET([3]enemies!$A$1,0,0,COUNTA([3]enemies!$A:$A),MATCH(M$1,[3]enemies!$1:$1,0)-MATCH($L$1,[3]enemies!$1:$1,0)+1),MATCH(M$1,[3]enemies!$1:$1,0)-MATCH($L$1,[3]enemies!$1:$1,0)+1,FALSE)</f>
        <v>ヒロ</v>
      </c>
      <c r="N15" s="16" t="str">
        <f ca="1">VLOOKUP($L15,OFFSET([3]enemies!$A$1,0,0,COUNTA([3]enemies!$A:$A),MATCH(N$1,[3]enemies!$1:$1,0)-MATCH($L$1,[3]enemies!$1:$1,0)+1),MATCH(N$1,[3]enemies!$1:$1,0)-MATCH($L$1,[3]enemies!$1:$1,0)+1,FALSE)</f>
        <v>yellow</v>
      </c>
      <c r="O15" s="16" t="str">
        <f ca="1">VLOOKUP($L15,OFFSET([4]characters!$A$1,0,0,COUNTA([4]characters!$A:$A),MATCH(O$1,[4]characters!$1:$1,0)-MATCH($L$1,[4]characters!$1:$1,0)+1),MATCH(O$1,[4]characters!$1:$1,0)-MATCH($L$1,[4]characters!$1:$1,0)+1,FALSE)</f>
        <v>Drop1N</v>
      </c>
      <c r="P15" s="16" t="str">
        <f ca="1">VLOOKUP($L15,OFFSET([3]enemies!$A$1,0,0,COUNTA([3]enemies!$A:$A),MATCH(P$1,[3]enemies!$1:$1,0)-MATCH($L$1,[3]enemies!$1:$1,0)+1),MATCH(P$1,[3]enemies!$1:$1,0)-MATCH($L$1,[3]enemies!$1:$1,0)+1,FALSE)</f>
        <v>animal</v>
      </c>
      <c r="Q15" s="16">
        <f ca="1">VLOOKUP($L15,OFFSET([3]enemies!$A$1,0,0,COUNTA([3]enemies!$A:$A),MATCH(Q$1,[3]enemies!$1:$1,0)-MATCH($L$1,[3]enemies!$1:$1,0)+1),MATCH(Q$1,[3]enemies!$1:$1,0)-MATCH($L$1,[3]enemies!$1:$1,0)+1,FALSE)</f>
        <v>15</v>
      </c>
      <c r="R15" s="5">
        <v>60</v>
      </c>
      <c r="S15" s="24">
        <v>1.7</v>
      </c>
      <c r="T15" s="99">
        <f ca="1">ROUND(VLOOKUP(R15,[3]enemy_base_stats!$A:$F,2,FALSE) *INDIRECT("[EnemyMasterData.xlsm]enemies!Y"&amp;(L15+1))*  INDIRECT("[EnemyMasterData.xlsm]enemies!J"&amp;(L15+1))* INDIRECT("[EnemyMasterData.xlsm]enemies!O"&amp;(L15+1))* INDIRECT("[EnemyMasterData.xlsm]enemies!E"&amp;(L15+1))* INDIRECT("[EnemyMasterData.xlsm]enemies!S"&amp;(L15+1))* INDIRECT("[EnemyMasterData.xlsm]enemies!AD"&amp;(L15+1))*[4]ステータス!$B$2,0)*S15</f>
        <v>20491.8</v>
      </c>
      <c r="U15" s="24">
        <v>0.7</v>
      </c>
      <c r="V15" s="99">
        <f ca="1">ROUND(VLOOKUP(R15,[3]enemy_base_stats!$A:$F,3,FALSE) *INDIRECT("[EnemyMasterData.xlsm]enemies!Z"&amp;(L15+1))*  INDIRECT("[EnemyMasterData.xlsm]enemies!K"&amp;(L15+1))* INDIRECT("[EnemyMasterData.xlsm]enemies!P"&amp;(L15+1))* INDIRECT("[EnemyMasterData.xlsm]enemies!F"&amp;(L15+1))* INDIRECT("[EnemyMasterData.xlsm]enemies!T"&amp;(L15+1))* INDIRECT("[EnemyMasterData.xlsm]enemies!AE"&amp;(L15+1))*[4]ステータス!$C$2,0)*U15</f>
        <v>3816.3999999999996</v>
      </c>
      <c r="W15" s="5">
        <v>0</v>
      </c>
      <c r="X15" s="4" t="str">
        <f ca="1">VLOOKUP($Y15,OFFSET(enemy_skill_sets!$B$1,0,0,COUNTA(enemy_skill_sets!$B:$B),MATCH(M$1,enemy_skill_sets!$1:$1,0)-MATCH($Y$1,enemy_skill_sets!$1:$1,0)+2),MATCH(M$1,enemy_skill_sets!$1:$1,0)-MATCH($Y$1,enemy_skill_sets!$1:$1,0)+2,FALSE)</f>
        <v>3回連続攻撃</v>
      </c>
      <c r="Y15" s="127">
        <v>30043005</v>
      </c>
      <c r="Z15" s="6">
        <v>2</v>
      </c>
      <c r="AA15" s="6">
        <v>100</v>
      </c>
      <c r="AB15" s="6">
        <v>0</v>
      </c>
      <c r="AC15" s="103">
        <v>1</v>
      </c>
      <c r="AD15" s="23">
        <f t="shared" si="13"/>
        <v>47</v>
      </c>
      <c r="AE15" s="4" t="str">
        <f ca="1">VLOOKUP($AD15,OFFSET([4]characters!$A$1,0,0,COUNTA([4]characters!$A:$A),MATCH(AE$1,[4]characters!$1:$1,0)-MATCH("character_id",[4]characters!$1:$1,0)+1),MATCH(AE$1,[4]characters!$1:$1,0)-MATCH("character_id",[4]characters!$1:$1,0)+1,FALSE)</f>
        <v>ヒロ</v>
      </c>
      <c r="AF15" s="4">
        <f ca="1">VLOOKUP($AD15,OFFSET([4]characters!$A$1,0,0,COUNTA([4]characters!$A:$A),MATCH(AF$1,[4]characters!$1:$1,0)-MATCH("character_id",[4]characters!$1:$1,0)+1),MATCH(AF$1,[4]characters!$1:$1,0)-MATCH("character_id",[4]characters!$1:$1,0)+1,FALSE)</f>
        <v>2</v>
      </c>
      <c r="AG15" s="4" t="str">
        <f ca="1">VLOOKUP($AD15,OFFSET([4]characters!$A$1,0,0,COUNTA([4]characters!$A:$A),MATCH(AG$1,[4]characters!$1:$1,0)-MATCH("character_id",[4]characters!$1:$1,0)+1),MATCH(AG$1,[4]characters!$1:$1,0)-MATCH("character_id",[4]characters!$1:$1,0)+1,FALSE)</f>
        <v>Drop1N</v>
      </c>
      <c r="AH15" s="7">
        <v>1</v>
      </c>
      <c r="AI15" s="23">
        <f t="shared" ca="1" si="14"/>
        <v>2</v>
      </c>
      <c r="AJ15" s="8">
        <v>20</v>
      </c>
      <c r="AK15" s="7">
        <v>0</v>
      </c>
      <c r="AL15" s="7">
        <v>0</v>
      </c>
      <c r="AM15" s="7">
        <v>0</v>
      </c>
      <c r="AN15" s="7">
        <v>0</v>
      </c>
      <c r="AO15" s="7">
        <v>1</v>
      </c>
      <c r="AP15" s="68">
        <v>1</v>
      </c>
    </row>
    <row r="16" spans="1:42" ht="21" customHeight="1" x14ac:dyDescent="0.15">
      <c r="A16" s="15" t="str">
        <f t="shared" si="10"/>
        <v>30043_3-4/1145&lt;lv60&gt;s2</v>
      </c>
      <c r="B16" s="21">
        <v>30043</v>
      </c>
      <c r="C16" s="20">
        <v>3</v>
      </c>
      <c r="D16" s="2" t="str">
        <f t="shared" si="11"/>
        <v>30043_3</v>
      </c>
      <c r="E16" s="4" t="str">
        <f ca="1">VLOOKUP($B16,OFFSET([2]quests!$A$1,0,0,COUNTA([2]quests!$A:$A),MATCH(E$1,[2]quests!$1:$1,0)-MATCH($B$1,[2]quests!$1:$1,0)+1),MATCH(E$1,[2]quests!$1:$1,0)-MATCH($B$1,[2]quests!$1:$1,0)+1,FALSE)</f>
        <v>小さな破壊竜</v>
      </c>
      <c r="F16" s="4" t="str">
        <f ca="1">VLOOKUP($D16,OFFSET([2]stages!$A$1,0,0,COUNTA([2]stages!$A:$A),MATCH(F$1,[2]stages!$2:$2,0)-MATCH($D$1,[2]stages!$2:$2,0)+1),MATCH(F$1,[2]stages!$2:$2,0)-MATCH($D$1,[2]stages!$2:$2,0)+1,FALSE)</f>
        <v>【超級】小さな破壊竜</v>
      </c>
      <c r="G16" s="20">
        <v>4</v>
      </c>
      <c r="H16" s="14" t="str">
        <f t="shared" si="12"/>
        <v>30043_3-4</v>
      </c>
      <c r="I16" s="4">
        <f ca="1">VLOOKUP($H16,OFFSET(floors!$A$1,0,0,COUNTA(floors!$A:$A),MATCH(I$1,floors!$1:$1,0)-MATCH($H$1,floors!$1:$1,0)+1),MATCH(I$1,floors!$1:$1,0)-MATCH($H$1,floors!$1:$1,0)+1,FALSE)</f>
        <v>60</v>
      </c>
      <c r="J16" s="4">
        <f ca="1">VLOOKUP($H16,OFFSET(floors!$A$1,0,0,COUNTA(floors!$A:$A),MATCH(J$1,floors!$1:$1,0)-MATCH($H$1,floors!$1:$1,0)+1),MATCH(J$1,floors!$1:$1,0)-MATCH($H$1,floors!$1:$1,0)+1,FALSE)</f>
        <v>60</v>
      </c>
      <c r="K16" s="37">
        <v>6</v>
      </c>
      <c r="L16" s="178">
        <v>1145</v>
      </c>
      <c r="M16" s="16" t="str">
        <f ca="1">VLOOKUP($L16,OFFSET([3]enemies!$A$1,0,0,COUNTA([3]enemies!$A:$A),MATCH(M$1,[3]enemies!$1:$1,0)-MATCH($L$1,[3]enemies!$1:$1,0)+1),MATCH(M$1,[3]enemies!$1:$1,0)-MATCH($L$1,[3]enemies!$1:$1,0)+1,FALSE)</f>
        <v>ヴリトラ</v>
      </c>
      <c r="N16" s="16" t="str">
        <f ca="1">VLOOKUP($L16,OFFSET([3]enemies!$A$1,0,0,COUNTA([3]enemies!$A:$A),MATCH(N$1,[3]enemies!$1:$1,0)-MATCH($L$1,[3]enemies!$1:$1,0)+1),MATCH(N$1,[3]enemies!$1:$1,0)-MATCH($L$1,[3]enemies!$1:$1,0)+1,FALSE)</f>
        <v>yellow</v>
      </c>
      <c r="O16" s="16" t="str">
        <f ca="1">VLOOKUP($L16,OFFSET([4]characters!$A$1,0,0,COUNTA([4]characters!$A:$A),MATCH(O$1,[4]characters!$1:$1,0)-MATCH($L$1,[4]characters!$1:$1,0)+1),MATCH(O$1,[4]characters!$1:$1,0)-MATCH($L$1,[4]characters!$1:$1,0)+1,FALSE)</f>
        <v>Drop2N</v>
      </c>
      <c r="P16" s="16" t="str">
        <f ca="1">VLOOKUP($L16,OFFSET([3]enemies!$A$1,0,0,COUNTA([3]enemies!$A:$A),MATCH(P$1,[3]enemies!$1:$1,0)-MATCH($L$1,[3]enemies!$1:$1,0)+1),MATCH(P$1,[3]enemies!$1:$1,0)-MATCH($L$1,[3]enemies!$1:$1,0)+1,FALSE)</f>
        <v>dragon</v>
      </c>
      <c r="Q16" s="16">
        <f ca="1">VLOOKUP($L16,OFFSET([3]enemies!$A$1,0,0,COUNTA([3]enemies!$A:$A),MATCH(Q$1,[3]enemies!$1:$1,0)-MATCH($L$1,[3]enemies!$1:$1,0)+1),MATCH(Q$1,[3]enemies!$1:$1,0)-MATCH($L$1,[3]enemies!$1:$1,0)+1,FALSE)</f>
        <v>30</v>
      </c>
      <c r="R16" s="5">
        <v>60</v>
      </c>
      <c r="S16" s="24">
        <v>2.2999999999999998</v>
      </c>
      <c r="T16" s="99">
        <f ca="1">ROUND(VLOOKUP(R16,[3]enemy_base_stats!$A:$F,2,FALSE) *INDIRECT("[EnemyMasterData.xlsm]enemies!Y"&amp;(L16+1))*  INDIRECT("[EnemyMasterData.xlsm]enemies!J"&amp;(L16+1))* INDIRECT("[EnemyMasterData.xlsm]enemies!O"&amp;(L16+1))* INDIRECT("[EnemyMasterData.xlsm]enemies!E"&amp;(L16+1))* INDIRECT("[EnemyMasterData.xlsm]enemies!S"&amp;(L16+1))* INDIRECT("[EnemyMasterData.xlsm]enemies!AD"&amp;(L16+1))*[4]ステータス!$B$2,0)*S16</f>
        <v>300495</v>
      </c>
      <c r="U16" s="24">
        <v>1.4</v>
      </c>
      <c r="V16" s="99">
        <f ca="1">ROUND(VLOOKUP(R16,[3]enemy_base_stats!$A:$F,3,FALSE) *INDIRECT("[EnemyMasterData.xlsm]enemies!Z"&amp;(L16+1))*  INDIRECT("[EnemyMasterData.xlsm]enemies!K"&amp;(L16+1))* INDIRECT("[EnemyMasterData.xlsm]enemies!P"&amp;(L16+1))* INDIRECT("[EnemyMasterData.xlsm]enemies!F"&amp;(L16+1))* INDIRECT("[EnemyMasterData.xlsm]enemies!T"&amp;(L16+1))* INDIRECT("[EnemyMasterData.xlsm]enemies!AE"&amp;(L16+1))*[4]ステータス!$C$2,0)*U16</f>
        <v>8244.6</v>
      </c>
      <c r="W16" s="5">
        <v>0</v>
      </c>
      <c r="X16" s="4" t="str">
        <f ca="1">VLOOKUP($Y16,OFFSET(enemy_skill_sets!$B$1,0,0,COUNTA(enemy_skill_sets!$B:$B),MATCH(M$1,enemy_skill_sets!$1:$1,0)-MATCH($Y$1,enemy_skill_sets!$1:$1,0)+2),MATCH(M$1,enemy_skill_sets!$1:$1,0)-MATCH($Y$1,enemy_skill_sets!$1:$1,0)+2,FALSE)</f>
        <v>状態異常耐性</v>
      </c>
      <c r="Y16" s="127">
        <v>30043006</v>
      </c>
      <c r="Z16" s="6">
        <v>1</v>
      </c>
      <c r="AA16" s="6">
        <v>100</v>
      </c>
      <c r="AB16" s="6">
        <v>1</v>
      </c>
      <c r="AC16" s="103">
        <v>2</v>
      </c>
      <c r="AD16" s="195">
        <v>1145</v>
      </c>
      <c r="AE16" s="4" t="str">
        <f ca="1">VLOOKUP($AD16,OFFSET([4]characters!$A$1,0,0,COUNTA([4]characters!$A:$A),MATCH(AE$1,[4]characters!$1:$1,0)-MATCH("character_id",[4]characters!$1:$1,0)+1),MATCH(AE$1,[4]characters!$1:$1,0)-MATCH("character_id",[4]characters!$1:$1,0)+1,FALSE)</f>
        <v>ヴリトラ</v>
      </c>
      <c r="AF16" s="4">
        <f ca="1">VLOOKUP($AD16,OFFSET([4]characters!$A$1,0,0,COUNTA([4]characters!$A:$A),MATCH(AF$1,[4]characters!$1:$1,0)-MATCH("character_id",[4]characters!$1:$1,0)+1),MATCH(AF$1,[4]characters!$1:$1,0)-MATCH("character_id",[4]characters!$1:$1,0)+1,FALSE)</f>
        <v>4</v>
      </c>
      <c r="AG16" s="4" t="str">
        <f ca="1">VLOOKUP($AD16,OFFSET([4]characters!$A$1,0,0,COUNTA([4]characters!$A:$A),MATCH(AG$1,[4]characters!$1:$1,0)-MATCH("character_id",[4]characters!$1:$1,0)+1),MATCH(AG$1,[4]characters!$1:$1,0)-MATCH("character_id",[4]characters!$1:$1,0)+1,FALSE)</f>
        <v>Drop2N</v>
      </c>
      <c r="AH16" s="7">
        <v>1</v>
      </c>
      <c r="AI16" s="23">
        <f t="shared" ca="1" si="14"/>
        <v>4</v>
      </c>
      <c r="AJ16" s="8">
        <v>100</v>
      </c>
      <c r="AK16" s="7">
        <v>0</v>
      </c>
      <c r="AL16" s="7">
        <v>0</v>
      </c>
      <c r="AM16" s="7">
        <v>0</v>
      </c>
      <c r="AN16" s="7">
        <v>0</v>
      </c>
      <c r="AO16" s="7">
        <v>1</v>
      </c>
      <c r="AP16" s="68">
        <v>1</v>
      </c>
    </row>
  </sheetData>
  <sheetProtection selectLockedCells="1" selectUnlockedCells="1"/>
  <autoFilter ref="B1:AJ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7"/>
  <sheetViews>
    <sheetView showGridLines="0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U14" sqref="U14"/>
    </sheetView>
  </sheetViews>
  <sheetFormatPr baseColWidth="12" defaultColWidth="13" defaultRowHeight="21" customHeight="1" outlineLevelCol="1" x14ac:dyDescent="0.15"/>
  <cols>
    <col min="1" max="1" width="17" style="18" bestFit="1" customWidth="1"/>
    <col min="2" max="2" width="10.83203125" style="3" bestFit="1" customWidth="1"/>
    <col min="3" max="3" width="10.6640625" style="3" bestFit="1" customWidth="1" collapsed="1"/>
    <col min="4" max="4" width="13" style="13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 collapsed="1"/>
    <col min="14" max="14" width="12" style="3" hidden="1" customWidth="1" outlineLevel="1"/>
    <col min="15" max="15" width="8.6640625" style="3" hidden="1" customWidth="1" outlineLevel="1"/>
    <col min="16" max="16" width="12" style="3" hidden="1" customWidth="1" outlineLevel="1"/>
    <col min="17" max="17" width="21" style="3" hidden="1" customWidth="1" outlineLevel="1"/>
    <col min="18" max="18" width="8" style="3" hidden="1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customWidth="1" outlineLevel="1"/>
    <col min="27" max="27" width="9.33203125" style="3" bestFit="1" customWidth="1"/>
    <col min="28" max="16384" width="13" style="3"/>
  </cols>
  <sheetData>
    <row r="1" spans="1:27" s="34" customFormat="1" ht="21" customHeight="1" x14ac:dyDescent="0.15">
      <c r="A1" s="26" t="s">
        <v>29</v>
      </c>
      <c r="B1" s="27" t="s">
        <v>0</v>
      </c>
      <c r="C1" s="27" t="s">
        <v>1</v>
      </c>
      <c r="D1" s="28" t="s">
        <v>28</v>
      </c>
      <c r="E1" s="29" t="s">
        <v>16</v>
      </c>
      <c r="F1" s="29" t="s">
        <v>16</v>
      </c>
      <c r="G1" s="27" t="s">
        <v>19</v>
      </c>
      <c r="H1" s="28" t="s">
        <v>30</v>
      </c>
      <c r="I1" s="28" t="s">
        <v>14</v>
      </c>
      <c r="J1" s="28" t="s">
        <v>15</v>
      </c>
      <c r="K1" s="35" t="s">
        <v>54</v>
      </c>
      <c r="L1" s="35" t="s">
        <v>55</v>
      </c>
      <c r="M1" s="36" t="s">
        <v>2</v>
      </c>
      <c r="N1" s="30" t="s">
        <v>16</v>
      </c>
      <c r="O1" s="28" t="s">
        <v>24</v>
      </c>
      <c r="P1" s="28" t="s">
        <v>23</v>
      </c>
      <c r="Q1" s="31" t="s">
        <v>26</v>
      </c>
      <c r="R1" s="29" t="s">
        <v>25</v>
      </c>
      <c r="S1" s="27" t="s">
        <v>3</v>
      </c>
      <c r="T1" s="25" t="s">
        <v>48</v>
      </c>
      <c r="U1" s="98" t="s">
        <v>247</v>
      </c>
      <c r="V1" s="25" t="s">
        <v>50</v>
      </c>
      <c r="W1" s="98" t="s">
        <v>248</v>
      </c>
      <c r="X1" s="25" t="s">
        <v>52</v>
      </c>
      <c r="Y1" s="27" t="s">
        <v>128</v>
      </c>
      <c r="Z1" s="28" t="s">
        <v>127</v>
      </c>
      <c r="AA1" s="27" t="s">
        <v>8</v>
      </c>
    </row>
    <row r="2" spans="1:27" ht="21" customHeight="1" x14ac:dyDescent="0.15">
      <c r="A2" s="110" t="str">
        <f t="shared" ref="A2:A7" si="0">B2&amp;"_"&amp;C2&amp;"-"&amp;G2&amp;"/"&amp;M2&amp;"&lt;lv"&amp;S2&amp;"&gt;sq"&amp;K2&amp;"st"&amp;L2</f>
        <v>30043_1-2/563&lt;lv30&gt;sq1st2</v>
      </c>
      <c r="B2" s="21">
        <v>30043</v>
      </c>
      <c r="C2" s="112">
        <v>1</v>
      </c>
      <c r="D2" s="14" t="str">
        <f t="shared" ref="D2:D7" si="1">B2&amp;"_"&amp;C2</f>
        <v>30043_1</v>
      </c>
      <c r="E2" s="4" t="str">
        <f ca="1">VLOOKUP($B2,OFFSET([2]quests!$A$1,0,0,COUNTA([2]quests!$A:$A),MATCH(E$1,[2]quests!$1:$1,0)-MATCH($B$1,[2]quests!$1:$1,0)+1),MATCH(E$1,[2]quests!$1:$1,0)-MATCH($B$1,[2]quests!$1:$1,0)+1,FALSE)</f>
        <v>小さな破壊竜</v>
      </c>
      <c r="F2" s="4" t="str">
        <f ca="1">VLOOKUP($D2,OFFSET([2]stages!$A$1,0,0,COUNTA([2]stages!$A:$A),MATCH(F$1,[2]stages!$2:$2,0)-MATCH($D$1,[2]stages!$2:$2,0)+1),MATCH(F$1,[2]stages!$2:$2,0)-MATCH($D$1,[2]stages!$2:$2,0)+1,FALSE)</f>
        <v>【中級】小さな破壊竜</v>
      </c>
      <c r="G2" s="112">
        <v>2</v>
      </c>
      <c r="H2" s="14" t="str">
        <f t="shared" ref="H2:H7" si="2">B2&amp;"_"&amp;C2&amp;"-"&amp;G2</f>
        <v>30043_1-2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7">
        <v>1</v>
      </c>
      <c r="L2" s="37">
        <v>2</v>
      </c>
      <c r="M2" s="136">
        <v>563</v>
      </c>
      <c r="N2" s="16" t="str">
        <f ca="1">VLOOKUP($M2,OFFSET([3]enemies!$A$1,0,0,COUNTA([3]enemies!$A:$A),MATCH(N$1,[3]enemies!$1:$1,0)-MATCH($M$1,[3]enemies!$1:$1,0)+1),MATCH(N$1,[3]enemies!$1:$1,0)-MATCH($M$1,[3]enemies!$1:$1,0)+1,FALSE)</f>
        <v>電翔紫閃の雷刃 ハヤト</v>
      </c>
      <c r="O2" s="16" t="str">
        <f ca="1">VLOOKUP($M2,OFFSET([3]enemies!$A$1,0,0,COUNTA([3]enemies!$A:$A),MATCH(O$1,[3]enemies!$1:$1,0)-MATCH($M$1,[3]enemies!$1:$1,0)+1),MATCH(O$1,[3]enemies!$1:$1,0)-MATCH($M$1,[3]enemies!$1:$1,0)+1,FALSE)</f>
        <v>yellow</v>
      </c>
      <c r="P2" s="16" t="str">
        <f ca="1">VLOOKUP($M2,OFFSET([4]characters!$A$1,0,0,COUNTA([4]characters!$A:$A),MATCH(P$1,[4]characters!$1:$1,0)-MATCH($M$1,[4]characters!$1:$1,0)+1),MATCH(P$1,[4]characters!$1:$1,0)-MATCH($M$1,[4]characters!$1:$1,0)+1,FALSE)</f>
        <v>PremiumW</v>
      </c>
      <c r="Q2" s="16" t="str">
        <f ca="1">VLOOKUP($M2,OFFSET([3]enemies!$A$1,0,0,COUNTA([3]enemies!$A:$A),MATCH(Q$1,[3]enemies!$1:$1,0)-MATCH($M$1,[3]enemies!$1:$1,0)+1),MATCH(Q$1,[3]enemies!$1:$1,0)-MATCH($M$1,[3]enemies!$1:$1,0)+1,FALSE)</f>
        <v>human</v>
      </c>
      <c r="R2" s="16">
        <f ca="1">VLOOKUP($M2,OFFSET([3]enemies!$A$1,0,0,COUNTA([3]enemies!$A:$A),MATCH(R$1,[3]enemies!$1:$1,0)-MATCH($M$1,[3]enemies!$1:$1,0)+1),MATCH(R$1,[3]enemies!$1:$1,0)-MATCH($M$1,[3]enemies!$1:$1,0)+1,FALSE)</f>
        <v>60</v>
      </c>
      <c r="S2" s="5">
        <v>30</v>
      </c>
      <c r="T2" s="130">
        <v>3.3</v>
      </c>
      <c r="U2" s="99">
        <f ca="1">ROUND(VLOOKUP(S2,[3]enemy_base_stats!$A:$F,2,FALSE) *INDIRECT("[EnemyMasterData.xlsm]enemies!Y"&amp;(M2+1))*  INDIRECT("[EnemyMasterData.xlsm]enemies!J"&amp;(M2+1))* INDIRECT("[EnemyMasterData.xlsm]enemies!O"&amp;(M2+1))* INDIRECT("[EnemyMasterData.xlsm]enemies!E"&amp;(M2+1))* INDIRECT("[EnemyMasterData.xlsm]enemies!S"&amp;(M2+1))* INDIRECT("[EnemyMasterData.xlsm]enemies!AD"&amp;(M2+1))*[4]ステータス!$B$2,0)*T2</f>
        <v>105336</v>
      </c>
      <c r="V2" s="24">
        <v>0.9</v>
      </c>
      <c r="W2" s="99">
        <f ca="1">ROUND(VLOOKUP(S2,[3]enemy_base_stats!$A:$F,3,FALSE) *INDIRECT("[EnemyMasterData.xlsm]enemies!Z"&amp;(M2+1))*  INDIRECT("[EnemyMasterData.xlsm]enemies!K"&amp;(M2+1))* INDIRECT("[EnemyMasterData.xlsm]enemies!P"&amp;(M2+1))* INDIRECT("[EnemyMasterData.xlsm]enemies!F"&amp;(M2+1))* INDIRECT("[EnemyMasterData.xlsm]enemies!T"&amp;(M2+1))* INDIRECT("[EnemyMasterData.xlsm]enemies!AE"&amp;(M2+1))*[4]ステータス!$C$2,0)*V2</f>
        <v>3528.9</v>
      </c>
      <c r="X2" s="5">
        <v>0</v>
      </c>
      <c r="Y2" s="4" t="str">
        <f ca="1">VLOOKUP($Z2,OFFSET(enemy_skill_sets!$B$1,0,0,COUNTA(enemy_skill_sets!$B:$B),MATCH(N$1,enemy_skill_sets!$1:$1,0)-MATCH($Z$1,enemy_skill_sets!$1:$1,0)+2),MATCH(N$1,enemy_skill_sets!$1:$1,0)-MATCH($Z$1,enemy_skill_sets!$1:$1,0)+2,FALSE)</f>
        <v>解除するまでユニット単体の攻撃力25%DOWN_x000D_+クリティカル！</v>
      </c>
      <c r="Z2" s="127">
        <v>30043003</v>
      </c>
      <c r="AA2" s="158">
        <v>1</v>
      </c>
    </row>
    <row r="3" spans="1:27" ht="21" customHeight="1" thickBot="1" x14ac:dyDescent="0.2">
      <c r="A3" s="113" t="str">
        <f t="shared" si="0"/>
        <v>30043_1-4/1146&lt;lv30&gt;sq2st2</v>
      </c>
      <c r="B3" s="138">
        <v>30043</v>
      </c>
      <c r="C3" s="116">
        <v>1</v>
      </c>
      <c r="D3" s="118" t="str">
        <f t="shared" si="1"/>
        <v>30043_1</v>
      </c>
      <c r="E3" s="139" t="str">
        <f ca="1">VLOOKUP($B3,OFFSET([2]quests!$A$1,0,0,COUNTA([2]quests!$A:$A),MATCH(E$1,[2]quests!$1:$1,0)-MATCH($B$1,[2]quests!$1:$1,0)+1),MATCH(E$1,[2]quests!$1:$1,0)-MATCH($B$1,[2]quests!$1:$1,0)+1,FALSE)</f>
        <v>小さな破壊竜</v>
      </c>
      <c r="F3" s="139" t="str">
        <f ca="1">VLOOKUP($D3,OFFSET([2]stages!$A$1,0,0,COUNTA([2]stages!$A:$A),MATCH(F$1,[2]stages!$2:$2,0)-MATCH($D$1,[2]stages!$2:$2,0)+1),MATCH(F$1,[2]stages!$2:$2,0)-MATCH($D$1,[2]stages!$2:$2,0)+1,FALSE)</f>
        <v>【中級】小さな破壊竜</v>
      </c>
      <c r="G3" s="116">
        <v>4</v>
      </c>
      <c r="H3" s="118" t="str">
        <f t="shared" si="2"/>
        <v>30043_1-4</v>
      </c>
      <c r="I3" s="139">
        <f ca="1">VLOOKUP($H3,OFFSET(floors!$A$1,0,0,COUNTA(floors!$A:$A),MATCH(I$1,floors!$1:$1,0)-MATCH($H$1,floors!$1:$1,0)+1),MATCH(I$1,floors!$1:$1,0)-MATCH($H$1,floors!$1:$1,0)+1,FALSE)</f>
        <v>60</v>
      </c>
      <c r="J3" s="139">
        <f ca="1">VLOOKUP($H3,OFFSET(floors!$A$1,0,0,COUNTA(floors!$A:$A),MATCH(J$1,floors!$1:$1,0)-MATCH($H$1,floors!$1:$1,0)+1),MATCH(J$1,floors!$1:$1,0)-MATCH($H$1,floors!$1:$1,0)+1,FALSE)</f>
        <v>60</v>
      </c>
      <c r="K3" s="162">
        <v>2</v>
      </c>
      <c r="L3" s="119">
        <v>2</v>
      </c>
      <c r="M3" s="175">
        <v>1146</v>
      </c>
      <c r="N3" s="140" t="str">
        <f ca="1">VLOOKUP($M3,OFFSET([3]enemies!$A$1,0,0,COUNTA([3]enemies!$A:$A),MATCH(N$1,[3]enemies!$1:$1,0)-MATCH($M$1,[3]enemies!$1:$1,0)+1),MATCH(N$1,[3]enemies!$1:$1,0)-MATCH($M$1,[3]enemies!$1:$1,0)+1,FALSE)</f>
        <v>宙覆す破魃竜 ヴリトラ</v>
      </c>
      <c r="O3" s="140" t="str">
        <f ca="1">VLOOKUP($M3,OFFSET([3]enemies!$A$1,0,0,COUNTA([3]enemies!$A:$A),MATCH(O$1,[3]enemies!$1:$1,0)-MATCH($M$1,[3]enemies!$1:$1,0)+1),MATCH(O$1,[3]enemies!$1:$1,0)-MATCH($M$1,[3]enemies!$1:$1,0)+1,FALSE)</f>
        <v>yellow</v>
      </c>
      <c r="P3" s="140" t="str">
        <f ca="1">VLOOKUP($M3,OFFSET([4]characters!$A$1,0,0,COUNTA([4]characters!$A:$A),MATCH(P$1,[4]characters!$1:$1,0)-MATCH($M$1,[4]characters!$1:$1,0)+1),MATCH(P$1,[4]characters!$1:$1,0)-MATCH($M$1,[4]characters!$1:$1,0)+1,FALSE)</f>
        <v>Drop2N</v>
      </c>
      <c r="Q3" s="140" t="str">
        <f ca="1">VLOOKUP($M3,OFFSET([3]enemies!$A$1,0,0,COUNTA([3]enemies!$A:$A),MATCH(Q$1,[3]enemies!$1:$1,0)-MATCH($M$1,[3]enemies!$1:$1,0)+1),MATCH(Q$1,[3]enemies!$1:$1,0)-MATCH($M$1,[3]enemies!$1:$1,0)+1,FALSE)</f>
        <v>dragon</v>
      </c>
      <c r="R3" s="140">
        <f ca="1">VLOOKUP($M3,OFFSET([3]enemies!$A$1,0,0,COUNTA([3]enemies!$A:$A),MATCH(R$1,[3]enemies!$1:$1,0)-MATCH($M$1,[3]enemies!$1:$1,0)+1),MATCH(R$1,[3]enemies!$1:$1,0)-MATCH($M$1,[3]enemies!$1:$1,0)+1,FALSE)</f>
        <v>60</v>
      </c>
      <c r="S3" s="141">
        <v>30</v>
      </c>
      <c r="T3" s="191">
        <v>1.9</v>
      </c>
      <c r="U3" s="143">
        <f ca="1">ROUND(VLOOKUP(S3,[3]enemy_base_stats!$A:$F,2,FALSE) *INDIRECT("[EnemyMasterData.xlsm]enemies!Y"&amp;(M3+1))*  INDIRECT("[EnemyMasterData.xlsm]enemies!J"&amp;(M3+1))* INDIRECT("[EnemyMasterData.xlsm]enemies!O"&amp;(M3+1))* INDIRECT("[EnemyMasterData.xlsm]enemies!E"&amp;(M3+1))* INDIRECT("[EnemyMasterData.xlsm]enemies!S"&amp;(M3+1))* INDIRECT("[EnemyMasterData.xlsm]enemies!AD"&amp;(M3+1))*[4]ステータス!$B$2,0)*T3</f>
        <v>166267.1</v>
      </c>
      <c r="V3" s="142">
        <v>1</v>
      </c>
      <c r="W3" s="143">
        <f ca="1">ROUND(VLOOKUP(S3,[3]enemy_base_stats!$A:$F,3,FALSE) *INDIRECT("[EnemyMasterData.xlsm]enemies!Z"&amp;(M3+1))*  INDIRECT("[EnemyMasterData.xlsm]enemies!K"&amp;(M3+1))* INDIRECT("[EnemyMasterData.xlsm]enemies!P"&amp;(M3+1))* INDIRECT("[EnemyMasterData.xlsm]enemies!F"&amp;(M3+1))* INDIRECT("[EnemyMasterData.xlsm]enemies!T"&amp;(M3+1))* INDIRECT("[EnemyMasterData.xlsm]enemies!AE"&amp;(M3+1))*[4]ステータス!$C$2,0)*V3</f>
        <v>3248</v>
      </c>
      <c r="X3" s="141">
        <v>0</v>
      </c>
      <c r="Y3" s="139" t="str">
        <f ca="1">VLOOKUP($Z3,OFFSET(enemy_skill_sets!$B$1,0,0,COUNTA(enemy_skill_sets!$B:$B),MATCH(N$1,enemy_skill_sets!$1:$1,0)-MATCH($Z$1,enemy_skill_sets!$1:$1,0)+2),MATCH(N$1,enemy_skill_sets!$1:$1,0)-MATCH($Z$1,enemy_skill_sets!$1:$1,0)+2,FALSE)</f>
        <v>状態異常耐性+自身の攻撃頻度UP</v>
      </c>
      <c r="Z3" s="144">
        <v>30043007</v>
      </c>
      <c r="AA3" s="160">
        <v>1</v>
      </c>
    </row>
    <row r="4" spans="1:27" ht="21" customHeight="1" thickTop="1" x14ac:dyDescent="0.15">
      <c r="A4" s="120" t="str">
        <f t="shared" si="0"/>
        <v>30043_2-2/563&lt;lv40&gt;sq3st2</v>
      </c>
      <c r="B4" s="148">
        <v>30043</v>
      </c>
      <c r="C4" s="123">
        <v>2</v>
      </c>
      <c r="D4" s="125" t="str">
        <f t="shared" si="1"/>
        <v>30043_2</v>
      </c>
      <c r="E4" s="149" t="str">
        <f ca="1">VLOOKUP($B4,OFFSET([2]quests!$A$1,0,0,COUNTA([2]quests!$A:$A),MATCH(E$1,[2]quests!$1:$1,0)-MATCH($B$1,[2]quests!$1:$1,0)+1),MATCH(E$1,[2]quests!$1:$1,0)-MATCH($B$1,[2]quests!$1:$1,0)+1,FALSE)</f>
        <v>小さな破壊竜</v>
      </c>
      <c r="F4" s="149" t="str">
        <f ca="1">VLOOKUP($D4,OFFSET([2]stages!$A$1,0,0,COUNTA([2]stages!$A:$A),MATCH(F$1,[2]stages!$2:$2,0)-MATCH($D$1,[2]stages!$2:$2,0)+1),MATCH(F$1,[2]stages!$2:$2,0)-MATCH($D$1,[2]stages!$2:$2,0)+1,FALSE)</f>
        <v>【上級】小さな破壊竜</v>
      </c>
      <c r="G4" s="123">
        <v>2</v>
      </c>
      <c r="H4" s="125" t="str">
        <f t="shared" si="2"/>
        <v>30043_2-2</v>
      </c>
      <c r="I4" s="149">
        <f ca="1">VLOOKUP($H4,OFFSET(floors!$A$1,0,0,COUNTA(floors!$A:$A),MATCH(I$1,floors!$1:$1,0)-MATCH($H$1,floors!$1:$1,0)+1),MATCH(I$1,floors!$1:$1,0)-MATCH($H$1,floors!$1:$1,0)+1,FALSE)</f>
        <v>60</v>
      </c>
      <c r="J4" s="149">
        <f ca="1">VLOOKUP($H4,OFFSET(floors!$A$1,0,0,COUNTA(floors!$A:$A),MATCH(J$1,floors!$1:$1,0)-MATCH($H$1,floors!$1:$1,0)+1),MATCH(J$1,floors!$1:$1,0)-MATCH($H$1,floors!$1:$1,0)+1,FALSE)</f>
        <v>60</v>
      </c>
      <c r="K4" s="109">
        <v>3</v>
      </c>
      <c r="L4" s="126">
        <v>2</v>
      </c>
      <c r="M4" s="150">
        <v>563</v>
      </c>
      <c r="N4" s="151" t="str">
        <f ca="1">VLOOKUP($M4,OFFSET([3]enemies!$A$1,0,0,COUNTA([3]enemies!$A:$A),MATCH(N$1,[3]enemies!$1:$1,0)-MATCH($M$1,[3]enemies!$1:$1,0)+1),MATCH(N$1,[3]enemies!$1:$1,0)-MATCH($M$1,[3]enemies!$1:$1,0)+1,FALSE)</f>
        <v>電翔紫閃の雷刃 ハヤト</v>
      </c>
      <c r="O4" s="151" t="str">
        <f ca="1">VLOOKUP($M4,OFFSET([3]enemies!$A$1,0,0,COUNTA([3]enemies!$A:$A),MATCH(O$1,[3]enemies!$1:$1,0)-MATCH($M$1,[3]enemies!$1:$1,0)+1),MATCH(O$1,[3]enemies!$1:$1,0)-MATCH($M$1,[3]enemies!$1:$1,0)+1,FALSE)</f>
        <v>yellow</v>
      </c>
      <c r="P4" s="151" t="str">
        <f ca="1">VLOOKUP($M4,OFFSET([4]characters!$A$1,0,0,COUNTA([4]characters!$A:$A),MATCH(P$1,[4]characters!$1:$1,0)-MATCH($M$1,[4]characters!$1:$1,0)+1),MATCH(P$1,[4]characters!$1:$1,0)-MATCH($M$1,[4]characters!$1:$1,0)+1,FALSE)</f>
        <v>PremiumW</v>
      </c>
      <c r="Q4" s="151" t="str">
        <f ca="1">VLOOKUP($M4,OFFSET([3]enemies!$A$1,0,0,COUNTA([3]enemies!$A:$A),MATCH(Q$1,[3]enemies!$1:$1,0)-MATCH($M$1,[3]enemies!$1:$1,0)+1),MATCH(Q$1,[3]enemies!$1:$1,0)-MATCH($M$1,[3]enemies!$1:$1,0)+1,FALSE)</f>
        <v>human</v>
      </c>
      <c r="R4" s="151">
        <f ca="1">VLOOKUP($M4,OFFSET([3]enemies!$A$1,0,0,COUNTA([3]enemies!$A:$A),MATCH(R$1,[3]enemies!$1:$1,0)-MATCH($M$1,[3]enemies!$1:$1,0)+1),MATCH(R$1,[3]enemies!$1:$1,0)-MATCH($M$1,[3]enemies!$1:$1,0)+1,FALSE)</f>
        <v>60</v>
      </c>
      <c r="S4" s="152">
        <v>40</v>
      </c>
      <c r="T4" s="130">
        <v>3.3</v>
      </c>
      <c r="U4" s="154">
        <f ca="1">ROUND(VLOOKUP(S4,[3]enemy_base_stats!$A:$F,2,FALSE) *INDIRECT("[EnemyMasterData.xlsm]enemies!Y"&amp;(M4+1))*  INDIRECT("[EnemyMasterData.xlsm]enemies!J"&amp;(M4+1))* INDIRECT("[EnemyMasterData.xlsm]enemies!O"&amp;(M4+1))* INDIRECT("[EnemyMasterData.xlsm]enemies!E"&amp;(M4+1))* INDIRECT("[EnemyMasterData.xlsm]enemies!S"&amp;(M4+1))* INDIRECT("[EnemyMasterData.xlsm]enemies!AD"&amp;(M4+1))*[4]ステータス!$B$2,0)*T4</f>
        <v>138774.9</v>
      </c>
      <c r="V4" s="153">
        <v>0.9</v>
      </c>
      <c r="W4" s="154">
        <f ca="1">ROUND(VLOOKUP(S4,[3]enemy_base_stats!$A:$F,3,FALSE) *INDIRECT("[EnemyMasterData.xlsm]enemies!Z"&amp;(M4+1))*  INDIRECT("[EnemyMasterData.xlsm]enemies!K"&amp;(M4+1))* INDIRECT("[EnemyMasterData.xlsm]enemies!P"&amp;(M4+1))* INDIRECT("[EnemyMasterData.xlsm]enemies!F"&amp;(M4+1))* INDIRECT("[EnemyMasterData.xlsm]enemies!T"&amp;(M4+1))* INDIRECT("[EnemyMasterData.xlsm]enemies!AE"&amp;(M4+1))*[4]ステータス!$C$2,0)*V4</f>
        <v>4649.4000000000005</v>
      </c>
      <c r="X4" s="152">
        <v>0</v>
      </c>
      <c r="Y4" s="149" t="str">
        <f ca="1">VLOOKUP($Z4,OFFSET(enemy_skill_sets!$B$1,0,0,COUNTA(enemy_skill_sets!$B:$B),MATCH(N$1,enemy_skill_sets!$1:$1,0)-MATCH($Z$1,enemy_skill_sets!$1:$1,0)+2),MATCH(N$1,enemy_skill_sets!$1:$1,0)-MATCH($Z$1,enemy_skill_sets!$1:$1,0)+2,FALSE)</f>
        <v>解除するまでユニット単体の攻撃力25%DOWN_x000D_+クリティカル！</v>
      </c>
      <c r="Z4" s="127">
        <v>30043003</v>
      </c>
      <c r="AA4" s="161">
        <v>1</v>
      </c>
    </row>
    <row r="5" spans="1:27" ht="21" customHeight="1" thickBot="1" x14ac:dyDescent="0.2">
      <c r="A5" s="113" t="str">
        <f t="shared" si="0"/>
        <v>30043_2-4/1146&lt;lv40&gt;sq4st2</v>
      </c>
      <c r="B5" s="138">
        <v>30043</v>
      </c>
      <c r="C5" s="116">
        <v>2</v>
      </c>
      <c r="D5" s="118" t="str">
        <f t="shared" si="1"/>
        <v>30043_2</v>
      </c>
      <c r="E5" s="139" t="str">
        <f ca="1">VLOOKUP($B5,OFFSET([2]quests!$A$1,0,0,COUNTA([2]quests!$A:$A),MATCH(E$1,[2]quests!$1:$1,0)-MATCH($B$1,[2]quests!$1:$1,0)+1),MATCH(E$1,[2]quests!$1:$1,0)-MATCH($B$1,[2]quests!$1:$1,0)+1,FALSE)</f>
        <v>小さな破壊竜</v>
      </c>
      <c r="F5" s="139" t="str">
        <f ca="1">VLOOKUP($D5,OFFSET([2]stages!$A$1,0,0,COUNTA([2]stages!$A:$A),MATCH(F$1,[2]stages!$2:$2,0)-MATCH($D$1,[2]stages!$2:$2,0)+1),MATCH(F$1,[2]stages!$2:$2,0)-MATCH($D$1,[2]stages!$2:$2,0)+1,FALSE)</f>
        <v>【上級】小さな破壊竜</v>
      </c>
      <c r="G5" s="116">
        <v>4</v>
      </c>
      <c r="H5" s="118" t="str">
        <f t="shared" si="2"/>
        <v>30043_2-4</v>
      </c>
      <c r="I5" s="139">
        <f ca="1">VLOOKUP($H5,OFFSET(floors!$A$1,0,0,COUNTA(floors!$A:$A),MATCH(I$1,floors!$1:$1,0)-MATCH($H$1,floors!$1:$1,0)+1),MATCH(I$1,floors!$1:$1,0)-MATCH($H$1,floors!$1:$1,0)+1,FALSE)</f>
        <v>60</v>
      </c>
      <c r="J5" s="139">
        <f ca="1">VLOOKUP($H5,OFFSET(floors!$A$1,0,0,COUNTA(floors!$A:$A),MATCH(J$1,floors!$1:$1,0)-MATCH($H$1,floors!$1:$1,0)+1),MATCH(J$1,floors!$1:$1,0)-MATCH($H$1,floors!$1:$1,0)+1,FALSE)</f>
        <v>60</v>
      </c>
      <c r="K5" s="162">
        <v>4</v>
      </c>
      <c r="L5" s="119">
        <v>2</v>
      </c>
      <c r="M5" s="175">
        <v>1146</v>
      </c>
      <c r="N5" s="140" t="str">
        <f ca="1">VLOOKUP($M5,OFFSET([3]enemies!$A$1,0,0,COUNTA([3]enemies!$A:$A),MATCH(N$1,[3]enemies!$1:$1,0)-MATCH($M$1,[3]enemies!$1:$1,0)+1),MATCH(N$1,[3]enemies!$1:$1,0)-MATCH($M$1,[3]enemies!$1:$1,0)+1,FALSE)</f>
        <v>宙覆す破魃竜 ヴリトラ</v>
      </c>
      <c r="O5" s="140" t="str">
        <f ca="1">VLOOKUP($M5,OFFSET([3]enemies!$A$1,0,0,COUNTA([3]enemies!$A:$A),MATCH(O$1,[3]enemies!$1:$1,0)-MATCH($M$1,[3]enemies!$1:$1,0)+1),MATCH(O$1,[3]enemies!$1:$1,0)-MATCH($M$1,[3]enemies!$1:$1,0)+1,FALSE)</f>
        <v>yellow</v>
      </c>
      <c r="P5" s="140" t="str">
        <f ca="1">VLOOKUP($M5,OFFSET([4]characters!$A$1,0,0,COUNTA([4]characters!$A:$A),MATCH(P$1,[4]characters!$1:$1,0)-MATCH($M$1,[4]characters!$1:$1,0)+1),MATCH(P$1,[4]characters!$1:$1,0)-MATCH($M$1,[4]characters!$1:$1,0)+1,FALSE)</f>
        <v>Drop2N</v>
      </c>
      <c r="Q5" s="140" t="str">
        <f ca="1">VLOOKUP($M5,OFFSET([3]enemies!$A$1,0,0,COUNTA([3]enemies!$A:$A),MATCH(Q$1,[3]enemies!$1:$1,0)-MATCH($M$1,[3]enemies!$1:$1,0)+1),MATCH(Q$1,[3]enemies!$1:$1,0)-MATCH($M$1,[3]enemies!$1:$1,0)+1,FALSE)</f>
        <v>dragon</v>
      </c>
      <c r="R5" s="140">
        <f ca="1">VLOOKUP($M5,OFFSET([3]enemies!$A$1,0,0,COUNTA([3]enemies!$A:$A),MATCH(R$1,[3]enemies!$1:$1,0)-MATCH($M$1,[3]enemies!$1:$1,0)+1),MATCH(R$1,[3]enemies!$1:$1,0)-MATCH($M$1,[3]enemies!$1:$1,0)+1,FALSE)</f>
        <v>60</v>
      </c>
      <c r="S5" s="141">
        <v>40</v>
      </c>
      <c r="T5" s="191">
        <v>1.9</v>
      </c>
      <c r="U5" s="143">
        <f ca="1">ROUND(VLOOKUP(S5,[3]enemy_base_stats!$A:$F,2,FALSE) *INDIRECT("[EnemyMasterData.xlsm]enemies!Y"&amp;(M5+1))*  INDIRECT("[EnemyMasterData.xlsm]enemies!J"&amp;(M5+1))* INDIRECT("[EnemyMasterData.xlsm]enemies!O"&amp;(M5+1))* INDIRECT("[EnemyMasterData.xlsm]enemies!E"&amp;(M5+1))* INDIRECT("[EnemyMasterData.xlsm]enemies!S"&amp;(M5+1))* INDIRECT("[EnemyMasterData.xlsm]enemies!AD"&amp;(M5+1))*[4]ステータス!$B$2,0)*T5</f>
        <v>219049.09999999998</v>
      </c>
      <c r="V5" s="142">
        <v>1</v>
      </c>
      <c r="W5" s="143">
        <f ca="1">ROUND(VLOOKUP(S5,[3]enemy_base_stats!$A:$F,3,FALSE) *INDIRECT("[EnemyMasterData.xlsm]enemies!Z"&amp;(M5+1))*  INDIRECT("[EnemyMasterData.xlsm]enemies!K"&amp;(M5+1))* INDIRECT("[EnemyMasterData.xlsm]enemies!P"&amp;(M5+1))* INDIRECT("[EnemyMasterData.xlsm]enemies!F"&amp;(M5+1))* INDIRECT("[EnemyMasterData.xlsm]enemies!T"&amp;(M5+1))* INDIRECT("[EnemyMasterData.xlsm]enemies!AE"&amp;(M5+1))*[4]ステータス!$C$2,0)*V5</f>
        <v>4280</v>
      </c>
      <c r="X5" s="141">
        <v>0</v>
      </c>
      <c r="Y5" s="139" t="str">
        <f ca="1">VLOOKUP($Z5,OFFSET(enemy_skill_sets!$B$1,0,0,COUNTA(enemy_skill_sets!$B:$B),MATCH(N$1,enemy_skill_sets!$1:$1,0)-MATCH($Z$1,enemy_skill_sets!$1:$1,0)+2),MATCH(N$1,enemy_skill_sets!$1:$1,0)-MATCH($Z$1,enemy_skill_sets!$1:$1,0)+2,FALSE)</f>
        <v>状態異常耐性+自身の攻撃頻度UP</v>
      </c>
      <c r="Z5" s="144">
        <v>30043007</v>
      </c>
      <c r="AA5" s="160">
        <v>1</v>
      </c>
    </row>
    <row r="6" spans="1:27" ht="21" customHeight="1" thickTop="1" x14ac:dyDescent="0.15">
      <c r="A6" s="15" t="str">
        <f t="shared" si="0"/>
        <v>30043_3-2/563&lt;lv60&gt;sq5st2</v>
      </c>
      <c r="B6" s="21">
        <v>30043</v>
      </c>
      <c r="C6" s="106">
        <v>3</v>
      </c>
      <c r="D6" s="108" t="str">
        <f t="shared" si="1"/>
        <v>30043_3</v>
      </c>
      <c r="E6" s="4" t="str">
        <f ca="1">VLOOKUP($B6,OFFSET([2]quests!$A$1,0,0,COUNTA([2]quests!$A:$A),MATCH(E$1,[2]quests!$1:$1,0)-MATCH($B$1,[2]quests!$1:$1,0)+1),MATCH(E$1,[2]quests!$1:$1,0)-MATCH($B$1,[2]quests!$1:$1,0)+1,FALSE)</f>
        <v>小さな破壊竜</v>
      </c>
      <c r="F6" s="4" t="str">
        <f ca="1">VLOOKUP($D6,OFFSET([2]stages!$A$1,0,0,COUNTA([2]stages!$A:$A),MATCH(F$1,[2]stages!$2:$2,0)-MATCH($D$1,[2]stages!$2:$2,0)+1),MATCH(F$1,[2]stages!$2:$2,0)-MATCH($D$1,[2]stages!$2:$2,0)+1,FALSE)</f>
        <v>【超級】小さな破壊竜</v>
      </c>
      <c r="G6" s="106">
        <v>2</v>
      </c>
      <c r="H6" s="108" t="str">
        <f t="shared" si="2"/>
        <v>30043_3-2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109">
        <v>5</v>
      </c>
      <c r="L6" s="109">
        <v>2</v>
      </c>
      <c r="M6" s="128">
        <v>563</v>
      </c>
      <c r="N6" s="16" t="str">
        <f ca="1">VLOOKUP($M6,OFFSET([3]enemies!$A$1,0,0,COUNTA([3]enemies!$A:$A),MATCH(N$1,[3]enemies!$1:$1,0)-MATCH($M$1,[3]enemies!$1:$1,0)+1),MATCH(N$1,[3]enemies!$1:$1,0)-MATCH($M$1,[3]enemies!$1:$1,0)+1,FALSE)</f>
        <v>電翔紫閃の雷刃 ハヤト</v>
      </c>
      <c r="O6" s="16" t="str">
        <f ca="1">VLOOKUP($M6,OFFSET([3]enemies!$A$1,0,0,COUNTA([3]enemies!$A:$A),MATCH(O$1,[3]enemies!$1:$1,0)-MATCH($M$1,[3]enemies!$1:$1,0)+1),MATCH(O$1,[3]enemies!$1:$1,0)-MATCH($M$1,[3]enemies!$1:$1,0)+1,FALSE)</f>
        <v>yellow</v>
      </c>
      <c r="P6" s="16" t="str">
        <f ca="1">VLOOKUP($M6,OFFSET([4]characters!$A$1,0,0,COUNTA([4]characters!$A:$A),MATCH(P$1,[4]characters!$1:$1,0)-MATCH($M$1,[4]characters!$1:$1,0)+1),MATCH(P$1,[4]characters!$1:$1,0)-MATCH($M$1,[4]characters!$1:$1,0)+1,FALSE)</f>
        <v>PremiumW</v>
      </c>
      <c r="Q6" s="16" t="str">
        <f ca="1">VLOOKUP($M6,OFFSET([3]enemies!$A$1,0,0,COUNTA([3]enemies!$A:$A),MATCH(Q$1,[3]enemies!$1:$1,0)-MATCH($M$1,[3]enemies!$1:$1,0)+1),MATCH(Q$1,[3]enemies!$1:$1,0)-MATCH($M$1,[3]enemies!$1:$1,0)+1,FALSE)</f>
        <v>human</v>
      </c>
      <c r="R6" s="16">
        <f ca="1">VLOOKUP($M6,OFFSET([3]enemies!$A$1,0,0,COUNTA([3]enemies!$A:$A),MATCH(R$1,[3]enemies!$1:$1,0)-MATCH($M$1,[3]enemies!$1:$1,0)+1),MATCH(R$1,[3]enemies!$1:$1,0)-MATCH($M$1,[3]enemies!$1:$1,0)+1,FALSE)</f>
        <v>60</v>
      </c>
      <c r="S6" s="129">
        <v>60</v>
      </c>
      <c r="T6" s="130">
        <v>3.4</v>
      </c>
      <c r="U6" s="131">
        <f ca="1">ROUND(VLOOKUP(S6,[3]enemy_base_stats!$A:$F,2,FALSE) *INDIRECT("[EnemyMasterData.xlsm]enemies!Y"&amp;(M6+1))*  INDIRECT("[EnemyMasterData.xlsm]enemies!J"&amp;(M6+1))* INDIRECT("[EnemyMasterData.xlsm]enemies!O"&amp;(M6+1))* INDIRECT("[EnemyMasterData.xlsm]enemies!E"&amp;(M6+1))* INDIRECT("[EnemyMasterData.xlsm]enemies!S"&amp;(M6+1))* INDIRECT("[EnemyMasterData.xlsm]enemies!AD"&amp;(M6+1))*[4]ステータス!$B$2,0)*T6</f>
        <v>211884.6</v>
      </c>
      <c r="V6" s="130">
        <v>1</v>
      </c>
      <c r="W6" s="131">
        <f ca="1">ROUND(VLOOKUP(S6,[3]enemy_base_stats!$A:$F,3,FALSE) *INDIRECT("[EnemyMasterData.xlsm]enemies!Z"&amp;(M6+1))*  INDIRECT("[EnemyMasterData.xlsm]enemies!K"&amp;(M6+1))* INDIRECT("[EnemyMasterData.xlsm]enemies!P"&amp;(M6+1))* INDIRECT("[EnemyMasterData.xlsm]enemies!F"&amp;(M6+1))* INDIRECT("[EnemyMasterData.xlsm]enemies!T"&amp;(M6+1))* INDIRECT("[EnemyMasterData.xlsm]enemies!AE"&amp;(M6+1))*[4]ステータス!$C$2,0)*V6</f>
        <v>7655</v>
      </c>
      <c r="X6" s="129">
        <v>0</v>
      </c>
      <c r="Y6" s="4" t="str">
        <f ca="1">VLOOKUP($Z6,OFFSET(enemy_skill_sets!$B$1,0,0,COUNTA(enemy_skill_sets!$B:$B),MATCH(N$1,enemy_skill_sets!$1:$1,0)-MATCH($Z$1,enemy_skill_sets!$1:$1,0)+2),MATCH(N$1,enemy_skill_sets!$1:$1,0)-MATCH($Z$1,enemy_skill_sets!$1:$1,0)+2,FALSE)</f>
        <v>解除するまでユニット単体の攻撃力35%DOWN_x000D_+クリティカル！</v>
      </c>
      <c r="Z6" s="253">
        <v>30043009</v>
      </c>
      <c r="AA6" s="159">
        <v>1</v>
      </c>
    </row>
    <row r="7" spans="1:27" ht="21" customHeight="1" x14ac:dyDescent="0.15">
      <c r="A7" s="15" t="str">
        <f t="shared" si="0"/>
        <v>30043_3-4/1146&lt;lv60&gt;sq6st2</v>
      </c>
      <c r="B7" s="21">
        <v>30043</v>
      </c>
      <c r="C7" s="20">
        <v>3</v>
      </c>
      <c r="D7" s="2" t="str">
        <f t="shared" si="1"/>
        <v>30043_3</v>
      </c>
      <c r="E7" s="4" t="str">
        <f ca="1">VLOOKUP($B7,OFFSET([2]quests!$A$1,0,0,COUNTA([2]quests!$A:$A),MATCH(E$1,[2]quests!$1:$1,0)-MATCH($B$1,[2]quests!$1:$1,0)+1),MATCH(E$1,[2]quests!$1:$1,0)-MATCH($B$1,[2]quests!$1:$1,0)+1,FALSE)</f>
        <v>小さな破壊竜</v>
      </c>
      <c r="F7" s="4" t="str">
        <f ca="1">VLOOKUP($D7,OFFSET([2]stages!$A$1,0,0,COUNTA([2]stages!$A:$A),MATCH(F$1,[2]stages!$2:$2,0)-MATCH($D$1,[2]stages!$2:$2,0)+1),MATCH(F$1,[2]stages!$2:$2,0)-MATCH($D$1,[2]stages!$2:$2,0)+1,FALSE)</f>
        <v>【超級】小さな破壊竜</v>
      </c>
      <c r="G7" s="20">
        <v>4</v>
      </c>
      <c r="H7" s="14" t="str">
        <f t="shared" si="2"/>
        <v>30043_3-4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7">
        <v>6</v>
      </c>
      <c r="L7" s="37">
        <v>2</v>
      </c>
      <c r="M7" s="178">
        <v>1146</v>
      </c>
      <c r="N7" s="16" t="str">
        <f ca="1">VLOOKUP($M7,OFFSET([3]enemies!$A$1,0,0,COUNTA([3]enemies!$A:$A),MATCH(N$1,[3]enemies!$1:$1,0)-MATCH($M$1,[3]enemies!$1:$1,0)+1),MATCH(N$1,[3]enemies!$1:$1,0)-MATCH($M$1,[3]enemies!$1:$1,0)+1,FALSE)</f>
        <v>宙覆す破魃竜 ヴリトラ</v>
      </c>
      <c r="O7" s="16" t="str">
        <f ca="1">VLOOKUP($M7,OFFSET([3]enemies!$A$1,0,0,COUNTA([3]enemies!$A:$A),MATCH(O$1,[3]enemies!$1:$1,0)-MATCH($M$1,[3]enemies!$1:$1,0)+1),MATCH(O$1,[3]enemies!$1:$1,0)-MATCH($M$1,[3]enemies!$1:$1,0)+1,FALSE)</f>
        <v>yellow</v>
      </c>
      <c r="P7" s="16" t="str">
        <f ca="1">VLOOKUP($M7,OFFSET([4]characters!$A$1,0,0,COUNTA([4]characters!$A:$A),MATCH(P$1,[4]characters!$1:$1,0)-MATCH($M$1,[4]characters!$1:$1,0)+1),MATCH(P$1,[4]characters!$1:$1,0)-MATCH($M$1,[4]characters!$1:$1,0)+1,FALSE)</f>
        <v>Drop2N</v>
      </c>
      <c r="Q7" s="16" t="str">
        <f ca="1">VLOOKUP($M7,OFFSET([3]enemies!$A$1,0,0,COUNTA([3]enemies!$A:$A),MATCH(Q$1,[3]enemies!$1:$1,0)-MATCH($M$1,[3]enemies!$1:$1,0)+1),MATCH(Q$1,[3]enemies!$1:$1,0)-MATCH($M$1,[3]enemies!$1:$1,0)+1,FALSE)</f>
        <v>dragon</v>
      </c>
      <c r="R7" s="16">
        <f ca="1">VLOOKUP($M7,OFFSET([3]enemies!$A$1,0,0,COUNTA([3]enemies!$A:$A),MATCH(R$1,[3]enemies!$1:$1,0)-MATCH($M$1,[3]enemies!$1:$1,0)+1),MATCH(R$1,[3]enemies!$1:$1,0)-MATCH($M$1,[3]enemies!$1:$1,0)+1,FALSE)</f>
        <v>60</v>
      </c>
      <c r="S7" s="5">
        <v>60</v>
      </c>
      <c r="T7" s="24">
        <v>1.9</v>
      </c>
      <c r="U7" s="99">
        <f ca="1">ROUND(VLOOKUP(S7,[3]enemy_base_stats!$A:$F,2,FALSE) *INDIRECT("[EnemyMasterData.xlsm]enemies!Y"&amp;(M7+1))*  INDIRECT("[EnemyMasterData.xlsm]enemies!J"&amp;(M7+1))* INDIRECT("[EnemyMasterData.xlsm]enemies!O"&amp;(M7+1))* INDIRECT("[EnemyMasterData.xlsm]enemies!E"&amp;(M7+1))* INDIRECT("[EnemyMasterData.xlsm]enemies!S"&amp;(M7+1))* INDIRECT("[EnemyMasterData.xlsm]enemies!AD"&amp;(M7+1))*[4]ステータス!$B$2,0)*T7</f>
        <v>324615</v>
      </c>
      <c r="V7" s="24">
        <v>1</v>
      </c>
      <c r="W7" s="99">
        <f ca="1">ROUND(VLOOKUP(S7,[3]enemy_base_stats!$A:$F,3,FALSE) *INDIRECT("[EnemyMasterData.xlsm]enemies!Z"&amp;(M7+1))*  INDIRECT("[EnemyMasterData.xlsm]enemies!K"&amp;(M7+1))* INDIRECT("[EnemyMasterData.xlsm]enemies!P"&amp;(M7+1))* INDIRECT("[EnemyMasterData.xlsm]enemies!F"&amp;(M7+1))* INDIRECT("[EnemyMasterData.xlsm]enemies!T"&amp;(M7+1))* INDIRECT("[EnemyMasterData.xlsm]enemies!AE"&amp;(M7+1))*[4]ステータス!$C$2,0)*V7</f>
        <v>6342</v>
      </c>
      <c r="X7" s="5">
        <v>0</v>
      </c>
      <c r="Y7" s="16" t="str">
        <f ca="1">VLOOKUP($Z7,OFFSET(enemy_skill_sets!$B$1,0,0,COUNTA(enemy_skill_sets!$B:$B),MATCH(N$1,enemy_skill_sets!$1:$1,0)-MATCH($Z$1,enemy_skill_sets!$1:$1,0)+2),MATCH(N$1,enemy_skill_sets!$1:$1,0)-MATCH($Z$1,enemy_skill_sets!$1:$1,0)+2,FALSE)</f>
        <v>状態異常耐性+自身の攻撃頻度UP</v>
      </c>
      <c r="Z7" s="102">
        <v>30043007</v>
      </c>
      <c r="AA7" s="173">
        <v>1</v>
      </c>
    </row>
  </sheetData>
  <sheetProtection selectLockedCells="1" selectUnlockedCells="1"/>
  <autoFilter ref="B1:AA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35"/>
  <sheetViews>
    <sheetView showGridLines="0" workbookViewId="0">
      <pane xSplit="5" ySplit="1" topLeftCell="F2" activePane="bottomRight" state="frozen"/>
      <selection pane="topRight"/>
      <selection pane="bottomLeft"/>
      <selection pane="bottomRight" activeCell="E41" sqref="E41"/>
    </sheetView>
  </sheetViews>
  <sheetFormatPr baseColWidth="12" defaultColWidth="12.83203125" defaultRowHeight="21" customHeight="1" outlineLevelCol="1" x14ac:dyDescent="0.15"/>
  <cols>
    <col min="1" max="1" width="11.33203125" style="38" bestFit="1" customWidth="1"/>
    <col min="2" max="2" width="9.5" style="48" bestFit="1" customWidth="1"/>
    <col min="3" max="3" width="9.6640625" style="48" customWidth="1"/>
    <col min="4" max="4" width="23.5" style="48" customWidth="1" outlineLevel="1"/>
    <col min="5" max="5" width="44.1640625" style="48" bestFit="1" customWidth="1" outlineLevel="1"/>
    <col min="6" max="6" width="10.83203125" style="48" bestFit="1" customWidth="1"/>
    <col min="7" max="7" width="8.33203125" style="48" bestFit="1" customWidth="1" outlineLevel="1"/>
    <col min="8" max="9" width="12.83203125" style="48" outlineLevel="1"/>
    <col min="10" max="10" width="17.6640625" style="48" bestFit="1" customWidth="1" outlineLevel="1"/>
    <col min="11" max="15" width="12.83203125" style="48" outlineLevel="1"/>
    <col min="16" max="16" width="8.33203125" style="44" bestFit="1" customWidth="1"/>
    <col min="17" max="17" width="9.6640625" style="44" customWidth="1"/>
    <col min="18" max="18" width="56.5" style="44" bestFit="1" customWidth="1"/>
    <col min="19" max="16384" width="12.83203125" style="44"/>
  </cols>
  <sheetData>
    <row r="1" spans="1:18" ht="21" customHeight="1" x14ac:dyDescent="0.15">
      <c r="A1" s="38" t="s">
        <v>60</v>
      </c>
      <c r="B1" s="39" t="s">
        <v>61</v>
      </c>
      <c r="C1" s="39" t="s">
        <v>62</v>
      </c>
      <c r="D1" s="40" t="s">
        <v>63</v>
      </c>
      <c r="E1" s="40" t="s">
        <v>64</v>
      </c>
      <c r="F1" s="41" t="s">
        <v>65</v>
      </c>
      <c r="G1" s="42" t="s">
        <v>66</v>
      </c>
      <c r="H1" s="42" t="s">
        <v>68</v>
      </c>
      <c r="I1" s="42" t="s">
        <v>69</v>
      </c>
      <c r="J1" s="42" t="s">
        <v>70</v>
      </c>
      <c r="K1" s="43" t="s">
        <v>71</v>
      </c>
      <c r="L1" s="43" t="s">
        <v>72</v>
      </c>
      <c r="M1" s="42" t="s">
        <v>73</v>
      </c>
      <c r="N1" s="42" t="s">
        <v>74</v>
      </c>
      <c r="O1" s="42" t="s">
        <v>75</v>
      </c>
      <c r="P1" s="40" t="s">
        <v>76</v>
      </c>
      <c r="Q1" s="40" t="s">
        <v>77</v>
      </c>
      <c r="R1" s="40" t="s">
        <v>78</v>
      </c>
    </row>
    <row r="2" spans="1:18" ht="21" customHeight="1" x14ac:dyDescent="0.15">
      <c r="A2" s="38" t="str">
        <f t="shared" ref="A2" si="0">B2&amp;"_"&amp;C2</f>
        <v>30043001_30043001</v>
      </c>
      <c r="B2" s="46">
        <v>30043001</v>
      </c>
      <c r="C2" s="46">
        <v>30043001</v>
      </c>
      <c r="D2" s="45" t="str">
        <f ca="1">VLOOKUP($C2,OFFSET(enemy_skills!$A$1,0,0,COUNTA(enemy_skills!$A:$A),MATCH(D$1,enemy_skills!$1:$1,0)-MATCH("enemy_skill_id",enemy_skills!$1:$1,0)+1),MATCH(D$1,enemy_skills!$1:$1,0)-MATCH("enemy_skill_id",enemy_skills!$1:$1,0)+1,FALSE)</f>
        <v>ヒャハハ！　カーリーサマ！_x000D_ツギハ　ドレヲ　ブッコワス？</v>
      </c>
      <c r="E2" s="45" t="str">
        <f ca="1">VLOOKUP($C2,OFFSET(enemy_skills!$A$1,0,0,COUNTA(enemy_skills!$A:$A),MATCH(E$1,enemy_skills!$1:$1,0)-MATCH("enemy_skill_id",enemy_skills!$1:$1,0)+1),MATCH(E$1,enemy_skills!$1:$1,0)-MATCH("enemy_skill_id",enemy_skills!$1:$1,0)+1,FALSE)</f>
        <v>ンギャ！　ツギノ　オモチャ　ハッケーン！</v>
      </c>
      <c r="F2" s="46">
        <v>30043001</v>
      </c>
      <c r="G2" s="47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7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" s="47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7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7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7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7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7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7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6"/>
      <c r="Q2" s="46"/>
      <c r="R2" s="46"/>
    </row>
    <row r="3" spans="1:18" ht="21" customHeight="1" x14ac:dyDescent="0.15">
      <c r="A3" s="38" t="str">
        <f t="shared" ref="A3" si="1">B3&amp;"_"&amp;C3</f>
        <v>30043001_30043002</v>
      </c>
      <c r="B3" s="46">
        <v>30043001</v>
      </c>
      <c r="C3" s="46">
        <v>30043002</v>
      </c>
      <c r="D3" s="45" t="str">
        <f ca="1">VLOOKUP($C3,OFFSET(enemy_skills!$A$1,0,0,COUNTA(enemy_skills!$A:$A),MATCH(D$1,enemy_skills!$1:$1,0)-MATCH("enemy_skill_id",enemy_skills!$1:$1,0)+1),MATCH(D$1,enemy_skills!$1:$1,0)-MATCH("enemy_skill_id",enemy_skills!$1:$1,0)+1,FALSE)</f>
        <v>覇者への咆哮</v>
      </c>
      <c r="E3" s="45" t="str">
        <f ca="1">VLOOKUP($C3,OFFSET(enemy_skills!$A$1,0,0,COUNTA(enemy_skills!$A:$A),MATCH(E$1,enemy_skills!$1:$1,0)-MATCH("enemy_skill_id",enemy_skills!$1:$1,0)+1),MATCH(E$1,enemy_skills!$1:$1,0)-MATCH("enemy_skill_id",enemy_skills!$1:$1,0)+1,FALSE)</f>
        <v>コスト31以上のユニットに大ダメージ</v>
      </c>
      <c r="F3" s="46">
        <v>30043002</v>
      </c>
      <c r="G3" s="47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7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3" s="47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7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7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7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" s="47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" s="47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7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6"/>
      <c r="Q3" s="46"/>
      <c r="R3" s="46"/>
    </row>
    <row r="4" spans="1:18" ht="21" customHeight="1" x14ac:dyDescent="0.15">
      <c r="A4" s="38" t="str">
        <f t="shared" ref="A4:A22" si="2">B4&amp;"_"&amp;C4</f>
        <v>30043001_30043003</v>
      </c>
      <c r="B4" s="46">
        <v>30043001</v>
      </c>
      <c r="C4" s="46">
        <v>30043003</v>
      </c>
      <c r="D4" s="45" t="str">
        <f ca="1">VLOOKUP($C4,OFFSET(enemy_skills!$A$1,0,0,COUNTA(enemy_skills!$A:$A),MATCH(D$1,enemy_skills!$1:$1,0)-MATCH("enemy_skill_id",enemy_skills!$1:$1,0)+1),MATCH(D$1,enemy_skills!$1:$1,0)-MATCH("enemy_skill_id",enemy_skills!$1:$1,0)+1,FALSE)</f>
        <v>コイツラ　ナカナカ　タノシメソウダナ</v>
      </c>
      <c r="E4" s="45" t="str">
        <f ca="1">VLOOKUP($C4,OFFSET(enemy_skills!$A$1,0,0,COUNTA(enemy_skills!$A:$A),MATCH(E$1,enemy_skills!$1:$1,0)-MATCH("enemy_skill_id",enemy_skills!$1:$1,0)+1),MATCH(E$1,enemy_skills!$1:$1,0)-MATCH("enemy_skill_id",enemy_skills!$1:$1,0)+1,FALSE)</f>
        <v>アトデ　ジックリ　ブッコワシテヤル</v>
      </c>
      <c r="F4" s="46">
        <v>30043003</v>
      </c>
      <c r="G4" s="47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7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4" s="47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7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7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7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47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4" s="47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7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6"/>
      <c r="Q4" s="46"/>
      <c r="R4" s="46"/>
    </row>
    <row r="5" spans="1:18" ht="21" customHeight="1" x14ac:dyDescent="0.15">
      <c r="A5" s="38" t="str">
        <f t="shared" si="2"/>
        <v>30043002_30043004</v>
      </c>
      <c r="B5" s="183">
        <v>30043002</v>
      </c>
      <c r="C5" s="46">
        <v>30043004</v>
      </c>
      <c r="D5" s="45" t="str">
        <f ca="1">VLOOKUP($C5,OFFSET(enemy_skills!$A$1,0,0,COUNTA(enemy_skills!$A:$A),MATCH(D$1,enemy_skills!$1:$1,0)-MATCH("enemy_skill_id",enemy_skills!$1:$1,0)+1),MATCH(D$1,enemy_skills!$1:$1,0)-MATCH("enemy_skill_id",enemy_skills!$1:$1,0)+1,FALSE)</f>
        <v>ディス・チャージ</v>
      </c>
      <c r="E5" s="45" t="str">
        <f ca="1">VLOOKUP($C5,OFFSET(enemy_skills!$A$1,0,0,COUNTA(enemy_skills!$A:$A),MATCH(E$1,enemy_skills!$1:$1,0)-MATCH("enemy_skill_id",enemy_skills!$1:$1,0)+1),MATCH(E$1,enemy_skills!$1:$1,0)-MATCH("enemy_skill_id",enemy_skills!$1:$1,0)+1,FALSE)</f>
        <v>解除するまでユニット単体の攻撃力25%DOWN_x000D_+クリティカル！</v>
      </c>
      <c r="F5" s="46">
        <v>30043004</v>
      </c>
      <c r="G5" s="47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7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5" s="47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5" s="47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7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7" t="str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" s="47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7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7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5" s="46"/>
      <c r="Q5" s="46"/>
      <c r="R5" s="46"/>
    </row>
    <row r="6" spans="1:18" ht="21" customHeight="1" x14ac:dyDescent="0.15">
      <c r="A6" s="38" t="str">
        <f t="shared" si="2"/>
        <v>30043002_30043005</v>
      </c>
      <c r="B6" s="183">
        <v>30043002</v>
      </c>
      <c r="C6" s="46">
        <v>30043005</v>
      </c>
      <c r="D6" s="45" t="str">
        <f ca="1">VLOOKUP($C6,OFFSET(enemy_skills!$A$1,0,0,COUNTA(enemy_skills!$A:$A),MATCH(D$1,enemy_skills!$1:$1,0)-MATCH("enemy_skill_id",enemy_skills!$1:$1,0)+1),MATCH(D$1,enemy_skills!$1:$1,0)-MATCH("enemy_skill_id",enemy_skills!$1:$1,0)+1,FALSE)</f>
        <v>雷光よ、貫け！</v>
      </c>
      <c r="E6" s="45" t="str">
        <f ca="1">VLOOKUP($C6,OFFSET(enemy_skills!$A$1,0,0,COUNTA(enemy_skills!$A:$A),MATCH(E$1,enemy_skills!$1:$1,0)-MATCH("enemy_skill_id",enemy_skills!$1:$1,0)+1),MATCH(E$1,enemy_skills!$1:$1,0)-MATCH("enemy_skill_id",enemy_skills!$1:$1,0)+1,FALSE)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6" s="46">
        <v>30043005</v>
      </c>
      <c r="G6" s="47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7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6" s="47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6" s="47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7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7" t="str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" s="47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7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7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6" s="46"/>
      <c r="Q6" s="46"/>
      <c r="R6" s="46"/>
    </row>
    <row r="7" spans="1:18" ht="21" customHeight="1" x14ac:dyDescent="0.15">
      <c r="A7" s="38" t="str">
        <f t="shared" si="2"/>
        <v>30043002_30043006</v>
      </c>
      <c r="B7" s="183">
        <v>30043002</v>
      </c>
      <c r="C7" s="46">
        <v>30043006</v>
      </c>
      <c r="D7" s="45" t="str">
        <f ca="1">VLOOKUP($C7,OFFSET(enemy_skills!$A$1,0,0,COUNTA(enemy_skills!$A:$A),MATCH(D$1,enemy_skills!$1:$1,0)-MATCH("enemy_skill_id",enemy_skills!$1:$1,0)+1),MATCH(D$1,enemy_skills!$1:$1,0)-MATCH("enemy_skill_id",enemy_skills!$1:$1,0)+1,FALSE)</f>
        <v>光速だ！見切れまい！</v>
      </c>
      <c r="E7" s="45" t="str">
        <f ca="1">VLOOKUP($C7,OFFSET(enemy_skills!$A$1,0,0,COUNTA(enemy_skills!$A:$A),MATCH(E$1,enemy_skills!$1:$1,0)-MATCH("enemy_skill_id",enemy_skills!$1:$1,0)+1),MATCH(E$1,enemy_skills!$1:$1,0)-MATCH("enemy_skill_id",enemy_skills!$1:$1,0)+1,FALSE)</f>
        <v>1ターン自身の攻撃頻度UP+クリティカル！</v>
      </c>
      <c r="F7" s="46">
        <v>30043006</v>
      </c>
      <c r="G7" s="47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7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7" s="47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85</v>
      </c>
      <c r="J7" s="47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40</v>
      </c>
      <c r="K7" s="47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7" t="str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" s="47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7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7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85</v>
      </c>
      <c r="P7" s="46"/>
      <c r="Q7" s="46"/>
      <c r="R7" s="46"/>
    </row>
    <row r="8" spans="1:18" ht="21" customHeight="1" x14ac:dyDescent="0.15">
      <c r="A8" s="38" t="str">
        <f t="shared" si="2"/>
        <v>30043003_30043007</v>
      </c>
      <c r="B8" s="183">
        <v>30043003</v>
      </c>
      <c r="C8" s="46">
        <v>30043007</v>
      </c>
      <c r="D8" s="172" t="str">
        <f ca="1">VLOOKUP($C8,OFFSET(enemy_skills!$A$1,0,0,COUNTA(enemy_skills!$A:$A),MATCH(D$1,enemy_skills!$1:$1,0)-MATCH("enemy_skill_id",enemy_skills!$1:$1,0)+1),MATCH(D$1,enemy_skills!$1:$1,0)-MATCH("enemy_skill_id",enemy_skills!$1:$1,0)+1,FALSE)</f>
        <v>ディス・チャージ</v>
      </c>
      <c r="E8" s="172" t="str">
        <f ca="1">VLOOKUP($C8,OFFSET(enemy_skills!$A$1,0,0,COUNTA(enemy_skills!$A:$A),MATCH(E$1,enemy_skills!$1:$1,0)-MATCH("enemy_skill_id",enemy_skills!$1:$1,0)+1),MATCH(E$1,enemy_skills!$1:$1,0)-MATCH("enemy_skill_id",enemy_skills!$1:$1,0)+1,FALSE)</f>
        <v>解除するまでユニット単体の攻撃力25%DOWN_x000D_+クリティカル！</v>
      </c>
      <c r="F8" s="46">
        <v>30043007</v>
      </c>
      <c r="G8" s="47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7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8" s="47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8" s="47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7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7" t="str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" s="47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7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7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8" s="46"/>
      <c r="Q8" s="46"/>
      <c r="R8" s="46"/>
    </row>
    <row r="9" spans="1:18" ht="21" customHeight="1" x14ac:dyDescent="0.15">
      <c r="A9" s="38" t="str">
        <f t="shared" si="2"/>
        <v>30043003_30043008</v>
      </c>
      <c r="B9" s="183">
        <v>30043003</v>
      </c>
      <c r="C9" s="46">
        <v>30043008</v>
      </c>
      <c r="D9" s="172" t="str">
        <f ca="1">VLOOKUP($C9,OFFSET(enemy_skills!$A$1,0,0,COUNTA(enemy_skills!$A:$A),MATCH(D$1,enemy_skills!$1:$1,0)-MATCH("enemy_skill_id",enemy_skills!$1:$1,0)+1),MATCH(D$1,enemy_skills!$1:$1,0)-MATCH("enemy_skill_id",enemy_skills!$1:$1,0)+1,FALSE)</f>
        <v>雷鳴よ、荒れ狂え！</v>
      </c>
      <c r="E9" s="172" t="str">
        <f ca="1">VLOOKUP($C9,OFFSET(enemy_skills!$A$1,0,0,COUNTA(enemy_skills!$A:$A),MATCH(E$1,enemy_skills!$1:$1,0)-MATCH("enemy_skill_id",enemy_skills!$1:$1,0)+1),MATCH(E$1,enemy_skills!$1:$1,0)-MATCH("enemy_skill_id",enemy_skills!$1:$1,0)+1,FALSE)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9" s="46">
        <v>30043008</v>
      </c>
      <c r="G9" s="47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7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9" s="47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45</v>
      </c>
      <c r="J9" s="47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7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7" t="str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" s="47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7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7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45</v>
      </c>
      <c r="P9" s="46"/>
      <c r="Q9" s="46"/>
      <c r="R9" s="46"/>
    </row>
    <row r="10" spans="1:18" ht="21" customHeight="1" x14ac:dyDescent="0.15">
      <c r="A10" s="38" t="str">
        <f t="shared" si="2"/>
        <v>30043003_30043009</v>
      </c>
      <c r="B10" s="183">
        <v>30043003</v>
      </c>
      <c r="C10" s="46">
        <v>30043009</v>
      </c>
      <c r="D10" s="172" t="str">
        <f ca="1">VLOOKUP($C10,OFFSET(enemy_skills!$A$1,0,0,COUNTA(enemy_skills!$A:$A),MATCH(D$1,enemy_skills!$1:$1,0)-MATCH("enemy_skill_id",enemy_skills!$1:$1,0)+1),MATCH(D$1,enemy_skills!$1:$1,0)-MATCH("enemy_skill_id",enemy_skills!$1:$1,0)+1,FALSE)</f>
        <v>光の矢よ、降り注げ！</v>
      </c>
      <c r="E10" s="172" t="str">
        <f ca="1">VLOOKUP($C10,OFFSET(enemy_skills!$A$1,0,0,COUNTA(enemy_skills!$A:$A),MATCH(E$1,enemy_skills!$1:$1,0)-MATCH("enemy_skill_id",enemy_skills!$1:$1,0)+1),MATCH(E$1,enemy_skills!$1:$1,0)-MATCH("enemy_skill_id",enemy_skills!$1:$1,0)+1,FALSE)</f>
        <v>4回連続攻撃</v>
      </c>
      <c r="F10" s="46">
        <v>30043009</v>
      </c>
      <c r="G10" s="47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7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0" s="47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85</v>
      </c>
      <c r="J10" s="47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7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7" t="str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" s="47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7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7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85</v>
      </c>
      <c r="P10" s="46"/>
      <c r="Q10" s="46"/>
      <c r="R10" s="46"/>
    </row>
    <row r="11" spans="1:18" ht="21" customHeight="1" x14ac:dyDescent="0.15">
      <c r="A11" s="38" t="str">
        <f t="shared" si="2"/>
        <v>30043003_30043010</v>
      </c>
      <c r="B11" s="183">
        <v>30043003</v>
      </c>
      <c r="C11" s="46">
        <v>30043010</v>
      </c>
      <c r="D11" s="172" t="str">
        <f ca="1">VLOOKUP($C11,OFFSET(enemy_skills!$A$1,0,0,COUNTA(enemy_skills!$A:$A),MATCH(D$1,enemy_skills!$1:$1,0)-MATCH("enemy_skill_id",enemy_skills!$1:$1,0)+1),MATCH(D$1,enemy_skills!$1:$1,0)-MATCH("enemy_skill_id",enemy_skills!$1:$1,0)+1,FALSE)</f>
        <v>ハイ・ボルテージ</v>
      </c>
      <c r="E11" s="172" t="str">
        <f ca="1">VLOOKUP($C11,OFFSET(enemy_skills!$A$1,0,0,COUNTA(enemy_skills!$A:$A),MATCH(E$1,enemy_skills!$1:$1,0)-MATCH("enemy_skill_id",enemy_skills!$1:$1,0)+1),MATCH(E$1,enemy_skills!$1:$1,0)-MATCH("enemy_skill_id",enemy_skills!$1:$1,0)+1,FALSE)</f>
        <v>全体攻撃</v>
      </c>
      <c r="F11" s="46">
        <v>30043010</v>
      </c>
      <c r="G11" s="47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7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11" s="47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7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7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7" t="str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" s="47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11" s="47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7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6"/>
      <c r="Q11" s="46"/>
      <c r="R11" s="46"/>
    </row>
    <row r="12" spans="1:18" ht="21" customHeight="1" x14ac:dyDescent="0.15">
      <c r="A12" s="38" t="str">
        <f t="shared" si="2"/>
        <v>30043004_30043011</v>
      </c>
      <c r="B12" s="46">
        <v>30043004</v>
      </c>
      <c r="C12" s="46">
        <v>30043011</v>
      </c>
      <c r="D12" s="45" t="str">
        <f ca="1">VLOOKUP($C12,OFFSET(enemy_skills!$A$1,0,0,COUNTA(enemy_skills!$A:$A),MATCH(D$1,enemy_skills!$1:$1,0)-MATCH("enemy_skill_id",enemy_skills!$1:$1,0)+1),MATCH(D$1,enemy_skills!$1:$1,0)-MATCH("enemy_skill_id",enemy_skills!$1:$1,0)+1,FALSE)</f>
        <v>サイレントテール</v>
      </c>
      <c r="E12" s="45" t="str">
        <f ca="1">VLOOKUP($C12,OFFSET(enemy_skills!$A$1,0,0,COUNTA(enemy_skills!$A:$A),MATCH(E$1,enemy_skills!$1:$1,0)-MATCH("enemy_skill_id",enemy_skills!$1:$1,0)+1),MATCH(E$1,enemy_skills!$1:$1,0)-MATCH("enemy_skill_id",enemy_skills!$1:$1,0)+1,FALSE)</f>
        <v>3ターンユニット単体にスキルバインド</v>
      </c>
      <c r="F12" s="46">
        <v>30043011</v>
      </c>
      <c r="G12" s="47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7" t="str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2" s="47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35</v>
      </c>
      <c r="J12" s="47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7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7" t="str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" s="47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7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7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35</v>
      </c>
      <c r="P12" s="46"/>
      <c r="Q12" s="46"/>
      <c r="R12" s="46"/>
    </row>
    <row r="13" spans="1:18" ht="21" customHeight="1" x14ac:dyDescent="0.15">
      <c r="A13" s="38" t="str">
        <f t="shared" si="2"/>
        <v>30043005_30043012</v>
      </c>
      <c r="B13" s="46">
        <v>30043005</v>
      </c>
      <c r="C13" s="46">
        <v>30043012</v>
      </c>
      <c r="D13" s="45" t="str">
        <f ca="1">VLOOKUP($C13,OFFSET(enemy_skills!$A$1,0,0,COUNTA(enemy_skills!$A:$A),MATCH(D$1,enemy_skills!$1:$1,0)-MATCH("enemy_skill_id",enemy_skills!$1:$1,0)+1),MATCH(D$1,enemy_skills!$1:$1,0)-MATCH("enemy_skill_id",enemy_skills!$1:$1,0)+1,FALSE)</f>
        <v>雷刃の舞</v>
      </c>
      <c r="E13" s="45" t="str">
        <f ca="1">VLOOKUP($C13,OFFSET(enemy_skills!$A$1,0,0,COUNTA(enemy_skills!$A:$A),MATCH(E$1,enemy_skills!$1:$1,0)-MATCH("enemy_skill_id",enemy_skills!$1:$1,0)+1),MATCH(E$1,enemy_skills!$1:$1,0)-MATCH("enemy_skill_id",enemy_skills!$1:$1,0)+1,FALSE)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13" s="46">
        <v>30043012</v>
      </c>
      <c r="G13" s="47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7" t="str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3" s="47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13" s="47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7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7" t="str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3" s="47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7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7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13" s="46"/>
      <c r="Q13" s="46"/>
      <c r="R13" s="46"/>
    </row>
    <row r="14" spans="1:18" ht="21" customHeight="1" x14ac:dyDescent="0.15">
      <c r="A14" s="38" t="str">
        <f t="shared" si="2"/>
        <v>30043006_30043013</v>
      </c>
      <c r="B14" s="183">
        <v>30043006</v>
      </c>
      <c r="C14" s="46">
        <v>30043013</v>
      </c>
      <c r="D14" s="45" t="str">
        <f ca="1">VLOOKUP($C14,OFFSET(enemy_skills!$A$1,0,0,COUNTA(enemy_skills!$A:$A),MATCH(D$1,enemy_skills!$1:$1,0)-MATCH("enemy_skill_id",enemy_skills!$1:$1,0)+1),MATCH(D$1,enemy_skills!$1:$1,0)-MATCH("enemy_skill_id",enemy_skills!$1:$1,0)+1,FALSE)</f>
        <v>サア　キサマラ　ゼンイン_x000D_ブッコワシテ　ヤルゾ！　ヒャハハ！！</v>
      </c>
      <c r="E14" s="45" t="str">
        <f ca="1">VLOOKUP($C14,OFFSET(enemy_skills!$A$1,0,0,COUNTA(enemy_skills!$A:$A),MATCH(E$1,enemy_skills!$1:$1,0)-MATCH("enemy_skill_id",enemy_skills!$1:$1,0)+1),MATCH(E$1,enemy_skills!$1:$1,0)-MATCH("enemy_skill_id",enemy_skills!$1:$1,0)+1,FALSE)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14" s="46">
        <v>30043013</v>
      </c>
      <c r="G14" s="47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4" s="47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4" s="47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7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7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7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47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7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7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6"/>
      <c r="Q14" s="46"/>
      <c r="R14" s="46"/>
    </row>
    <row r="15" spans="1:18" ht="21" customHeight="1" x14ac:dyDescent="0.15">
      <c r="A15" s="38" t="str">
        <f t="shared" si="2"/>
        <v>30043006_30043014</v>
      </c>
      <c r="B15" s="183">
        <v>30043006</v>
      </c>
      <c r="C15" s="46">
        <v>30043014</v>
      </c>
      <c r="D15" s="45" t="str">
        <f ca="1">VLOOKUP($C15,OFFSET(enemy_skills!$A$1,0,0,COUNTA(enemy_skills!$A:$A),MATCH(D$1,enemy_skills!$1:$1,0)-MATCH("enemy_skill_id",enemy_skills!$1:$1,0)+1),MATCH(D$1,enemy_skills!$1:$1,0)-MATCH("enemy_skill_id",enemy_skills!$1:$1,0)+1,FALSE)</f>
        <v>英雄神への報復</v>
      </c>
      <c r="E15" s="45" t="str">
        <f ca="1">VLOOKUP($C15,OFFSET(enemy_skills!$A$1,0,0,COUNTA(enemy_skills!$A:$A),MATCH(E$1,enemy_skills!$1:$1,0)-MATCH("enemy_skill_id",enemy_skills!$1:$1,0)+1),MATCH(E$1,enemy_skills!$1:$1,0)-MATCH("enemy_skill_id",enemy_skills!$1:$1,0)+1,FALSE)</f>
        <v>種族ゴッドのユニットに大ダメージの全体攻撃</v>
      </c>
      <c r="F15" s="46">
        <v>30043014</v>
      </c>
      <c r="G15" s="47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7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15" s="47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23</v>
      </c>
      <c r="J15" s="47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7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7" t="str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5" s="47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7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7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23</v>
      </c>
      <c r="P15" s="46"/>
      <c r="Q15" s="46"/>
      <c r="R15" s="46"/>
    </row>
    <row r="16" spans="1:18" ht="21" customHeight="1" x14ac:dyDescent="0.15">
      <c r="A16" s="38" t="str">
        <f t="shared" si="2"/>
        <v>30043006_30043015</v>
      </c>
      <c r="B16" s="183">
        <v>30043006</v>
      </c>
      <c r="C16" s="46">
        <v>30043015</v>
      </c>
      <c r="D16" s="45" t="str">
        <f ca="1">VLOOKUP($C16,OFFSET(enemy_skills!$A$1,0,0,COUNTA(enemy_skills!$A:$A),MATCH(D$1,enemy_skills!$1:$1,0)-MATCH("enemy_skill_id",enemy_skills!$1:$1,0)+1),MATCH(D$1,enemy_skills!$1:$1,0)-MATCH("enemy_skill_id",enemy_skills!$1:$1,0)+1,FALSE)</f>
        <v>ギャハハハ！タノシイナア！！</v>
      </c>
      <c r="E16" s="45" t="str">
        <f ca="1">VLOOKUP($C16,OFFSET(enemy_skills!$A$1,0,0,COUNTA(enemy_skills!$A:$A),MATCH(E$1,enemy_skills!$1:$1,0)-MATCH("enemy_skill_id",enemy_skills!$1:$1,0)+1),MATCH(E$1,enemy_skills!$1:$1,0)-MATCH("enemy_skill_id",enemy_skills!$1:$1,0)+1,FALSE)</f>
        <v>解除するまでユニット単体の攻撃力50%DOWN_x000D_+クリティカル！</v>
      </c>
      <c r="F16" s="46">
        <v>30043015</v>
      </c>
      <c r="G16" s="47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7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16" s="47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16" s="47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7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7" t="str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6" s="47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7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7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16" s="46"/>
      <c r="Q16" s="46"/>
      <c r="R16" s="46"/>
    </row>
    <row r="17" spans="1:18" ht="21" customHeight="1" x14ac:dyDescent="0.15">
      <c r="A17" s="38" t="str">
        <f t="shared" si="2"/>
        <v>30043006_30043016</v>
      </c>
      <c r="B17" s="183">
        <v>30043006</v>
      </c>
      <c r="C17" s="46">
        <v>30043016</v>
      </c>
      <c r="D17" s="45" t="str">
        <f ca="1">VLOOKUP($C17,OFFSET(enemy_skills!$A$1,0,0,COUNTA(enemy_skills!$A:$A),MATCH(D$1,enemy_skills!$1:$1,0)-MATCH("enemy_skill_id",enemy_skills!$1:$1,0)+1),MATCH(D$1,enemy_skills!$1:$1,0)-MATCH("enemy_skill_id",enemy_skills!$1:$1,0)+1,FALSE)</f>
        <v>コノテイドデ　ブッコワレルナヨ？　ギャハ！</v>
      </c>
      <c r="E17" s="45" t="str">
        <f ca="1">VLOOKUP($C17,OFFSET(enemy_skills!$A$1,0,0,COUNTA(enemy_skills!$A:$A),MATCH(E$1,enemy_skills!$1:$1,0)-MATCH("enemy_skill_id",enemy_skills!$1:$1,0)+1),MATCH(E$1,enemy_skills!$1:$1,0)-MATCH("enemy_skill_id",enemy_skills!$1:$1,0)+1,FALSE)</f>
        <v>4回連続攻撃+1ターン自身の攻撃頻度UP</v>
      </c>
      <c r="F17" s="46">
        <v>30043016</v>
      </c>
      <c r="G17" s="47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7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17" s="47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52</v>
      </c>
      <c r="J17" s="47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7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7" t="str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7" s="47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7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7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52</v>
      </c>
      <c r="P17" s="46"/>
      <c r="Q17" s="46"/>
      <c r="R17" s="46"/>
    </row>
    <row r="18" spans="1:18" ht="21" customHeight="1" x14ac:dyDescent="0.15">
      <c r="A18" s="38" t="str">
        <f t="shared" si="2"/>
        <v>30043006_30043017</v>
      </c>
      <c r="B18" s="183">
        <v>30043006</v>
      </c>
      <c r="C18" s="46">
        <v>30043017</v>
      </c>
      <c r="D18" s="45" t="str">
        <f ca="1">VLOOKUP($C18,OFFSET(enemy_skills!$A$1,0,0,COUNTA(enemy_skills!$A:$A),MATCH(D$1,enemy_skills!$1:$1,0)-MATCH("enemy_skill_id",enemy_skills!$1:$1,0)+1),MATCH(D$1,enemy_skills!$1:$1,0)-MATCH("enemy_skill_id",enemy_skills!$1:$1,0)+1,FALSE)</f>
        <v>ドコカラデモ　カカッテキナ　ヒャハ！</v>
      </c>
      <c r="E18" s="45" t="str">
        <f ca="1">VLOOKUP($C18,OFFSET(enemy_skills!$A$1,0,0,COUNTA(enemy_skills!$A:$A),MATCH(E$1,enemy_skills!$1:$1,0)-MATCH("enemy_skill_id",enemy_skills!$1:$1,0)+1),MATCH(E$1,enemy_skills!$1:$1,0)-MATCH("enemy_skill_id",enemy_skills!$1:$1,0)+1,FALSE)</f>
        <v>2ターン味方全体の攻撃をカウンター</v>
      </c>
      <c r="F18" s="46">
        <v>30043017</v>
      </c>
      <c r="G18" s="47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7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8" s="47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88</v>
      </c>
      <c r="J18" s="47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7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7" t="str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8" s="47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7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7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88</v>
      </c>
      <c r="P18" s="46"/>
      <c r="Q18" s="46"/>
      <c r="R18" s="46"/>
    </row>
    <row r="19" spans="1:18" ht="21" customHeight="1" x14ac:dyDescent="0.15">
      <c r="A19" s="38" t="str">
        <f t="shared" si="2"/>
        <v>30043007_30043018</v>
      </c>
      <c r="B19" s="183">
        <v>30043007</v>
      </c>
      <c r="C19" s="46">
        <v>30043018</v>
      </c>
      <c r="D19" s="172" t="str">
        <f ca="1">VLOOKUP($C19,OFFSET(enemy_skills!$A$1,0,0,COUNTA(enemy_skills!$A:$A),MATCH(D$1,enemy_skills!$1:$1,0)-MATCH("enemy_skill_id",enemy_skills!$1:$1,0)+1),MATCH(D$1,enemy_skills!$1:$1,0)-MATCH("enemy_skill_id",enemy_skills!$1:$1,0)+1,FALSE)</f>
        <v>ヒャハハ！_x000D_タノシマセテ　クレルジャナイカ！！</v>
      </c>
      <c r="E19" s="172" t="str">
        <f ca="1">VLOOKUP($C19,OFFSET(enemy_skills!$A$1,0,0,COUNTA(enemy_skills!$A:$A),MATCH(E$1,enemy_skills!$1:$1,0)-MATCH("enemy_skill_id",enemy_skills!$1:$1,0)+1),MATCH(E$1,enemy_skills!$1:$1,0)-MATCH("enemy_skill_id",enemy_skills!$1:$1,0)+1,FALSE)</f>
        <v>状態異常耐性+自身の攻撃頻度UP</v>
      </c>
      <c r="F19" s="46">
        <v>30043018</v>
      </c>
      <c r="G19" s="47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9" s="47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9" s="47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7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7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7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47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47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7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6"/>
      <c r="Q19" s="46"/>
      <c r="R19" s="46"/>
    </row>
    <row r="20" spans="1:18" ht="21" customHeight="1" x14ac:dyDescent="0.15">
      <c r="A20" s="38" t="str">
        <f t="shared" si="2"/>
        <v>30043007_30043019</v>
      </c>
      <c r="B20" s="183">
        <v>30043007</v>
      </c>
      <c r="C20" s="46">
        <v>30043019</v>
      </c>
      <c r="D20" s="172" t="str">
        <f ca="1">VLOOKUP($C20,OFFSET(enemy_skills!$A$1,0,0,COUNTA(enemy_skills!$A:$A),MATCH(D$1,enemy_skills!$1:$1,0)-MATCH("enemy_skill_id",enemy_skills!$1:$1,0)+1),MATCH(D$1,enemy_skills!$1:$1,0)-MATCH("enemy_skill_id",enemy_skills!$1:$1,0)+1,FALSE)</f>
        <v>ハカイ！　フンサイ！_x000D_タノシイ！　タノシイナア！</v>
      </c>
      <c r="E20" s="172" t="str">
        <f ca="1">VLOOKUP($C20,OFFSET(enemy_skills!$A$1,0,0,COUNTA(enemy_skills!$A:$A),MATCH(E$1,enemy_skills!$1:$1,0)-MATCH("enemy_skill_id",enemy_skills!$1:$1,0)+1),MATCH(E$1,enemy_skills!$1:$1,0)-MATCH("enemy_skill_id",enemy_skills!$1:$1,0)+1,FALSE)</f>
        <v>解除するまで味方全体の攻撃力50%DOWN_x000D_+クリティカル！</v>
      </c>
      <c r="F20" s="46">
        <v>30043019</v>
      </c>
      <c r="G20" s="47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7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20" s="47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27</v>
      </c>
      <c r="J20" s="47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7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7" t="str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0" s="47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47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7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27</v>
      </c>
      <c r="P20" s="46"/>
      <c r="Q20" s="46"/>
      <c r="R20" s="46"/>
    </row>
    <row r="21" spans="1:18" ht="21" customHeight="1" x14ac:dyDescent="0.15">
      <c r="A21" s="38" t="str">
        <f t="shared" si="2"/>
        <v>30043007_30043020</v>
      </c>
      <c r="B21" s="183">
        <v>30043007</v>
      </c>
      <c r="C21" s="46">
        <v>30043020</v>
      </c>
      <c r="D21" s="172" t="str">
        <f ca="1">VLOOKUP($C21,OFFSET(enemy_skills!$A$1,0,0,COUNTA(enemy_skills!$A:$A),MATCH(D$1,enemy_skills!$1:$1,0)-MATCH("enemy_skill_id",enemy_skills!$1:$1,0)+1),MATCH(D$1,enemy_skills!$1:$1,0)-MATCH("enemy_skill_id",enemy_skills!$1:$1,0)+1,FALSE)</f>
        <v>ドカーン！ドカーン！ギャハハ！！</v>
      </c>
      <c r="E21" s="172" t="str">
        <f ca="1">VLOOKUP($C21,OFFSET(enemy_skills!$A$1,0,0,COUNTA(enemy_skills!$A:$A),MATCH(E$1,enemy_skills!$1:$1,0)-MATCH("enemy_skill_id",enemy_skills!$1:$1,0)+1),MATCH(E$1,enemy_skills!$1:$1,0)-MATCH("enemy_skill_id",enemy_skills!$1:$1,0)+1,FALSE)</f>
        <v>5回連続攻撃</v>
      </c>
      <c r="F21" s="46">
        <v>30043020</v>
      </c>
      <c r="G21" s="47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47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21" s="47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21" s="47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7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7" t="str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1" s="47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47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7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21" s="46"/>
      <c r="Q21" s="46"/>
      <c r="R21" s="46"/>
    </row>
    <row r="22" spans="1:18" ht="21" customHeight="1" x14ac:dyDescent="0.15">
      <c r="A22" s="38" t="str">
        <f t="shared" si="2"/>
        <v>30043007_30043021</v>
      </c>
      <c r="B22" s="183">
        <v>30043007</v>
      </c>
      <c r="C22" s="46">
        <v>30043021</v>
      </c>
      <c r="D22" s="172" t="str">
        <f ca="1">VLOOKUP($C22,OFFSET(enemy_skills!$A$1,0,0,COUNTA(enemy_skills!$A:$A),MATCH(D$1,enemy_skills!$1:$1,0)-MATCH("enemy_skill_id",enemy_skills!$1:$1,0)+1),MATCH(D$1,enemy_skills!$1:$1,0)-MATCH("enemy_skill_id",enemy_skills!$1:$1,0)+1,FALSE)</f>
        <v>ギャハーッ！ゼンブ　ブッコワレロ！！</v>
      </c>
      <c r="E22" s="172" t="str">
        <f ca="1">VLOOKUP($C22,OFFSET(enemy_skills!$A$1,0,0,COUNTA(enemy_skills!$A:$A),MATCH(E$1,enemy_skills!$1:$1,0)-MATCH("enemy_skill_id",enemy_skills!$1:$1,0)+1),MATCH(E$1,enemy_skills!$1:$1,0)-MATCH("enemy_skill_id",enemy_skills!$1:$1,0)+1,FALSE)</f>
        <v>7回連続攻撃</v>
      </c>
      <c r="F22" s="46">
        <v>30043021</v>
      </c>
      <c r="G22" s="47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7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22" s="47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2" s="47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7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7" t="str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2" s="47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47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7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2" s="46"/>
      <c r="Q22" s="46"/>
      <c r="R22" s="46"/>
    </row>
    <row r="23" spans="1:18" ht="21" customHeight="1" x14ac:dyDescent="0.15">
      <c r="A23" s="38" t="str">
        <f t="shared" ref="A23:A27" si="3">B23&amp;"_"&amp;C23</f>
        <v>30043007_30043022</v>
      </c>
      <c r="B23" s="183">
        <v>30043007</v>
      </c>
      <c r="C23" s="46">
        <v>30043022</v>
      </c>
      <c r="D23" s="172" t="str">
        <f ca="1">VLOOKUP($C23,OFFSET(enemy_skills!$A$1,0,0,COUNTA(enemy_skills!$A:$A),MATCH(D$1,enemy_skills!$1:$1,0)-MATCH("enemy_skill_id",enemy_skills!$1:$1,0)+1),MATCH(D$1,enemy_skills!$1:$1,0)-MATCH("enemy_skill_id",enemy_skills!$1:$1,0)+1,FALSE)</f>
        <v>ギャハハ！ケシトベーーーッ！</v>
      </c>
      <c r="E23" s="172" t="str">
        <f ca="1">VLOOKUP($C23,OFFSET(enemy_skills!$A$1,0,0,COUNTA(enemy_skills!$A:$A),MATCH(E$1,enemy_skills!$1:$1,0)-MATCH("enemy_skill_id",enemy_skills!$1:$1,0)+1),MATCH(E$1,enemy_skills!$1:$1,0)-MATCH("enemy_skill_id",enemy_skills!$1:$1,0)+1,FALSE)</f>
        <v>2ターン味方全体の回復力50%DOWN_x000D_+クリティカル！</v>
      </c>
      <c r="F23" s="46">
        <v>30043022</v>
      </c>
      <c r="G23" s="47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7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3" s="47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83</v>
      </c>
      <c r="J23" s="47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7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7" t="str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3" s="47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47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7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83</v>
      </c>
      <c r="P23" s="46"/>
      <c r="Q23" s="46"/>
      <c r="R23" s="46"/>
    </row>
    <row r="24" spans="1:18" ht="21" customHeight="1" x14ac:dyDescent="0.15">
      <c r="A24" s="38" t="str">
        <f t="shared" si="3"/>
        <v>30043007_30043023</v>
      </c>
      <c r="B24" s="183">
        <v>30043007</v>
      </c>
      <c r="C24" s="46">
        <v>30043023</v>
      </c>
      <c r="D24" s="172" t="str">
        <f ca="1">VLOOKUP($C24,OFFSET(enemy_skills!$A$1,0,0,COUNTA(enemy_skills!$A:$A),MATCH(D$1,enemy_skills!$1:$1,0)-MATCH("enemy_skill_id",enemy_skills!$1:$1,0)+1),MATCH(D$1,enemy_skills!$1:$1,0)-MATCH("enemy_skill_id",enemy_skills!$1:$1,0)+1,FALSE)</f>
        <v>英雄神への報復</v>
      </c>
      <c r="E24" s="172" t="str">
        <f ca="1">VLOOKUP($C24,OFFSET(enemy_skills!$A$1,0,0,COUNTA(enemy_skills!$A:$A),MATCH(E$1,enemy_skills!$1:$1,0)-MATCH("enemy_skill_id",enemy_skills!$1:$1,0)+1),MATCH(E$1,enemy_skills!$1:$1,0)-MATCH("enemy_skill_id",enemy_skills!$1:$1,0)+1,FALSE)</f>
        <v>種族ゴッドのユニットに大ダメージの全体攻撃</v>
      </c>
      <c r="F24" s="46">
        <v>30043023</v>
      </c>
      <c r="G24" s="47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7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24" s="47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7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47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7" t="str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4" s="47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24" s="47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7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6"/>
      <c r="Q24" s="46"/>
      <c r="R24" s="46"/>
    </row>
    <row r="25" spans="1:18" ht="21" customHeight="1" x14ac:dyDescent="0.15">
      <c r="A25" s="38" t="str">
        <f t="shared" si="3"/>
        <v>30043007_30043024</v>
      </c>
      <c r="B25" s="183">
        <v>30043007</v>
      </c>
      <c r="C25" s="46">
        <v>30043024</v>
      </c>
      <c r="D25" s="172" t="str">
        <f ca="1">VLOOKUP($C25,OFFSET(enemy_skills!$A$1,0,0,COUNTA(enemy_skills!$A:$A),MATCH(D$1,enemy_skills!$1:$1,0)-MATCH("enemy_skill_id",enemy_skills!$1:$1,0)+1),MATCH(D$1,enemy_skills!$1:$1,0)-MATCH("enemy_skill_id",enemy_skills!$1:$1,0)+1,FALSE)</f>
        <v>コレデ　キサマラモ　オシマイ</v>
      </c>
      <c r="E25" s="172" t="str">
        <f ca="1">VLOOKUP($C25,OFFSET(enemy_skills!$A$1,0,0,COUNTA(enemy_skills!$A:$A),MATCH(E$1,enemy_skills!$1:$1,0)-MATCH("enemy_skill_id",enemy_skills!$1:$1,0)+1),MATCH(E$1,enemy_skills!$1:$1,0)-MATCH("enemy_skill_id",enemy_skills!$1:$1,0)+1,FALSE)</f>
        <v>次のターン強力な攻撃</v>
      </c>
      <c r="F25" s="46">
        <v>30043024</v>
      </c>
      <c r="G25" s="47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47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25" s="47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7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7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7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47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6</v>
      </c>
      <c r="N25" s="47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7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6"/>
      <c r="Q25" s="46"/>
      <c r="R25" s="46"/>
    </row>
    <row r="26" spans="1:18" ht="21" customHeight="1" x14ac:dyDescent="0.15">
      <c r="A26" s="38" t="str">
        <f t="shared" si="3"/>
        <v>30043007_30043025</v>
      </c>
      <c r="B26" s="183">
        <v>30043007</v>
      </c>
      <c r="C26" s="46">
        <v>30043025</v>
      </c>
      <c r="D26" s="172" t="str">
        <f ca="1">VLOOKUP($C26,OFFSET(enemy_skills!$A$1,0,0,COUNTA(enemy_skills!$A:$A),MATCH(D$1,enemy_skills!$1:$1,0)-MATCH("enemy_skill_id",enemy_skills!$1:$1,0)+1),MATCH(D$1,enemy_skills!$1:$1,0)-MATCH("enemy_skill_id",enemy_skills!$1:$1,0)+1,FALSE)</f>
        <v>オーバードライヴ</v>
      </c>
      <c r="E26" s="172" t="str">
        <f ca="1">VLOOKUP($C26,OFFSET(enemy_skills!$A$1,0,0,COUNTA(enemy_skills!$A:$A),MATCH(E$1,enemy_skills!$1:$1,0)-MATCH("enemy_skill_id",enemy_skills!$1:$1,0)+1),MATCH(E$1,enemy_skills!$1:$1,0)-MATCH("enemy_skill_id",enemy_skills!$1:$1,0)+1,FALSE)</f>
        <v>全体攻撃</v>
      </c>
      <c r="F26" s="46">
        <v>30043025</v>
      </c>
      <c r="G26" s="47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7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26" s="47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7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7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7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" s="47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7</v>
      </c>
      <c r="N26" s="47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7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6"/>
      <c r="Q26" s="46"/>
      <c r="R26" s="46"/>
    </row>
    <row r="27" spans="1:18" ht="21" customHeight="1" x14ac:dyDescent="0.15">
      <c r="A27" s="38" t="str">
        <f t="shared" si="3"/>
        <v>30043007_30043026</v>
      </c>
      <c r="B27" s="183">
        <v>30043007</v>
      </c>
      <c r="C27" s="46">
        <v>30043026</v>
      </c>
      <c r="D27" s="172" t="str">
        <f ca="1">VLOOKUP($C27,OFFSET(enemy_skills!$A$1,0,0,COUNTA(enemy_skills!$A:$A),MATCH(D$1,enemy_skills!$1:$1,0)-MATCH("enemy_skill_id",enemy_skills!$1:$1,0)+1),MATCH(D$1,enemy_skills!$1:$1,0)-MATCH("enemy_skill_id",enemy_skills!$1:$1,0)+1,FALSE)</f>
        <v>マダ…　マダ　アバレタリナイ！！</v>
      </c>
      <c r="E27" s="172" t="str">
        <f ca="1">VLOOKUP($C27,OFFSET(enemy_skills!$A$1,0,0,COUNTA(enemy_skills!$A:$A),MATCH(E$1,enemy_skills!$1:$1,0)-MATCH("enemy_skill_id",enemy_skills!$1:$1,0)+1),MATCH(E$1,enemy_skills!$1:$1,0)-MATCH("enemy_skill_id",enemy_skills!$1:$1,0)+1,FALSE)</f>
        <v>自己回復</v>
      </c>
      <c r="F27" s="46">
        <v>30043026</v>
      </c>
      <c r="G27" s="47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47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27" s="47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7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33</v>
      </c>
      <c r="K27" s="47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7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" s="47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47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7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6"/>
      <c r="Q27" s="46"/>
      <c r="R27" s="46"/>
    </row>
    <row r="28" spans="1:18" ht="21" customHeight="1" thickBot="1" x14ac:dyDescent="0.2">
      <c r="A28" s="38" t="str">
        <f t="shared" ref="A28:A32" si="4">B28&amp;"_"&amp;C28</f>
        <v>30043007_30043027</v>
      </c>
      <c r="B28" s="249">
        <v>30043007</v>
      </c>
      <c r="C28" s="163">
        <v>30043027</v>
      </c>
      <c r="D28" s="250" t="str">
        <f ca="1">VLOOKUP($C28,OFFSET(enemy_skills!$A$1,0,0,COUNTA(enemy_skills!$A:$A),MATCH(D$1,enemy_skills!$1:$1,0)-MATCH("enemy_skill_id",enemy_skills!$1:$1,0)+1),MATCH(D$1,enemy_skills!$1:$1,0)-MATCH("enemy_skill_id",enemy_skills!$1:$1,0)+1,FALSE)</f>
        <v>ンギャァアアアアア！！</v>
      </c>
      <c r="E28" s="250" t="str">
        <f ca="1">VLOOKUP($C28,OFFSET(enemy_skills!$A$1,0,0,COUNTA(enemy_skills!$A:$A),MATCH(E$1,enemy_skills!$1:$1,0)-MATCH("enemy_skill_id",enemy_skills!$1:$1,0)+1),MATCH(E$1,enemy_skills!$1:$1,0)-MATCH("enemy_skill_id",enemy_skills!$1:$1,0)+1,FALSE)</f>
        <v>オボエテロ……_x000D_キサマラ…カナラズ…ブッコワ…シ…テ…！</v>
      </c>
      <c r="F28" s="163">
        <v>30043027</v>
      </c>
      <c r="G28" s="47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47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28" s="47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47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7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7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8" s="47" t="str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" s="47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28" s="47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46"/>
      <c r="Q28" s="46"/>
      <c r="R28" s="46"/>
    </row>
    <row r="29" spans="1:18" ht="21" customHeight="1" thickTop="1" x14ac:dyDescent="0.15">
      <c r="A29" s="38" t="str">
        <f t="shared" si="4"/>
        <v>30043008_30043028</v>
      </c>
      <c r="B29" s="247">
        <v>30043008</v>
      </c>
      <c r="C29" s="246">
        <v>30043028</v>
      </c>
      <c r="D29" s="248" t="str">
        <f ca="1">VLOOKUP($C29,OFFSET(enemy_skills!$A$1,0,0,COUNTA(enemy_skills!$A:$A),MATCH(D$1,enemy_skills!$1:$1,0)-MATCH("enemy_skill_id",enemy_skills!$1:$1,0)+1),MATCH(D$1,enemy_skills!$1:$1,0)-MATCH("enemy_skill_id",enemy_skills!$1:$1,0)+1,FALSE)</f>
        <v>ディス・チャージ</v>
      </c>
      <c r="E29" s="248" t="str">
        <f ca="1">VLOOKUP($C29,OFFSET(enemy_skills!$A$1,0,0,COUNTA(enemy_skills!$A:$A),MATCH(E$1,enemy_skills!$1:$1,0)-MATCH("enemy_skill_id",enemy_skills!$1:$1,0)+1),MATCH(E$1,enemy_skills!$1:$1,0)-MATCH("enemy_skill_id",enemy_skills!$1:$1,0)+1,FALSE)</f>
        <v>解除するまでユニット単体の攻撃力35%DOWN_x000D_+クリティカル！</v>
      </c>
      <c r="F29" s="246">
        <v>30043028</v>
      </c>
      <c r="G29" s="47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47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29" s="47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29" s="47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47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7" t="str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9" s="47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47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7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29" s="46"/>
      <c r="Q29" s="46"/>
      <c r="R29" s="46"/>
    </row>
    <row r="30" spans="1:18" ht="21" customHeight="1" x14ac:dyDescent="0.15">
      <c r="A30" s="38" t="str">
        <f t="shared" si="4"/>
        <v>30043008_30043005</v>
      </c>
      <c r="B30" s="242">
        <v>30043008</v>
      </c>
      <c r="C30" s="245">
        <v>30043005</v>
      </c>
      <c r="D30" s="188" t="str">
        <f ca="1">VLOOKUP($C30,OFFSET(enemy_skills!$A$1,0,0,COUNTA(enemy_skills!$A:$A),MATCH(D$1,enemy_skills!$1:$1,0)-MATCH("enemy_skill_id",enemy_skills!$1:$1,0)+1),MATCH(D$1,enemy_skills!$1:$1,0)-MATCH("enemy_skill_id",enemy_skills!$1:$1,0)+1,FALSE)</f>
        <v>雷光よ、貫け！</v>
      </c>
      <c r="E30" s="188" t="str">
        <f ca="1">VLOOKUP($C30,OFFSET(enemy_skills!$A$1,0,0,COUNTA(enemy_skills!$A:$A),MATCH(E$1,enemy_skills!$1:$1,0)-MATCH("enemy_skill_id",enemy_skills!$1:$1,0)+1),MATCH(E$1,enemy_skills!$1:$1,0)-MATCH("enemy_skill_id",enemy_skills!$1:$1,0)+1,FALSE)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30" s="245">
        <v>30043005</v>
      </c>
      <c r="G30" s="47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47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30" s="47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30" s="47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47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7" t="str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0" s="47" t="str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" s="47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47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30" s="46"/>
      <c r="Q30" s="46"/>
      <c r="R30" s="46"/>
    </row>
    <row r="31" spans="1:18" ht="21" customHeight="1" x14ac:dyDescent="0.15">
      <c r="A31" s="38" t="str">
        <f t="shared" si="4"/>
        <v>30043008_30043006</v>
      </c>
      <c r="B31" s="242">
        <v>30043008</v>
      </c>
      <c r="C31" s="245">
        <v>30043006</v>
      </c>
      <c r="D31" s="188" t="str">
        <f ca="1">VLOOKUP($C31,OFFSET(enemy_skills!$A$1,0,0,COUNTA(enemy_skills!$A:$A),MATCH(D$1,enemy_skills!$1:$1,0)-MATCH("enemy_skill_id",enemy_skills!$1:$1,0)+1),MATCH(D$1,enemy_skills!$1:$1,0)-MATCH("enemy_skill_id",enemy_skills!$1:$1,0)+1,FALSE)</f>
        <v>光速だ！見切れまい！</v>
      </c>
      <c r="E31" s="188" t="str">
        <f ca="1">VLOOKUP($C31,OFFSET(enemy_skills!$A$1,0,0,COUNTA(enemy_skills!$A:$A),MATCH(E$1,enemy_skills!$1:$1,0)-MATCH("enemy_skill_id",enemy_skills!$1:$1,0)+1),MATCH(E$1,enemy_skills!$1:$1,0)-MATCH("enemy_skill_id",enemy_skills!$1:$1,0)+1,FALSE)</f>
        <v>1ターン自身の攻撃頻度UP+クリティカル！</v>
      </c>
      <c r="F31" s="245">
        <v>30043006</v>
      </c>
      <c r="G31" s="47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" s="47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31" s="47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85</v>
      </c>
      <c r="J31" s="47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40</v>
      </c>
      <c r="K31" s="47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7" t="str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1" s="47" t="str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" s="47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47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85</v>
      </c>
      <c r="P31" s="46"/>
      <c r="Q31" s="46"/>
      <c r="R31" s="46"/>
    </row>
    <row r="32" spans="1:18" ht="21" customHeight="1" x14ac:dyDescent="0.15">
      <c r="A32" s="38" t="str">
        <f t="shared" si="4"/>
        <v>30043009_30043029</v>
      </c>
      <c r="B32" s="242">
        <v>30043009</v>
      </c>
      <c r="C32" s="246">
        <v>30043029</v>
      </c>
      <c r="D32" s="188" t="str">
        <f ca="1">VLOOKUP($C32,OFFSET(enemy_skills!$A$1,0,0,COUNTA(enemy_skills!$A:$A),MATCH(D$1,enemy_skills!$1:$1,0)-MATCH("enemy_skill_id",enemy_skills!$1:$1,0)+1),MATCH(D$1,enemy_skills!$1:$1,0)-MATCH("enemy_skill_id",enemy_skills!$1:$1,0)+1,FALSE)</f>
        <v>ディス・チャージ</v>
      </c>
      <c r="E32" s="188" t="str">
        <f ca="1">VLOOKUP($C32,OFFSET(enemy_skills!$A$1,0,0,COUNTA(enemy_skills!$A:$A),MATCH(E$1,enemy_skills!$1:$1,0)-MATCH("enemy_skill_id",enemy_skills!$1:$1,0)+1),MATCH(E$1,enemy_skills!$1:$1,0)-MATCH("enemy_skill_id",enemy_skills!$1:$1,0)+1,FALSE)</f>
        <v>解除するまでユニット単体の攻撃力35%DOWN_x000D_+クリティカル！</v>
      </c>
      <c r="F32" s="246">
        <v>30043029</v>
      </c>
      <c r="G32" s="47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" s="47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32" s="47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32" s="47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47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7" t="str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2" s="47" t="str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" s="47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47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32" s="46"/>
      <c r="Q32" s="46"/>
      <c r="R32" s="46"/>
    </row>
    <row r="33" spans="1:18" ht="21" customHeight="1" x14ac:dyDescent="0.15">
      <c r="A33" s="38" t="str">
        <f t="shared" ref="A33:A35" si="5">B33&amp;"_"&amp;C33</f>
        <v>30043009_30043008</v>
      </c>
      <c r="B33" s="242">
        <v>30043009</v>
      </c>
      <c r="C33" s="251">
        <v>30043008</v>
      </c>
      <c r="D33" s="188" t="str">
        <f ca="1">VLOOKUP($C33,OFFSET(enemy_skills!$A$1,0,0,COUNTA(enemy_skills!$A:$A),MATCH(D$1,enemy_skills!$1:$1,0)-MATCH("enemy_skill_id",enemy_skills!$1:$1,0)+1),MATCH(D$1,enemy_skills!$1:$1,0)-MATCH("enemy_skill_id",enemy_skills!$1:$1,0)+1,FALSE)</f>
        <v>雷鳴よ、荒れ狂え！</v>
      </c>
      <c r="E33" s="188" t="str">
        <f ca="1">VLOOKUP($C33,OFFSET(enemy_skills!$A$1,0,0,COUNTA(enemy_skills!$A:$A),MATCH(E$1,enemy_skills!$1:$1,0)-MATCH("enemy_skill_id",enemy_skills!$1:$1,0)+1),MATCH(E$1,enemy_skills!$1:$1,0)-MATCH("enemy_skill_id",enemy_skills!$1:$1,0)+1,FALSE)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33" s="245">
        <v>30043008</v>
      </c>
      <c r="G33" s="47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3" s="47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33" s="47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45</v>
      </c>
      <c r="J33" s="47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47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7" t="str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3" s="47" t="str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" s="47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47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45</v>
      </c>
      <c r="P33" s="46"/>
      <c r="Q33" s="46"/>
      <c r="R33" s="46"/>
    </row>
    <row r="34" spans="1:18" ht="21" customHeight="1" x14ac:dyDescent="0.15">
      <c r="A34" s="38" t="str">
        <f t="shared" si="5"/>
        <v>30043009_30043009</v>
      </c>
      <c r="B34" s="242">
        <v>30043009</v>
      </c>
      <c r="C34" s="245">
        <v>30043009</v>
      </c>
      <c r="D34" s="188" t="str">
        <f ca="1">VLOOKUP($C34,OFFSET(enemy_skills!$A$1,0,0,COUNTA(enemy_skills!$A:$A),MATCH(D$1,enemy_skills!$1:$1,0)-MATCH("enemy_skill_id",enemy_skills!$1:$1,0)+1),MATCH(D$1,enemy_skills!$1:$1,0)-MATCH("enemy_skill_id",enemy_skills!$1:$1,0)+1,FALSE)</f>
        <v>光の矢よ、降り注げ！</v>
      </c>
      <c r="E34" s="188" t="str">
        <f ca="1">VLOOKUP($C34,OFFSET(enemy_skills!$A$1,0,0,COUNTA(enemy_skills!$A:$A),MATCH(E$1,enemy_skills!$1:$1,0)-MATCH("enemy_skill_id",enemy_skills!$1:$1,0)+1),MATCH(E$1,enemy_skills!$1:$1,0)-MATCH("enemy_skill_id",enemy_skills!$1:$1,0)+1,FALSE)</f>
        <v>4回連続攻撃</v>
      </c>
      <c r="F34" s="245">
        <v>30043009</v>
      </c>
      <c r="G34" s="47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" s="47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34" s="47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85</v>
      </c>
      <c r="J34" s="47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47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7" t="str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4" s="47" t="str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4" s="47" t="str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" s="47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85</v>
      </c>
      <c r="P34" s="46"/>
      <c r="Q34" s="46"/>
      <c r="R34" s="46"/>
    </row>
    <row r="35" spans="1:18" ht="21" customHeight="1" x14ac:dyDescent="0.15">
      <c r="A35" s="38" t="str">
        <f t="shared" si="5"/>
        <v>30043009_30043010</v>
      </c>
      <c r="B35" s="242">
        <v>30043009</v>
      </c>
      <c r="C35" s="245">
        <v>30043010</v>
      </c>
      <c r="D35" s="188" t="str">
        <f ca="1">VLOOKUP($C35,OFFSET(enemy_skills!$A$1,0,0,COUNTA(enemy_skills!$A:$A),MATCH(D$1,enemy_skills!$1:$1,0)-MATCH("enemy_skill_id",enemy_skills!$1:$1,0)+1),MATCH(D$1,enemy_skills!$1:$1,0)-MATCH("enemy_skill_id",enemy_skills!$1:$1,0)+1,FALSE)</f>
        <v>ハイ・ボルテージ</v>
      </c>
      <c r="E35" s="188" t="str">
        <f ca="1">VLOOKUP($C35,OFFSET(enemy_skills!$A$1,0,0,COUNTA(enemy_skills!$A:$A),MATCH(E$1,enemy_skills!$1:$1,0)-MATCH("enemy_skill_id",enemy_skills!$1:$1,0)+1),MATCH(E$1,enemy_skills!$1:$1,0)-MATCH("enemy_skill_id",enemy_skills!$1:$1,0)+1,FALSE)</f>
        <v>全体攻撃</v>
      </c>
      <c r="F35" s="245">
        <v>30043010</v>
      </c>
      <c r="G35" s="47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5" s="47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35" s="47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47" t="str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" s="47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7" t="str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5" s="47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35" s="47" t="str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" s="47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46"/>
      <c r="Q35" s="46"/>
      <c r="R35" s="46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30"/>
  <sheetViews>
    <sheetView showGridLines="0" topLeftCell="B1" workbookViewId="0">
      <pane ySplit="1" topLeftCell="A2" activePane="bottomLeft" state="frozenSplit"/>
      <selection pane="bottomLeft" activeCell="B4" sqref="B4"/>
    </sheetView>
  </sheetViews>
  <sheetFormatPr baseColWidth="12" defaultColWidth="12.83203125" defaultRowHeight="21" customHeight="1" outlineLevelCol="1" x14ac:dyDescent="0.15"/>
  <cols>
    <col min="1" max="1" width="12.83203125" style="48"/>
    <col min="2" max="2" width="207.5" style="48" customWidth="1"/>
    <col min="3" max="4" width="12.83203125" style="48"/>
    <col min="5" max="5" width="33.1640625" style="48" customWidth="1"/>
    <col min="6" max="6" width="40.5" style="48" customWidth="1"/>
    <col min="7" max="7" width="52" style="48" hidden="1" customWidth="1" outlineLevel="1"/>
    <col min="8" max="8" width="18.33203125" style="48" hidden="1" customWidth="1" outlineLevel="1"/>
    <col min="9" max="11" width="18.6640625" style="48" hidden="1" customWidth="1" outlineLevel="1"/>
    <col min="12" max="12" width="23.6640625" style="48" customWidth="1" collapsed="1"/>
    <col min="13" max="18" width="23.6640625" style="48" hidden="1" customWidth="1" outlineLevel="1"/>
    <col min="19" max="19" width="23.6640625" style="48" customWidth="1" collapsed="1"/>
    <col min="20" max="24" width="23.6640625" style="48" hidden="1" customWidth="1" outlineLevel="1"/>
    <col min="25" max="25" width="23.6640625" style="48" customWidth="1" collapsed="1"/>
    <col min="26" max="27" width="12.83203125" style="48"/>
    <col min="28" max="28" width="44.5" style="48" customWidth="1"/>
    <col min="29" max="16384" width="12.83203125" style="48"/>
  </cols>
  <sheetData>
    <row r="1" spans="1:28" ht="21" customHeight="1" x14ac:dyDescent="0.15">
      <c r="A1" s="39" t="s">
        <v>79</v>
      </c>
      <c r="B1" s="39" t="s">
        <v>80</v>
      </c>
      <c r="C1" s="39" t="s">
        <v>81</v>
      </c>
      <c r="D1" s="39" t="s">
        <v>125</v>
      </c>
      <c r="E1" s="39" t="s">
        <v>82</v>
      </c>
      <c r="F1" s="39" t="s">
        <v>83</v>
      </c>
      <c r="G1" s="40" t="s">
        <v>131</v>
      </c>
      <c r="H1" s="40" t="s">
        <v>137</v>
      </c>
      <c r="I1" s="40" t="s">
        <v>139</v>
      </c>
      <c r="J1" s="40" t="s">
        <v>138</v>
      </c>
      <c r="K1" s="40" t="s">
        <v>140</v>
      </c>
      <c r="L1" s="40" t="s">
        <v>132</v>
      </c>
      <c r="M1" s="40" t="s">
        <v>130</v>
      </c>
      <c r="N1" s="40" t="s">
        <v>133</v>
      </c>
      <c r="O1" s="40" t="s">
        <v>141</v>
      </c>
      <c r="P1" s="40" t="s">
        <v>142</v>
      </c>
      <c r="Q1" s="40" t="s">
        <v>143</v>
      </c>
      <c r="R1" s="40" t="s">
        <v>144</v>
      </c>
      <c r="S1" s="40" t="s">
        <v>134</v>
      </c>
      <c r="T1" s="40" t="s">
        <v>135</v>
      </c>
      <c r="U1" s="40" t="s">
        <v>145</v>
      </c>
      <c r="V1" s="40" t="s">
        <v>146</v>
      </c>
      <c r="W1" s="40" t="s">
        <v>147</v>
      </c>
      <c r="X1" s="40" t="s">
        <v>148</v>
      </c>
      <c r="Y1" s="40" t="s">
        <v>136</v>
      </c>
      <c r="Z1" s="40" t="s">
        <v>76</v>
      </c>
      <c r="AA1" s="40" t="s">
        <v>77</v>
      </c>
      <c r="AB1" s="40" t="s">
        <v>78</v>
      </c>
    </row>
    <row r="2" spans="1:28" ht="27" customHeight="1" x14ac:dyDescent="0.2">
      <c r="A2" s="46">
        <v>30043001</v>
      </c>
      <c r="B2" s="180" t="s">
        <v>412</v>
      </c>
      <c r="C2" s="256">
        <v>3</v>
      </c>
      <c r="D2" s="49" t="s">
        <v>126</v>
      </c>
      <c r="E2" s="50" t="s">
        <v>396</v>
      </c>
      <c r="F2" s="50" t="s">
        <v>398</v>
      </c>
      <c r="G2" s="62" t="str">
        <f>IFERROR(LEFT(B2,FIND("],",B2)),B2)</f>
        <v>[effect:enemy_message, val1:2.0 val2:2.3]</v>
      </c>
      <c r="H2" s="62">
        <f>FIND("effect:",G2)+7</f>
        <v>9</v>
      </c>
      <c r="I2" s="62">
        <f>IFERROR(FIND(",",G2),LEN(G2))</f>
        <v>22</v>
      </c>
      <c r="J2" s="62" t="e">
        <f>FIND("target:",G2)+7</f>
        <v>#VALUE!</v>
      </c>
      <c r="K2" s="62" t="e">
        <f>FIND(",",G2,I2+1)</f>
        <v>#VALUE!</v>
      </c>
      <c r="L2" s="62" t="str">
        <f>IFERROR(VLOOKUP(MID(G2,J2,K2-J2),[5]skilldef!$C:$D,2,FALSE),"-") &amp; " / " &amp; IFERROR(VLOOKUP(MID(G2,H2,I2-H2),[5]skilldef!$A:$B,2,FALSE),"-")</f>
        <v>- / -</v>
      </c>
      <c r="M2" s="62" t="str">
        <f>IFERROR(RIGHT(B2,LEN(B2)-FIND("],",B2)-1),"none")</f>
        <v>[effect:fix_speed, target:myself, turn:1]</v>
      </c>
      <c r="N2" s="47" t="str">
        <f>IFERROR(LEFT(M2,FIND("],",M2)+S15),M2)</f>
        <v>[effect:fix_speed, target:myself, turn:1]</v>
      </c>
      <c r="O2" s="62">
        <f>FIND("effect:",N2)+7</f>
        <v>9</v>
      </c>
      <c r="P2" s="62">
        <f>IFERROR(FIND(",",N2),LEN(N2))</f>
        <v>18</v>
      </c>
      <c r="Q2" s="62">
        <f>FIND("target:",N2)+7</f>
        <v>27</v>
      </c>
      <c r="R2" s="62">
        <f>FIND(",",N2,P2+1)</f>
        <v>33</v>
      </c>
      <c r="S2" s="62" t="str">
        <f>IFERROR(VLOOKUP(MID(N2,Q2,R2-Q2),[5]skilldef!$C:$D,2,FALSE),"-") &amp; " / " &amp; IFERROR(VLOOKUP(MID(N2,O2,P2-O2),[5]skilldef!$A:$B,2,FALSE),"-")</f>
        <v>自分自身に / 行動値設定</v>
      </c>
      <c r="T2" s="47" t="str">
        <f>IFERROR(RIGHT(M2,LEN(M2)-FIND("],",M2)-1),"none")</f>
        <v>none</v>
      </c>
      <c r="U2" s="62" t="e">
        <f>FIND("effect:",T2)+7</f>
        <v>#VALUE!</v>
      </c>
      <c r="V2" s="62">
        <f>IFERROR(FIND(",",T2),LEN(T2))</f>
        <v>4</v>
      </c>
      <c r="W2" s="62" t="e">
        <f>FIND("target:",T2)+7</f>
        <v>#VALUE!</v>
      </c>
      <c r="X2" s="62" t="e">
        <f>FIND(",",T2,V2+1)</f>
        <v>#VALUE!</v>
      </c>
      <c r="Y2" s="62" t="str">
        <f>IFERROR(VLOOKUP(MID(T2,W2,X2-W2),[5]skilldef!$C:$D,2,FALSE),"-") &amp; " / " &amp; IFERROR(VLOOKUP(MID(T2,U2,V2-U2),[5]skilldef!$A:$B,2,FALSE),"-")</f>
        <v>- / -</v>
      </c>
      <c r="Z2" s="49"/>
      <c r="AA2" s="51"/>
      <c r="AB2" s="49"/>
    </row>
    <row r="3" spans="1:28" ht="27" customHeight="1" x14ac:dyDescent="0.2">
      <c r="A3" s="46">
        <v>30043002</v>
      </c>
      <c r="B3" s="180" t="s">
        <v>421</v>
      </c>
      <c r="C3" s="256">
        <v>3</v>
      </c>
      <c r="D3" s="49" t="s">
        <v>126</v>
      </c>
      <c r="E3" s="50" t="s">
        <v>341</v>
      </c>
      <c r="F3" s="50" t="s">
        <v>387</v>
      </c>
      <c r="G3" s="62" t="str">
        <f>IFERROR(LEFT(B3,FIND("],",B3)),B3)</f>
        <v>[effect:damage_anti_cost, target:unit_all, lower:31, upper:99, val1:20, val2:0.0001, cost_type:unit]</v>
      </c>
      <c r="H3" s="62">
        <f>FIND("effect:",G3)+7</f>
        <v>9</v>
      </c>
      <c r="I3" s="62">
        <f>IFERROR(FIND(",",G3),LEN(G3))</f>
        <v>25</v>
      </c>
      <c r="J3" s="62">
        <f>FIND("target:",G3)+7</f>
        <v>34</v>
      </c>
      <c r="K3" s="62">
        <f>FIND(",",G3,I3+1)</f>
        <v>42</v>
      </c>
      <c r="L3" s="62" t="str">
        <f>IFERROR(VLOOKUP(MID(G3,J3,K3-J3),[5]skilldef!$C:$D,2,FALSE),"-") &amp; " / " &amp; IFERROR(VLOOKUP(MID(G3,H3,I3-H3),[5]skilldef!$A:$B,2,FALSE),"-")</f>
        <v>味方全体に / -</v>
      </c>
      <c r="M3" s="62" t="str">
        <f>IFERROR(RIGHT(B3,LEN(B3)-FIND("],",B3)-1),"none")</f>
        <v>[effect:damage_anti_cost, target:unit_all, lower:31, upper:99, val1:20, val2:0.0001, cost_type:unit]</v>
      </c>
      <c r="N3" s="47" t="str">
        <f>IFERROR(LEFT(M3,FIND("],",M3)+S16),M3)</f>
        <v>[effect:damage_anti_cost, target:unit_all, lower:31, upper:99, val1:20, val2:0.0001, cost_type:unit]</v>
      </c>
      <c r="O3" s="62">
        <f>FIND("effect:",N3)+7</f>
        <v>9</v>
      </c>
      <c r="P3" s="62">
        <f>IFERROR(FIND(",",N3),LEN(N3))</f>
        <v>25</v>
      </c>
      <c r="Q3" s="62">
        <f>FIND("target:",N3)+7</f>
        <v>34</v>
      </c>
      <c r="R3" s="62">
        <f>FIND(",",N3,P3+1)</f>
        <v>42</v>
      </c>
      <c r="S3" s="62" t="str">
        <f>IFERROR(VLOOKUP(MID(N3,Q3,R3-Q3),[5]skilldef!$C:$D,2,FALSE),"-") &amp; " / " &amp; IFERROR(VLOOKUP(MID(N3,O3,P3-O3),[5]skilldef!$A:$B,2,FALSE),"-")</f>
        <v>味方全体に / -</v>
      </c>
      <c r="T3" s="47" t="str">
        <f>IFERROR(RIGHT(M3,LEN(M3)-FIND("],",M3)-1),"none")</f>
        <v>none</v>
      </c>
      <c r="U3" s="62" t="e">
        <f>FIND("effect:",T3)+7</f>
        <v>#VALUE!</v>
      </c>
      <c r="V3" s="62">
        <f>IFERROR(FIND(",",T3),LEN(T3))</f>
        <v>4</v>
      </c>
      <c r="W3" s="62" t="e">
        <f>FIND("target:",T3)+7</f>
        <v>#VALUE!</v>
      </c>
      <c r="X3" s="62" t="e">
        <f>FIND(",",T3,V3+1)</f>
        <v>#VALUE!</v>
      </c>
      <c r="Y3" s="62" t="str">
        <f>IFERROR(VLOOKUP(MID(T3,W3,X3-W3),[5]skilldef!$C:$D,2,FALSE),"-") &amp; " / " &amp; IFERROR(VLOOKUP(MID(T3,U3,V3-U3),[5]skilldef!$A:$B,2,FALSE),"-")</f>
        <v>- / -</v>
      </c>
      <c r="Z3" s="49"/>
      <c r="AA3" s="51"/>
      <c r="AB3" s="49"/>
    </row>
    <row r="4" spans="1:28" ht="27" customHeight="1" thickBot="1" x14ac:dyDescent="0.25">
      <c r="A4" s="46">
        <v>30043003</v>
      </c>
      <c r="B4" s="181" t="s">
        <v>405</v>
      </c>
      <c r="C4" s="256">
        <v>3</v>
      </c>
      <c r="D4" s="164" t="s">
        <v>126</v>
      </c>
      <c r="E4" s="165" t="s">
        <v>375</v>
      </c>
      <c r="F4" s="165" t="s">
        <v>364</v>
      </c>
      <c r="G4" s="62" t="str">
        <f t="shared" ref="G4:G30" si="0">IFERROR(LEFT(B4,FIND("],",B4)),B4)</f>
        <v>[effect:suicide, val:1, dead_type:escape]</v>
      </c>
      <c r="H4" s="62">
        <f t="shared" ref="H4:H30" si="1">FIND("effect:",G4)+7</f>
        <v>9</v>
      </c>
      <c r="I4" s="62">
        <f t="shared" ref="I4:I30" si="2">IFERROR(FIND(",",G4),LEN(G4))</f>
        <v>16</v>
      </c>
      <c r="J4" s="62" t="e">
        <f t="shared" ref="J4:J30" si="3">FIND("target:",G4)+7</f>
        <v>#VALUE!</v>
      </c>
      <c r="K4" s="62">
        <f t="shared" ref="K4:K30" si="4">FIND(",",G4,I4+1)</f>
        <v>23</v>
      </c>
      <c r="L4" s="62" t="str">
        <f>IFERROR(VLOOKUP(MID(G4,J4,K4-J4),[5]skilldef!$C:$D,2,FALSE),"-") &amp; " / " &amp; IFERROR(VLOOKUP(MID(G4,H4,I4-H4),[5]skilldef!$A:$B,2,FALSE),"-")</f>
        <v>- / -</v>
      </c>
      <c r="M4" s="62" t="str">
        <f t="shared" ref="M4:M30" si="5">IFERROR(RIGHT(B4,LEN(B4)-FIND("],",B4)-1),"none")</f>
        <v>[effect:enemy_message, val1:2.0, val2:2.3]</v>
      </c>
      <c r="N4" s="47" t="str">
        <f>IFERROR(LEFT(M4,FIND("],",M4)+S19),M4)</f>
        <v>[effect:enemy_message, val1:2.0, val2:2.3]</v>
      </c>
      <c r="O4" s="62">
        <f t="shared" ref="O4:O30" si="6">FIND("effect:",N4)+7</f>
        <v>9</v>
      </c>
      <c r="P4" s="62">
        <f t="shared" ref="P4:P30" si="7">IFERROR(FIND(",",N4),LEN(N4))</f>
        <v>22</v>
      </c>
      <c r="Q4" s="62" t="e">
        <f t="shared" ref="Q4:Q30" si="8">FIND("target:",N4)+7</f>
        <v>#VALUE!</v>
      </c>
      <c r="R4" s="62">
        <f t="shared" ref="R4:R30" si="9">FIND(",",N4,P4+1)</f>
        <v>32</v>
      </c>
      <c r="S4" s="62" t="str">
        <f>IFERROR(VLOOKUP(MID(N4,Q4,R4-Q4),[5]skilldef!$C:$D,2,FALSE),"-") &amp; " / " &amp; IFERROR(VLOOKUP(MID(N4,O4,P4-O4),[5]skilldef!$A:$B,2,FALSE),"-")</f>
        <v>- / -</v>
      </c>
      <c r="T4" s="47" t="str">
        <f t="shared" ref="T4:T30" si="10">IFERROR(RIGHT(M4,LEN(M4)-FIND("],",M4)-1),"none")</f>
        <v>none</v>
      </c>
      <c r="U4" s="62" t="e">
        <f t="shared" ref="U4:U30" si="11">FIND("effect:",T4)+7</f>
        <v>#VALUE!</v>
      </c>
      <c r="V4" s="62">
        <f t="shared" ref="V4:V30" si="12">IFERROR(FIND(",",T4),LEN(T4))</f>
        <v>4</v>
      </c>
      <c r="W4" s="62" t="e">
        <f t="shared" ref="W4:W30" si="13">FIND("target:",T4)+7</f>
        <v>#VALUE!</v>
      </c>
      <c r="X4" s="62" t="e">
        <f t="shared" ref="X4:X30" si="14">FIND(",",T4,V4+1)</f>
        <v>#VALUE!</v>
      </c>
      <c r="Y4" s="62" t="str">
        <f>IFERROR(VLOOKUP(MID(T4,W4,X4-W4),[5]skilldef!$C:$D,2,FALSE),"-") &amp; " / " &amp; IFERROR(VLOOKUP(MID(T4,U4,V4-U4),[5]skilldef!$A:$B,2,FALSE),"-")</f>
        <v>- / -</v>
      </c>
      <c r="Z4" s="49"/>
      <c r="AA4" s="51"/>
      <c r="AB4" s="49"/>
    </row>
    <row r="5" spans="1:28" ht="27" customHeight="1" thickTop="1" x14ac:dyDescent="0.2">
      <c r="A5" s="46">
        <v>30043004</v>
      </c>
      <c r="B5" s="182" t="s">
        <v>394</v>
      </c>
      <c r="C5" s="256">
        <v>3</v>
      </c>
      <c r="D5" s="167" t="s">
        <v>126</v>
      </c>
      <c r="E5" s="168" t="s">
        <v>379</v>
      </c>
      <c r="F5" s="168" t="s">
        <v>381</v>
      </c>
      <c r="G5" s="62" t="str">
        <f t="shared" si="0"/>
        <v>[effect:degrade_unit, target:unit_one, turn:-1, status:attack, val:0.25, calc:mul]</v>
      </c>
      <c r="H5" s="62">
        <f t="shared" si="1"/>
        <v>9</v>
      </c>
      <c r="I5" s="62">
        <f t="shared" si="2"/>
        <v>21</v>
      </c>
      <c r="J5" s="62">
        <f t="shared" si="3"/>
        <v>30</v>
      </c>
      <c r="K5" s="62">
        <f t="shared" si="4"/>
        <v>38</v>
      </c>
      <c r="L5" s="62" t="str">
        <f>IFERROR(VLOOKUP(MID(G5,J5,K5-J5),[5]skilldef!$C:$D,2,FALSE),"-") &amp; " / " &amp; IFERROR(VLOOKUP(MID(G5,H5,I5-H5),[5]skilldef!$A:$B,2,FALSE),"-")</f>
        <v>味方単体に / ステータスDOWN</v>
      </c>
      <c r="M5" s="62" t="str">
        <f t="shared" si="5"/>
        <v>[effect:critical, val:1.52, animation:enemy_critical]</v>
      </c>
      <c r="N5" s="47" t="str">
        <f>IFERROR(LEFT(M5,FIND("],",M5)+S24),M5)</f>
        <v>[effect:critical, val:1.52, animation:enemy_critical]</v>
      </c>
      <c r="O5" s="62">
        <f t="shared" si="6"/>
        <v>9</v>
      </c>
      <c r="P5" s="62">
        <f t="shared" si="7"/>
        <v>17</v>
      </c>
      <c r="Q5" s="62" t="e">
        <f t="shared" si="8"/>
        <v>#VALUE!</v>
      </c>
      <c r="R5" s="62">
        <f t="shared" si="9"/>
        <v>27</v>
      </c>
      <c r="S5" s="62" t="str">
        <f>IFERROR(VLOOKUP(MID(N5,Q5,R5-Q5),[5]skilldef!$C:$D,2,FALSE),"-") &amp; " / " &amp; IFERROR(VLOOKUP(MID(N5,O5,P5-O5),[5]skilldef!$A:$B,2,FALSE),"-")</f>
        <v>- / 大攻撃</v>
      </c>
      <c r="T5" s="47" t="str">
        <f t="shared" si="10"/>
        <v>none</v>
      </c>
      <c r="U5" s="62" t="e">
        <f t="shared" si="11"/>
        <v>#VALUE!</v>
      </c>
      <c r="V5" s="62">
        <f t="shared" si="12"/>
        <v>4</v>
      </c>
      <c r="W5" s="62" t="e">
        <f t="shared" si="13"/>
        <v>#VALUE!</v>
      </c>
      <c r="X5" s="62" t="e">
        <f t="shared" si="14"/>
        <v>#VALUE!</v>
      </c>
      <c r="Y5" s="62" t="str">
        <f>IFERROR(VLOOKUP(MID(T5,W5,X5-W5),[5]skilldef!$C:$D,2,FALSE),"-") &amp; " / " &amp; IFERROR(VLOOKUP(MID(T5,U5,V5-U5),[5]skilldef!$A:$B,2,FALSE),"-")</f>
        <v>- / -</v>
      </c>
      <c r="Z5" s="49"/>
      <c r="AA5" s="51"/>
      <c r="AB5" s="49"/>
    </row>
    <row r="6" spans="1:28" ht="27" customHeight="1" x14ac:dyDescent="0.2">
      <c r="A6" s="46">
        <v>30043005</v>
      </c>
      <c r="B6" s="180" t="s">
        <v>265</v>
      </c>
      <c r="C6" s="256">
        <v>3</v>
      </c>
      <c r="D6" s="49" t="s">
        <v>126</v>
      </c>
      <c r="E6" s="50" t="s">
        <v>374</v>
      </c>
      <c r="F6" s="50" t="s">
        <v>257</v>
      </c>
      <c r="G6" s="62" t="str">
        <f t="shared" ref="G6" si="15">IFERROR(LEFT(B6,FIND("],",B6)),B6)</f>
        <v>[effect:rush, count:3, val:0.47]</v>
      </c>
      <c r="H6" s="62">
        <f t="shared" ref="H6" si="16">FIND("effect:",G6)+7</f>
        <v>9</v>
      </c>
      <c r="I6" s="62">
        <f t="shared" ref="I6" si="17">IFERROR(FIND(",",G6),LEN(G6))</f>
        <v>13</v>
      </c>
      <c r="J6" s="62" t="e">
        <f t="shared" ref="J6" si="18">FIND("target:",G6)+7</f>
        <v>#VALUE!</v>
      </c>
      <c r="K6" s="62">
        <f t="shared" ref="K6" si="19">FIND(",",G6,I6+1)</f>
        <v>22</v>
      </c>
      <c r="L6" s="62" t="str">
        <f>IFERROR(VLOOKUP(MID(G6,J6,K6-J6),[5]skilldef!$C:$D,2,FALSE),"-") &amp; " / " &amp; IFERROR(VLOOKUP(MID(G6,H6,I6-H6),[5]skilldef!$A:$B,2,FALSE),"-")</f>
        <v>- / 連続攻撃</v>
      </c>
      <c r="M6" s="62" t="str">
        <f t="shared" ref="M6" si="20">IFERROR(RIGHT(B6,LEN(B6)-FIND("],",B6)-1),"none")</f>
        <v>none</v>
      </c>
      <c r="N6" s="47" t="str">
        <f>IFERROR(LEFT(M6,FIND("],",M6)+S20),M6)</f>
        <v>none</v>
      </c>
      <c r="O6" s="62" t="e">
        <f t="shared" ref="O6" si="21">FIND("effect:",N6)+7</f>
        <v>#VALUE!</v>
      </c>
      <c r="P6" s="62">
        <f t="shared" ref="P6" si="22">IFERROR(FIND(",",N6),LEN(N6))</f>
        <v>4</v>
      </c>
      <c r="Q6" s="62" t="e">
        <f t="shared" ref="Q6" si="23">FIND("target:",N6)+7</f>
        <v>#VALUE!</v>
      </c>
      <c r="R6" s="62" t="e">
        <f t="shared" ref="R6" si="24">FIND(",",N6,P6+1)</f>
        <v>#VALUE!</v>
      </c>
      <c r="S6" s="62" t="str">
        <f>IFERROR(VLOOKUP(MID(N6,Q6,R6-Q6),[5]skilldef!$C:$D,2,FALSE),"-") &amp; " / " &amp; IFERROR(VLOOKUP(MID(N6,O6,P6-O6),[5]skilldef!$A:$B,2,FALSE),"-")</f>
        <v>- / -</v>
      </c>
      <c r="T6" s="47" t="str">
        <f t="shared" ref="T6" si="25">IFERROR(RIGHT(M6,LEN(M6)-FIND("],",M6)-1),"none")</f>
        <v>none</v>
      </c>
      <c r="U6" s="62" t="e">
        <f t="shared" ref="U6" si="26">FIND("effect:",T6)+7</f>
        <v>#VALUE!</v>
      </c>
      <c r="V6" s="62">
        <f t="shared" ref="V6" si="27">IFERROR(FIND(",",T6),LEN(T6))</f>
        <v>4</v>
      </c>
      <c r="W6" s="62" t="e">
        <f t="shared" ref="W6" si="28">FIND("target:",T6)+7</f>
        <v>#VALUE!</v>
      </c>
      <c r="X6" s="62" t="e">
        <f t="shared" ref="X6" si="29">FIND(",",T6,V6+1)</f>
        <v>#VALUE!</v>
      </c>
      <c r="Y6" s="62" t="str">
        <f>IFERROR(VLOOKUP(MID(T6,W6,X6-W6),[5]skilldef!$C:$D,2,FALSE),"-") &amp; " / " &amp; IFERROR(VLOOKUP(MID(T6,U6,V6-U6),[5]skilldef!$A:$B,2,FALSE),"-")</f>
        <v>- / -</v>
      </c>
      <c r="Z6" s="49"/>
      <c r="AA6" s="51"/>
      <c r="AB6" s="49"/>
    </row>
    <row r="7" spans="1:28" ht="27" customHeight="1" x14ac:dyDescent="0.2">
      <c r="A7" s="46">
        <v>30043006</v>
      </c>
      <c r="B7" s="180" t="s">
        <v>392</v>
      </c>
      <c r="C7" s="256">
        <v>3</v>
      </c>
      <c r="D7" s="49" t="s">
        <v>126</v>
      </c>
      <c r="E7" s="50" t="s">
        <v>358</v>
      </c>
      <c r="F7" s="50" t="s">
        <v>367</v>
      </c>
      <c r="G7" s="62" t="str">
        <f t="shared" si="0"/>
        <v>[effect:freq_turn, target:myself, turn:1, val:1, animation:enemy_freq_turn]</v>
      </c>
      <c r="H7" s="62">
        <f t="shared" si="1"/>
        <v>9</v>
      </c>
      <c r="I7" s="62">
        <f t="shared" si="2"/>
        <v>18</v>
      </c>
      <c r="J7" s="62">
        <f t="shared" si="3"/>
        <v>27</v>
      </c>
      <c r="K7" s="62">
        <f t="shared" si="4"/>
        <v>33</v>
      </c>
      <c r="L7" s="62" t="str">
        <f>IFERROR(VLOOKUP(MID(G7,J7,K7-J7),[5]skilldef!$C:$D,2,FALSE),"-") &amp; " / " &amp; IFERROR(VLOOKUP(MID(G7,H7,I7-H7),[5]skilldef!$A:$B,2,FALSE),"-")</f>
        <v>自分自身に / 攻撃頻度がUP</v>
      </c>
      <c r="M7" s="62" t="str">
        <f t="shared" si="5"/>
        <v>[effect:critical, val:1.44, animation:enemy_critical]</v>
      </c>
      <c r="N7" s="47" t="str">
        <f>IFERROR(LEFT(M7,FIND("],",M7)+S23),M7)</f>
        <v>[effect:critical, val:1.44, animation:enemy_critical]</v>
      </c>
      <c r="O7" s="62">
        <f t="shared" si="6"/>
        <v>9</v>
      </c>
      <c r="P7" s="62">
        <f t="shared" si="7"/>
        <v>17</v>
      </c>
      <c r="Q7" s="62" t="e">
        <f t="shared" si="8"/>
        <v>#VALUE!</v>
      </c>
      <c r="R7" s="62">
        <f t="shared" si="9"/>
        <v>27</v>
      </c>
      <c r="S7" s="62" t="str">
        <f>IFERROR(VLOOKUP(MID(N7,Q7,R7-Q7),[5]skilldef!$C:$D,2,FALSE),"-") &amp; " / " &amp; IFERROR(VLOOKUP(MID(N7,O7,P7-O7),[5]skilldef!$A:$B,2,FALSE),"-")</f>
        <v>- / 大攻撃</v>
      </c>
      <c r="T7" s="47" t="str">
        <f t="shared" si="10"/>
        <v>none</v>
      </c>
      <c r="U7" s="62" t="e">
        <f t="shared" si="11"/>
        <v>#VALUE!</v>
      </c>
      <c r="V7" s="62">
        <f t="shared" si="12"/>
        <v>4</v>
      </c>
      <c r="W7" s="62" t="e">
        <f t="shared" si="13"/>
        <v>#VALUE!</v>
      </c>
      <c r="X7" s="62" t="e">
        <f t="shared" si="14"/>
        <v>#VALUE!</v>
      </c>
      <c r="Y7" s="62" t="str">
        <f>IFERROR(VLOOKUP(MID(T7,W7,X7-W7),[5]skilldef!$C:$D,2,FALSE),"-") &amp; " / " &amp; IFERROR(VLOOKUP(MID(T7,U7,V7-U7),[5]skilldef!$A:$B,2,FALSE),"-")</f>
        <v>- / -</v>
      </c>
      <c r="Z7" s="49"/>
      <c r="AA7" s="51"/>
      <c r="AB7" s="49"/>
    </row>
    <row r="8" spans="1:28" ht="27" customHeight="1" x14ac:dyDescent="0.2">
      <c r="A8" s="46">
        <v>30043007</v>
      </c>
      <c r="B8" s="180" t="s">
        <v>377</v>
      </c>
      <c r="C8" s="256">
        <v>3</v>
      </c>
      <c r="D8" s="49" t="s">
        <v>126</v>
      </c>
      <c r="E8" s="169" t="s">
        <v>382</v>
      </c>
      <c r="F8" s="169" t="s">
        <v>384</v>
      </c>
      <c r="G8" s="62" t="str">
        <f t="shared" si="0"/>
        <v>[effect:degrade_unit, target:unit_one, turn:-1, status:attack, val:0.25, calc:mul]</v>
      </c>
      <c r="H8" s="62">
        <f t="shared" si="1"/>
        <v>9</v>
      </c>
      <c r="I8" s="62">
        <f t="shared" si="2"/>
        <v>21</v>
      </c>
      <c r="J8" s="62">
        <f t="shared" si="3"/>
        <v>30</v>
      </c>
      <c r="K8" s="62">
        <f t="shared" si="4"/>
        <v>38</v>
      </c>
      <c r="L8" s="62" t="str">
        <f>IFERROR(VLOOKUP(MID(G8,J8,K8-J8),[5]skilldef!$C:$D,2,FALSE),"-") &amp; " / " &amp; IFERROR(VLOOKUP(MID(G8,H8,I8-H8),[5]skilldef!$A:$B,2,FALSE),"-")</f>
        <v>味方単体に / ステータスDOWN</v>
      </c>
      <c r="M8" s="62" t="str">
        <f t="shared" si="5"/>
        <v>[effect:critical, val:1.4, animation:enemy_critical]</v>
      </c>
      <c r="N8" s="47" t="str">
        <f>IFERROR(LEFT(M8,FIND("],",M8)+S27),M8)</f>
        <v>[effect:critical, val:1.4, animation:enemy_critical]</v>
      </c>
      <c r="O8" s="62">
        <f t="shared" si="6"/>
        <v>9</v>
      </c>
      <c r="P8" s="62">
        <f t="shared" si="7"/>
        <v>17</v>
      </c>
      <c r="Q8" s="62" t="e">
        <f t="shared" si="8"/>
        <v>#VALUE!</v>
      </c>
      <c r="R8" s="62">
        <f t="shared" si="9"/>
        <v>26</v>
      </c>
      <c r="S8" s="62" t="str">
        <f>IFERROR(VLOOKUP(MID(N8,Q8,R8-Q8),[5]skilldef!$C:$D,2,FALSE),"-") &amp; " / " &amp; IFERROR(VLOOKUP(MID(N8,O8,P8-O8),[5]skilldef!$A:$B,2,FALSE),"-")</f>
        <v>- / 大攻撃</v>
      </c>
      <c r="T8" s="47" t="str">
        <f t="shared" si="10"/>
        <v>none</v>
      </c>
      <c r="U8" s="62" t="e">
        <f t="shared" si="11"/>
        <v>#VALUE!</v>
      </c>
      <c r="V8" s="62">
        <f t="shared" si="12"/>
        <v>4</v>
      </c>
      <c r="W8" s="62" t="e">
        <f t="shared" si="13"/>
        <v>#VALUE!</v>
      </c>
      <c r="X8" s="62" t="e">
        <f t="shared" si="14"/>
        <v>#VALUE!</v>
      </c>
      <c r="Y8" s="62" t="str">
        <f>IFERROR(VLOOKUP(MID(T8,W8,X8-W8),[5]skilldef!$C:$D,2,FALSE),"-") &amp; " / " &amp; IFERROR(VLOOKUP(MID(T8,U8,V8-U8),[5]skilldef!$A:$B,2,FALSE),"-")</f>
        <v>- / -</v>
      </c>
      <c r="Z8" s="49"/>
      <c r="AA8" s="51"/>
      <c r="AB8" s="49"/>
    </row>
    <row r="9" spans="1:28" ht="27" customHeight="1" x14ac:dyDescent="0.2">
      <c r="A9" s="46">
        <v>30043008</v>
      </c>
      <c r="B9" s="180" t="s">
        <v>273</v>
      </c>
      <c r="C9" s="256">
        <v>3</v>
      </c>
      <c r="D9" s="49" t="s">
        <v>126</v>
      </c>
      <c r="E9" s="169" t="s">
        <v>373</v>
      </c>
      <c r="F9" s="169" t="s">
        <v>262</v>
      </c>
      <c r="G9" s="62" t="str">
        <f t="shared" ref="G9" si="30">IFERROR(LEFT(B9,FIND("],",B9)),B9)</f>
        <v>[effect:rush, count:3, val:0.48]</v>
      </c>
      <c r="H9" s="62">
        <f t="shared" ref="H9" si="31">FIND("effect:",G9)+7</f>
        <v>9</v>
      </c>
      <c r="I9" s="62">
        <f t="shared" ref="I9" si="32">IFERROR(FIND(",",G9),LEN(G9))</f>
        <v>13</v>
      </c>
      <c r="J9" s="62" t="e">
        <f t="shared" ref="J9" si="33">FIND("target:",G9)+7</f>
        <v>#VALUE!</v>
      </c>
      <c r="K9" s="62">
        <f t="shared" ref="K9" si="34">FIND(",",G9,I9+1)</f>
        <v>22</v>
      </c>
      <c r="L9" s="62" t="str">
        <f>IFERROR(VLOOKUP(MID(G9,J9,K9-J9),[5]skilldef!$C:$D,2,FALSE),"-") &amp; " / " &amp; IFERROR(VLOOKUP(MID(G9,H9,I9-H9),[5]skilldef!$A:$B,2,FALSE),"-")</f>
        <v>- / 連続攻撃</v>
      </c>
      <c r="M9" s="62" t="str">
        <f t="shared" ref="M9" si="35">IFERROR(RIGHT(B9,LEN(B9)-FIND("],",B9)-1),"none")</f>
        <v>none</v>
      </c>
      <c r="N9" s="47" t="str">
        <f>IFERROR(LEFT(M9,FIND("],",M9)+S27),M9)</f>
        <v>none</v>
      </c>
      <c r="O9" s="62" t="e">
        <f t="shared" ref="O9" si="36">FIND("effect:",N9)+7</f>
        <v>#VALUE!</v>
      </c>
      <c r="P9" s="62">
        <f t="shared" ref="P9" si="37">IFERROR(FIND(",",N9),LEN(N9))</f>
        <v>4</v>
      </c>
      <c r="Q9" s="62" t="e">
        <f t="shared" ref="Q9" si="38">FIND("target:",N9)+7</f>
        <v>#VALUE!</v>
      </c>
      <c r="R9" s="62" t="e">
        <f t="shared" ref="R9" si="39">FIND(",",N9,P9+1)</f>
        <v>#VALUE!</v>
      </c>
      <c r="S9" s="62" t="str">
        <f>IFERROR(VLOOKUP(MID(N9,Q9,R9-Q9),[5]skilldef!$C:$D,2,FALSE),"-") &amp; " / " &amp; IFERROR(VLOOKUP(MID(N9,O9,P9-O9),[5]skilldef!$A:$B,2,FALSE),"-")</f>
        <v>- / -</v>
      </c>
      <c r="T9" s="47" t="str">
        <f t="shared" ref="T9" si="40">IFERROR(RIGHT(M9,LEN(M9)-FIND("],",M9)-1),"none")</f>
        <v>none</v>
      </c>
      <c r="U9" s="62" t="e">
        <f t="shared" ref="U9" si="41">FIND("effect:",T9)+7</f>
        <v>#VALUE!</v>
      </c>
      <c r="V9" s="62">
        <f t="shared" ref="V9" si="42">IFERROR(FIND(",",T9),LEN(T9))</f>
        <v>4</v>
      </c>
      <c r="W9" s="62" t="e">
        <f t="shared" ref="W9" si="43">FIND("target:",T9)+7</f>
        <v>#VALUE!</v>
      </c>
      <c r="X9" s="62" t="e">
        <f t="shared" ref="X9" si="44">FIND(",",T9,V9+1)</f>
        <v>#VALUE!</v>
      </c>
      <c r="Y9" s="62" t="str">
        <f>IFERROR(VLOOKUP(MID(T9,W9,X9-W9),[5]skilldef!$C:$D,2,FALSE),"-") &amp; " / " &amp; IFERROR(VLOOKUP(MID(T9,U9,V9-U9),[5]skilldef!$A:$B,2,FALSE),"-")</f>
        <v>- / -</v>
      </c>
      <c r="Z9" s="49"/>
      <c r="AA9" s="51"/>
      <c r="AB9" s="49"/>
    </row>
    <row r="10" spans="1:28" ht="27" customHeight="1" x14ac:dyDescent="0.2">
      <c r="A10" s="46">
        <v>30043009</v>
      </c>
      <c r="B10" s="180" t="s">
        <v>266</v>
      </c>
      <c r="C10" s="256">
        <v>3</v>
      </c>
      <c r="D10" s="49" t="s">
        <v>126</v>
      </c>
      <c r="E10" s="169" t="s">
        <v>360</v>
      </c>
      <c r="F10" s="169" t="s">
        <v>256</v>
      </c>
      <c r="G10" s="62" t="str">
        <f t="shared" si="0"/>
        <v>[effect:rush, count:4, val:0.38]</v>
      </c>
      <c r="H10" s="62">
        <f t="shared" si="1"/>
        <v>9</v>
      </c>
      <c r="I10" s="62">
        <f t="shared" si="2"/>
        <v>13</v>
      </c>
      <c r="J10" s="62" t="e">
        <f t="shared" si="3"/>
        <v>#VALUE!</v>
      </c>
      <c r="K10" s="62">
        <f t="shared" si="4"/>
        <v>22</v>
      </c>
      <c r="L10" s="62" t="str">
        <f>IFERROR(VLOOKUP(MID(G10,J10,K10-J10),[5]skilldef!$C:$D,2,FALSE),"-") &amp; " / " &amp; IFERROR(VLOOKUP(MID(G10,H10,I10-H10),[5]skilldef!$A:$B,2,FALSE),"-")</f>
        <v>- / 連続攻撃</v>
      </c>
      <c r="M10" s="62" t="str">
        <f t="shared" si="5"/>
        <v>none</v>
      </c>
      <c r="N10" s="47" t="str">
        <f>IFERROR(LEFT(M10,FIND("],",M10)+S28),M10)</f>
        <v>none</v>
      </c>
      <c r="O10" s="62" t="e">
        <f t="shared" si="6"/>
        <v>#VALUE!</v>
      </c>
      <c r="P10" s="62">
        <f t="shared" si="7"/>
        <v>4</v>
      </c>
      <c r="Q10" s="62" t="e">
        <f t="shared" si="8"/>
        <v>#VALUE!</v>
      </c>
      <c r="R10" s="62" t="e">
        <f t="shared" si="9"/>
        <v>#VALUE!</v>
      </c>
      <c r="S10" s="62" t="str">
        <f>IFERROR(VLOOKUP(MID(N10,Q10,R10-Q10),[5]skilldef!$C:$D,2,FALSE),"-") &amp; " / " &amp; IFERROR(VLOOKUP(MID(N10,O10,P10-O10),[5]skilldef!$A:$B,2,FALSE),"-")</f>
        <v>- / -</v>
      </c>
      <c r="T10" s="47" t="str">
        <f t="shared" si="10"/>
        <v>none</v>
      </c>
      <c r="U10" s="62" t="e">
        <f t="shared" si="11"/>
        <v>#VALUE!</v>
      </c>
      <c r="V10" s="62">
        <f t="shared" si="12"/>
        <v>4</v>
      </c>
      <c r="W10" s="62" t="e">
        <f t="shared" si="13"/>
        <v>#VALUE!</v>
      </c>
      <c r="X10" s="62" t="e">
        <f t="shared" si="14"/>
        <v>#VALUE!</v>
      </c>
      <c r="Y10" s="62" t="str">
        <f>IFERROR(VLOOKUP(MID(T10,W10,X10-W10),[5]skilldef!$C:$D,2,FALSE),"-") &amp; " / " &amp; IFERROR(VLOOKUP(MID(T10,U10,V10-U10),[5]skilldef!$A:$B,2,FALSE),"-")</f>
        <v>- / -</v>
      </c>
      <c r="Z10" s="49"/>
      <c r="AA10" s="51"/>
      <c r="AB10" s="49"/>
    </row>
    <row r="11" spans="1:28" ht="27" customHeight="1" thickBot="1" x14ac:dyDescent="0.25">
      <c r="A11" s="46">
        <v>30043010</v>
      </c>
      <c r="B11" s="181" t="s">
        <v>274</v>
      </c>
      <c r="C11" s="256">
        <v>3</v>
      </c>
      <c r="D11" s="184" t="s">
        <v>126</v>
      </c>
      <c r="E11" s="185" t="s">
        <v>359</v>
      </c>
      <c r="F11" s="185" t="s">
        <v>263</v>
      </c>
      <c r="G11" s="62" t="str">
        <f>IFERROR(LEFT(B11,FIND("],",B11)),B11)</f>
        <v>[effect:spread, val:0.42]</v>
      </c>
      <c r="H11" s="62">
        <f>FIND("effect:",G11)+7</f>
        <v>9</v>
      </c>
      <c r="I11" s="62">
        <f>IFERROR(FIND(",",G11),LEN(G11))</f>
        <v>15</v>
      </c>
      <c r="J11" s="62" t="e">
        <f>FIND("target:",G11)+7</f>
        <v>#VALUE!</v>
      </c>
      <c r="K11" s="62" t="e">
        <f>FIND(",",G11,I11+1)</f>
        <v>#VALUE!</v>
      </c>
      <c r="L11" s="62" t="str">
        <f>IFERROR(VLOOKUP(MID(G11,J11,K11-J11),[5]skilldef!$C:$D,2,FALSE),"-") &amp; " / " &amp; IFERROR(VLOOKUP(MID(G11,H11,I11-H11),[5]skilldef!$A:$B,2,FALSE),"-")</f>
        <v>- / 全体攻撃</v>
      </c>
      <c r="M11" s="62" t="str">
        <f>IFERROR(RIGHT(B11,LEN(B11)-FIND("],",B11)-1),"none")</f>
        <v>none</v>
      </c>
      <c r="N11" s="47" t="str">
        <f>IFERROR(LEFT(M11,FIND("],",M11)+S26),M11)</f>
        <v>none</v>
      </c>
      <c r="O11" s="62" t="e">
        <f>FIND("effect:",N11)+7</f>
        <v>#VALUE!</v>
      </c>
      <c r="P11" s="62">
        <f>IFERROR(FIND(",",N11),LEN(N11))</f>
        <v>4</v>
      </c>
      <c r="Q11" s="62" t="e">
        <f>FIND("target:",N11)+7</f>
        <v>#VALUE!</v>
      </c>
      <c r="R11" s="62" t="e">
        <f>FIND(",",N11,P11+1)</f>
        <v>#VALUE!</v>
      </c>
      <c r="S11" s="62" t="str">
        <f>IFERROR(VLOOKUP(MID(N11,Q11,R11-Q11),[5]skilldef!$C:$D,2,FALSE),"-") &amp; " / " &amp; IFERROR(VLOOKUP(MID(N11,O11,P11-O11),[5]skilldef!$A:$B,2,FALSE),"-")</f>
        <v>- / -</v>
      </c>
      <c r="T11" s="47" t="str">
        <f>IFERROR(RIGHT(M11,LEN(M11)-FIND("],",M11)-1),"none")</f>
        <v>none</v>
      </c>
      <c r="U11" s="62" t="e">
        <f>FIND("effect:",T11)+7</f>
        <v>#VALUE!</v>
      </c>
      <c r="V11" s="62">
        <f>IFERROR(FIND(",",T11),LEN(T11))</f>
        <v>4</v>
      </c>
      <c r="W11" s="62" t="e">
        <f>FIND("target:",T11)+7</f>
        <v>#VALUE!</v>
      </c>
      <c r="X11" s="62" t="e">
        <f>FIND(",",T11,V11+1)</f>
        <v>#VALUE!</v>
      </c>
      <c r="Y11" s="62" t="str">
        <f>IFERROR(VLOOKUP(MID(T11,W11,X11-W11),[5]skilldef!$C:$D,2,FALSE),"-") &amp; " / " &amp; IFERROR(VLOOKUP(MID(T11,U11,V11-U11),[5]skilldef!$A:$B,2,FALSE),"-")</f>
        <v>- / -</v>
      </c>
      <c r="Z11" s="49"/>
      <c r="AA11" s="51"/>
      <c r="AB11" s="49"/>
    </row>
    <row r="12" spans="1:28" ht="27" customHeight="1" thickTop="1" x14ac:dyDescent="0.2">
      <c r="A12" s="46">
        <v>30043011</v>
      </c>
      <c r="B12" s="182" t="s">
        <v>252</v>
      </c>
      <c r="C12" s="256">
        <v>3</v>
      </c>
      <c r="D12" s="167" t="s">
        <v>126</v>
      </c>
      <c r="E12" s="168" t="s">
        <v>275</v>
      </c>
      <c r="F12" s="168" t="s">
        <v>347</v>
      </c>
      <c r="G12" s="62" t="str">
        <f t="shared" si="0"/>
        <v xml:space="preserve">[effect:hungup, target:unit_one, turn:3, rate:1, animation:hungup01] </v>
      </c>
      <c r="H12" s="62">
        <f t="shared" si="1"/>
        <v>9</v>
      </c>
      <c r="I12" s="62">
        <f t="shared" si="2"/>
        <v>15</v>
      </c>
      <c r="J12" s="62">
        <f t="shared" si="3"/>
        <v>24</v>
      </c>
      <c r="K12" s="62">
        <f t="shared" si="4"/>
        <v>32</v>
      </c>
      <c r="L12" s="62" t="str">
        <f>IFERROR(VLOOKUP(MID(G12,J12,K12-J12),[5]skilldef!$C:$D,2,FALSE),"-") &amp; " / " &amp; IFERROR(VLOOKUP(MID(G12,H12,I12-H12),[5]skilldef!$A:$B,2,FALSE),"-")</f>
        <v>味方単体に / ハングアップ</v>
      </c>
      <c r="M12" s="62" t="str">
        <f t="shared" si="5"/>
        <v>none</v>
      </c>
      <c r="N12" s="47" t="str">
        <f t="shared" ref="N12:N13" si="45">IFERROR(LEFT(M12,FIND("],",M12)+S29),M12)</f>
        <v>none</v>
      </c>
      <c r="O12" s="62" t="e">
        <f t="shared" si="6"/>
        <v>#VALUE!</v>
      </c>
      <c r="P12" s="62">
        <f t="shared" si="7"/>
        <v>4</v>
      </c>
      <c r="Q12" s="62" t="e">
        <f t="shared" si="8"/>
        <v>#VALUE!</v>
      </c>
      <c r="R12" s="62" t="e">
        <f t="shared" si="9"/>
        <v>#VALUE!</v>
      </c>
      <c r="S12" s="62" t="str">
        <f>IFERROR(VLOOKUP(MID(N12,Q12,R12-Q12),[5]skilldef!$C:$D,2,FALSE),"-") &amp; " / " &amp; IFERROR(VLOOKUP(MID(N12,O12,P12-O12),[5]skilldef!$A:$B,2,FALSE),"-")</f>
        <v>- / -</v>
      </c>
      <c r="T12" s="47" t="str">
        <f t="shared" si="10"/>
        <v>none</v>
      </c>
      <c r="U12" s="62" t="e">
        <f t="shared" si="11"/>
        <v>#VALUE!</v>
      </c>
      <c r="V12" s="62">
        <f t="shared" si="12"/>
        <v>4</v>
      </c>
      <c r="W12" s="62" t="e">
        <f t="shared" si="13"/>
        <v>#VALUE!</v>
      </c>
      <c r="X12" s="62" t="e">
        <f t="shared" si="14"/>
        <v>#VALUE!</v>
      </c>
      <c r="Y12" s="62" t="str">
        <f>IFERROR(VLOOKUP(MID(T12,W12,X12-W12),[5]skilldef!$C:$D,2,FALSE),"-") &amp; " / " &amp; IFERROR(VLOOKUP(MID(T12,U12,V12-U12),[5]skilldef!$A:$B,2,FALSE),"-")</f>
        <v>- / -</v>
      </c>
      <c r="Z12" s="49"/>
      <c r="AA12" s="51"/>
      <c r="AB12" s="49"/>
    </row>
    <row r="13" spans="1:28" ht="27" customHeight="1" thickBot="1" x14ac:dyDescent="0.25">
      <c r="A13" s="46">
        <v>30043012</v>
      </c>
      <c r="B13" s="181" t="s">
        <v>258</v>
      </c>
      <c r="C13" s="256">
        <v>3</v>
      </c>
      <c r="D13" s="164" t="s">
        <v>126</v>
      </c>
      <c r="E13" s="165" t="s">
        <v>361</v>
      </c>
      <c r="F13" s="165" t="s">
        <v>259</v>
      </c>
      <c r="G13" s="62" t="str">
        <f t="shared" si="0"/>
        <v>[effect:rush, count:3, val:0.55]</v>
      </c>
      <c r="H13" s="62">
        <f t="shared" si="1"/>
        <v>9</v>
      </c>
      <c r="I13" s="62">
        <f t="shared" si="2"/>
        <v>13</v>
      </c>
      <c r="J13" s="62" t="e">
        <f t="shared" si="3"/>
        <v>#VALUE!</v>
      </c>
      <c r="K13" s="62">
        <f t="shared" si="4"/>
        <v>22</v>
      </c>
      <c r="L13" s="62" t="str">
        <f>IFERROR(VLOOKUP(MID(G13,J13,K13-J13),[5]skilldef!$C:$D,2,FALSE),"-") &amp; " / " &amp; IFERROR(VLOOKUP(MID(G13,H13,I13-H13),[5]skilldef!$A:$B,2,FALSE),"-")</f>
        <v>- / 連続攻撃</v>
      </c>
      <c r="M13" s="62" t="str">
        <f t="shared" si="5"/>
        <v>none</v>
      </c>
      <c r="N13" s="47" t="str">
        <f t="shared" si="45"/>
        <v>none</v>
      </c>
      <c r="O13" s="62" t="e">
        <f t="shared" si="6"/>
        <v>#VALUE!</v>
      </c>
      <c r="P13" s="62">
        <f t="shared" si="7"/>
        <v>4</v>
      </c>
      <c r="Q13" s="62" t="e">
        <f t="shared" si="8"/>
        <v>#VALUE!</v>
      </c>
      <c r="R13" s="62" t="e">
        <f t="shared" si="9"/>
        <v>#VALUE!</v>
      </c>
      <c r="S13" s="62" t="str">
        <f>IFERROR(VLOOKUP(MID(N13,Q13,R13-Q13),[5]skilldef!$C:$D,2,FALSE),"-") &amp; " / " &amp; IFERROR(VLOOKUP(MID(N13,O13,P13-O13),[5]skilldef!$A:$B,2,FALSE),"-")</f>
        <v>- / -</v>
      </c>
      <c r="T13" s="47" t="str">
        <f t="shared" si="10"/>
        <v>none</v>
      </c>
      <c r="U13" s="62" t="e">
        <f t="shared" si="11"/>
        <v>#VALUE!</v>
      </c>
      <c r="V13" s="62">
        <f t="shared" si="12"/>
        <v>4</v>
      </c>
      <c r="W13" s="62" t="e">
        <f t="shared" si="13"/>
        <v>#VALUE!</v>
      </c>
      <c r="X13" s="62" t="e">
        <f t="shared" si="14"/>
        <v>#VALUE!</v>
      </c>
      <c r="Y13" s="62" t="str">
        <f>IFERROR(VLOOKUP(MID(T13,W13,X13-W13),[5]skilldef!$C:$D,2,FALSE),"-") &amp; " / " &amp; IFERROR(VLOOKUP(MID(T13,U13,V13-U13),[5]skilldef!$A:$B,2,FALSE),"-")</f>
        <v>- / -</v>
      </c>
      <c r="Z13" s="49"/>
      <c r="AA13" s="51"/>
      <c r="AB13" s="49"/>
    </row>
    <row r="14" spans="1:28" ht="27" customHeight="1" thickTop="1" x14ac:dyDescent="0.2">
      <c r="A14" s="46">
        <v>30043013</v>
      </c>
      <c r="B14" s="182" t="s">
        <v>406</v>
      </c>
      <c r="C14" s="256">
        <v>3</v>
      </c>
      <c r="D14" s="167" t="s">
        <v>126</v>
      </c>
      <c r="E14" s="168" t="s">
        <v>395</v>
      </c>
      <c r="F14" s="168" t="s">
        <v>254</v>
      </c>
      <c r="G14" s="62" t="str">
        <f t="shared" si="0"/>
        <v>[effect:tolerance, target:myself, turn:-1, count:-1, tolerance_effect:all, animation:enemy_tolerance]</v>
      </c>
      <c r="H14" s="62">
        <f t="shared" si="1"/>
        <v>9</v>
      </c>
      <c r="I14" s="62">
        <f t="shared" si="2"/>
        <v>18</v>
      </c>
      <c r="J14" s="62">
        <f t="shared" si="3"/>
        <v>27</v>
      </c>
      <c r="K14" s="62">
        <f t="shared" si="4"/>
        <v>33</v>
      </c>
      <c r="L14" s="62" t="str">
        <f>IFERROR(VLOOKUP(MID(G14,J14,K14-J14),[5]skilldef!$C:$D,2,FALSE),"-") &amp; " / " &amp; IFERROR(VLOOKUP(MID(G14,H14,I14-H14),[5]skilldef!$A:$B,2,FALSE),"-")</f>
        <v>自分自身に / 状態異常耐性</v>
      </c>
      <c r="M14" s="62" t="str">
        <f t="shared" si="5"/>
        <v>[effect:fix_speed, target:myself, turn:2],[effect:enemy_message, val1:2.0, val2:2.0]</v>
      </c>
      <c r="N14" s="47" t="str">
        <f>IFERROR(LEFT(M14,FIND("],",M14)+#REF!),M14)</f>
        <v>[effect:fix_speed, target:myself, turn:2],[effect:enemy_message, val1:2.0, val2:2.0]</v>
      </c>
      <c r="O14" s="62">
        <f t="shared" si="6"/>
        <v>9</v>
      </c>
      <c r="P14" s="62">
        <f t="shared" si="7"/>
        <v>18</v>
      </c>
      <c r="Q14" s="62">
        <f t="shared" si="8"/>
        <v>27</v>
      </c>
      <c r="R14" s="62">
        <f t="shared" si="9"/>
        <v>33</v>
      </c>
      <c r="S14" s="62" t="str">
        <f>IFERROR(VLOOKUP(MID(N14,Q14,R14-Q14),[5]skilldef!$C:$D,2,FALSE),"-") &amp; " / " &amp; IFERROR(VLOOKUP(MID(N14,O14,P14-O14),[5]skilldef!$A:$B,2,FALSE),"-")</f>
        <v>自分自身に / 行動値設定</v>
      </c>
      <c r="T14" s="47" t="str">
        <f t="shared" si="10"/>
        <v>[effect:enemy_message, val1:2.0, val2:2.0]</v>
      </c>
      <c r="U14" s="62">
        <f t="shared" si="11"/>
        <v>9</v>
      </c>
      <c r="V14" s="62">
        <f t="shared" si="12"/>
        <v>22</v>
      </c>
      <c r="W14" s="62" t="e">
        <f t="shared" si="13"/>
        <v>#VALUE!</v>
      </c>
      <c r="X14" s="62">
        <f t="shared" si="14"/>
        <v>32</v>
      </c>
      <c r="Y14" s="62" t="str">
        <f>IFERROR(VLOOKUP(MID(T14,W14,X14-W14),[5]skilldef!$C:$D,2,FALSE),"-") &amp; " / " &amp; IFERROR(VLOOKUP(MID(T14,U14,V14-U14),[5]skilldef!$A:$B,2,FALSE),"-")</f>
        <v>- / -</v>
      </c>
      <c r="Z14" s="49"/>
      <c r="AA14" s="51"/>
      <c r="AB14" s="49"/>
    </row>
    <row r="15" spans="1:28" ht="27" customHeight="1" x14ac:dyDescent="0.2">
      <c r="A15" s="46">
        <v>30043014</v>
      </c>
      <c r="B15" s="180" t="s">
        <v>344</v>
      </c>
      <c r="C15" s="256">
        <v>3</v>
      </c>
      <c r="D15" s="49" t="s">
        <v>126</v>
      </c>
      <c r="E15" s="50" t="s">
        <v>357</v>
      </c>
      <c r="F15" s="50" t="s">
        <v>346</v>
      </c>
      <c r="G15" s="62" t="str">
        <f t="shared" si="0"/>
        <v>[effect:damage_anti_tribe, target:unit_all, tribe:god, val1:0.55, val2:0.37]</v>
      </c>
      <c r="H15" s="62">
        <f t="shared" si="1"/>
        <v>9</v>
      </c>
      <c r="I15" s="62">
        <f t="shared" si="2"/>
        <v>26</v>
      </c>
      <c r="J15" s="62">
        <f t="shared" si="3"/>
        <v>35</v>
      </c>
      <c r="K15" s="62">
        <f t="shared" si="4"/>
        <v>43</v>
      </c>
      <c r="L15" s="62" t="str">
        <f>IFERROR(VLOOKUP(MID(G15,J15,K15-J15),[5]skilldef!$C:$D,2,FALSE),"-") &amp; " / " &amp; IFERROR(VLOOKUP(MID(G15,H15,I15-H15),[5]skilldef!$A:$B,2,FALSE),"-")</f>
        <v>味方全体に / 種族キラー</v>
      </c>
      <c r="M15" s="62" t="str">
        <f t="shared" si="5"/>
        <v>none</v>
      </c>
      <c r="N15" s="47" t="str">
        <f>IFERROR(LEFT(M15,FIND("],",M15)+#REF!),M15)</f>
        <v>none</v>
      </c>
      <c r="O15" s="62" t="e">
        <f t="shared" si="6"/>
        <v>#VALUE!</v>
      </c>
      <c r="P15" s="62">
        <f t="shared" si="7"/>
        <v>4</v>
      </c>
      <c r="Q15" s="62" t="e">
        <f t="shared" si="8"/>
        <v>#VALUE!</v>
      </c>
      <c r="R15" s="62" t="e">
        <f t="shared" si="9"/>
        <v>#VALUE!</v>
      </c>
      <c r="S15" s="62" t="str">
        <f>IFERROR(VLOOKUP(MID(N15,Q15,R15-Q15),[5]skilldef!$C:$D,2,FALSE),"-") &amp; " / " &amp; IFERROR(VLOOKUP(MID(N15,O15,P15-O15),[5]skilldef!$A:$B,2,FALSE),"-")</f>
        <v>- / -</v>
      </c>
      <c r="T15" s="47" t="str">
        <f t="shared" si="10"/>
        <v>none</v>
      </c>
      <c r="U15" s="62" t="e">
        <f t="shared" si="11"/>
        <v>#VALUE!</v>
      </c>
      <c r="V15" s="62">
        <f t="shared" si="12"/>
        <v>4</v>
      </c>
      <c r="W15" s="62" t="e">
        <f t="shared" si="13"/>
        <v>#VALUE!</v>
      </c>
      <c r="X15" s="62" t="e">
        <f t="shared" si="14"/>
        <v>#VALUE!</v>
      </c>
      <c r="Y15" s="62" t="str">
        <f>IFERROR(VLOOKUP(MID(T15,W15,X15-W15),[5]skilldef!$C:$D,2,FALSE),"-") &amp; " / " &amp; IFERROR(VLOOKUP(MID(T15,U15,V15-U15),[5]skilldef!$A:$B,2,FALSE),"-")</f>
        <v>- / -</v>
      </c>
      <c r="Z15" s="49"/>
      <c r="AA15" s="51"/>
      <c r="AB15" s="49"/>
    </row>
    <row r="16" spans="1:28" ht="27" customHeight="1" x14ac:dyDescent="0.2">
      <c r="A16" s="46">
        <v>30043015</v>
      </c>
      <c r="B16" s="180" t="s">
        <v>414</v>
      </c>
      <c r="C16" s="256">
        <v>3</v>
      </c>
      <c r="D16" s="49" t="s">
        <v>126</v>
      </c>
      <c r="E16" s="50" t="s">
        <v>399</v>
      </c>
      <c r="F16" s="50" t="s">
        <v>368</v>
      </c>
      <c r="G16" s="62" t="str">
        <f t="shared" si="0"/>
        <v>[effect:degrade_unit, target:unit_one, turn:-1, status:attack, val:0.5, calc:mul]</v>
      </c>
      <c r="H16" s="62">
        <f t="shared" si="1"/>
        <v>9</v>
      </c>
      <c r="I16" s="62">
        <f t="shared" si="2"/>
        <v>21</v>
      </c>
      <c r="J16" s="62">
        <f t="shared" si="3"/>
        <v>30</v>
      </c>
      <c r="K16" s="62">
        <f t="shared" si="4"/>
        <v>38</v>
      </c>
      <c r="L16" s="62" t="str">
        <f>IFERROR(VLOOKUP(MID(G16,J16,K16-J16),[5]skilldef!$C:$D,2,FALSE),"-") &amp; " / " &amp; IFERROR(VLOOKUP(MID(G16,H16,I16-H16),[5]skilldef!$A:$B,2,FALSE),"-")</f>
        <v>味方単体に / ステータスDOWN</v>
      </c>
      <c r="M16" s="62" t="str">
        <f t="shared" si="5"/>
        <v>[effect:critical, val:1.56, animation:enemy_critical],[effect:enemy_message, val1:1.5, val2:2.0]</v>
      </c>
      <c r="N16" s="47" t="str">
        <f>IFERROR(LEFT(M16,FIND("],",M16)+#REF!),M16)</f>
        <v>[effect:critical, val:1.56, animation:enemy_critical],[effect:enemy_message, val1:1.5, val2:2.0]</v>
      </c>
      <c r="O16" s="62">
        <f t="shared" si="6"/>
        <v>9</v>
      </c>
      <c r="P16" s="62">
        <f t="shared" si="7"/>
        <v>17</v>
      </c>
      <c r="Q16" s="62" t="e">
        <f t="shared" si="8"/>
        <v>#VALUE!</v>
      </c>
      <c r="R16" s="62">
        <f t="shared" si="9"/>
        <v>27</v>
      </c>
      <c r="S16" s="62" t="str">
        <f>IFERROR(VLOOKUP(MID(N16,Q16,R16-Q16),[5]skilldef!$C:$D,2,FALSE),"-") &amp; " / " &amp; IFERROR(VLOOKUP(MID(N16,O16,P16-O16),[5]skilldef!$A:$B,2,FALSE),"-")</f>
        <v>- / 大攻撃</v>
      </c>
      <c r="T16" s="47" t="str">
        <f t="shared" si="10"/>
        <v>[effect:enemy_message, val1:1.5, val2:2.0]</v>
      </c>
      <c r="U16" s="62">
        <f t="shared" si="11"/>
        <v>9</v>
      </c>
      <c r="V16" s="62">
        <f t="shared" si="12"/>
        <v>22</v>
      </c>
      <c r="W16" s="62" t="e">
        <f t="shared" si="13"/>
        <v>#VALUE!</v>
      </c>
      <c r="X16" s="62">
        <f t="shared" si="14"/>
        <v>32</v>
      </c>
      <c r="Y16" s="62" t="str">
        <f>IFERROR(VLOOKUP(MID(T16,W16,X16-W16),[5]skilldef!$C:$D,2,FALSE),"-") &amp; " / " &amp; IFERROR(VLOOKUP(MID(T16,U16,V16-U16),[5]skilldef!$A:$B,2,FALSE),"-")</f>
        <v>- / -</v>
      </c>
      <c r="Z16" s="49"/>
      <c r="AA16" s="51"/>
      <c r="AB16" s="49"/>
    </row>
    <row r="17" spans="1:28" ht="27" customHeight="1" x14ac:dyDescent="0.2">
      <c r="A17" s="46">
        <v>30043016</v>
      </c>
      <c r="B17" s="180" t="s">
        <v>413</v>
      </c>
      <c r="C17" s="256">
        <v>3</v>
      </c>
      <c r="D17" s="49" t="s">
        <v>126</v>
      </c>
      <c r="E17" s="50" t="s">
        <v>363</v>
      </c>
      <c r="F17" s="50" t="s">
        <v>370</v>
      </c>
      <c r="G17" s="62" t="str">
        <f t="shared" si="0"/>
        <v>[effect:rush, count:4, val:0.39]</v>
      </c>
      <c r="H17" s="62">
        <f t="shared" si="1"/>
        <v>9</v>
      </c>
      <c r="I17" s="62">
        <f t="shared" si="2"/>
        <v>13</v>
      </c>
      <c r="J17" s="62" t="e">
        <f t="shared" si="3"/>
        <v>#VALUE!</v>
      </c>
      <c r="K17" s="62">
        <f t="shared" si="4"/>
        <v>22</v>
      </c>
      <c r="L17" s="62" t="str">
        <f>IFERROR(VLOOKUP(MID(G17,J17,K17-J17),[5]skilldef!$C:$D,2,FALSE),"-") &amp; " / " &amp; IFERROR(VLOOKUP(MID(G17,H17,I17-H17),[5]skilldef!$A:$B,2,FALSE),"-")</f>
        <v>- / 連続攻撃</v>
      </c>
      <c r="M17" s="62" t="str">
        <f t="shared" si="5"/>
        <v>[effect:freq_turn, target:myself, turn:1, val:1, animation:enemy_freq_turn],[effect:enemy_message, val1:1.6, val2:1.9]</v>
      </c>
      <c r="N17" s="47" t="str">
        <f>IFERROR(LEFT(M17,FIND("],",M17)+S31),M17)</f>
        <v>[effect:freq_turn, target:myself, turn:1, val:1, animation:enemy_freq_turn]</v>
      </c>
      <c r="O17" s="62">
        <f t="shared" si="6"/>
        <v>9</v>
      </c>
      <c r="P17" s="62">
        <f t="shared" si="7"/>
        <v>18</v>
      </c>
      <c r="Q17" s="62">
        <f t="shared" si="8"/>
        <v>27</v>
      </c>
      <c r="R17" s="62">
        <f t="shared" si="9"/>
        <v>33</v>
      </c>
      <c r="S17" s="62" t="str">
        <f>IFERROR(VLOOKUP(MID(N17,Q17,R17-Q17),[5]skilldef!$C:$D,2,FALSE),"-") &amp; " / " &amp; IFERROR(VLOOKUP(MID(N17,O17,P17-O17),[5]skilldef!$A:$B,2,FALSE),"-")</f>
        <v>自分自身に / 攻撃頻度がUP</v>
      </c>
      <c r="T17" s="47" t="str">
        <f t="shared" si="10"/>
        <v>[effect:enemy_message, val1:1.6, val2:1.9]</v>
      </c>
      <c r="U17" s="62">
        <f t="shared" si="11"/>
        <v>9</v>
      </c>
      <c r="V17" s="62">
        <f t="shared" si="12"/>
        <v>22</v>
      </c>
      <c r="W17" s="62" t="e">
        <f t="shared" si="13"/>
        <v>#VALUE!</v>
      </c>
      <c r="X17" s="62">
        <f t="shared" si="14"/>
        <v>32</v>
      </c>
      <c r="Y17" s="62" t="str">
        <f>IFERROR(VLOOKUP(MID(T17,W17,X17-W17),[5]skilldef!$C:$D,2,FALSE),"-") &amp; " / " &amp; IFERROR(VLOOKUP(MID(T17,U17,V17-U17),[5]skilldef!$A:$B,2,FALSE),"-")</f>
        <v>- / -</v>
      </c>
      <c r="Z17" s="49"/>
      <c r="AA17" s="51"/>
      <c r="AB17" s="49"/>
    </row>
    <row r="18" spans="1:28" ht="27" customHeight="1" x14ac:dyDescent="0.2">
      <c r="A18" s="46">
        <v>30043017</v>
      </c>
      <c r="B18" s="180" t="s">
        <v>419</v>
      </c>
      <c r="C18" s="256">
        <v>3</v>
      </c>
      <c r="D18" s="49" t="s">
        <v>126</v>
      </c>
      <c r="E18" s="50" t="s">
        <v>355</v>
      </c>
      <c r="F18" s="50" t="s">
        <v>402</v>
      </c>
      <c r="G18" s="62" t="str">
        <f t="shared" ref="G18" si="46">IFERROR(LEFT(B18,FIND("],",B18)),B18)</f>
        <v>[effect:enemy_counter, target:myself, invoke_condition:unit_all, counter_target:attacker, turn:2, val:0.3, animation:enemy_counter]</v>
      </c>
      <c r="H18" s="62">
        <f t="shared" ref="H18" si="47">FIND("effect:",G18)+7</f>
        <v>9</v>
      </c>
      <c r="I18" s="62">
        <f t="shared" ref="I18" si="48">IFERROR(FIND(",",G18),LEN(G18))</f>
        <v>22</v>
      </c>
      <c r="J18" s="62">
        <f t="shared" ref="J18" si="49">FIND("target:",G18)+7</f>
        <v>31</v>
      </c>
      <c r="K18" s="62">
        <f t="shared" ref="K18" si="50">FIND(",",G18,I18+1)</f>
        <v>37</v>
      </c>
      <c r="L18" s="62" t="str">
        <f>IFERROR(VLOOKUP(MID(G18,J18,K18-J18),[5]skilldef!$C:$D,2,FALSE),"-") &amp; " / " &amp; IFERROR(VLOOKUP(MID(G18,H18,I18-H18),[5]skilldef!$A:$B,2,FALSE),"-")</f>
        <v>自分自身に / カウンター</v>
      </c>
      <c r="M18" s="62" t="str">
        <f t="shared" ref="M18" si="51">IFERROR(RIGHT(B18,LEN(B18)-FIND("],",B18)-1),"none")</f>
        <v>[effect:enemy_message, val1:1.6, val2:1.8]</v>
      </c>
      <c r="N18" s="47" t="str">
        <f>IFERROR(LEFT(M18,FIND("],",M18)+S32),M18)</f>
        <v>[effect:enemy_message, val1:1.6, val2:1.8]</v>
      </c>
      <c r="O18" s="62">
        <f t="shared" ref="O18" si="52">FIND("effect:",N18)+7</f>
        <v>9</v>
      </c>
      <c r="P18" s="62">
        <f t="shared" ref="P18" si="53">IFERROR(FIND(",",N18),LEN(N18))</f>
        <v>22</v>
      </c>
      <c r="Q18" s="62" t="e">
        <f t="shared" ref="Q18" si="54">FIND("target:",N18)+7</f>
        <v>#VALUE!</v>
      </c>
      <c r="R18" s="62">
        <f t="shared" ref="R18" si="55">FIND(",",N18,P18+1)</f>
        <v>32</v>
      </c>
      <c r="S18" s="62" t="str">
        <f>IFERROR(VLOOKUP(MID(N18,Q18,R18-Q18),[5]skilldef!$C:$D,2,FALSE),"-") &amp; " / " &amp; IFERROR(VLOOKUP(MID(N18,O18,P18-O18),[5]skilldef!$A:$B,2,FALSE),"-")</f>
        <v>- / -</v>
      </c>
      <c r="T18" s="47" t="str">
        <f t="shared" ref="T18" si="56">IFERROR(RIGHT(M18,LEN(M18)-FIND("],",M18)-1),"none")</f>
        <v>none</v>
      </c>
      <c r="U18" s="62" t="e">
        <f t="shared" ref="U18" si="57">FIND("effect:",T18)+7</f>
        <v>#VALUE!</v>
      </c>
      <c r="V18" s="62">
        <f t="shared" ref="V18" si="58">IFERROR(FIND(",",T18),LEN(T18))</f>
        <v>4</v>
      </c>
      <c r="W18" s="62" t="e">
        <f t="shared" ref="W18" si="59">FIND("target:",T18)+7</f>
        <v>#VALUE!</v>
      </c>
      <c r="X18" s="62" t="e">
        <f t="shared" ref="X18" si="60">FIND(",",T18,V18+1)</f>
        <v>#VALUE!</v>
      </c>
      <c r="Y18" s="62" t="str">
        <f>IFERROR(VLOOKUP(MID(T18,W18,X18-W18),[5]skilldef!$C:$D,2,FALSE),"-") &amp; " / " &amp; IFERROR(VLOOKUP(MID(T18,U18,V18-U18),[5]skilldef!$A:$B,2,FALSE),"-")</f>
        <v>- / -</v>
      </c>
      <c r="Z18" s="49"/>
      <c r="AA18" s="51"/>
      <c r="AB18" s="49"/>
    </row>
    <row r="19" spans="1:28" ht="27" customHeight="1" x14ac:dyDescent="0.2">
      <c r="A19" s="46">
        <v>30043018</v>
      </c>
      <c r="B19" s="182" t="s">
        <v>407</v>
      </c>
      <c r="C19" s="256">
        <v>3</v>
      </c>
      <c r="D19" s="184" t="s">
        <v>126</v>
      </c>
      <c r="E19" s="185" t="s">
        <v>372</v>
      </c>
      <c r="F19" s="185" t="s">
        <v>369</v>
      </c>
      <c r="G19" s="62" t="str">
        <f t="shared" si="0"/>
        <v>[effect:tolerance, target:myself, turn:-1, count:-1, tolerance_effect:all, animation:enemy_tolerance]</v>
      </c>
      <c r="H19" s="62">
        <f t="shared" si="1"/>
        <v>9</v>
      </c>
      <c r="I19" s="62">
        <f t="shared" si="2"/>
        <v>18</v>
      </c>
      <c r="J19" s="62">
        <f t="shared" si="3"/>
        <v>27</v>
      </c>
      <c r="K19" s="62">
        <f t="shared" si="4"/>
        <v>33</v>
      </c>
      <c r="L19" s="62" t="str">
        <f>IFERROR(VLOOKUP(MID(G19,J19,K19-J19),[5]skilldef!$C:$D,2,FALSE),"-") &amp; " / " &amp; IFERROR(VLOOKUP(MID(G19,H19,I19-H19),[5]skilldef!$A:$B,2,FALSE),"-")</f>
        <v>自分自身に / 状態異常耐性</v>
      </c>
      <c r="M19" s="62" t="str">
        <f t="shared" si="5"/>
        <v>[effect:freq_turn, target:myself, turn:-1, val:1, animation:enemy_freq_turn],[effect:enemy_message, val1:2.0, val2:2.2]</v>
      </c>
      <c r="N19" s="47" t="str">
        <f>IFERROR(LEFT(M19,FIND("],",M19)+#REF!),M19)</f>
        <v>[effect:freq_turn, target:myself, turn:-1, val:1, animation:enemy_freq_turn],[effect:enemy_message, val1:2.0, val2:2.2]</v>
      </c>
      <c r="O19" s="62">
        <f t="shared" si="6"/>
        <v>9</v>
      </c>
      <c r="P19" s="62">
        <f t="shared" si="7"/>
        <v>18</v>
      </c>
      <c r="Q19" s="62">
        <f t="shared" si="8"/>
        <v>27</v>
      </c>
      <c r="R19" s="62">
        <f t="shared" si="9"/>
        <v>33</v>
      </c>
      <c r="S19" s="62" t="str">
        <f>IFERROR(VLOOKUP(MID(N19,Q19,R19-Q19),[5]skilldef!$C:$D,2,FALSE),"-") &amp; " / " &amp; IFERROR(VLOOKUP(MID(N19,O19,P19-O19),[5]skilldef!$A:$B,2,FALSE),"-")</f>
        <v>自分自身に / 攻撃頻度がUP</v>
      </c>
      <c r="T19" s="47" t="str">
        <f t="shared" si="10"/>
        <v>[effect:enemy_message, val1:2.0, val2:2.2]</v>
      </c>
      <c r="U19" s="62">
        <f t="shared" si="11"/>
        <v>9</v>
      </c>
      <c r="V19" s="62">
        <f t="shared" si="12"/>
        <v>22</v>
      </c>
      <c r="W19" s="62" t="e">
        <f t="shared" si="13"/>
        <v>#VALUE!</v>
      </c>
      <c r="X19" s="62">
        <f t="shared" si="14"/>
        <v>32</v>
      </c>
      <c r="Y19" s="62" t="str">
        <f>IFERROR(VLOOKUP(MID(T19,W19,X19-W19),[5]skilldef!$C:$D,2,FALSE),"-") &amp; " / " &amp; IFERROR(VLOOKUP(MID(T19,U19,V19-U19),[5]skilldef!$A:$B,2,FALSE),"-")</f>
        <v>- / -</v>
      </c>
      <c r="Z19" s="49"/>
      <c r="AA19" s="51"/>
      <c r="AB19" s="49"/>
    </row>
    <row r="20" spans="1:28" ht="27" customHeight="1" x14ac:dyDescent="0.2">
      <c r="A20" s="46">
        <v>30043019</v>
      </c>
      <c r="B20" s="180" t="s">
        <v>415</v>
      </c>
      <c r="C20" s="256">
        <v>3</v>
      </c>
      <c r="D20" s="49" t="s">
        <v>126</v>
      </c>
      <c r="E20" s="169" t="s">
        <v>397</v>
      </c>
      <c r="F20" s="169" t="s">
        <v>401</v>
      </c>
      <c r="G20" s="62" t="str">
        <f t="shared" ref="G20" si="61">IFERROR(LEFT(B20,FIND("],",B20)),B20)</f>
        <v>[effect:degrade_unit, target:unit_all, turn:-1, status:attack, val:0.5, calc:mul]</v>
      </c>
      <c r="H20" s="62">
        <f t="shared" ref="H20" si="62">FIND("effect:",G20)+7</f>
        <v>9</v>
      </c>
      <c r="I20" s="62">
        <f t="shared" ref="I20" si="63">IFERROR(FIND(",",G20),LEN(G20))</f>
        <v>21</v>
      </c>
      <c r="J20" s="62">
        <f t="shared" ref="J20" si="64">FIND("target:",G20)+7</f>
        <v>30</v>
      </c>
      <c r="K20" s="62">
        <f t="shared" ref="K20" si="65">FIND(",",G20,I20+1)</f>
        <v>38</v>
      </c>
      <c r="L20" s="62" t="str">
        <f>IFERROR(VLOOKUP(MID(G20,J20,K20-J20),[5]skilldef!$C:$D,2,FALSE),"-") &amp; " / " &amp; IFERROR(VLOOKUP(MID(G20,H20,I20-H20),[5]skilldef!$A:$B,2,FALSE),"-")</f>
        <v>味方全体に / ステータスDOWN</v>
      </c>
      <c r="M20" s="62" t="str">
        <f t="shared" ref="M20" si="66">IFERROR(RIGHT(B20,LEN(B20)-FIND("],",B20)-1),"none")</f>
        <v>[effect:critical, val:1.27, animation:enemy_critical],[effect:enemy_message, val1:1.7, val2:2.0]</v>
      </c>
      <c r="N20" s="47" t="str">
        <f>IFERROR(LEFT(M20,FIND("],",M20)+#REF!),M20)</f>
        <v>[effect:critical, val:1.27, animation:enemy_critical],[effect:enemy_message, val1:1.7, val2:2.0]</v>
      </c>
      <c r="O20" s="62">
        <f t="shared" ref="O20" si="67">FIND("effect:",N20)+7</f>
        <v>9</v>
      </c>
      <c r="P20" s="62">
        <f t="shared" ref="P20" si="68">IFERROR(FIND(",",N20),LEN(N20))</f>
        <v>17</v>
      </c>
      <c r="Q20" s="62" t="e">
        <f t="shared" ref="Q20" si="69">FIND("target:",N20)+7</f>
        <v>#VALUE!</v>
      </c>
      <c r="R20" s="62">
        <f t="shared" ref="R20" si="70">FIND(",",N20,P20+1)</f>
        <v>27</v>
      </c>
      <c r="S20" s="62" t="str">
        <f>IFERROR(VLOOKUP(MID(N20,Q20,R20-Q20),[5]skilldef!$C:$D,2,FALSE),"-") &amp; " / " &amp; IFERROR(VLOOKUP(MID(N20,O20,P20-O20),[5]skilldef!$A:$B,2,FALSE),"-")</f>
        <v>- / 大攻撃</v>
      </c>
      <c r="T20" s="47" t="str">
        <f t="shared" ref="T20" si="71">IFERROR(RIGHT(M20,LEN(M20)-FIND("],",M20)-1),"none")</f>
        <v>[effect:enemy_message, val1:1.7, val2:2.0]</v>
      </c>
      <c r="U20" s="62">
        <f t="shared" ref="U20" si="72">FIND("effect:",T20)+7</f>
        <v>9</v>
      </c>
      <c r="V20" s="62">
        <f t="shared" ref="V20" si="73">IFERROR(FIND(",",T20),LEN(T20))</f>
        <v>22</v>
      </c>
      <c r="W20" s="62" t="e">
        <f t="shared" ref="W20" si="74">FIND("target:",T20)+7</f>
        <v>#VALUE!</v>
      </c>
      <c r="X20" s="62">
        <f t="shared" ref="X20" si="75">FIND(",",T20,V20+1)</f>
        <v>32</v>
      </c>
      <c r="Y20" s="62" t="str">
        <f>IFERROR(VLOOKUP(MID(T20,W20,X20-W20),[5]skilldef!$C:$D,2,FALSE),"-") &amp; " / " &amp; IFERROR(VLOOKUP(MID(T20,U20,V20-U20),[5]skilldef!$A:$B,2,FALSE),"-")</f>
        <v>- / -</v>
      </c>
      <c r="Z20" s="49"/>
      <c r="AA20" s="51"/>
      <c r="AB20" s="49"/>
    </row>
    <row r="21" spans="1:28" ht="27" customHeight="1" x14ac:dyDescent="0.2">
      <c r="A21" s="46">
        <v>30043020</v>
      </c>
      <c r="B21" s="180" t="s">
        <v>416</v>
      </c>
      <c r="C21" s="256">
        <v>3</v>
      </c>
      <c r="D21" s="49" t="s">
        <v>126</v>
      </c>
      <c r="E21" s="169" t="s">
        <v>356</v>
      </c>
      <c r="F21" s="169" t="s">
        <v>261</v>
      </c>
      <c r="G21" s="62" t="str">
        <f t="shared" ref="G21" si="76">IFERROR(LEFT(B21,FIND("],",B21)),B21)</f>
        <v>[effect:rush, count:5, val:0.30]</v>
      </c>
      <c r="H21" s="62">
        <f t="shared" ref="H21" si="77">FIND("effect:",G21)+7</f>
        <v>9</v>
      </c>
      <c r="I21" s="62">
        <f t="shared" ref="I21" si="78">IFERROR(FIND(",",G21),LEN(G21))</f>
        <v>13</v>
      </c>
      <c r="J21" s="62" t="e">
        <f t="shared" ref="J21" si="79">FIND("target:",G21)+7</f>
        <v>#VALUE!</v>
      </c>
      <c r="K21" s="62">
        <f t="shared" ref="K21" si="80">FIND(",",G21,I21+1)</f>
        <v>22</v>
      </c>
      <c r="L21" s="62" t="str">
        <f>IFERROR(VLOOKUP(MID(G21,J21,K21-J21),[5]skilldef!$C:$D,2,FALSE),"-") &amp; " / " &amp; IFERROR(VLOOKUP(MID(G21,H21,I21-H21),[5]skilldef!$A:$B,2,FALSE),"-")</f>
        <v>- / 連続攻撃</v>
      </c>
      <c r="M21" s="62" t="str">
        <f t="shared" ref="M21" si="81">IFERROR(RIGHT(B21,LEN(B21)-FIND("],",B21)-1),"none")</f>
        <v>[effect:enemy_message, val1:1.6, val2:1.8]</v>
      </c>
      <c r="N21" s="47" t="str">
        <f>IFERROR(LEFT(M21,FIND("],",M21)+S35),M21)</f>
        <v>[effect:enemy_message, val1:1.6, val2:1.8]</v>
      </c>
      <c r="O21" s="62">
        <f t="shared" ref="O21" si="82">FIND("effect:",N21)+7</f>
        <v>9</v>
      </c>
      <c r="P21" s="62">
        <f t="shared" ref="P21" si="83">IFERROR(FIND(",",N21),LEN(N21))</f>
        <v>22</v>
      </c>
      <c r="Q21" s="62" t="e">
        <f t="shared" ref="Q21" si="84">FIND("target:",N21)+7</f>
        <v>#VALUE!</v>
      </c>
      <c r="R21" s="62">
        <f t="shared" ref="R21" si="85">FIND(",",N21,P21+1)</f>
        <v>32</v>
      </c>
      <c r="S21" s="62" t="str">
        <f>IFERROR(VLOOKUP(MID(N21,Q21,R21-Q21),[5]skilldef!$C:$D,2,FALSE),"-") &amp; " / " &amp; IFERROR(VLOOKUP(MID(N21,O21,P21-O21),[5]skilldef!$A:$B,2,FALSE),"-")</f>
        <v>- / -</v>
      </c>
      <c r="T21" s="47" t="str">
        <f t="shared" ref="T21" si="86">IFERROR(RIGHT(M21,LEN(M21)-FIND("],",M21)-1),"none")</f>
        <v>none</v>
      </c>
      <c r="U21" s="62" t="e">
        <f t="shared" ref="U21" si="87">FIND("effect:",T21)+7</f>
        <v>#VALUE!</v>
      </c>
      <c r="V21" s="62">
        <f t="shared" ref="V21" si="88">IFERROR(FIND(",",T21),LEN(T21))</f>
        <v>4</v>
      </c>
      <c r="W21" s="62" t="e">
        <f t="shared" ref="W21" si="89">FIND("target:",T21)+7</f>
        <v>#VALUE!</v>
      </c>
      <c r="X21" s="62" t="e">
        <f t="shared" ref="X21" si="90">FIND(",",T21,V21+1)</f>
        <v>#VALUE!</v>
      </c>
      <c r="Y21" s="62" t="str">
        <f>IFERROR(VLOOKUP(MID(T21,W21,X21-W21),[5]skilldef!$C:$D,2,FALSE),"-") &amp; " / " &amp; IFERROR(VLOOKUP(MID(T21,U21,V21-U21),[5]skilldef!$A:$B,2,FALSE),"-")</f>
        <v>- / -</v>
      </c>
      <c r="Z21" s="49"/>
      <c r="AA21" s="51"/>
      <c r="AB21" s="49"/>
    </row>
    <row r="22" spans="1:28" ht="27" customHeight="1" x14ac:dyDescent="0.2">
      <c r="A22" s="46">
        <v>30043021</v>
      </c>
      <c r="B22" s="180" t="s">
        <v>418</v>
      </c>
      <c r="C22" s="256">
        <v>3</v>
      </c>
      <c r="D22" s="49" t="s">
        <v>126</v>
      </c>
      <c r="E22" s="169" t="s">
        <v>362</v>
      </c>
      <c r="F22" s="169" t="s">
        <v>260</v>
      </c>
      <c r="G22" s="62" t="str">
        <f t="shared" si="0"/>
        <v>[effect:rush, count:7, val:0.25]</v>
      </c>
      <c r="H22" s="62">
        <f t="shared" si="1"/>
        <v>9</v>
      </c>
      <c r="I22" s="62">
        <f t="shared" si="2"/>
        <v>13</v>
      </c>
      <c r="J22" s="62" t="e">
        <f t="shared" si="3"/>
        <v>#VALUE!</v>
      </c>
      <c r="K22" s="62">
        <f t="shared" si="4"/>
        <v>22</v>
      </c>
      <c r="L22" s="62" t="str">
        <f>IFERROR(VLOOKUP(MID(G22,J22,K22-J22),[5]skilldef!$C:$D,2,FALSE),"-") &amp; " / " &amp; IFERROR(VLOOKUP(MID(G22,H22,I22-H22),[5]skilldef!$A:$B,2,FALSE),"-")</f>
        <v>- / 連続攻撃</v>
      </c>
      <c r="M22" s="62" t="str">
        <f t="shared" si="5"/>
        <v>[effect:enemy_message, val1:1.6, val2:1.8]</v>
      </c>
      <c r="N22" s="47" t="str">
        <f>IFERROR(LEFT(M22,FIND("],",M22)+S36),M22)</f>
        <v>[effect:enemy_message, val1:1.6, val2:1.8]</v>
      </c>
      <c r="O22" s="62">
        <f t="shared" si="6"/>
        <v>9</v>
      </c>
      <c r="P22" s="62">
        <f t="shared" si="7"/>
        <v>22</v>
      </c>
      <c r="Q22" s="62" t="e">
        <f t="shared" si="8"/>
        <v>#VALUE!</v>
      </c>
      <c r="R22" s="62">
        <f t="shared" si="9"/>
        <v>32</v>
      </c>
      <c r="S22" s="62" t="str">
        <f>IFERROR(VLOOKUP(MID(N22,Q22,R22-Q22),[5]skilldef!$C:$D,2,FALSE),"-") &amp; " / " &amp; IFERROR(VLOOKUP(MID(N22,O22,P22-O22),[5]skilldef!$A:$B,2,FALSE),"-")</f>
        <v>- / -</v>
      </c>
      <c r="T22" s="47" t="str">
        <f t="shared" si="10"/>
        <v>none</v>
      </c>
      <c r="U22" s="62" t="e">
        <f t="shared" si="11"/>
        <v>#VALUE!</v>
      </c>
      <c r="V22" s="62">
        <f t="shared" si="12"/>
        <v>4</v>
      </c>
      <c r="W22" s="62" t="e">
        <f t="shared" si="13"/>
        <v>#VALUE!</v>
      </c>
      <c r="X22" s="62" t="e">
        <f t="shared" si="14"/>
        <v>#VALUE!</v>
      </c>
      <c r="Y22" s="62" t="str">
        <f>IFERROR(VLOOKUP(MID(T22,W22,X22-W22),[5]skilldef!$C:$D,2,FALSE),"-") &amp; " / " &amp; IFERROR(VLOOKUP(MID(T22,U22,V22-U22),[5]skilldef!$A:$B,2,FALSE),"-")</f>
        <v>- / -</v>
      </c>
      <c r="Z22" s="49"/>
      <c r="AA22" s="51"/>
      <c r="AB22" s="49"/>
    </row>
    <row r="23" spans="1:28" ht="27" customHeight="1" x14ac:dyDescent="0.2">
      <c r="A23" s="46">
        <v>30043022</v>
      </c>
      <c r="B23" s="180" t="s">
        <v>408</v>
      </c>
      <c r="C23" s="256">
        <v>3</v>
      </c>
      <c r="D23" s="49" t="s">
        <v>126</v>
      </c>
      <c r="E23" s="169" t="s">
        <v>365</v>
      </c>
      <c r="F23" s="169" t="s">
        <v>371</v>
      </c>
      <c r="G23" s="62" t="str">
        <f>IFERROR(LEFT(B23,FIND("],",B23)),B23)</f>
        <v>[effect:degrade_unit, target:unit_all, turn:2, status:heal, val:0.5, calc:mul, animation:degrade_unit_all_heal]</v>
      </c>
      <c r="H23" s="62">
        <f>FIND("effect:",G23)+7</f>
        <v>9</v>
      </c>
      <c r="I23" s="62">
        <f>IFERROR(FIND(",",G23),LEN(G23))</f>
        <v>21</v>
      </c>
      <c r="J23" s="62">
        <f>FIND("target:",G23)+7</f>
        <v>30</v>
      </c>
      <c r="K23" s="62">
        <f>FIND(",",G23,I23+1)</f>
        <v>38</v>
      </c>
      <c r="L23" s="62" t="str">
        <f>IFERROR(VLOOKUP(MID(G23,J23,K23-J23),[5]skilldef!$C:$D,2,FALSE),"-") &amp; " / " &amp; IFERROR(VLOOKUP(MID(G23,H23,I23-H23),[5]skilldef!$A:$B,2,FALSE),"-")</f>
        <v>味方全体に / ステータスDOWN</v>
      </c>
      <c r="M23" s="62" t="str">
        <f>IFERROR(RIGHT(B23,LEN(B23)-FIND("],",B23)-1),"none")</f>
        <v>[effect:critical, val:1.27, animation:enemy_critical],[effect:enemy_message, val1:1.6, val2:2.0]</v>
      </c>
      <c r="N23" s="47" t="str">
        <f>IFERROR(LEFT(M23,FIND("],",M23)+#REF!),M23)</f>
        <v>[effect:critical, val:1.27, animation:enemy_critical],[effect:enemy_message, val1:1.6, val2:2.0]</v>
      </c>
      <c r="O23" s="62">
        <f>FIND("effect:",N23)+7</f>
        <v>9</v>
      </c>
      <c r="P23" s="62">
        <f>IFERROR(FIND(",",N23),LEN(N23))</f>
        <v>17</v>
      </c>
      <c r="Q23" s="62" t="e">
        <f>FIND("target:",N23)+7</f>
        <v>#VALUE!</v>
      </c>
      <c r="R23" s="62">
        <f>FIND(",",N23,P23+1)</f>
        <v>27</v>
      </c>
      <c r="S23" s="62" t="str">
        <f>IFERROR(VLOOKUP(MID(N23,Q23,R23-Q23),[5]skilldef!$C:$D,2,FALSE),"-") &amp; " / " &amp; IFERROR(VLOOKUP(MID(N23,O23,P23-O23),[5]skilldef!$A:$B,2,FALSE),"-")</f>
        <v>- / 大攻撃</v>
      </c>
      <c r="T23" s="47" t="str">
        <f>IFERROR(RIGHT(M23,LEN(M23)-FIND("],",M23)-1),"none")</f>
        <v>[effect:enemy_message, val1:1.6, val2:2.0]</v>
      </c>
      <c r="U23" s="62">
        <f>FIND("effect:",T23)+7</f>
        <v>9</v>
      </c>
      <c r="V23" s="62">
        <f>IFERROR(FIND(",",T23),LEN(T23))</f>
        <v>22</v>
      </c>
      <c r="W23" s="62" t="e">
        <f>FIND("target:",T23)+7</f>
        <v>#VALUE!</v>
      </c>
      <c r="X23" s="62">
        <f>FIND(",",T23,V23+1)</f>
        <v>32</v>
      </c>
      <c r="Y23" s="62" t="str">
        <f>IFERROR(VLOOKUP(MID(T23,W23,X23-W23),[5]skilldef!$C:$D,2,FALSE),"-") &amp; " / " &amp; IFERROR(VLOOKUP(MID(T23,U23,V23-U23),[5]skilldef!$A:$B,2,FALSE),"-")</f>
        <v>- / -</v>
      </c>
      <c r="Z23" s="49"/>
      <c r="AA23" s="51"/>
      <c r="AB23" s="49"/>
    </row>
    <row r="24" spans="1:28" ht="27" customHeight="1" x14ac:dyDescent="0.2">
      <c r="A24" s="46">
        <v>30043023</v>
      </c>
      <c r="B24" s="180" t="s">
        <v>343</v>
      </c>
      <c r="C24" s="256">
        <v>3</v>
      </c>
      <c r="D24" s="49" t="s">
        <v>126</v>
      </c>
      <c r="E24" s="169" t="s">
        <v>388</v>
      </c>
      <c r="F24" s="169" t="s">
        <v>345</v>
      </c>
      <c r="G24" s="62" t="str">
        <f>IFERROR(LEFT(B24,FIND("],",B24)),B24)</f>
        <v>[effect:damage_anti_tribe, target:unit_all, tribe:god, val1:0.65, val2:0.43]</v>
      </c>
      <c r="H24" s="62">
        <f>FIND("effect:",G24)+7</f>
        <v>9</v>
      </c>
      <c r="I24" s="62">
        <f>IFERROR(FIND(",",G24),LEN(G24))</f>
        <v>26</v>
      </c>
      <c r="J24" s="62">
        <f>FIND("target:",G24)+7</f>
        <v>35</v>
      </c>
      <c r="K24" s="62">
        <f>FIND(",",G24,I24+1)</f>
        <v>43</v>
      </c>
      <c r="L24" s="62" t="str">
        <f>IFERROR(VLOOKUP(MID(G24,J24,K24-J24),[5]skilldef!$C:$D,2,FALSE),"-") &amp; " / " &amp; IFERROR(VLOOKUP(MID(G24,H24,I24-H24),[5]skilldef!$A:$B,2,FALSE),"-")</f>
        <v>味方全体に / 種族キラー</v>
      </c>
      <c r="M24" s="62" t="str">
        <f>IFERROR(RIGHT(B24,LEN(B24)-FIND("],",B24)-1),"none")</f>
        <v>none</v>
      </c>
      <c r="N24" s="47" t="str">
        <f>IFERROR(LEFT(M24,FIND("],",M24)+#REF!),M24)</f>
        <v>none</v>
      </c>
      <c r="O24" s="62" t="e">
        <f>FIND("effect:",N24)+7</f>
        <v>#VALUE!</v>
      </c>
      <c r="P24" s="62">
        <f>IFERROR(FIND(",",N24),LEN(N24))</f>
        <v>4</v>
      </c>
      <c r="Q24" s="62" t="e">
        <f>FIND("target:",N24)+7</f>
        <v>#VALUE!</v>
      </c>
      <c r="R24" s="62" t="e">
        <f>FIND(",",N24,P24+1)</f>
        <v>#VALUE!</v>
      </c>
      <c r="S24" s="62" t="str">
        <f>IFERROR(VLOOKUP(MID(N24,Q24,R24-Q24),[5]skilldef!$C:$D,2,FALSE),"-") &amp; " / " &amp; IFERROR(VLOOKUP(MID(N24,O24,P24-O24),[5]skilldef!$A:$B,2,FALSE),"-")</f>
        <v>- / -</v>
      </c>
      <c r="T24" s="47" t="str">
        <f>IFERROR(RIGHT(M24,LEN(M24)-FIND("],",M24)-1),"none")</f>
        <v>none</v>
      </c>
      <c r="U24" s="62" t="e">
        <f>FIND("effect:",T24)+7</f>
        <v>#VALUE!</v>
      </c>
      <c r="V24" s="62">
        <f>IFERROR(FIND(",",T24),LEN(T24))</f>
        <v>4</v>
      </c>
      <c r="W24" s="62" t="e">
        <f>FIND("target:",T24)+7</f>
        <v>#VALUE!</v>
      </c>
      <c r="X24" s="62" t="e">
        <f>FIND(",",T24,V24+1)</f>
        <v>#VALUE!</v>
      </c>
      <c r="Y24" s="62" t="str">
        <f>IFERROR(VLOOKUP(MID(T24,W24,X24-W24),[5]skilldef!$C:$D,2,FALSE),"-") &amp; " / " &amp; IFERROR(VLOOKUP(MID(T24,U24,V24-U24),[5]skilldef!$A:$B,2,FALSE),"-")</f>
        <v>- / -</v>
      </c>
      <c r="Z24" s="49"/>
      <c r="AA24" s="51"/>
      <c r="AB24" s="49"/>
    </row>
    <row r="25" spans="1:28" ht="27" customHeight="1" x14ac:dyDescent="0.2">
      <c r="A25" s="46">
        <v>30043024</v>
      </c>
      <c r="B25" s="257" t="s">
        <v>409</v>
      </c>
      <c r="C25" s="256">
        <v>3</v>
      </c>
      <c r="D25" s="49" t="s">
        <v>126</v>
      </c>
      <c r="E25" s="169" t="s">
        <v>366</v>
      </c>
      <c r="F25" s="169" t="s">
        <v>267</v>
      </c>
      <c r="G25" s="62" t="str">
        <f t="shared" ref="G25" si="91">IFERROR(LEFT(B25,FIND("],",B25)),B25)</f>
        <v>[effect:enemy_message, val1:1.7, val2:2.0]</v>
      </c>
      <c r="H25" s="62">
        <f t="shared" ref="H25" si="92">FIND("effect:",G25)+7</f>
        <v>9</v>
      </c>
      <c r="I25" s="62">
        <f t="shared" ref="I25" si="93">IFERROR(FIND(",",G25),LEN(G25))</f>
        <v>22</v>
      </c>
      <c r="J25" s="62" t="e">
        <f t="shared" ref="J25" si="94">FIND("target:",G25)+7</f>
        <v>#VALUE!</v>
      </c>
      <c r="K25" s="62">
        <f t="shared" ref="K25" si="95">FIND(",",G25,I25+1)</f>
        <v>32</v>
      </c>
      <c r="L25" s="62" t="str">
        <f>IFERROR(VLOOKUP(MID(G25,J25,K25-J25),[5]skilldef!$C:$D,2,FALSE),"-") &amp; " / " &amp; IFERROR(VLOOKUP(MID(G25,H25,I25-H25),[5]skilldef!$A:$B,2,FALSE),"-")</f>
        <v>- / -</v>
      </c>
      <c r="M25" s="62" t="str">
        <f t="shared" ref="M25" si="96">IFERROR(RIGHT(B25,LEN(B25)-FIND("],",B25)-1),"none")</f>
        <v>none</v>
      </c>
      <c r="N25" s="47" t="str">
        <f>IFERROR(LEFT(M25,FIND("],",M25)+S36),M25)</f>
        <v>none</v>
      </c>
      <c r="O25" s="62" t="e">
        <f t="shared" ref="O25" si="97">FIND("effect:",N25)+7</f>
        <v>#VALUE!</v>
      </c>
      <c r="P25" s="62">
        <f t="shared" ref="P25" si="98">IFERROR(FIND(",",N25),LEN(N25))</f>
        <v>4</v>
      </c>
      <c r="Q25" s="62" t="e">
        <f t="shared" ref="Q25" si="99">FIND("target:",N25)+7</f>
        <v>#VALUE!</v>
      </c>
      <c r="R25" s="62" t="e">
        <f t="shared" ref="R25" si="100">FIND(",",N25,P25+1)</f>
        <v>#VALUE!</v>
      </c>
      <c r="S25" s="62" t="str">
        <f>IFERROR(VLOOKUP(MID(N25,Q25,R25-Q25),[5]skilldef!$C:$D,2,FALSE),"-") &amp; " / " &amp; IFERROR(VLOOKUP(MID(N25,O25,P25-O25),[5]skilldef!$A:$B,2,FALSE),"-")</f>
        <v>- / -</v>
      </c>
      <c r="T25" s="47" t="str">
        <f t="shared" ref="T25" si="101">IFERROR(RIGHT(M25,LEN(M25)-FIND("],",M25)-1),"none")</f>
        <v>none</v>
      </c>
      <c r="U25" s="62" t="e">
        <f t="shared" ref="U25" si="102">FIND("effect:",T25)+7</f>
        <v>#VALUE!</v>
      </c>
      <c r="V25" s="62">
        <f t="shared" ref="V25" si="103">IFERROR(FIND(",",T25),LEN(T25))</f>
        <v>4</v>
      </c>
      <c r="W25" s="62" t="e">
        <f t="shared" ref="W25" si="104">FIND("target:",T25)+7</f>
        <v>#VALUE!</v>
      </c>
      <c r="X25" s="62" t="e">
        <f t="shared" ref="X25" si="105">FIND(",",T25,V25+1)</f>
        <v>#VALUE!</v>
      </c>
      <c r="Y25" s="62" t="str">
        <f>IFERROR(VLOOKUP(MID(T25,W25,X25-W25),[5]skilldef!$C:$D,2,FALSE),"-") &amp; " / " &amp; IFERROR(VLOOKUP(MID(T25,U25,V25-U25),[5]skilldef!$A:$B,2,FALSE),"-")</f>
        <v>- / -</v>
      </c>
      <c r="Z25" s="49"/>
      <c r="AA25" s="51"/>
      <c r="AB25" s="49"/>
    </row>
    <row r="26" spans="1:28" ht="27" customHeight="1" x14ac:dyDescent="0.2">
      <c r="A26" s="46">
        <v>30043025</v>
      </c>
      <c r="B26" s="180" t="s">
        <v>417</v>
      </c>
      <c r="C26" s="256">
        <v>3</v>
      </c>
      <c r="D26" s="49" t="s">
        <v>126</v>
      </c>
      <c r="E26" s="169" t="s">
        <v>342</v>
      </c>
      <c r="F26" s="169" t="s">
        <v>404</v>
      </c>
      <c r="G26" s="62" t="str">
        <f t="shared" si="0"/>
        <v>[effect:spread, val:0.68]</v>
      </c>
      <c r="H26" s="62">
        <f t="shared" si="1"/>
        <v>9</v>
      </c>
      <c r="I26" s="62">
        <f t="shared" si="2"/>
        <v>15</v>
      </c>
      <c r="J26" s="62" t="e">
        <f t="shared" si="3"/>
        <v>#VALUE!</v>
      </c>
      <c r="K26" s="62" t="e">
        <f t="shared" si="4"/>
        <v>#VALUE!</v>
      </c>
      <c r="L26" s="62" t="str">
        <f>IFERROR(VLOOKUP(MID(G26,J26,K26-J26),[5]skilldef!$C:$D,2,FALSE),"-") &amp; " / " &amp; IFERROR(VLOOKUP(MID(G26,H26,I26-H26),[5]skilldef!$A:$B,2,FALSE),"-")</f>
        <v>- / 全体攻撃</v>
      </c>
      <c r="M26" s="62" t="str">
        <f t="shared" si="5"/>
        <v>[effect:enemy_message, val1:1.7, val2:1.8]</v>
      </c>
      <c r="N26" s="47" t="str">
        <f>IFERROR(LEFT(M26,FIND("],",M26)+S37),M26)</f>
        <v>[effect:enemy_message, val1:1.7, val2:1.8]</v>
      </c>
      <c r="O26" s="62">
        <f t="shared" si="6"/>
        <v>9</v>
      </c>
      <c r="P26" s="62">
        <f t="shared" si="7"/>
        <v>22</v>
      </c>
      <c r="Q26" s="62" t="e">
        <f t="shared" si="8"/>
        <v>#VALUE!</v>
      </c>
      <c r="R26" s="62">
        <f t="shared" si="9"/>
        <v>32</v>
      </c>
      <c r="S26" s="62" t="str">
        <f>IFERROR(VLOOKUP(MID(N26,Q26,R26-Q26),[5]skilldef!$C:$D,2,FALSE),"-") &amp; " / " &amp; IFERROR(VLOOKUP(MID(N26,O26,P26-O26),[5]skilldef!$A:$B,2,FALSE),"-")</f>
        <v>- / -</v>
      </c>
      <c r="T26" s="47" t="str">
        <f t="shared" si="10"/>
        <v>none</v>
      </c>
      <c r="U26" s="62" t="e">
        <f t="shared" si="11"/>
        <v>#VALUE!</v>
      </c>
      <c r="V26" s="62">
        <f t="shared" si="12"/>
        <v>4</v>
      </c>
      <c r="W26" s="62" t="e">
        <f t="shared" si="13"/>
        <v>#VALUE!</v>
      </c>
      <c r="X26" s="62" t="e">
        <f t="shared" si="14"/>
        <v>#VALUE!</v>
      </c>
      <c r="Y26" s="62" t="str">
        <f>IFERROR(VLOOKUP(MID(T26,W26,X26-W26),[5]skilldef!$C:$D,2,FALSE),"-") &amp; " / " &amp; IFERROR(VLOOKUP(MID(T26,U26,V26-U26),[5]skilldef!$A:$B,2,FALSE),"-")</f>
        <v>- / -</v>
      </c>
      <c r="Z26" s="49"/>
      <c r="AA26" s="51"/>
      <c r="AB26" s="49"/>
    </row>
    <row r="27" spans="1:28" ht="27" customHeight="1" x14ac:dyDescent="0.2">
      <c r="A27" s="46">
        <v>30043026</v>
      </c>
      <c r="B27" s="180" t="s">
        <v>410</v>
      </c>
      <c r="C27" s="256">
        <v>3</v>
      </c>
      <c r="D27" s="49" t="s">
        <v>126</v>
      </c>
      <c r="E27" s="169" t="s">
        <v>253</v>
      </c>
      <c r="F27" s="169" t="s">
        <v>255</v>
      </c>
      <c r="G27" s="62" t="str">
        <f t="shared" si="0"/>
        <v>[effect:heal, target:myself, val:0.3, animation:enemy_heal]</v>
      </c>
      <c r="H27" s="62">
        <f t="shared" si="1"/>
        <v>9</v>
      </c>
      <c r="I27" s="62">
        <f t="shared" si="2"/>
        <v>13</v>
      </c>
      <c r="J27" s="62">
        <f t="shared" si="3"/>
        <v>22</v>
      </c>
      <c r="K27" s="62">
        <f t="shared" si="4"/>
        <v>28</v>
      </c>
      <c r="L27" s="62" t="str">
        <f>IFERROR(VLOOKUP(MID(G27,J27,K27-J27),[5]skilldef!$C:$D,2,FALSE),"-") &amp; " / " &amp; IFERROR(VLOOKUP(MID(G27,H27,I27-H27),[5]skilldef!$A:$B,2,FALSE),"-")</f>
        <v>自分自身に / 回復</v>
      </c>
      <c r="M27" s="62" t="str">
        <f t="shared" si="5"/>
        <v>[effect:enemy_message, val1:1.7, val2:1.8]</v>
      </c>
      <c r="N27" s="47" t="str">
        <f>IFERROR(LEFT(M27,FIND("],",M27)+#REF!),M27)</f>
        <v>[effect:enemy_message, val1:1.7, val2:1.8]</v>
      </c>
      <c r="O27" s="62">
        <f t="shared" si="6"/>
        <v>9</v>
      </c>
      <c r="P27" s="62">
        <f t="shared" si="7"/>
        <v>22</v>
      </c>
      <c r="Q27" s="62" t="e">
        <f t="shared" si="8"/>
        <v>#VALUE!</v>
      </c>
      <c r="R27" s="62">
        <f t="shared" si="9"/>
        <v>32</v>
      </c>
      <c r="S27" s="62" t="str">
        <f>IFERROR(VLOOKUP(MID(N27,Q27,R27-Q27),[5]skilldef!$C:$D,2,FALSE),"-") &amp; " / " &amp; IFERROR(VLOOKUP(MID(N27,O27,P27-O27),[5]skilldef!$A:$B,2,FALSE),"-")</f>
        <v>- / -</v>
      </c>
      <c r="T27" s="47" t="str">
        <f t="shared" si="10"/>
        <v>none</v>
      </c>
      <c r="U27" s="62" t="e">
        <f t="shared" si="11"/>
        <v>#VALUE!</v>
      </c>
      <c r="V27" s="62">
        <f t="shared" si="12"/>
        <v>4</v>
      </c>
      <c r="W27" s="62" t="e">
        <f t="shared" si="13"/>
        <v>#VALUE!</v>
      </c>
      <c r="X27" s="62" t="e">
        <f t="shared" si="14"/>
        <v>#VALUE!</v>
      </c>
      <c r="Y27" s="62" t="str">
        <f>IFERROR(VLOOKUP(MID(T27,W27,X27-W27),[5]skilldef!$C:$D,2,FALSE),"-") &amp; " / " &amp; IFERROR(VLOOKUP(MID(T27,U27,V27-U27),[5]skilldef!$A:$B,2,FALSE),"-")</f>
        <v>- / -</v>
      </c>
      <c r="Z27" s="49"/>
      <c r="AA27" s="51"/>
      <c r="AB27" s="49"/>
    </row>
    <row r="28" spans="1:28" ht="27" customHeight="1" thickBot="1" x14ac:dyDescent="0.25">
      <c r="A28" s="46">
        <v>30043027</v>
      </c>
      <c r="B28" s="258" t="s">
        <v>411</v>
      </c>
      <c r="C28" s="256">
        <v>3</v>
      </c>
      <c r="D28" s="210" t="s">
        <v>126</v>
      </c>
      <c r="E28" s="211" t="s">
        <v>400</v>
      </c>
      <c r="F28" s="211" t="s">
        <v>393</v>
      </c>
      <c r="G28" s="62" t="str">
        <f t="shared" si="0"/>
        <v>[effect:enemy_message, val1:1.7, val2:2.5]</v>
      </c>
      <c r="H28" s="62">
        <f t="shared" si="1"/>
        <v>9</v>
      </c>
      <c r="I28" s="62">
        <f t="shared" si="2"/>
        <v>22</v>
      </c>
      <c r="J28" s="62" t="e">
        <f t="shared" si="3"/>
        <v>#VALUE!</v>
      </c>
      <c r="K28" s="62">
        <f t="shared" si="4"/>
        <v>32</v>
      </c>
      <c r="L28" s="62" t="str">
        <f>IFERROR(VLOOKUP(MID(G28,J28,K28-J28),[5]skilldef!$C:$D,2,FALSE),"-") &amp; " / " &amp; IFERROR(VLOOKUP(MID(G28,H28,I28-H28),[5]skilldef!$A:$B,2,FALSE),"-")</f>
        <v>- / -</v>
      </c>
      <c r="M28" s="62" t="str">
        <f t="shared" si="5"/>
        <v>none</v>
      </c>
      <c r="N28" s="47" t="str">
        <f>IFERROR(LEFT(M28,FIND("],",M28)+#REF!),M28)</f>
        <v>none</v>
      </c>
      <c r="O28" s="62" t="e">
        <f t="shared" si="6"/>
        <v>#VALUE!</v>
      </c>
      <c r="P28" s="62">
        <f t="shared" si="7"/>
        <v>4</v>
      </c>
      <c r="Q28" s="62" t="e">
        <f t="shared" si="8"/>
        <v>#VALUE!</v>
      </c>
      <c r="R28" s="62" t="e">
        <f t="shared" si="9"/>
        <v>#VALUE!</v>
      </c>
      <c r="S28" s="62" t="str">
        <f>IFERROR(VLOOKUP(MID(N28,Q28,R28-Q28),[5]skilldef!$C:$D,2,FALSE),"-") &amp; " / " &amp; IFERROR(VLOOKUP(MID(N28,O28,P28-O28),[5]skilldef!$A:$B,2,FALSE),"-")</f>
        <v>- / -</v>
      </c>
      <c r="T28" s="47" t="str">
        <f t="shared" si="10"/>
        <v>none</v>
      </c>
      <c r="U28" s="62" t="e">
        <f t="shared" si="11"/>
        <v>#VALUE!</v>
      </c>
      <c r="V28" s="62">
        <f t="shared" si="12"/>
        <v>4</v>
      </c>
      <c r="W28" s="62" t="e">
        <f t="shared" si="13"/>
        <v>#VALUE!</v>
      </c>
      <c r="X28" s="62" t="e">
        <f t="shared" si="14"/>
        <v>#VALUE!</v>
      </c>
      <c r="Y28" s="62" t="str">
        <f>IFERROR(VLOOKUP(MID(T28,W28,X28-W28),[5]skilldef!$C:$D,2,FALSE),"-") &amp; " / " &amp; IFERROR(VLOOKUP(MID(T28,U28,V28-U28),[5]skilldef!$A:$B,2,FALSE),"-")</f>
        <v>- / -</v>
      </c>
      <c r="Z28" s="49"/>
      <c r="AA28" s="51"/>
      <c r="AB28" s="49"/>
    </row>
    <row r="29" spans="1:28" ht="26" customHeight="1" thickTop="1" x14ac:dyDescent="0.2">
      <c r="A29" s="242">
        <v>30043028</v>
      </c>
      <c r="B29" s="254" t="s">
        <v>403</v>
      </c>
      <c r="C29" s="256">
        <v>3</v>
      </c>
      <c r="D29" s="184" t="s">
        <v>126</v>
      </c>
      <c r="E29" s="243" t="s">
        <v>380</v>
      </c>
      <c r="F29" s="243" t="s">
        <v>385</v>
      </c>
      <c r="G29" s="62" t="str">
        <f t="shared" si="0"/>
        <v>[effect:degrade_unit, target:unit_one, turn:-1, status:attack, val:0.35, calc:mul]</v>
      </c>
      <c r="H29" s="62">
        <f t="shared" si="1"/>
        <v>9</v>
      </c>
      <c r="I29" s="62">
        <f t="shared" si="2"/>
        <v>21</v>
      </c>
      <c r="J29" s="62">
        <f t="shared" si="3"/>
        <v>30</v>
      </c>
      <c r="K29" s="62">
        <f t="shared" si="4"/>
        <v>38</v>
      </c>
      <c r="L29" s="62" t="str">
        <f>IFERROR(VLOOKUP(MID(G29,J29,K29-J29),[5]skilldef!$C:$D,2,FALSE),"-") &amp; " / " &amp; IFERROR(VLOOKUP(MID(G29,H29,I29-H29),[5]skilldef!$A:$B,2,FALSE),"-")</f>
        <v>味方単体に / ステータスDOWN</v>
      </c>
      <c r="M29" s="62" t="str">
        <f t="shared" si="5"/>
        <v>[effect:critical, val:1.52, animation:enemy_critical]</v>
      </c>
      <c r="N29" s="47" t="str">
        <f>IFERROR(LEFT(M29,FIND("],",M29)+#REF!),M29)</f>
        <v>[effect:critical, val:1.52, animation:enemy_critical]</v>
      </c>
      <c r="O29" s="62">
        <f t="shared" si="6"/>
        <v>9</v>
      </c>
      <c r="P29" s="62">
        <f t="shared" si="7"/>
        <v>17</v>
      </c>
      <c r="Q29" s="62" t="e">
        <f t="shared" si="8"/>
        <v>#VALUE!</v>
      </c>
      <c r="R29" s="62">
        <f t="shared" si="9"/>
        <v>27</v>
      </c>
      <c r="S29" s="62" t="str">
        <f>IFERROR(VLOOKUP(MID(N29,Q29,R29-Q29),[5]skilldef!$C:$D,2,FALSE),"-") &amp; " / " &amp; IFERROR(VLOOKUP(MID(N29,O29,P29-O29),[5]skilldef!$A:$B,2,FALSE),"-")</f>
        <v>- / 大攻撃</v>
      </c>
      <c r="T29" s="47" t="str">
        <f t="shared" si="10"/>
        <v>none</v>
      </c>
      <c r="U29" s="62" t="e">
        <f t="shared" si="11"/>
        <v>#VALUE!</v>
      </c>
      <c r="V29" s="62">
        <f t="shared" si="12"/>
        <v>4</v>
      </c>
      <c r="W29" s="62" t="e">
        <f t="shared" si="13"/>
        <v>#VALUE!</v>
      </c>
      <c r="X29" s="62" t="e">
        <f t="shared" si="14"/>
        <v>#VALUE!</v>
      </c>
      <c r="Y29" s="62" t="str">
        <f>IFERROR(VLOOKUP(MID(T29,W29,X29-W29),[5]skilldef!$C:$D,2,FALSE),"-") &amp; " / " &amp; IFERROR(VLOOKUP(MID(T29,U29,V29-U29),[5]skilldef!$A:$B,2,FALSE),"-")</f>
        <v>- / -</v>
      </c>
      <c r="Z29" s="49"/>
      <c r="AA29" s="51"/>
      <c r="AB29" s="49"/>
    </row>
    <row r="30" spans="1:28" ht="26" customHeight="1" x14ac:dyDescent="0.2">
      <c r="A30" s="242">
        <v>30043029</v>
      </c>
      <c r="B30" s="255" t="s">
        <v>378</v>
      </c>
      <c r="C30" s="256">
        <v>3</v>
      </c>
      <c r="D30" s="49" t="s">
        <v>126</v>
      </c>
      <c r="E30" s="244" t="s">
        <v>383</v>
      </c>
      <c r="F30" s="244" t="s">
        <v>386</v>
      </c>
      <c r="G30" s="62" t="str">
        <f t="shared" si="0"/>
        <v>[effect:degrade_unit, target:unit_one, turn:-1, status:attack, val:0.35, calc:mul]</v>
      </c>
      <c r="H30" s="62">
        <f t="shared" si="1"/>
        <v>9</v>
      </c>
      <c r="I30" s="62">
        <f t="shared" si="2"/>
        <v>21</v>
      </c>
      <c r="J30" s="62">
        <f t="shared" si="3"/>
        <v>30</v>
      </c>
      <c r="K30" s="62">
        <f t="shared" si="4"/>
        <v>38</v>
      </c>
      <c r="L30" s="62" t="str">
        <f>IFERROR(VLOOKUP(MID(G30,J30,K30-J30),[5]skilldef!$C:$D,2,FALSE),"-") &amp; " / " &amp; IFERROR(VLOOKUP(MID(G30,H30,I30-H30),[5]skilldef!$A:$B,2,FALSE),"-")</f>
        <v>味方単体に / ステータスDOWN</v>
      </c>
      <c r="M30" s="62" t="str">
        <f t="shared" si="5"/>
        <v>[effect:critical, val:1.4, animation:enemy_critical]</v>
      </c>
      <c r="N30" s="47" t="str">
        <f>IFERROR(LEFT(M30,FIND("],",M30)+#REF!),M30)</f>
        <v>[effect:critical, val:1.4, animation:enemy_critical]</v>
      </c>
      <c r="O30" s="62">
        <f t="shared" si="6"/>
        <v>9</v>
      </c>
      <c r="P30" s="62">
        <f t="shared" si="7"/>
        <v>17</v>
      </c>
      <c r="Q30" s="62" t="e">
        <f t="shared" si="8"/>
        <v>#VALUE!</v>
      </c>
      <c r="R30" s="62">
        <f t="shared" si="9"/>
        <v>26</v>
      </c>
      <c r="S30" s="62" t="str">
        <f>IFERROR(VLOOKUP(MID(N30,Q30,R30-Q30),[5]skilldef!$C:$D,2,FALSE),"-") &amp; " / " &amp; IFERROR(VLOOKUP(MID(N30,O30,P30-O30),[5]skilldef!$A:$B,2,FALSE),"-")</f>
        <v>- / 大攻撃</v>
      </c>
      <c r="T30" s="47" t="str">
        <f t="shared" si="10"/>
        <v>none</v>
      </c>
      <c r="U30" s="62" t="e">
        <f t="shared" si="11"/>
        <v>#VALUE!</v>
      </c>
      <c r="V30" s="62">
        <f t="shared" si="12"/>
        <v>4</v>
      </c>
      <c r="W30" s="62" t="e">
        <f t="shared" si="13"/>
        <v>#VALUE!</v>
      </c>
      <c r="X30" s="62" t="e">
        <f t="shared" si="14"/>
        <v>#VALUE!</v>
      </c>
      <c r="Y30" s="62" t="str">
        <f>IFERROR(VLOOKUP(MID(T30,W30,X30-W30),[5]skilldef!$C:$D,2,FALSE),"-") &amp; " / " &amp; IFERROR(VLOOKUP(MID(T30,U30,V30-U30),[5]skilldef!$A:$B,2,FALSE),"-")</f>
        <v>- / -</v>
      </c>
      <c r="Z30" s="49"/>
      <c r="AA30" s="51"/>
      <c r="AB30" s="49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L30"/>
  <sheetViews>
    <sheetView showGridLines="0" workbookViewId="0">
      <pane ySplit="1" topLeftCell="A2" activePane="bottomLeft" state="frozenSplit"/>
      <selection pane="bottomLeft" activeCell="E34" sqref="E34"/>
    </sheetView>
  </sheetViews>
  <sheetFormatPr baseColWidth="12" defaultColWidth="12.83203125" defaultRowHeight="21" customHeight="1" x14ac:dyDescent="0.15"/>
  <cols>
    <col min="1" max="1" width="16.1640625" style="48" bestFit="1" customWidth="1"/>
    <col min="2" max="2" width="13.33203125" style="48" bestFit="1" customWidth="1"/>
    <col min="3" max="3" width="11.83203125" style="48" bestFit="1" customWidth="1"/>
    <col min="4" max="4" width="14.6640625" style="48" bestFit="1" customWidth="1"/>
    <col min="5" max="5" width="15.6640625" style="48" bestFit="1" customWidth="1"/>
    <col min="6" max="6" width="17" style="48" bestFit="1" customWidth="1"/>
    <col min="7" max="7" width="15.6640625" style="48" bestFit="1" customWidth="1"/>
    <col min="8" max="9" width="14.6640625" style="48" customWidth="1"/>
    <col min="10" max="10" width="14.6640625" style="48" bestFit="1" customWidth="1"/>
    <col min="11" max="11" width="22.83203125" style="38" bestFit="1" customWidth="1"/>
    <col min="12" max="12" width="47.6640625" style="44" customWidth="1"/>
    <col min="13" max="16384" width="12.83203125" style="44"/>
  </cols>
  <sheetData>
    <row r="1" spans="1:12" ht="21" customHeight="1" x14ac:dyDescent="0.15">
      <c r="A1" s="41" t="s">
        <v>84</v>
      </c>
      <c r="B1" s="41" t="s">
        <v>85</v>
      </c>
      <c r="C1" s="41" t="s">
        <v>86</v>
      </c>
      <c r="D1" s="41" t="s">
        <v>87</v>
      </c>
      <c r="E1" s="41" t="s">
        <v>70</v>
      </c>
      <c r="F1" s="52" t="s">
        <v>71</v>
      </c>
      <c r="G1" s="52" t="s">
        <v>72</v>
      </c>
      <c r="H1" s="41" t="s">
        <v>73</v>
      </c>
      <c r="I1" s="41" t="s">
        <v>74</v>
      </c>
      <c r="J1" s="41" t="s">
        <v>75</v>
      </c>
      <c r="K1" s="53" t="s">
        <v>88</v>
      </c>
      <c r="L1"/>
    </row>
    <row r="2" spans="1:12" ht="21" customHeight="1" x14ac:dyDescent="0.15">
      <c r="A2" s="46">
        <v>30043001</v>
      </c>
      <c r="B2" s="46">
        <v>1</v>
      </c>
      <c r="C2" s="46">
        <v>100</v>
      </c>
      <c r="D2" s="46">
        <v>100</v>
      </c>
      <c r="E2" s="46" t="s">
        <v>53</v>
      </c>
      <c r="F2" s="46" t="s">
        <v>53</v>
      </c>
      <c r="G2" s="46">
        <v>1</v>
      </c>
      <c r="H2" s="46" t="s">
        <v>251</v>
      </c>
      <c r="I2" s="46" t="s">
        <v>53</v>
      </c>
      <c r="J2" s="47">
        <f t="shared" ref="J2" si="0">D2</f>
        <v>100</v>
      </c>
      <c r="L2"/>
    </row>
    <row r="3" spans="1:12" ht="21" customHeight="1" x14ac:dyDescent="0.15">
      <c r="A3" s="46">
        <v>30043002</v>
      </c>
      <c r="B3" s="46">
        <v>0</v>
      </c>
      <c r="C3" s="46">
        <v>1</v>
      </c>
      <c r="D3" s="46">
        <v>100</v>
      </c>
      <c r="E3" s="46" t="s">
        <v>250</v>
      </c>
      <c r="F3" s="46" t="s">
        <v>250</v>
      </c>
      <c r="G3" s="46">
        <v>1</v>
      </c>
      <c r="H3" s="46">
        <v>2</v>
      </c>
      <c r="I3" s="46" t="s">
        <v>250</v>
      </c>
      <c r="J3" s="47">
        <f t="shared" ref="J3" si="1">D3</f>
        <v>100</v>
      </c>
      <c r="L3"/>
    </row>
    <row r="4" spans="1:12" ht="21" customHeight="1" thickBot="1" x14ac:dyDescent="0.2">
      <c r="A4" s="46">
        <v>30043003</v>
      </c>
      <c r="B4" s="163">
        <v>0</v>
      </c>
      <c r="C4" s="163">
        <v>99</v>
      </c>
      <c r="D4" s="163">
        <v>100</v>
      </c>
      <c r="E4" s="163" t="s">
        <v>250</v>
      </c>
      <c r="F4" s="163" t="s">
        <v>250</v>
      </c>
      <c r="G4" s="163">
        <v>1</v>
      </c>
      <c r="H4" s="163">
        <v>3</v>
      </c>
      <c r="I4" s="163" t="s">
        <v>250</v>
      </c>
      <c r="J4" s="170">
        <f t="shared" ref="J4:J28" si="2">D4</f>
        <v>100</v>
      </c>
      <c r="L4"/>
    </row>
    <row r="5" spans="1:12" ht="21" customHeight="1" thickTop="1" x14ac:dyDescent="0.15">
      <c r="A5" s="46">
        <v>30043004</v>
      </c>
      <c r="B5" s="166">
        <v>0</v>
      </c>
      <c r="C5" s="166">
        <v>3</v>
      </c>
      <c r="D5" s="166">
        <v>33</v>
      </c>
      <c r="E5" s="166" t="s">
        <v>250</v>
      </c>
      <c r="F5" s="166" t="s">
        <v>250</v>
      </c>
      <c r="G5" s="166" t="s">
        <v>250</v>
      </c>
      <c r="H5" s="166" t="s">
        <v>250</v>
      </c>
      <c r="I5" s="166" t="s">
        <v>250</v>
      </c>
      <c r="J5" s="171">
        <f t="shared" si="2"/>
        <v>33</v>
      </c>
      <c r="L5"/>
    </row>
    <row r="6" spans="1:12" ht="21" customHeight="1" x14ac:dyDescent="0.15">
      <c r="A6" s="46">
        <v>30043005</v>
      </c>
      <c r="B6" s="46">
        <v>0</v>
      </c>
      <c r="C6" s="46">
        <v>2</v>
      </c>
      <c r="D6" s="46">
        <v>50</v>
      </c>
      <c r="E6" s="46" t="s">
        <v>250</v>
      </c>
      <c r="F6" s="46" t="s">
        <v>250</v>
      </c>
      <c r="G6" s="46" t="s">
        <v>250</v>
      </c>
      <c r="H6" s="46" t="s">
        <v>250</v>
      </c>
      <c r="I6" s="46" t="s">
        <v>250</v>
      </c>
      <c r="J6" s="47">
        <f t="shared" ref="J6" si="3">D6</f>
        <v>50</v>
      </c>
      <c r="L6"/>
    </row>
    <row r="7" spans="1:12" ht="21" customHeight="1" x14ac:dyDescent="0.15">
      <c r="A7" s="46">
        <v>30043006</v>
      </c>
      <c r="B7" s="46">
        <v>0</v>
      </c>
      <c r="C7" s="46">
        <v>1</v>
      </c>
      <c r="D7" s="46">
        <v>85</v>
      </c>
      <c r="E7" s="46">
        <v>40</v>
      </c>
      <c r="F7" s="46" t="s">
        <v>250</v>
      </c>
      <c r="G7" s="46" t="s">
        <v>272</v>
      </c>
      <c r="H7" s="46" t="s">
        <v>250</v>
      </c>
      <c r="I7" s="46" t="s">
        <v>250</v>
      </c>
      <c r="J7" s="47">
        <f t="shared" si="2"/>
        <v>85</v>
      </c>
      <c r="L7"/>
    </row>
    <row r="8" spans="1:12" ht="21" customHeight="1" x14ac:dyDescent="0.15">
      <c r="A8" s="46">
        <v>30043007</v>
      </c>
      <c r="B8" s="183">
        <v>0</v>
      </c>
      <c r="C8" s="183">
        <v>3</v>
      </c>
      <c r="D8" s="183">
        <v>33</v>
      </c>
      <c r="E8" s="183" t="s">
        <v>250</v>
      </c>
      <c r="F8" s="183" t="s">
        <v>250</v>
      </c>
      <c r="G8" s="183" t="s">
        <v>250</v>
      </c>
      <c r="H8" s="183" t="s">
        <v>250</v>
      </c>
      <c r="I8" s="183" t="s">
        <v>250</v>
      </c>
      <c r="J8" s="47">
        <f t="shared" si="2"/>
        <v>33</v>
      </c>
      <c r="L8"/>
    </row>
    <row r="9" spans="1:12" ht="21" customHeight="1" x14ac:dyDescent="0.15">
      <c r="A9" s="46">
        <v>30043008</v>
      </c>
      <c r="B9" s="183">
        <v>0</v>
      </c>
      <c r="C9" s="183">
        <v>2</v>
      </c>
      <c r="D9" s="183">
        <v>45</v>
      </c>
      <c r="E9" s="183" t="s">
        <v>249</v>
      </c>
      <c r="F9" s="183" t="s">
        <v>249</v>
      </c>
      <c r="G9" s="183" t="s">
        <v>249</v>
      </c>
      <c r="H9" s="183" t="s">
        <v>249</v>
      </c>
      <c r="I9" s="183" t="s">
        <v>249</v>
      </c>
      <c r="J9" s="47">
        <f t="shared" ref="J9" si="4">D9</f>
        <v>45</v>
      </c>
      <c r="L9"/>
    </row>
    <row r="10" spans="1:12" ht="21" customHeight="1" x14ac:dyDescent="0.15">
      <c r="A10" s="46">
        <v>30043009</v>
      </c>
      <c r="B10" s="187">
        <v>0</v>
      </c>
      <c r="C10" s="187">
        <v>1</v>
      </c>
      <c r="D10" s="187">
        <v>85</v>
      </c>
      <c r="E10" s="187" t="s">
        <v>250</v>
      </c>
      <c r="F10" s="187" t="s">
        <v>250</v>
      </c>
      <c r="G10" s="187" t="s">
        <v>250</v>
      </c>
      <c r="H10" s="187" t="s">
        <v>250</v>
      </c>
      <c r="I10" s="187" t="s">
        <v>250</v>
      </c>
      <c r="J10" s="189">
        <f t="shared" si="2"/>
        <v>85</v>
      </c>
      <c r="K10" s="190"/>
      <c r="L10"/>
    </row>
    <row r="11" spans="1:12" ht="21" customHeight="1" thickBot="1" x14ac:dyDescent="0.2">
      <c r="A11" s="46">
        <v>30043010</v>
      </c>
      <c r="B11" s="187">
        <v>0</v>
      </c>
      <c r="C11" s="187">
        <v>10</v>
      </c>
      <c r="D11" s="187">
        <v>100</v>
      </c>
      <c r="E11" s="187" t="s">
        <v>249</v>
      </c>
      <c r="F11" s="187" t="s">
        <v>249</v>
      </c>
      <c r="G11" s="187" t="s">
        <v>249</v>
      </c>
      <c r="H11" s="187">
        <v>4</v>
      </c>
      <c r="I11" s="187" t="s">
        <v>249</v>
      </c>
      <c r="J11" s="189">
        <f>D11</f>
        <v>100</v>
      </c>
      <c r="L11"/>
    </row>
    <row r="12" spans="1:12" ht="21" customHeight="1" thickTop="1" x14ac:dyDescent="0.15">
      <c r="A12" s="46">
        <v>30043011</v>
      </c>
      <c r="B12" s="166">
        <v>0</v>
      </c>
      <c r="C12" s="166" t="s">
        <v>53</v>
      </c>
      <c r="D12" s="166">
        <v>35</v>
      </c>
      <c r="E12" s="166" t="s">
        <v>250</v>
      </c>
      <c r="F12" s="166" t="s">
        <v>250</v>
      </c>
      <c r="G12" s="166" t="s">
        <v>250</v>
      </c>
      <c r="H12" s="166" t="s">
        <v>250</v>
      </c>
      <c r="I12" s="166" t="s">
        <v>250</v>
      </c>
      <c r="J12" s="171">
        <f t="shared" si="2"/>
        <v>35</v>
      </c>
      <c r="L12"/>
    </row>
    <row r="13" spans="1:12" ht="21" customHeight="1" thickBot="1" x14ac:dyDescent="0.2">
      <c r="A13" s="46">
        <v>30043012</v>
      </c>
      <c r="B13" s="163">
        <v>0</v>
      </c>
      <c r="C13" s="163" t="s">
        <v>53</v>
      </c>
      <c r="D13" s="163">
        <v>40</v>
      </c>
      <c r="E13" s="163" t="s">
        <v>250</v>
      </c>
      <c r="F13" s="163" t="s">
        <v>250</v>
      </c>
      <c r="G13" s="163" t="s">
        <v>250</v>
      </c>
      <c r="H13" s="163" t="s">
        <v>250</v>
      </c>
      <c r="I13" s="163" t="s">
        <v>250</v>
      </c>
      <c r="J13" s="170">
        <f t="shared" si="2"/>
        <v>40</v>
      </c>
      <c r="L13"/>
    </row>
    <row r="14" spans="1:12" ht="21" customHeight="1" thickTop="1" x14ac:dyDescent="0.15">
      <c r="A14" s="46">
        <v>30043013</v>
      </c>
      <c r="B14" s="166">
        <v>1</v>
      </c>
      <c r="C14" s="166">
        <v>100</v>
      </c>
      <c r="D14" s="166">
        <v>100</v>
      </c>
      <c r="E14" s="166" t="s">
        <v>250</v>
      </c>
      <c r="F14" s="166" t="s">
        <v>250</v>
      </c>
      <c r="G14" s="166">
        <v>1</v>
      </c>
      <c r="H14" s="166" t="s">
        <v>250</v>
      </c>
      <c r="I14" s="166" t="s">
        <v>250</v>
      </c>
      <c r="J14" s="171">
        <f t="shared" si="2"/>
        <v>100</v>
      </c>
      <c r="L14"/>
    </row>
    <row r="15" spans="1:12" ht="21" customHeight="1" x14ac:dyDescent="0.15">
      <c r="A15" s="46">
        <v>30043014</v>
      </c>
      <c r="B15" s="46">
        <v>0</v>
      </c>
      <c r="C15" s="46">
        <v>4</v>
      </c>
      <c r="D15" s="46">
        <v>23</v>
      </c>
      <c r="E15" s="46" t="s">
        <v>250</v>
      </c>
      <c r="F15" s="46" t="s">
        <v>250</v>
      </c>
      <c r="G15" s="46" t="s">
        <v>250</v>
      </c>
      <c r="H15" s="46" t="s">
        <v>250</v>
      </c>
      <c r="I15" s="46" t="s">
        <v>250</v>
      </c>
      <c r="J15" s="47">
        <f t="shared" si="2"/>
        <v>23</v>
      </c>
      <c r="L15"/>
    </row>
    <row r="16" spans="1:12" ht="21" customHeight="1" x14ac:dyDescent="0.15">
      <c r="A16" s="46">
        <v>30043015</v>
      </c>
      <c r="B16" s="186">
        <v>0</v>
      </c>
      <c r="C16" s="46">
        <v>3</v>
      </c>
      <c r="D16" s="186">
        <v>30</v>
      </c>
      <c r="E16" s="186" t="s">
        <v>249</v>
      </c>
      <c r="F16" s="186" t="s">
        <v>249</v>
      </c>
      <c r="G16" s="186" t="s">
        <v>249</v>
      </c>
      <c r="H16" s="186" t="s">
        <v>249</v>
      </c>
      <c r="I16" s="186" t="s">
        <v>249</v>
      </c>
      <c r="J16" s="47">
        <f t="shared" ref="J16:J17" si="5">D16</f>
        <v>30</v>
      </c>
      <c r="L16"/>
    </row>
    <row r="17" spans="1:12" ht="21" customHeight="1" x14ac:dyDescent="0.15">
      <c r="A17" s="46">
        <v>30043016</v>
      </c>
      <c r="B17" s="46">
        <v>0</v>
      </c>
      <c r="C17" s="46">
        <v>2</v>
      </c>
      <c r="D17" s="46">
        <v>52</v>
      </c>
      <c r="E17" s="46" t="s">
        <v>249</v>
      </c>
      <c r="F17" s="46" t="s">
        <v>249</v>
      </c>
      <c r="G17" s="46" t="s">
        <v>249</v>
      </c>
      <c r="H17" s="46" t="s">
        <v>249</v>
      </c>
      <c r="I17" s="46" t="s">
        <v>249</v>
      </c>
      <c r="J17" s="47">
        <f t="shared" si="5"/>
        <v>52</v>
      </c>
      <c r="L17"/>
    </row>
    <row r="18" spans="1:12" ht="21" customHeight="1" x14ac:dyDescent="0.15">
      <c r="A18" s="46">
        <v>30043017</v>
      </c>
      <c r="B18" s="46">
        <v>0</v>
      </c>
      <c r="C18" s="46">
        <v>1</v>
      </c>
      <c r="D18" s="46">
        <v>88</v>
      </c>
      <c r="E18" s="46" t="s">
        <v>250</v>
      </c>
      <c r="F18" s="46" t="s">
        <v>250</v>
      </c>
      <c r="G18" s="46" t="s">
        <v>250</v>
      </c>
      <c r="H18" s="46" t="s">
        <v>250</v>
      </c>
      <c r="I18" s="46" t="s">
        <v>250</v>
      </c>
      <c r="J18" s="47">
        <f t="shared" si="2"/>
        <v>88</v>
      </c>
      <c r="L18"/>
    </row>
    <row r="19" spans="1:12" ht="21" customHeight="1" x14ac:dyDescent="0.15">
      <c r="A19" s="46">
        <v>30043018</v>
      </c>
      <c r="B19" s="183">
        <v>1</v>
      </c>
      <c r="C19" s="183">
        <v>100</v>
      </c>
      <c r="D19" s="183">
        <v>100</v>
      </c>
      <c r="E19" s="183" t="s">
        <v>250</v>
      </c>
      <c r="F19" s="183" t="s">
        <v>250</v>
      </c>
      <c r="G19" s="183">
        <v>1</v>
      </c>
      <c r="H19" s="183" t="s">
        <v>250</v>
      </c>
      <c r="I19" s="183" t="s">
        <v>250</v>
      </c>
      <c r="J19" s="47">
        <f t="shared" si="2"/>
        <v>100</v>
      </c>
      <c r="L19"/>
    </row>
    <row r="20" spans="1:12" ht="21" customHeight="1" x14ac:dyDescent="0.15">
      <c r="A20" s="46">
        <v>30043019</v>
      </c>
      <c r="B20" s="183">
        <v>0</v>
      </c>
      <c r="C20" s="183">
        <v>4</v>
      </c>
      <c r="D20" s="183">
        <v>27</v>
      </c>
      <c r="E20" s="183" t="s">
        <v>249</v>
      </c>
      <c r="F20" s="183" t="s">
        <v>264</v>
      </c>
      <c r="G20" s="183" t="s">
        <v>249</v>
      </c>
      <c r="H20" s="183" t="s">
        <v>268</v>
      </c>
      <c r="I20" s="183" t="s">
        <v>249</v>
      </c>
      <c r="J20" s="47">
        <f t="shared" ref="J20" si="6">D20</f>
        <v>27</v>
      </c>
      <c r="L20"/>
    </row>
    <row r="21" spans="1:12" ht="21" customHeight="1" x14ac:dyDescent="0.15">
      <c r="A21" s="46">
        <v>30043020</v>
      </c>
      <c r="B21" s="183">
        <v>0</v>
      </c>
      <c r="C21" s="183">
        <v>3</v>
      </c>
      <c r="D21" s="183">
        <v>33</v>
      </c>
      <c r="E21" s="183" t="s">
        <v>249</v>
      </c>
      <c r="F21" s="183" t="s">
        <v>249</v>
      </c>
      <c r="G21" s="183" t="s">
        <v>249</v>
      </c>
      <c r="H21" s="183" t="s">
        <v>249</v>
      </c>
      <c r="I21" s="183" t="s">
        <v>249</v>
      </c>
      <c r="J21" s="47">
        <f t="shared" ref="J21:J25" si="7">D21</f>
        <v>33</v>
      </c>
      <c r="L21"/>
    </row>
    <row r="22" spans="1:12" ht="21" customHeight="1" x14ac:dyDescent="0.15">
      <c r="A22" s="46">
        <v>30043021</v>
      </c>
      <c r="B22" s="187">
        <v>0</v>
      </c>
      <c r="C22" s="187">
        <v>2</v>
      </c>
      <c r="D22" s="187">
        <v>50</v>
      </c>
      <c r="E22" s="187" t="s">
        <v>249</v>
      </c>
      <c r="F22" s="187" t="s">
        <v>249</v>
      </c>
      <c r="G22" s="187" t="s">
        <v>249</v>
      </c>
      <c r="H22" s="187" t="s">
        <v>249</v>
      </c>
      <c r="I22" s="187" t="s">
        <v>249</v>
      </c>
      <c r="J22" s="47">
        <f t="shared" si="7"/>
        <v>50</v>
      </c>
      <c r="L22"/>
    </row>
    <row r="23" spans="1:12" ht="21" customHeight="1" x14ac:dyDescent="0.15">
      <c r="A23" s="46">
        <v>30043022</v>
      </c>
      <c r="B23" s="183">
        <v>0</v>
      </c>
      <c r="C23" s="183">
        <v>1</v>
      </c>
      <c r="D23" s="183">
        <v>83</v>
      </c>
      <c r="E23" s="183" t="s">
        <v>250</v>
      </c>
      <c r="F23" s="183" t="s">
        <v>264</v>
      </c>
      <c r="G23" s="183" t="s">
        <v>250</v>
      </c>
      <c r="H23" s="183" t="s">
        <v>250</v>
      </c>
      <c r="I23" s="183" t="s">
        <v>250</v>
      </c>
      <c r="J23" s="47">
        <f>D23</f>
        <v>83</v>
      </c>
      <c r="L23"/>
    </row>
    <row r="24" spans="1:12" ht="21" customHeight="1" x14ac:dyDescent="0.15">
      <c r="A24" s="46">
        <v>30043023</v>
      </c>
      <c r="B24" s="183">
        <v>0</v>
      </c>
      <c r="C24" s="183">
        <v>70</v>
      </c>
      <c r="D24" s="183">
        <v>100</v>
      </c>
      <c r="E24" s="183" t="s">
        <v>250</v>
      </c>
      <c r="F24" s="183" t="s">
        <v>271</v>
      </c>
      <c r="G24" s="183" t="s">
        <v>250</v>
      </c>
      <c r="H24" s="183">
        <v>5</v>
      </c>
      <c r="I24" s="183" t="s">
        <v>250</v>
      </c>
      <c r="J24" s="47">
        <f>D24</f>
        <v>100</v>
      </c>
      <c r="L24"/>
    </row>
    <row r="25" spans="1:12" ht="21" customHeight="1" x14ac:dyDescent="0.15">
      <c r="A25" s="46">
        <v>30043024</v>
      </c>
      <c r="B25" s="187">
        <v>0</v>
      </c>
      <c r="C25" s="187">
        <v>80</v>
      </c>
      <c r="D25" s="187">
        <v>100</v>
      </c>
      <c r="E25" s="187" t="s">
        <v>269</v>
      </c>
      <c r="F25" s="187" t="s">
        <v>249</v>
      </c>
      <c r="G25" s="187">
        <v>1</v>
      </c>
      <c r="H25" s="187">
        <v>6</v>
      </c>
      <c r="I25" s="187" t="s">
        <v>249</v>
      </c>
      <c r="J25" s="47">
        <f t="shared" si="7"/>
        <v>100</v>
      </c>
      <c r="L25"/>
    </row>
    <row r="26" spans="1:12" ht="21" customHeight="1" x14ac:dyDescent="0.15">
      <c r="A26" s="46">
        <v>30043025</v>
      </c>
      <c r="B26" s="187">
        <v>0</v>
      </c>
      <c r="C26" s="187">
        <v>90</v>
      </c>
      <c r="D26" s="187">
        <v>100</v>
      </c>
      <c r="E26" s="187" t="s">
        <v>270</v>
      </c>
      <c r="F26" s="187" t="s">
        <v>249</v>
      </c>
      <c r="G26" s="187">
        <v>1</v>
      </c>
      <c r="H26" s="187">
        <v>7</v>
      </c>
      <c r="I26" s="187" t="s">
        <v>249</v>
      </c>
      <c r="J26" s="47">
        <f t="shared" ref="J26" si="8">D26</f>
        <v>100</v>
      </c>
      <c r="L26"/>
    </row>
    <row r="27" spans="1:12" ht="21" customHeight="1" x14ac:dyDescent="0.15">
      <c r="A27" s="46">
        <v>30043026</v>
      </c>
      <c r="B27" s="183">
        <v>0</v>
      </c>
      <c r="C27" s="183">
        <v>110</v>
      </c>
      <c r="D27" s="183">
        <v>100</v>
      </c>
      <c r="E27" s="183">
        <v>33</v>
      </c>
      <c r="F27" s="183" t="s">
        <v>250</v>
      </c>
      <c r="G27" s="183">
        <v>1</v>
      </c>
      <c r="H27" s="183" t="s">
        <v>250</v>
      </c>
      <c r="I27" s="183" t="s">
        <v>250</v>
      </c>
      <c r="J27" s="47">
        <f t="shared" si="2"/>
        <v>100</v>
      </c>
      <c r="L27"/>
    </row>
    <row r="28" spans="1:12" ht="21" customHeight="1" thickBot="1" x14ac:dyDescent="0.2">
      <c r="A28" s="46">
        <v>30043027</v>
      </c>
      <c r="B28" s="212">
        <v>0</v>
      </c>
      <c r="C28" s="213">
        <v>120</v>
      </c>
      <c r="D28" s="213">
        <v>100</v>
      </c>
      <c r="E28" s="213" t="s">
        <v>348</v>
      </c>
      <c r="F28" s="213" t="s">
        <v>348</v>
      </c>
      <c r="G28" s="213">
        <v>0</v>
      </c>
      <c r="H28" s="213" t="s">
        <v>348</v>
      </c>
      <c r="I28" s="213">
        <v>0</v>
      </c>
      <c r="J28" s="170">
        <f t="shared" si="2"/>
        <v>100</v>
      </c>
      <c r="L28"/>
    </row>
    <row r="29" spans="1:12" ht="21" customHeight="1" thickTop="1" x14ac:dyDescent="0.15">
      <c r="A29" s="242">
        <v>30043028</v>
      </c>
      <c r="B29" s="166">
        <v>0</v>
      </c>
      <c r="C29" s="166">
        <v>3</v>
      </c>
      <c r="D29" s="166">
        <v>33</v>
      </c>
      <c r="E29" s="166" t="s">
        <v>249</v>
      </c>
      <c r="F29" s="166" t="s">
        <v>249</v>
      </c>
      <c r="G29" s="166" t="s">
        <v>249</v>
      </c>
      <c r="H29" s="166" t="s">
        <v>249</v>
      </c>
      <c r="I29" s="166" t="s">
        <v>249</v>
      </c>
      <c r="J29" s="171">
        <f t="shared" ref="J29:J30" si="9">D29</f>
        <v>33</v>
      </c>
      <c r="L29"/>
    </row>
    <row r="30" spans="1:12" ht="21" customHeight="1" x14ac:dyDescent="0.15">
      <c r="A30" s="242">
        <v>30043029</v>
      </c>
      <c r="B30" s="183">
        <v>0</v>
      </c>
      <c r="C30" s="183">
        <v>3</v>
      </c>
      <c r="D30" s="183">
        <v>33</v>
      </c>
      <c r="E30" s="183" t="s">
        <v>249</v>
      </c>
      <c r="F30" s="183" t="s">
        <v>249</v>
      </c>
      <c r="G30" s="183" t="s">
        <v>249</v>
      </c>
      <c r="H30" s="183" t="s">
        <v>249</v>
      </c>
      <c r="I30" s="183" t="s">
        <v>249</v>
      </c>
      <c r="J30" s="47">
        <f t="shared" si="9"/>
        <v>33</v>
      </c>
      <c r="L30"/>
    </row>
  </sheetData>
  <autoFilter ref="A1:G1"/>
  <phoneticPr fontId="5"/>
  <conditionalFormatting sqref="K2">
    <cfRule type="duplicateValues" dxfId="13" priority="13"/>
  </conditionalFormatting>
  <conditionalFormatting sqref="K9">
    <cfRule type="duplicateValues" dxfId="12" priority="12"/>
  </conditionalFormatting>
  <conditionalFormatting sqref="K16">
    <cfRule type="duplicateValues" dxfId="11" priority="11"/>
  </conditionalFormatting>
  <conditionalFormatting sqref="K26">
    <cfRule type="duplicateValues" dxfId="10" priority="10"/>
  </conditionalFormatting>
  <conditionalFormatting sqref="K21">
    <cfRule type="duplicateValues" dxfId="9" priority="9"/>
  </conditionalFormatting>
  <conditionalFormatting sqref="K22">
    <cfRule type="duplicateValues" dxfId="8" priority="8"/>
  </conditionalFormatting>
  <conditionalFormatting sqref="K11">
    <cfRule type="duplicateValues" dxfId="7" priority="7"/>
  </conditionalFormatting>
  <conditionalFormatting sqref="K17">
    <cfRule type="duplicateValues" dxfId="6" priority="6"/>
  </conditionalFormatting>
  <conditionalFormatting sqref="K20">
    <cfRule type="duplicateValues" dxfId="5" priority="5"/>
  </conditionalFormatting>
  <conditionalFormatting sqref="K6">
    <cfRule type="duplicateValues" dxfId="4" priority="4"/>
  </conditionalFormatting>
  <conditionalFormatting sqref="K25">
    <cfRule type="duplicateValues" dxfId="3" priority="3"/>
  </conditionalFormatting>
  <conditionalFormatting sqref="K31:K1048576 K27:K28 K1 K3:K5 K10 K18:K19 K23:K24 K7:K8 K12:K15">
    <cfRule type="duplicateValues" dxfId="2" priority="15"/>
  </conditionalFormatting>
  <conditionalFormatting sqref="K29">
    <cfRule type="duplicateValues" dxfId="1" priority="2"/>
  </conditionalFormatting>
  <conditionalFormatting sqref="K30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33"/>
  <sheetViews>
    <sheetView workbookViewId="0">
      <selection activeCell="N2" sqref="N2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3" t="s">
        <v>149</v>
      </c>
      <c r="B1" s="63" t="s">
        <v>150</v>
      </c>
      <c r="C1" s="64" t="s">
        <v>151</v>
      </c>
      <c r="D1" s="69" t="s">
        <v>152</v>
      </c>
      <c r="E1" s="65" t="s">
        <v>153</v>
      </c>
      <c r="F1" s="63" t="s">
        <v>154</v>
      </c>
      <c r="G1" s="63" t="s">
        <v>155</v>
      </c>
      <c r="H1" s="63" t="s">
        <v>156</v>
      </c>
      <c r="I1" s="63" t="s">
        <v>157</v>
      </c>
      <c r="J1" s="63" t="s">
        <v>158</v>
      </c>
      <c r="K1" s="63" t="s">
        <v>159</v>
      </c>
      <c r="L1" s="63" t="s">
        <v>160</v>
      </c>
      <c r="M1" s="63" t="s">
        <v>161</v>
      </c>
      <c r="N1" s="63" t="s">
        <v>162</v>
      </c>
      <c r="O1" s="63" t="s">
        <v>163</v>
      </c>
      <c r="P1" s="63" t="s">
        <v>164</v>
      </c>
      <c r="Q1" s="63" t="s">
        <v>165</v>
      </c>
      <c r="R1" s="63" t="s">
        <v>166</v>
      </c>
    </row>
    <row r="2" spans="1:18" x14ac:dyDescent="0.15">
      <c r="A2" s="57">
        <f>floors!C$2</f>
        <v>30043</v>
      </c>
      <c r="B2" s="57">
        <v>1</v>
      </c>
      <c r="C2" s="57" t="str">
        <f>A2&amp; "_"&amp;B2</f>
        <v>30043_1</v>
      </c>
      <c r="D2" s="101" t="str">
        <f ca="1">VLOOKUP($C2,OFFSET([2]stages!$A$1,0,0,COUNTA([2]stages!$A:$A),MATCH(D$1,[2]stages!$2:$2,0)-MATCH($C$1,[2]stages!$2:$2,0)+1),MATCH(D$1,[2]stages!$2:$2,0)-MATCH($C$1,[2]stages!$2:$2,0)+1,FALSE)</f>
        <v>everyone</v>
      </c>
      <c r="E2" s="57">
        <v>1</v>
      </c>
      <c r="F2" s="57" t="s">
        <v>167</v>
      </c>
      <c r="G2" s="57">
        <v>3200</v>
      </c>
      <c r="H2" s="57" t="s">
        <v>340</v>
      </c>
      <c r="I2" s="57">
        <v>1</v>
      </c>
      <c r="J2" s="57">
        <v>1</v>
      </c>
      <c r="K2" s="57">
        <v>0</v>
      </c>
      <c r="L2" s="57">
        <v>0</v>
      </c>
      <c r="M2" s="57">
        <v>0</v>
      </c>
      <c r="N2" s="57">
        <v>0</v>
      </c>
      <c r="O2" s="57">
        <v>1</v>
      </c>
      <c r="P2" s="57">
        <v>200</v>
      </c>
      <c r="Q2" s="57" t="s">
        <v>168</v>
      </c>
      <c r="R2" s="57" t="s">
        <v>169</v>
      </c>
    </row>
    <row r="3" spans="1:18" x14ac:dyDescent="0.15">
      <c r="A3" s="57">
        <f>floors!C$2</f>
        <v>30043</v>
      </c>
      <c r="B3" s="57">
        <v>1</v>
      </c>
      <c r="C3" s="57" t="str">
        <f t="shared" ref="C3:C33" si="0">A3&amp; "_"&amp;B3</f>
        <v>30043_1</v>
      </c>
      <c r="D3" s="101" t="str">
        <f ca="1">VLOOKUP($C3,OFFSET([2]stages!$A$1,0,0,COUNTA([2]stages!$A:$A),MATCH(D$1,[2]stages!$2:$2,0)-MATCH($C$1,[2]stages!$2:$2,0)+1),MATCH(D$1,[2]stages!$2:$2,0)-MATCH($C$1,[2]stages!$2:$2,0)+1,FALSE)</f>
        <v>everyone</v>
      </c>
      <c r="E3" s="57">
        <v>2</v>
      </c>
      <c r="F3" s="57" t="s">
        <v>276</v>
      </c>
      <c r="G3" s="57">
        <v>20</v>
      </c>
      <c r="H3" s="57" t="s">
        <v>340</v>
      </c>
      <c r="I3" s="57">
        <v>1</v>
      </c>
      <c r="J3" s="57">
        <v>1</v>
      </c>
      <c r="K3" s="57">
        <v>0</v>
      </c>
      <c r="L3" s="57">
        <v>0</v>
      </c>
      <c r="M3" s="57">
        <v>0</v>
      </c>
      <c r="N3" s="57">
        <v>0</v>
      </c>
      <c r="O3" s="57">
        <v>1</v>
      </c>
      <c r="P3" s="57">
        <v>200</v>
      </c>
      <c r="Q3" s="57" t="s">
        <v>278</v>
      </c>
      <c r="R3" s="57" t="s">
        <v>279</v>
      </c>
    </row>
    <row r="4" spans="1:18" x14ac:dyDescent="0.15">
      <c r="A4" s="57">
        <f>floors!C$2</f>
        <v>30043</v>
      </c>
      <c r="B4" s="57">
        <v>1</v>
      </c>
      <c r="C4" s="57" t="str">
        <f t="shared" si="0"/>
        <v>30043_1</v>
      </c>
      <c r="D4" s="101" t="str">
        <f ca="1">VLOOKUP($C4,OFFSET([2]stages!$A$1,0,0,COUNTA([2]stages!$A:$A),MATCH(D$1,[2]stages!$2:$2,0)-MATCH($C$1,[2]stages!$2:$2,0)+1),MATCH(D$1,[2]stages!$2:$2,0)-MATCH($C$1,[2]stages!$2:$2,0)+1,FALSE)</f>
        <v>everyone</v>
      </c>
      <c r="E4" s="57">
        <v>3</v>
      </c>
      <c r="F4" s="57" t="s">
        <v>277</v>
      </c>
      <c r="G4" s="206">
        <v>344</v>
      </c>
      <c r="H4" s="57">
        <v>1</v>
      </c>
      <c r="I4" s="57">
        <v>1</v>
      </c>
      <c r="J4" s="57">
        <v>1</v>
      </c>
      <c r="K4" s="57">
        <v>0</v>
      </c>
      <c r="L4" s="57">
        <v>0</v>
      </c>
      <c r="M4" s="57">
        <v>0</v>
      </c>
      <c r="N4" s="57">
        <v>0</v>
      </c>
      <c r="O4" s="57">
        <v>1</v>
      </c>
      <c r="P4" s="57">
        <v>70</v>
      </c>
      <c r="Q4" s="57" t="s">
        <v>280</v>
      </c>
      <c r="R4" s="57" t="s">
        <v>281</v>
      </c>
    </row>
    <row r="5" spans="1:18" x14ac:dyDescent="0.15">
      <c r="A5" s="57">
        <f>floors!C$2</f>
        <v>30043</v>
      </c>
      <c r="B5" s="57">
        <v>1</v>
      </c>
      <c r="C5" s="57" t="str">
        <f t="shared" si="0"/>
        <v>30043_1</v>
      </c>
      <c r="D5" s="101" t="str">
        <f ca="1">VLOOKUP($C5,OFFSET([2]stages!$A$1,0,0,COUNTA([2]stages!$A:$A),MATCH(D$1,[2]stages!$2:$2,0)-MATCH($C$1,[2]stages!$2:$2,0)+1),MATCH(D$1,[2]stages!$2:$2,0)-MATCH($C$1,[2]stages!$2:$2,0)+1,FALSE)</f>
        <v>everyone</v>
      </c>
      <c r="E5" s="57">
        <v>4</v>
      </c>
      <c r="F5" s="57" t="s">
        <v>277</v>
      </c>
      <c r="G5" s="206">
        <v>345</v>
      </c>
      <c r="H5" s="57">
        <v>1</v>
      </c>
      <c r="I5" s="57">
        <v>1</v>
      </c>
      <c r="J5" s="57">
        <v>1</v>
      </c>
      <c r="K5" s="57">
        <v>0</v>
      </c>
      <c r="L5" s="57">
        <v>0</v>
      </c>
      <c r="M5" s="57">
        <v>0</v>
      </c>
      <c r="N5" s="57">
        <v>0</v>
      </c>
      <c r="O5" s="57">
        <v>1</v>
      </c>
      <c r="P5" s="57">
        <v>70</v>
      </c>
      <c r="Q5" s="57" t="s">
        <v>282</v>
      </c>
      <c r="R5" s="57" t="s">
        <v>283</v>
      </c>
    </row>
    <row r="6" spans="1:18" x14ac:dyDescent="0.15">
      <c r="A6" s="57">
        <f>floors!C$2</f>
        <v>30043</v>
      </c>
      <c r="B6" s="57">
        <v>1</v>
      </c>
      <c r="C6" s="57" t="str">
        <f t="shared" si="0"/>
        <v>30043_1</v>
      </c>
      <c r="D6" s="101" t="str">
        <f ca="1">VLOOKUP($C6,OFFSET([2]stages!$A$1,0,0,COUNTA([2]stages!$A:$A),MATCH(D$1,[2]stages!$2:$2,0)-MATCH($C$1,[2]stages!$2:$2,0)+1),MATCH(D$1,[2]stages!$2:$2,0)-MATCH($C$1,[2]stages!$2:$2,0)+1,FALSE)</f>
        <v>everyone</v>
      </c>
      <c r="E6" s="57">
        <v>5</v>
      </c>
      <c r="F6" s="57" t="s">
        <v>277</v>
      </c>
      <c r="G6" s="57">
        <v>121</v>
      </c>
      <c r="H6" s="57">
        <v>1</v>
      </c>
      <c r="I6" s="57">
        <v>1</v>
      </c>
      <c r="J6" s="57">
        <v>1</v>
      </c>
      <c r="K6" s="57">
        <v>0</v>
      </c>
      <c r="L6" s="57">
        <v>0</v>
      </c>
      <c r="M6" s="57">
        <v>0</v>
      </c>
      <c r="N6" s="57">
        <v>0</v>
      </c>
      <c r="O6" s="57">
        <v>1</v>
      </c>
      <c r="P6" s="57">
        <v>50</v>
      </c>
      <c r="Q6" s="57" t="s">
        <v>284</v>
      </c>
      <c r="R6" s="57" t="s">
        <v>285</v>
      </c>
    </row>
    <row r="7" spans="1:18" x14ac:dyDescent="0.15">
      <c r="A7" s="57">
        <f>floors!C$2</f>
        <v>30043</v>
      </c>
      <c r="B7" s="57">
        <v>1</v>
      </c>
      <c r="C7" s="57" t="str">
        <f t="shared" si="0"/>
        <v>30043_1</v>
      </c>
      <c r="D7" s="101" t="str">
        <f ca="1">VLOOKUP($C7,OFFSET([2]stages!$A$1,0,0,COUNTA([2]stages!$A:$A),MATCH(D$1,[2]stages!$2:$2,0)-MATCH($C$1,[2]stages!$2:$2,0)+1),MATCH(D$1,[2]stages!$2:$2,0)-MATCH($C$1,[2]stages!$2:$2,0)+1,FALSE)</f>
        <v>everyone</v>
      </c>
      <c r="E7" s="57">
        <v>6</v>
      </c>
      <c r="F7" s="57" t="s">
        <v>277</v>
      </c>
      <c r="G7" s="57">
        <v>122</v>
      </c>
      <c r="H7" s="57">
        <v>1</v>
      </c>
      <c r="I7" s="57">
        <v>1</v>
      </c>
      <c r="J7" s="57">
        <v>1</v>
      </c>
      <c r="K7" s="57">
        <v>0</v>
      </c>
      <c r="L7" s="57">
        <v>0</v>
      </c>
      <c r="M7" s="57">
        <v>0</v>
      </c>
      <c r="N7" s="57">
        <v>0</v>
      </c>
      <c r="O7" s="57">
        <v>1</v>
      </c>
      <c r="P7" s="57">
        <v>50</v>
      </c>
      <c r="Q7" s="57" t="s">
        <v>286</v>
      </c>
      <c r="R7" s="57" t="s">
        <v>287</v>
      </c>
    </row>
    <row r="8" spans="1:18" x14ac:dyDescent="0.15">
      <c r="A8" s="57">
        <f>floors!C$2</f>
        <v>30043</v>
      </c>
      <c r="B8" s="57">
        <v>1</v>
      </c>
      <c r="C8" s="57" t="str">
        <f t="shared" si="0"/>
        <v>30043_1</v>
      </c>
      <c r="D8" s="101" t="str">
        <f ca="1">VLOOKUP($C8,OFFSET([2]stages!$A$1,0,0,COUNTA([2]stages!$A:$A),MATCH(D$1,[2]stages!$2:$2,0)-MATCH($C$1,[2]stages!$2:$2,0)+1),MATCH(D$1,[2]stages!$2:$2,0)-MATCH($C$1,[2]stages!$2:$2,0)+1,FALSE)</f>
        <v>everyone</v>
      </c>
      <c r="E8" s="57">
        <v>7</v>
      </c>
      <c r="F8" s="57" t="s">
        <v>277</v>
      </c>
      <c r="G8" s="57">
        <v>123</v>
      </c>
      <c r="H8" s="57">
        <v>1</v>
      </c>
      <c r="I8" s="57">
        <v>1</v>
      </c>
      <c r="J8" s="57">
        <v>1</v>
      </c>
      <c r="K8" s="57">
        <v>0</v>
      </c>
      <c r="L8" s="57">
        <v>0</v>
      </c>
      <c r="M8" s="57">
        <v>0</v>
      </c>
      <c r="N8" s="57">
        <v>0</v>
      </c>
      <c r="O8" s="57">
        <v>1</v>
      </c>
      <c r="P8" s="57">
        <v>50</v>
      </c>
      <c r="Q8" s="57" t="s">
        <v>288</v>
      </c>
      <c r="R8" s="57" t="s">
        <v>289</v>
      </c>
    </row>
    <row r="9" spans="1:18" x14ac:dyDescent="0.15">
      <c r="A9" s="57">
        <f>floors!C$2</f>
        <v>30043</v>
      </c>
      <c r="B9" s="57">
        <v>1</v>
      </c>
      <c r="C9" s="57" t="str">
        <f t="shared" si="0"/>
        <v>30043_1</v>
      </c>
      <c r="D9" s="101" t="str">
        <f ca="1">VLOOKUP($C9,OFFSET([2]stages!$A$1,0,0,COUNTA([2]stages!$A:$A),MATCH(D$1,[2]stages!$2:$2,0)-MATCH($C$1,[2]stages!$2:$2,0)+1),MATCH(D$1,[2]stages!$2:$2,0)-MATCH($C$1,[2]stages!$2:$2,0)+1,FALSE)</f>
        <v>everyone</v>
      </c>
      <c r="E9" s="57">
        <v>8</v>
      </c>
      <c r="F9" s="57" t="s">
        <v>277</v>
      </c>
      <c r="G9" s="57">
        <v>125</v>
      </c>
      <c r="H9" s="57">
        <v>1</v>
      </c>
      <c r="I9" s="57">
        <v>1</v>
      </c>
      <c r="J9" s="57">
        <v>1</v>
      </c>
      <c r="K9" s="57">
        <v>0</v>
      </c>
      <c r="L9" s="57">
        <v>0</v>
      </c>
      <c r="M9" s="57">
        <v>0</v>
      </c>
      <c r="N9" s="57">
        <v>0</v>
      </c>
      <c r="O9" s="57">
        <v>1</v>
      </c>
      <c r="P9" s="57">
        <v>10</v>
      </c>
      <c r="Q9" s="57" t="s">
        <v>290</v>
      </c>
      <c r="R9" s="57" t="s">
        <v>291</v>
      </c>
    </row>
    <row r="10" spans="1:18" x14ac:dyDescent="0.15">
      <c r="A10" s="57">
        <f>floors!C$2</f>
        <v>30043</v>
      </c>
      <c r="B10" s="57">
        <v>1</v>
      </c>
      <c r="C10" s="57" t="str">
        <f t="shared" si="0"/>
        <v>30043_1</v>
      </c>
      <c r="D10" s="101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57">
        <v>9</v>
      </c>
      <c r="F10" s="57" t="s">
        <v>277</v>
      </c>
      <c r="G10" s="61">
        <v>1145</v>
      </c>
      <c r="H10" s="57">
        <v>1</v>
      </c>
      <c r="I10" s="57">
        <v>1</v>
      </c>
      <c r="J10" s="57">
        <v>1</v>
      </c>
      <c r="K10" s="57">
        <v>0</v>
      </c>
      <c r="L10" s="57">
        <v>0</v>
      </c>
      <c r="M10" s="57">
        <v>0</v>
      </c>
      <c r="N10" s="57">
        <v>0</v>
      </c>
      <c r="O10" s="57">
        <v>1</v>
      </c>
      <c r="P10" s="259">
        <v>200</v>
      </c>
      <c r="Q10" s="57" t="s">
        <v>292</v>
      </c>
      <c r="R10" s="57" t="s">
        <v>293</v>
      </c>
    </row>
    <row r="11" spans="1:18" ht="16" thickBot="1" x14ac:dyDescent="0.2">
      <c r="A11" s="197">
        <f>floors!C$2</f>
        <v>30043</v>
      </c>
      <c r="B11" s="197">
        <v>1</v>
      </c>
      <c r="C11" s="197" t="str">
        <f t="shared" si="0"/>
        <v>30043_1</v>
      </c>
      <c r="D11" s="198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197">
        <v>10</v>
      </c>
      <c r="F11" s="197" t="s">
        <v>277</v>
      </c>
      <c r="G11" s="209">
        <v>354</v>
      </c>
      <c r="H11" s="197">
        <v>1</v>
      </c>
      <c r="I11" s="197">
        <v>1</v>
      </c>
      <c r="J11" s="197">
        <v>1</v>
      </c>
      <c r="K11" s="197">
        <v>0</v>
      </c>
      <c r="L11" s="197">
        <v>0</v>
      </c>
      <c r="M11" s="197">
        <v>0</v>
      </c>
      <c r="N11" s="197">
        <v>0</v>
      </c>
      <c r="O11" s="197">
        <v>1</v>
      </c>
      <c r="P11" s="197">
        <v>100</v>
      </c>
      <c r="Q11" s="197" t="s">
        <v>294</v>
      </c>
      <c r="R11" s="197" t="s">
        <v>295</v>
      </c>
    </row>
    <row r="12" spans="1:18" ht="16" thickTop="1" x14ac:dyDescent="0.15">
      <c r="A12" s="199">
        <f>floors!C$2</f>
        <v>30043</v>
      </c>
      <c r="B12" s="199">
        <v>2</v>
      </c>
      <c r="C12" s="199" t="str">
        <f t="shared" si="0"/>
        <v>30043_2</v>
      </c>
      <c r="D12" s="200" t="str">
        <f ca="1">VLOOKUP($C12,OFFSET([2]stages!$A$1,0,0,COUNTA([2]stages!$A:$A),MATCH(D$1,[2]stages!$2:$2,0)-MATCH($C$1,[2]stages!$2:$2,0)+1),MATCH(D$1,[2]stages!$2:$2,0)-MATCH($C$1,[2]stages!$2:$2,0)+1,FALSE)</f>
        <v>everyone</v>
      </c>
      <c r="E12" s="199">
        <v>11</v>
      </c>
      <c r="F12" s="199" t="s">
        <v>167</v>
      </c>
      <c r="G12" s="199">
        <v>5000</v>
      </c>
      <c r="H12" s="199" t="s">
        <v>340</v>
      </c>
      <c r="I12" s="199">
        <v>1</v>
      </c>
      <c r="J12" s="199">
        <v>1</v>
      </c>
      <c r="K12" s="199">
        <v>0</v>
      </c>
      <c r="L12" s="199">
        <v>0</v>
      </c>
      <c r="M12" s="199">
        <v>0</v>
      </c>
      <c r="N12" s="199">
        <v>0</v>
      </c>
      <c r="O12" s="199">
        <v>1</v>
      </c>
      <c r="P12" s="199">
        <v>200</v>
      </c>
      <c r="Q12" s="199" t="s">
        <v>296</v>
      </c>
      <c r="R12" s="199" t="s">
        <v>297</v>
      </c>
    </row>
    <row r="13" spans="1:18" x14ac:dyDescent="0.15">
      <c r="A13" s="201">
        <f>floors!C$2</f>
        <v>30043</v>
      </c>
      <c r="B13" s="199">
        <v>2</v>
      </c>
      <c r="C13" s="201" t="str">
        <f t="shared" si="0"/>
        <v>30043_2</v>
      </c>
      <c r="D13" s="102" t="str">
        <f ca="1">VLOOKUP($C13,OFFSET([2]stages!$A$1,0,0,COUNTA([2]stages!$A:$A),MATCH(D$1,[2]stages!$2:$2,0)-MATCH($C$1,[2]stages!$2:$2,0)+1),MATCH(D$1,[2]stages!$2:$2,0)-MATCH($C$1,[2]stages!$2:$2,0)+1,FALSE)</f>
        <v>everyone</v>
      </c>
      <c r="E13" s="201">
        <v>12</v>
      </c>
      <c r="F13" s="201" t="s">
        <v>276</v>
      </c>
      <c r="G13" s="201">
        <v>25</v>
      </c>
      <c r="H13" s="201" t="s">
        <v>340</v>
      </c>
      <c r="I13" s="201">
        <v>1</v>
      </c>
      <c r="J13" s="201">
        <v>1</v>
      </c>
      <c r="K13" s="201">
        <v>0</v>
      </c>
      <c r="L13" s="201">
        <v>0</v>
      </c>
      <c r="M13" s="201">
        <v>0</v>
      </c>
      <c r="N13" s="201">
        <v>0</v>
      </c>
      <c r="O13" s="201">
        <v>1</v>
      </c>
      <c r="P13" s="201">
        <v>150</v>
      </c>
      <c r="Q13" s="201" t="s">
        <v>298</v>
      </c>
      <c r="R13" s="201" t="s">
        <v>299</v>
      </c>
    </row>
    <row r="14" spans="1:18" x14ac:dyDescent="0.15">
      <c r="A14" s="201">
        <f>floors!C$2</f>
        <v>30043</v>
      </c>
      <c r="B14" s="199">
        <v>2</v>
      </c>
      <c r="C14" s="201" t="str">
        <f t="shared" si="0"/>
        <v>30043_2</v>
      </c>
      <c r="D14" s="102" t="str">
        <f ca="1">VLOOKUP($C14,OFFSET([2]stages!$A$1,0,0,COUNTA([2]stages!$A:$A),MATCH(D$1,[2]stages!$2:$2,0)-MATCH($C$1,[2]stages!$2:$2,0)+1),MATCH(D$1,[2]stages!$2:$2,0)-MATCH($C$1,[2]stages!$2:$2,0)+1,FALSE)</f>
        <v>everyone</v>
      </c>
      <c r="E14" s="201">
        <v>13</v>
      </c>
      <c r="F14" s="201" t="s">
        <v>277</v>
      </c>
      <c r="G14" s="207">
        <v>344</v>
      </c>
      <c r="H14" s="201">
        <v>1</v>
      </c>
      <c r="I14" s="201">
        <v>1</v>
      </c>
      <c r="J14" s="201">
        <v>1</v>
      </c>
      <c r="K14" s="201">
        <v>0</v>
      </c>
      <c r="L14" s="201">
        <v>0</v>
      </c>
      <c r="M14" s="201">
        <v>0</v>
      </c>
      <c r="N14" s="201">
        <v>0</v>
      </c>
      <c r="O14" s="201">
        <v>1</v>
      </c>
      <c r="P14" s="201">
        <v>56</v>
      </c>
      <c r="Q14" s="201" t="s">
        <v>300</v>
      </c>
      <c r="R14" s="201" t="s">
        <v>301</v>
      </c>
    </row>
    <row r="15" spans="1:18" x14ac:dyDescent="0.15">
      <c r="A15" s="201">
        <f>floors!C$2</f>
        <v>30043</v>
      </c>
      <c r="B15" s="199">
        <v>2</v>
      </c>
      <c r="C15" s="201" t="str">
        <f t="shared" si="0"/>
        <v>30043_2</v>
      </c>
      <c r="D15" s="102" t="str">
        <f ca="1">VLOOKUP($C15,OFFSET([2]stages!$A$1,0,0,COUNTA([2]stages!$A:$A),MATCH(D$1,[2]stages!$2:$2,0)-MATCH($C$1,[2]stages!$2:$2,0)+1),MATCH(D$1,[2]stages!$2:$2,0)-MATCH($C$1,[2]stages!$2:$2,0)+1,FALSE)</f>
        <v>everyone</v>
      </c>
      <c r="E15" s="201">
        <v>14</v>
      </c>
      <c r="F15" s="201" t="s">
        <v>277</v>
      </c>
      <c r="G15" s="207">
        <v>345</v>
      </c>
      <c r="H15" s="201">
        <v>1</v>
      </c>
      <c r="I15" s="201">
        <v>1</v>
      </c>
      <c r="J15" s="201">
        <v>1</v>
      </c>
      <c r="K15" s="201">
        <v>0</v>
      </c>
      <c r="L15" s="201">
        <v>0</v>
      </c>
      <c r="M15" s="201">
        <v>0</v>
      </c>
      <c r="N15" s="201">
        <v>0</v>
      </c>
      <c r="O15" s="201">
        <v>1</v>
      </c>
      <c r="P15" s="201">
        <v>56</v>
      </c>
      <c r="Q15" s="201" t="s">
        <v>302</v>
      </c>
      <c r="R15" s="201" t="s">
        <v>303</v>
      </c>
    </row>
    <row r="16" spans="1:18" x14ac:dyDescent="0.15">
      <c r="A16" s="201">
        <f>floors!C$2</f>
        <v>30043</v>
      </c>
      <c r="B16" s="199">
        <v>2</v>
      </c>
      <c r="C16" s="201" t="str">
        <f t="shared" si="0"/>
        <v>30043_2</v>
      </c>
      <c r="D16" s="102" t="str">
        <f ca="1">VLOOKUP($C16,OFFSET([2]stages!$A$1,0,0,COUNTA([2]stages!$A:$A),MATCH(D$1,[2]stages!$2:$2,0)-MATCH($C$1,[2]stages!$2:$2,0)+1),MATCH(D$1,[2]stages!$2:$2,0)-MATCH($C$1,[2]stages!$2:$2,0)+1,FALSE)</f>
        <v>everyone</v>
      </c>
      <c r="E16" s="201">
        <v>15</v>
      </c>
      <c r="F16" s="201" t="s">
        <v>277</v>
      </c>
      <c r="G16" s="207">
        <v>346</v>
      </c>
      <c r="H16" s="201">
        <v>1</v>
      </c>
      <c r="I16" s="201">
        <v>1</v>
      </c>
      <c r="J16" s="201">
        <v>1</v>
      </c>
      <c r="K16" s="201">
        <v>0</v>
      </c>
      <c r="L16" s="201">
        <v>0</v>
      </c>
      <c r="M16" s="201">
        <v>0</v>
      </c>
      <c r="N16" s="201">
        <v>0</v>
      </c>
      <c r="O16" s="201">
        <v>1</v>
      </c>
      <c r="P16" s="201">
        <v>28</v>
      </c>
      <c r="Q16" s="201" t="s">
        <v>304</v>
      </c>
      <c r="R16" s="201" t="s">
        <v>305</v>
      </c>
    </row>
    <row r="17" spans="1:18" x14ac:dyDescent="0.15">
      <c r="A17" s="201">
        <f>floors!C$2</f>
        <v>30043</v>
      </c>
      <c r="B17" s="199">
        <v>2</v>
      </c>
      <c r="C17" s="201" t="str">
        <f t="shared" si="0"/>
        <v>30043_2</v>
      </c>
      <c r="D17" s="102" t="str">
        <f ca="1">VLOOKUP($C17,OFFSET([2]stages!$A$1,0,0,COUNTA([2]stages!$A:$A),MATCH(D$1,[2]stages!$2:$2,0)-MATCH($C$1,[2]stages!$2:$2,0)+1),MATCH(D$1,[2]stages!$2:$2,0)-MATCH($C$1,[2]stages!$2:$2,0)+1,FALSE)</f>
        <v>everyone</v>
      </c>
      <c r="E17" s="201">
        <v>16</v>
      </c>
      <c r="F17" s="201" t="s">
        <v>277</v>
      </c>
      <c r="G17" s="201">
        <v>121</v>
      </c>
      <c r="H17" s="201">
        <v>1</v>
      </c>
      <c r="I17" s="201">
        <v>1</v>
      </c>
      <c r="J17" s="201">
        <v>1</v>
      </c>
      <c r="K17" s="201">
        <v>0</v>
      </c>
      <c r="L17" s="201">
        <v>0</v>
      </c>
      <c r="M17" s="201">
        <v>0</v>
      </c>
      <c r="N17" s="201">
        <v>0</v>
      </c>
      <c r="O17" s="201">
        <v>1</v>
      </c>
      <c r="P17" s="201">
        <v>50</v>
      </c>
      <c r="Q17" s="201" t="s">
        <v>306</v>
      </c>
      <c r="R17" s="201" t="s">
        <v>307</v>
      </c>
    </row>
    <row r="18" spans="1:18" x14ac:dyDescent="0.15">
      <c r="A18" s="201">
        <f>floors!C$2</f>
        <v>30043</v>
      </c>
      <c r="B18" s="199">
        <v>2</v>
      </c>
      <c r="C18" s="201" t="str">
        <f t="shared" si="0"/>
        <v>30043_2</v>
      </c>
      <c r="D18" s="102" t="str">
        <f ca="1">VLOOKUP($C18,OFFSET([2]stages!$A$1,0,0,COUNTA([2]stages!$A:$A),MATCH(D$1,[2]stages!$2:$2,0)-MATCH($C$1,[2]stages!$2:$2,0)+1),MATCH(D$1,[2]stages!$2:$2,0)-MATCH($C$1,[2]stages!$2:$2,0)+1,FALSE)</f>
        <v>everyone</v>
      </c>
      <c r="E18" s="201">
        <v>17</v>
      </c>
      <c r="F18" s="201" t="s">
        <v>277</v>
      </c>
      <c r="G18" s="201">
        <v>122</v>
      </c>
      <c r="H18" s="201">
        <v>1</v>
      </c>
      <c r="I18" s="201">
        <v>1</v>
      </c>
      <c r="J18" s="201">
        <v>1</v>
      </c>
      <c r="K18" s="201">
        <v>0</v>
      </c>
      <c r="L18" s="201">
        <v>0</v>
      </c>
      <c r="M18" s="201">
        <v>0</v>
      </c>
      <c r="N18" s="201">
        <v>0</v>
      </c>
      <c r="O18" s="201">
        <v>1</v>
      </c>
      <c r="P18" s="201">
        <v>50</v>
      </c>
      <c r="Q18" s="201" t="s">
        <v>308</v>
      </c>
      <c r="R18" s="201" t="s">
        <v>309</v>
      </c>
    </row>
    <row r="19" spans="1:18" x14ac:dyDescent="0.15">
      <c r="A19" s="201">
        <f>floors!C$2</f>
        <v>30043</v>
      </c>
      <c r="B19" s="199">
        <v>2</v>
      </c>
      <c r="C19" s="201" t="str">
        <f t="shared" si="0"/>
        <v>30043_2</v>
      </c>
      <c r="D19" s="102" t="str">
        <f ca="1">VLOOKUP($C19,OFFSET([2]stages!$A$1,0,0,COUNTA([2]stages!$A:$A),MATCH(D$1,[2]stages!$2:$2,0)-MATCH($C$1,[2]stages!$2:$2,0)+1),MATCH(D$1,[2]stages!$2:$2,0)-MATCH($C$1,[2]stages!$2:$2,0)+1,FALSE)</f>
        <v>everyone</v>
      </c>
      <c r="E19" s="201">
        <v>18</v>
      </c>
      <c r="F19" s="201" t="s">
        <v>277</v>
      </c>
      <c r="G19" s="201">
        <v>123</v>
      </c>
      <c r="H19" s="201">
        <v>1</v>
      </c>
      <c r="I19" s="201">
        <v>1</v>
      </c>
      <c r="J19" s="201">
        <v>1</v>
      </c>
      <c r="K19" s="201">
        <v>0</v>
      </c>
      <c r="L19" s="201">
        <v>0</v>
      </c>
      <c r="M19" s="201">
        <v>0</v>
      </c>
      <c r="N19" s="201">
        <v>0</v>
      </c>
      <c r="O19" s="201">
        <v>1</v>
      </c>
      <c r="P19" s="201">
        <v>50</v>
      </c>
      <c r="Q19" s="201" t="s">
        <v>310</v>
      </c>
      <c r="R19" s="201" t="s">
        <v>311</v>
      </c>
    </row>
    <row r="20" spans="1:18" x14ac:dyDescent="0.15">
      <c r="A20" s="201">
        <f>floors!C$2</f>
        <v>30043</v>
      </c>
      <c r="B20" s="199">
        <v>2</v>
      </c>
      <c r="C20" s="201" t="str">
        <f t="shared" si="0"/>
        <v>30043_2</v>
      </c>
      <c r="D20" s="102" t="str">
        <f ca="1">VLOOKUP($C20,OFFSET([2]stages!$A$1,0,0,COUNTA([2]stages!$A:$A),MATCH(D$1,[2]stages!$2:$2,0)-MATCH($C$1,[2]stages!$2:$2,0)+1),MATCH(D$1,[2]stages!$2:$2,0)-MATCH($C$1,[2]stages!$2:$2,0)+1,FALSE)</f>
        <v>everyone</v>
      </c>
      <c r="E20" s="201">
        <v>19</v>
      </c>
      <c r="F20" s="201" t="s">
        <v>277</v>
      </c>
      <c r="G20" s="201">
        <v>125</v>
      </c>
      <c r="H20" s="201">
        <v>1</v>
      </c>
      <c r="I20" s="201">
        <v>1</v>
      </c>
      <c r="J20" s="201">
        <v>1</v>
      </c>
      <c r="K20" s="201">
        <v>0</v>
      </c>
      <c r="L20" s="201">
        <v>0</v>
      </c>
      <c r="M20" s="201">
        <v>0</v>
      </c>
      <c r="N20" s="201">
        <v>0</v>
      </c>
      <c r="O20" s="201">
        <v>1</v>
      </c>
      <c r="P20" s="201">
        <v>10</v>
      </c>
      <c r="Q20" s="201" t="s">
        <v>312</v>
      </c>
      <c r="R20" s="201" t="s">
        <v>313</v>
      </c>
    </row>
    <row r="21" spans="1:18" x14ac:dyDescent="0.15">
      <c r="A21" s="201">
        <f>floors!C$2</f>
        <v>30043</v>
      </c>
      <c r="B21" s="199">
        <v>2</v>
      </c>
      <c r="C21" s="201" t="str">
        <f t="shared" si="0"/>
        <v>30043_2</v>
      </c>
      <c r="D21" s="102" t="str">
        <f ca="1">VLOOKUP($C21,OFFSET([2]stages!$A$1,0,0,COUNTA([2]stages!$A:$A),MATCH(D$1,[2]stages!$2:$2,0)-MATCH($C$1,[2]stages!$2:$2,0)+1),MATCH(D$1,[2]stages!$2:$2,0)-MATCH($C$1,[2]stages!$2:$2,0)+1,FALSE)</f>
        <v>everyone</v>
      </c>
      <c r="E21" s="201">
        <v>20</v>
      </c>
      <c r="F21" s="201" t="s">
        <v>277</v>
      </c>
      <c r="G21" s="61">
        <v>1145</v>
      </c>
      <c r="H21" s="201">
        <v>1</v>
      </c>
      <c r="I21" s="201">
        <v>1</v>
      </c>
      <c r="J21" s="201">
        <v>1</v>
      </c>
      <c r="K21" s="201">
        <v>0</v>
      </c>
      <c r="L21" s="201">
        <v>0</v>
      </c>
      <c r="M21" s="201">
        <v>0</v>
      </c>
      <c r="N21" s="201">
        <v>0</v>
      </c>
      <c r="O21" s="201">
        <v>1</v>
      </c>
      <c r="P21" s="260">
        <v>250</v>
      </c>
      <c r="Q21" s="201" t="s">
        <v>314</v>
      </c>
      <c r="R21" s="201" t="s">
        <v>315</v>
      </c>
    </row>
    <row r="22" spans="1:18" ht="16" thickBot="1" x14ac:dyDescent="0.2">
      <c r="A22" s="202">
        <f>floors!C$2</f>
        <v>30043</v>
      </c>
      <c r="B22" s="202">
        <v>2</v>
      </c>
      <c r="C22" s="202" t="str">
        <f t="shared" si="0"/>
        <v>30043_2</v>
      </c>
      <c r="D22" s="203" t="str">
        <f ca="1">VLOOKUP($C22,OFFSET([2]stages!$A$1,0,0,COUNTA([2]stages!$A:$A),MATCH(D$1,[2]stages!$2:$2,0)-MATCH($C$1,[2]stages!$2:$2,0)+1),MATCH(D$1,[2]stages!$2:$2,0)-MATCH($C$1,[2]stages!$2:$2,0)+1,FALSE)</f>
        <v>everyone</v>
      </c>
      <c r="E22" s="202">
        <v>21</v>
      </c>
      <c r="F22" s="202" t="s">
        <v>277</v>
      </c>
      <c r="G22" s="208">
        <v>354</v>
      </c>
      <c r="H22" s="202">
        <v>1</v>
      </c>
      <c r="I22" s="202">
        <v>1</v>
      </c>
      <c r="J22" s="202">
        <v>1</v>
      </c>
      <c r="K22" s="202">
        <v>0</v>
      </c>
      <c r="L22" s="202">
        <v>0</v>
      </c>
      <c r="M22" s="202">
        <v>0</v>
      </c>
      <c r="N22" s="202">
        <v>0</v>
      </c>
      <c r="O22" s="202">
        <v>1</v>
      </c>
      <c r="P22" s="202">
        <v>100</v>
      </c>
      <c r="Q22" s="202" t="s">
        <v>316</v>
      </c>
      <c r="R22" s="202" t="s">
        <v>317</v>
      </c>
    </row>
    <row r="23" spans="1:18" ht="16" thickTop="1" x14ac:dyDescent="0.15">
      <c r="A23" s="204">
        <f>floors!C$2</f>
        <v>30043</v>
      </c>
      <c r="B23" s="204">
        <v>3</v>
      </c>
      <c r="C23" s="204" t="str">
        <f t="shared" si="0"/>
        <v>30043_3</v>
      </c>
      <c r="D23" s="205" t="str">
        <f ca="1">VLOOKUP($C23,OFFSET([2]stages!$A$1,0,0,COUNTA([2]stages!$A:$A),MATCH(D$1,[2]stages!$2:$2,0)-MATCH($C$1,[2]stages!$2:$2,0)+1),MATCH(D$1,[2]stages!$2:$2,0)-MATCH($C$1,[2]stages!$2:$2,0)+1,FALSE)</f>
        <v>everyone</v>
      </c>
      <c r="E23" s="204">
        <v>22</v>
      </c>
      <c r="F23" s="204" t="s">
        <v>167</v>
      </c>
      <c r="G23" s="204">
        <v>6500</v>
      </c>
      <c r="H23" s="204" t="s">
        <v>340</v>
      </c>
      <c r="I23" s="204">
        <v>1</v>
      </c>
      <c r="J23" s="204">
        <v>1</v>
      </c>
      <c r="K23" s="204">
        <v>0</v>
      </c>
      <c r="L23" s="204">
        <v>0</v>
      </c>
      <c r="M23" s="204">
        <v>0</v>
      </c>
      <c r="N23" s="204">
        <v>0</v>
      </c>
      <c r="O23" s="204">
        <v>1</v>
      </c>
      <c r="P23" s="204">
        <v>100</v>
      </c>
      <c r="Q23" s="204" t="s">
        <v>318</v>
      </c>
      <c r="R23" s="204" t="s">
        <v>319</v>
      </c>
    </row>
    <row r="24" spans="1:18" x14ac:dyDescent="0.15">
      <c r="A24" s="57">
        <f>floors!C$2</f>
        <v>30043</v>
      </c>
      <c r="B24" s="204">
        <v>3</v>
      </c>
      <c r="C24" s="57" t="str">
        <f t="shared" si="0"/>
        <v>30043_3</v>
      </c>
      <c r="D24" s="101" t="str">
        <f ca="1">VLOOKUP($C24,OFFSET([2]stages!$A$1,0,0,COUNTA([2]stages!$A:$A),MATCH(D$1,[2]stages!$2:$2,0)-MATCH($C$1,[2]stages!$2:$2,0)+1),MATCH(D$1,[2]stages!$2:$2,0)-MATCH($C$1,[2]stages!$2:$2,0)+1,FALSE)</f>
        <v>everyone</v>
      </c>
      <c r="E24" s="57">
        <v>23</v>
      </c>
      <c r="F24" s="57" t="s">
        <v>276</v>
      </c>
      <c r="G24" s="57">
        <v>25</v>
      </c>
      <c r="H24" s="57" t="s">
        <v>340</v>
      </c>
      <c r="I24" s="57">
        <v>1</v>
      </c>
      <c r="J24" s="57">
        <v>1</v>
      </c>
      <c r="K24" s="57">
        <v>0</v>
      </c>
      <c r="L24" s="57">
        <v>0</v>
      </c>
      <c r="M24" s="57">
        <v>0</v>
      </c>
      <c r="N24" s="57">
        <v>0</v>
      </c>
      <c r="O24" s="57">
        <v>1</v>
      </c>
      <c r="P24" s="57">
        <v>100</v>
      </c>
      <c r="Q24" s="57" t="s">
        <v>320</v>
      </c>
      <c r="R24" s="57" t="s">
        <v>321</v>
      </c>
    </row>
    <row r="25" spans="1:18" x14ac:dyDescent="0.15">
      <c r="A25" s="57">
        <f>floors!C$2</f>
        <v>30043</v>
      </c>
      <c r="B25" s="204">
        <v>3</v>
      </c>
      <c r="C25" s="57" t="str">
        <f t="shared" si="0"/>
        <v>30043_3</v>
      </c>
      <c r="D25" s="101" t="str">
        <f ca="1">VLOOKUP($C25,OFFSET([2]stages!$A$1,0,0,COUNTA([2]stages!$A:$A),MATCH(D$1,[2]stages!$2:$2,0)-MATCH($C$1,[2]stages!$2:$2,0)+1),MATCH(D$1,[2]stages!$2:$2,0)-MATCH($C$1,[2]stages!$2:$2,0)+1,FALSE)</f>
        <v>everyone</v>
      </c>
      <c r="E25" s="57">
        <v>24</v>
      </c>
      <c r="F25" s="57" t="s">
        <v>277</v>
      </c>
      <c r="G25" s="206">
        <v>344</v>
      </c>
      <c r="H25" s="57">
        <v>1</v>
      </c>
      <c r="I25" s="57">
        <v>1</v>
      </c>
      <c r="J25" s="57">
        <v>1</v>
      </c>
      <c r="K25" s="57">
        <v>0</v>
      </c>
      <c r="L25" s="57">
        <v>0</v>
      </c>
      <c r="M25" s="57">
        <v>0</v>
      </c>
      <c r="N25" s="57">
        <v>0</v>
      </c>
      <c r="O25" s="57">
        <v>1</v>
      </c>
      <c r="P25" s="57">
        <v>28</v>
      </c>
      <c r="Q25" s="57" t="s">
        <v>322</v>
      </c>
      <c r="R25" s="57" t="s">
        <v>323</v>
      </c>
    </row>
    <row r="26" spans="1:18" x14ac:dyDescent="0.15">
      <c r="A26" s="57">
        <f>floors!C$2</f>
        <v>30043</v>
      </c>
      <c r="B26" s="204">
        <v>3</v>
      </c>
      <c r="C26" s="57" t="str">
        <f t="shared" si="0"/>
        <v>30043_3</v>
      </c>
      <c r="D26" s="101" t="str">
        <f ca="1">VLOOKUP($C26,OFFSET([2]stages!$A$1,0,0,COUNTA([2]stages!$A:$A),MATCH(D$1,[2]stages!$2:$2,0)-MATCH($C$1,[2]stages!$2:$2,0)+1),MATCH(D$1,[2]stages!$2:$2,0)-MATCH($C$1,[2]stages!$2:$2,0)+1,FALSE)</f>
        <v>everyone</v>
      </c>
      <c r="E26" s="57">
        <v>25</v>
      </c>
      <c r="F26" s="57" t="s">
        <v>277</v>
      </c>
      <c r="G26" s="206">
        <v>345</v>
      </c>
      <c r="H26" s="57">
        <v>1</v>
      </c>
      <c r="I26" s="57">
        <v>1</v>
      </c>
      <c r="J26" s="57">
        <v>1</v>
      </c>
      <c r="K26" s="57">
        <v>0</v>
      </c>
      <c r="L26" s="57">
        <v>0</v>
      </c>
      <c r="M26" s="57">
        <v>0</v>
      </c>
      <c r="N26" s="57">
        <v>0</v>
      </c>
      <c r="O26" s="57">
        <v>1</v>
      </c>
      <c r="P26" s="57">
        <v>56</v>
      </c>
      <c r="Q26" s="57" t="s">
        <v>324</v>
      </c>
      <c r="R26" s="57" t="s">
        <v>325</v>
      </c>
    </row>
    <row r="27" spans="1:18" x14ac:dyDescent="0.15">
      <c r="A27" s="57">
        <f>floors!C$2</f>
        <v>30043</v>
      </c>
      <c r="B27" s="204">
        <v>3</v>
      </c>
      <c r="C27" s="57" t="str">
        <f t="shared" si="0"/>
        <v>30043_3</v>
      </c>
      <c r="D27" s="101" t="str">
        <f ca="1">VLOOKUP($C27,OFFSET([2]stages!$A$1,0,0,COUNTA([2]stages!$A:$A),MATCH(D$1,[2]stages!$2:$2,0)-MATCH($C$1,[2]stages!$2:$2,0)+1),MATCH(D$1,[2]stages!$2:$2,0)-MATCH($C$1,[2]stages!$2:$2,0)+1,FALSE)</f>
        <v>everyone</v>
      </c>
      <c r="E27" s="57">
        <v>26</v>
      </c>
      <c r="F27" s="57" t="s">
        <v>277</v>
      </c>
      <c r="G27" s="206">
        <v>346</v>
      </c>
      <c r="H27" s="57">
        <v>1</v>
      </c>
      <c r="I27" s="57">
        <v>1</v>
      </c>
      <c r="J27" s="57">
        <v>1</v>
      </c>
      <c r="K27" s="57">
        <v>0</v>
      </c>
      <c r="L27" s="57">
        <v>0</v>
      </c>
      <c r="M27" s="57">
        <v>0</v>
      </c>
      <c r="N27" s="57">
        <v>0</v>
      </c>
      <c r="O27" s="57">
        <v>1</v>
      </c>
      <c r="P27" s="57">
        <v>56</v>
      </c>
      <c r="Q27" s="57" t="s">
        <v>326</v>
      </c>
      <c r="R27" s="57" t="s">
        <v>327</v>
      </c>
    </row>
    <row r="28" spans="1:18" x14ac:dyDescent="0.15">
      <c r="A28" s="57">
        <f>floors!C$2</f>
        <v>30043</v>
      </c>
      <c r="B28" s="204">
        <v>3</v>
      </c>
      <c r="C28" s="57" t="str">
        <f t="shared" si="0"/>
        <v>30043_3</v>
      </c>
      <c r="D28" s="101" t="str">
        <f ca="1">VLOOKUP($C28,OFFSET([2]stages!$A$1,0,0,COUNTA([2]stages!$A:$A),MATCH(D$1,[2]stages!$2:$2,0)-MATCH($C$1,[2]stages!$2:$2,0)+1),MATCH(D$1,[2]stages!$2:$2,0)-MATCH($C$1,[2]stages!$2:$2,0)+1,FALSE)</f>
        <v>everyone</v>
      </c>
      <c r="E28" s="57">
        <v>27</v>
      </c>
      <c r="F28" s="57" t="s">
        <v>277</v>
      </c>
      <c r="G28" s="57">
        <v>121</v>
      </c>
      <c r="H28" s="57">
        <v>1</v>
      </c>
      <c r="I28" s="57">
        <v>1</v>
      </c>
      <c r="J28" s="57">
        <v>1</v>
      </c>
      <c r="K28" s="57">
        <v>0</v>
      </c>
      <c r="L28" s="57">
        <v>0</v>
      </c>
      <c r="M28" s="57">
        <v>0</v>
      </c>
      <c r="N28" s="57">
        <v>0</v>
      </c>
      <c r="O28" s="57">
        <v>1</v>
      </c>
      <c r="P28" s="57">
        <v>50</v>
      </c>
      <c r="Q28" s="57" t="s">
        <v>328</v>
      </c>
      <c r="R28" s="57" t="s">
        <v>329</v>
      </c>
    </row>
    <row r="29" spans="1:18" x14ac:dyDescent="0.15">
      <c r="A29" s="57">
        <f>floors!C$2</f>
        <v>30043</v>
      </c>
      <c r="B29" s="204">
        <v>3</v>
      </c>
      <c r="C29" s="57" t="str">
        <f t="shared" si="0"/>
        <v>30043_3</v>
      </c>
      <c r="D29" s="101" t="str">
        <f ca="1">VLOOKUP($C29,OFFSET([2]stages!$A$1,0,0,COUNTA([2]stages!$A:$A),MATCH(D$1,[2]stages!$2:$2,0)-MATCH($C$1,[2]stages!$2:$2,0)+1),MATCH(D$1,[2]stages!$2:$2,0)-MATCH($C$1,[2]stages!$2:$2,0)+1,FALSE)</f>
        <v>everyone</v>
      </c>
      <c r="E29" s="57">
        <v>28</v>
      </c>
      <c r="F29" s="57" t="s">
        <v>277</v>
      </c>
      <c r="G29" s="57">
        <v>122</v>
      </c>
      <c r="H29" s="57">
        <v>1</v>
      </c>
      <c r="I29" s="57">
        <v>1</v>
      </c>
      <c r="J29" s="57">
        <v>1</v>
      </c>
      <c r="K29" s="57">
        <v>0</v>
      </c>
      <c r="L29" s="57">
        <v>0</v>
      </c>
      <c r="M29" s="57">
        <v>0</v>
      </c>
      <c r="N29" s="57">
        <v>0</v>
      </c>
      <c r="O29" s="57">
        <v>1</v>
      </c>
      <c r="P29" s="57">
        <v>50</v>
      </c>
      <c r="Q29" s="57" t="s">
        <v>330</v>
      </c>
      <c r="R29" s="57" t="s">
        <v>331</v>
      </c>
    </row>
    <row r="30" spans="1:18" x14ac:dyDescent="0.15">
      <c r="A30" s="57">
        <f>floors!C$2</f>
        <v>30043</v>
      </c>
      <c r="B30" s="204">
        <v>3</v>
      </c>
      <c r="C30" s="57" t="str">
        <f t="shared" si="0"/>
        <v>30043_3</v>
      </c>
      <c r="D30" s="101" t="str">
        <f ca="1">VLOOKUP($C30,OFFSET([2]stages!$A$1,0,0,COUNTA([2]stages!$A:$A),MATCH(D$1,[2]stages!$2:$2,0)-MATCH($C$1,[2]stages!$2:$2,0)+1),MATCH(D$1,[2]stages!$2:$2,0)-MATCH($C$1,[2]stages!$2:$2,0)+1,FALSE)</f>
        <v>everyone</v>
      </c>
      <c r="E30" s="57">
        <v>29</v>
      </c>
      <c r="F30" s="57" t="s">
        <v>277</v>
      </c>
      <c r="G30" s="57">
        <v>123</v>
      </c>
      <c r="H30" s="57">
        <v>1</v>
      </c>
      <c r="I30" s="57">
        <v>1</v>
      </c>
      <c r="J30" s="57">
        <v>1</v>
      </c>
      <c r="K30" s="57">
        <v>0</v>
      </c>
      <c r="L30" s="57">
        <v>0</v>
      </c>
      <c r="M30" s="57">
        <v>0</v>
      </c>
      <c r="N30" s="57">
        <v>0</v>
      </c>
      <c r="O30" s="57">
        <v>1</v>
      </c>
      <c r="P30" s="57">
        <v>50</v>
      </c>
      <c r="Q30" s="57" t="s">
        <v>332</v>
      </c>
      <c r="R30" s="57" t="s">
        <v>333</v>
      </c>
    </row>
    <row r="31" spans="1:18" x14ac:dyDescent="0.15">
      <c r="A31" s="57">
        <f>floors!C$2</f>
        <v>30043</v>
      </c>
      <c r="B31" s="204">
        <v>3</v>
      </c>
      <c r="C31" s="57" t="str">
        <f t="shared" si="0"/>
        <v>30043_3</v>
      </c>
      <c r="D31" s="101" t="str">
        <f ca="1">VLOOKUP($C31,OFFSET([2]stages!$A$1,0,0,COUNTA([2]stages!$A:$A),MATCH(D$1,[2]stages!$2:$2,0)-MATCH($C$1,[2]stages!$2:$2,0)+1),MATCH(D$1,[2]stages!$2:$2,0)-MATCH($C$1,[2]stages!$2:$2,0)+1,FALSE)</f>
        <v>everyone</v>
      </c>
      <c r="E31" s="57">
        <v>30</v>
      </c>
      <c r="F31" s="57" t="s">
        <v>277</v>
      </c>
      <c r="G31" s="57">
        <v>125</v>
      </c>
      <c r="H31" s="57">
        <v>1</v>
      </c>
      <c r="I31" s="57">
        <v>1</v>
      </c>
      <c r="J31" s="57">
        <v>1</v>
      </c>
      <c r="K31" s="57">
        <v>0</v>
      </c>
      <c r="L31" s="57">
        <v>0</v>
      </c>
      <c r="M31" s="57">
        <v>0</v>
      </c>
      <c r="N31" s="57">
        <v>0</v>
      </c>
      <c r="O31" s="57">
        <v>1</v>
      </c>
      <c r="P31" s="57">
        <v>10</v>
      </c>
      <c r="Q31" s="57" t="s">
        <v>334</v>
      </c>
      <c r="R31" s="57" t="s">
        <v>335</v>
      </c>
    </row>
    <row r="32" spans="1:18" x14ac:dyDescent="0.15">
      <c r="A32" s="57">
        <f>floors!C$2</f>
        <v>30043</v>
      </c>
      <c r="B32" s="204">
        <v>3</v>
      </c>
      <c r="C32" s="57" t="str">
        <f t="shared" si="0"/>
        <v>30043_3</v>
      </c>
      <c r="D32" s="101" t="str">
        <f ca="1">VLOOKUP($C32,OFFSET([2]stages!$A$1,0,0,COUNTA([2]stages!$A:$A),MATCH(D$1,[2]stages!$2:$2,0)-MATCH($C$1,[2]stages!$2:$2,0)+1),MATCH(D$1,[2]stages!$2:$2,0)-MATCH($C$1,[2]stages!$2:$2,0)+1,FALSE)</f>
        <v>everyone</v>
      </c>
      <c r="E32" s="57">
        <v>31</v>
      </c>
      <c r="F32" s="57" t="s">
        <v>277</v>
      </c>
      <c r="G32" s="61">
        <v>1145</v>
      </c>
      <c r="H32" s="57">
        <v>1</v>
      </c>
      <c r="I32" s="57">
        <v>1</v>
      </c>
      <c r="J32" s="57">
        <v>1</v>
      </c>
      <c r="K32" s="57">
        <v>0</v>
      </c>
      <c r="L32" s="57">
        <v>0</v>
      </c>
      <c r="M32" s="57">
        <v>0</v>
      </c>
      <c r="N32" s="57">
        <v>0</v>
      </c>
      <c r="O32" s="57">
        <v>1</v>
      </c>
      <c r="P32" s="259">
        <v>400</v>
      </c>
      <c r="Q32" s="57" t="s">
        <v>336</v>
      </c>
      <c r="R32" s="57" t="s">
        <v>337</v>
      </c>
    </row>
    <row r="33" spans="1:18" x14ac:dyDescent="0.15">
      <c r="A33" s="57">
        <f>floors!C$2</f>
        <v>30043</v>
      </c>
      <c r="B33" s="204">
        <v>3</v>
      </c>
      <c r="C33" s="57" t="str">
        <f t="shared" si="0"/>
        <v>30043_3</v>
      </c>
      <c r="D33" s="101" t="str">
        <f ca="1">VLOOKUP($C33,OFFSET([2]stages!$A$1,0,0,COUNTA([2]stages!$A:$A),MATCH(D$1,[2]stages!$2:$2,0)-MATCH($C$1,[2]stages!$2:$2,0)+1),MATCH(D$1,[2]stages!$2:$2,0)-MATCH($C$1,[2]stages!$2:$2,0)+1,FALSE)</f>
        <v>everyone</v>
      </c>
      <c r="E33" s="57">
        <v>32</v>
      </c>
      <c r="F33" s="57" t="s">
        <v>277</v>
      </c>
      <c r="G33" s="206">
        <v>354</v>
      </c>
      <c r="H33" s="57">
        <v>1</v>
      </c>
      <c r="I33" s="57">
        <v>1</v>
      </c>
      <c r="J33" s="57">
        <v>1</v>
      </c>
      <c r="K33" s="57">
        <v>0</v>
      </c>
      <c r="L33" s="57">
        <v>0</v>
      </c>
      <c r="M33" s="57">
        <v>0</v>
      </c>
      <c r="N33" s="57">
        <v>0</v>
      </c>
      <c r="O33" s="57">
        <v>1</v>
      </c>
      <c r="P33" s="57">
        <v>100</v>
      </c>
      <c r="Q33" s="57" t="s">
        <v>338</v>
      </c>
      <c r="R33" s="57" t="s">
        <v>339</v>
      </c>
    </row>
  </sheetData>
  <phoneticPr fontId="5"/>
  <dataValidations disablePrompts="1" count="1">
    <dataValidation type="list" allowBlank="1" showInputMessage="1" showErrorMessage="1" sqref="F2:F33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82"/>
  <sheetViews>
    <sheetView showGridLines="0" workbookViewId="0">
      <pane ySplit="1" topLeftCell="A2" activePane="bottomLeft" state="frozen"/>
      <selection pane="bottomLeft" activeCell="B86" sqref="B86"/>
    </sheetView>
  </sheetViews>
  <sheetFormatPr baseColWidth="12" defaultColWidth="13" defaultRowHeight="15" outlineLevelCol="1" x14ac:dyDescent="0.15"/>
  <cols>
    <col min="1" max="1" width="13" style="85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3" t="s">
        <v>186</v>
      </c>
      <c r="B1" s="70" t="s">
        <v>187</v>
      </c>
      <c r="C1" s="74" t="s">
        <v>188</v>
      </c>
      <c r="D1" s="74" t="s">
        <v>33</v>
      </c>
      <c r="E1" s="70" t="s">
        <v>189</v>
      </c>
      <c r="F1" s="74" t="s">
        <v>190</v>
      </c>
      <c r="G1" s="74" t="s">
        <v>33</v>
      </c>
      <c r="H1" s="70" t="s">
        <v>191</v>
      </c>
      <c r="I1" s="88" t="s">
        <v>193</v>
      </c>
      <c r="J1" s="76" t="s">
        <v>125</v>
      </c>
      <c r="K1" s="75" t="s">
        <v>185</v>
      </c>
      <c r="L1" s="89" t="s">
        <v>184</v>
      </c>
      <c r="M1" s="77" t="s">
        <v>194</v>
      </c>
    </row>
    <row r="2" spans="1:13" x14ac:dyDescent="0.15">
      <c r="A2" s="78" t="s">
        <v>199</v>
      </c>
      <c r="B2" s="79">
        <f>floors!$C$2</f>
        <v>30043</v>
      </c>
      <c r="C2" s="80" t="str">
        <f ca="1">VLOOKUP($B2,OFFSET([2]quests!$A$1,0,0,COUNTA([2]quests!$A:$A),MATCH(C$1,[2]quests!$1:$1,0)-MATCH($B$1,[2]quests!$1:$1,0)+1),MATCH(C$1,[2]quests!$1:$1,0)-MATCH($B$1,[2]quests!$1:$1,0)+1,FALSE)</f>
        <v>小さな破壊竜</v>
      </c>
      <c r="D2" s="80" t="str">
        <f ca="1">VLOOKUP($B2,OFFSET([2]quests!$A$1,0,0,COUNTA([2]quests!$A:$A),MATCH(D$1,[2]quests!$1:$1,0)-MATCH($B$1,[2]quests!$1:$1,0)+1),MATCH(D$1,[2]quests!$1:$1,0)-MATCH($B$1,[2]quests!$1:$1,0)+1,FALSE)</f>
        <v>ヒンドゥー神話第二弾超級</v>
      </c>
      <c r="E2" s="84">
        <v>1</v>
      </c>
      <c r="F2" s="80" t="str">
        <f ca="1">VLOOKUP($B2&amp;"_"&amp;$E2,OFFSET([2]stages!$A$1,0,0,COUNTA([2]stages!$A:$A),MATCH(F$1,[2]stages!$2:$2,0)-MATCH("temp_stage",[2]stages!$2:$2,0)+1),MATCH(F$1,[2]stages!$2:$2,0)-MATCH("temp_stage",[2]stages!$2:$2,0)+1,FALSE)</f>
        <v>【中級】小さな破壊竜</v>
      </c>
      <c r="G2" s="80" t="str">
        <f ca="1">VLOOKUP($B2&amp;"_"&amp;$E2,OFFSET([2]stages!$A$1,0,0,COUNTA([2]stages!$A:$A),MATCH(G$1,[2]stages!$2:$2,0)-MATCH("temp_stage",[2]stages!$2:$2,0)+1),MATCH(G$1,[2]stages!$2:$2,0)-MATCH("temp_stage",[2]stages!$2:$2,0)+1,FALSE)</f>
        <v>ヒンドゥー神話第二弾超級</v>
      </c>
      <c r="H2" s="82">
        <v>0</v>
      </c>
      <c r="I2">
        <v>3</v>
      </c>
      <c r="J2" s="81" t="s">
        <v>196</v>
      </c>
      <c r="K2" s="90" t="str">
        <f>VLOOKUP(I2,[6]stage_hints!$A:$C,3,FALSE)</f>
        <v>ターゲット</v>
      </c>
      <c r="L2" s="91" t="str">
        <f>VLOOKUP(I2,[6]stage_hints!$A:$D,4,FALSE)</f>
        <v>敵ユニットをタップすると_x000D_その敵を狙い撃ちできます</v>
      </c>
      <c r="M2" s="56" t="s">
        <v>209</v>
      </c>
    </row>
    <row r="3" spans="1:13" x14ac:dyDescent="0.15">
      <c r="A3" s="78" t="s">
        <v>199</v>
      </c>
      <c r="B3" s="79">
        <f>floors!$C$2</f>
        <v>30043</v>
      </c>
      <c r="C3" s="80" t="str">
        <f ca="1">VLOOKUP($B3,OFFSET([2]quests!$A$1,0,0,COUNTA([2]quests!$A:$A),MATCH(C$1,[2]quests!$1:$1,0)-MATCH($B$1,[2]quests!$1:$1,0)+1),MATCH(C$1,[2]quests!$1:$1,0)-MATCH($B$1,[2]quests!$1:$1,0)+1,FALSE)</f>
        <v>小さな破壊竜</v>
      </c>
      <c r="D3" s="80" t="str">
        <f ca="1">VLOOKUP($B3,OFFSET([2]quests!$A$1,0,0,COUNTA([2]quests!$A:$A),MATCH(D$1,[2]quests!$1:$1,0)-MATCH($B$1,[2]quests!$1:$1,0)+1),MATCH(D$1,[2]quests!$1:$1,0)-MATCH($B$1,[2]quests!$1:$1,0)+1,FALSE)</f>
        <v>ヒンドゥー神話第二弾超級</v>
      </c>
      <c r="E3" s="84">
        <v>1</v>
      </c>
      <c r="F3" s="80" t="str">
        <f ca="1">VLOOKUP($B3&amp;"_"&amp;$E3,OFFSET([2]stages!$A$1,0,0,COUNTA([2]stages!$A:$A),MATCH(F$1,[2]stages!$2:$2,0)-MATCH("temp_stage",[2]stages!$2:$2,0)+1),MATCH(F$1,[2]stages!$2:$2,0)-MATCH("temp_stage",[2]stages!$2:$2,0)+1,FALSE)</f>
        <v>【中級】小さな破壊竜</v>
      </c>
      <c r="G3" s="80" t="str">
        <f ca="1">VLOOKUP($B3&amp;"_"&amp;$E3,OFFSET([2]stages!$A$1,0,0,COUNTA([2]stages!$A:$A),MATCH(G$1,[2]stages!$2:$2,0)-MATCH("temp_stage",[2]stages!$2:$2,0)+1),MATCH(G$1,[2]stages!$2:$2,0)-MATCH("temp_stage",[2]stages!$2:$2,0)+1,FALSE)</f>
        <v>ヒンドゥー神話第二弾超級</v>
      </c>
      <c r="H3" s="82">
        <v>0</v>
      </c>
      <c r="I3">
        <v>6</v>
      </c>
      <c r="J3" s="81" t="s">
        <v>196</v>
      </c>
      <c r="K3" s="90" t="str">
        <f>VLOOKUP(I3,[6]stage_hints!$A:$C,3,FALSE)</f>
        <v>ユニット強化の属性ボーナス</v>
      </c>
      <c r="L3" s="91" t="str">
        <f>VLOOKUP(I3,[6]stage_hints!$A:$D,4,FALSE)</f>
        <v>同属性ユニットを強化素材にすると_x000D_経験値が多くもらえます</v>
      </c>
      <c r="M3" s="56" t="s">
        <v>209</v>
      </c>
    </row>
    <row r="4" spans="1:13" x14ac:dyDescent="0.15">
      <c r="A4" s="78" t="s">
        <v>199</v>
      </c>
      <c r="B4" s="79">
        <f>floors!$C$2</f>
        <v>30043</v>
      </c>
      <c r="C4" s="80" t="str">
        <f ca="1">VLOOKUP($B4,OFFSET([2]quests!$A$1,0,0,COUNTA([2]quests!$A:$A),MATCH(C$1,[2]quests!$1:$1,0)-MATCH($B$1,[2]quests!$1:$1,0)+1),MATCH(C$1,[2]quests!$1:$1,0)-MATCH($B$1,[2]quests!$1:$1,0)+1,FALSE)</f>
        <v>小さな破壊竜</v>
      </c>
      <c r="D4" s="80" t="str">
        <f ca="1">VLOOKUP($B4,OFFSET([2]quests!$A$1,0,0,COUNTA([2]quests!$A:$A),MATCH(D$1,[2]quests!$1:$1,0)-MATCH($B$1,[2]quests!$1:$1,0)+1),MATCH(D$1,[2]quests!$1:$1,0)-MATCH($B$1,[2]quests!$1:$1,0)+1,FALSE)</f>
        <v>ヒンドゥー神話第二弾超級</v>
      </c>
      <c r="E4" s="84">
        <v>1</v>
      </c>
      <c r="F4" s="80" t="str">
        <f ca="1">VLOOKUP($B4&amp;"_"&amp;$E4,OFFSET([2]stages!$A$1,0,0,COUNTA([2]stages!$A:$A),MATCH(F$1,[2]stages!$2:$2,0)-MATCH("temp_stage",[2]stages!$2:$2,0)+1),MATCH(F$1,[2]stages!$2:$2,0)-MATCH("temp_stage",[2]stages!$2:$2,0)+1,FALSE)</f>
        <v>【中級】小さな破壊竜</v>
      </c>
      <c r="G4" s="80" t="str">
        <f ca="1">VLOOKUP($B4&amp;"_"&amp;$E4,OFFSET([2]stages!$A$1,0,0,COUNTA([2]stages!$A:$A),MATCH(G$1,[2]stages!$2:$2,0)-MATCH("temp_stage",[2]stages!$2:$2,0)+1),MATCH(G$1,[2]stages!$2:$2,0)-MATCH("temp_stage",[2]stages!$2:$2,0)+1,FALSE)</f>
        <v>ヒンドゥー神話第二弾超級</v>
      </c>
      <c r="H4" s="82">
        <v>0</v>
      </c>
      <c r="I4">
        <v>7</v>
      </c>
      <c r="J4" s="81" t="s">
        <v>196</v>
      </c>
      <c r="K4" s="90" t="str">
        <f>VLOOKUP(I4,[6]stage_hints!$A:$C,3,FALSE)</f>
        <v>メタルダックで経験値を獲得</v>
      </c>
      <c r="L4" s="91" t="str">
        <f>VLOOKUP(I4,[6]stage_hints!$A:$D,4,FALSE)</f>
        <v>「メタルなアヒル」を強化素材にすると_x000D_大量の経験値がもらえます</v>
      </c>
      <c r="M4" s="56" t="s">
        <v>209</v>
      </c>
    </row>
    <row r="5" spans="1:13" x14ac:dyDescent="0.15">
      <c r="A5" s="78" t="s">
        <v>199</v>
      </c>
      <c r="B5" s="79">
        <f>floors!$C$2</f>
        <v>30043</v>
      </c>
      <c r="C5" s="80" t="str">
        <f ca="1">VLOOKUP($B5,OFFSET([2]quests!$A$1,0,0,COUNTA([2]quests!$A:$A),MATCH(C$1,[2]quests!$1:$1,0)-MATCH($B$1,[2]quests!$1:$1,0)+1),MATCH(C$1,[2]quests!$1:$1,0)-MATCH($B$1,[2]quests!$1:$1,0)+1,FALSE)</f>
        <v>小さな破壊竜</v>
      </c>
      <c r="D5" s="80" t="str">
        <f ca="1">VLOOKUP($B5,OFFSET([2]quests!$A$1,0,0,COUNTA([2]quests!$A:$A),MATCH(D$1,[2]quests!$1:$1,0)-MATCH($B$1,[2]quests!$1:$1,0)+1),MATCH(D$1,[2]quests!$1:$1,0)-MATCH($B$1,[2]quests!$1:$1,0)+1,FALSE)</f>
        <v>ヒンドゥー神話第二弾超級</v>
      </c>
      <c r="E5" s="84">
        <v>1</v>
      </c>
      <c r="F5" s="80" t="str">
        <f ca="1">VLOOKUP($B5&amp;"_"&amp;$E5,OFFSET([2]stages!$A$1,0,0,COUNTA([2]stages!$A:$A),MATCH(F$1,[2]stages!$2:$2,0)-MATCH("temp_stage",[2]stages!$2:$2,0)+1),MATCH(F$1,[2]stages!$2:$2,0)-MATCH("temp_stage",[2]stages!$2:$2,0)+1,FALSE)</f>
        <v>【中級】小さな破壊竜</v>
      </c>
      <c r="G5" s="80" t="str">
        <f ca="1">VLOOKUP($B5&amp;"_"&amp;$E5,OFFSET([2]stages!$A$1,0,0,COUNTA([2]stages!$A:$A),MATCH(G$1,[2]stages!$2:$2,0)-MATCH("temp_stage",[2]stages!$2:$2,0)+1),MATCH(G$1,[2]stages!$2:$2,0)-MATCH("temp_stage",[2]stages!$2:$2,0)+1,FALSE)</f>
        <v>ヒンドゥー神話第二弾超級</v>
      </c>
      <c r="H5" s="82">
        <v>0</v>
      </c>
      <c r="I5">
        <v>8</v>
      </c>
      <c r="J5" s="81" t="s">
        <v>196</v>
      </c>
      <c r="K5" s="90" t="str">
        <f>VLOOKUP(I5,[6]stage_hints!$A:$C,3,FALSE)</f>
        <v>ゲリラクエストは要チェック</v>
      </c>
      <c r="L5" s="91" t="str">
        <f>VLOOKUP(I5,[6]stage_hints!$A:$D,4,FALSE)</f>
        <v>時間限定の「アヒル捕獲作戦」では_x000D_経験値素材ユニットが多く手に入ります</v>
      </c>
      <c r="M5" s="56" t="s">
        <v>209</v>
      </c>
    </row>
    <row r="6" spans="1:13" x14ac:dyDescent="0.15">
      <c r="A6" s="78" t="s">
        <v>199</v>
      </c>
      <c r="B6" s="79">
        <f>floors!$C$2</f>
        <v>30043</v>
      </c>
      <c r="C6" s="80" t="str">
        <f ca="1">VLOOKUP($B6,OFFSET([2]quests!$A$1,0,0,COUNTA([2]quests!$A:$A),MATCH(C$1,[2]quests!$1:$1,0)-MATCH($B$1,[2]quests!$1:$1,0)+1),MATCH(C$1,[2]quests!$1:$1,0)-MATCH($B$1,[2]quests!$1:$1,0)+1,FALSE)</f>
        <v>小さな破壊竜</v>
      </c>
      <c r="D6" s="80" t="str">
        <f ca="1">VLOOKUP($B6,OFFSET([2]quests!$A$1,0,0,COUNTA([2]quests!$A:$A),MATCH(D$1,[2]quests!$1:$1,0)-MATCH($B$1,[2]quests!$1:$1,0)+1),MATCH(D$1,[2]quests!$1:$1,0)-MATCH($B$1,[2]quests!$1:$1,0)+1,FALSE)</f>
        <v>ヒンドゥー神話第二弾超級</v>
      </c>
      <c r="E6" s="84">
        <v>1</v>
      </c>
      <c r="F6" s="80" t="str">
        <f ca="1">VLOOKUP($B6&amp;"_"&amp;$E6,OFFSET([2]stages!$A$1,0,0,COUNTA([2]stages!$A:$A),MATCH(F$1,[2]stages!$2:$2,0)-MATCH("temp_stage",[2]stages!$2:$2,0)+1),MATCH(F$1,[2]stages!$2:$2,0)-MATCH("temp_stage",[2]stages!$2:$2,0)+1,FALSE)</f>
        <v>【中級】小さな破壊竜</v>
      </c>
      <c r="G6" s="80" t="str">
        <f ca="1">VLOOKUP($B6&amp;"_"&amp;$E6,OFFSET([2]stages!$A$1,0,0,COUNTA([2]stages!$A:$A),MATCH(G$1,[2]stages!$2:$2,0)-MATCH("temp_stage",[2]stages!$2:$2,0)+1),MATCH(G$1,[2]stages!$2:$2,0)-MATCH("temp_stage",[2]stages!$2:$2,0)+1,FALSE)</f>
        <v>ヒンドゥー神話第二弾超級</v>
      </c>
      <c r="H6" s="82">
        <v>0</v>
      </c>
      <c r="I6">
        <v>9</v>
      </c>
      <c r="J6" s="81" t="s">
        <v>196</v>
      </c>
      <c r="K6" s="90" t="str">
        <f>VLOOKUP(I6,[6]stage_hints!$A:$C,3,FALSE)</f>
        <v>ゴールドダックでビットを獲得</v>
      </c>
      <c r="L6" s="91" t="str">
        <f>VLOOKUP(I6,[6]stage_hints!$A:$D,4,FALSE)</f>
        <v>「ゴールドなアヒル」を売却すると_x000D_大量のビットがもらえます</v>
      </c>
      <c r="M6" s="56" t="s">
        <v>209</v>
      </c>
    </row>
    <row r="7" spans="1:13" x14ac:dyDescent="0.15">
      <c r="A7" s="78" t="s">
        <v>199</v>
      </c>
      <c r="B7" s="79">
        <f>floors!$C$2</f>
        <v>30043</v>
      </c>
      <c r="C7" s="80" t="str">
        <f ca="1">VLOOKUP($B7,OFFSET([2]quests!$A$1,0,0,COUNTA([2]quests!$A:$A),MATCH(C$1,[2]quests!$1:$1,0)-MATCH($B$1,[2]quests!$1:$1,0)+1),MATCH(C$1,[2]quests!$1:$1,0)-MATCH($B$1,[2]quests!$1:$1,0)+1,FALSE)</f>
        <v>小さな破壊竜</v>
      </c>
      <c r="D7" s="80" t="str">
        <f ca="1">VLOOKUP($B7,OFFSET([2]quests!$A$1,0,0,COUNTA([2]quests!$A:$A),MATCH(D$1,[2]quests!$1:$1,0)-MATCH($B$1,[2]quests!$1:$1,0)+1),MATCH(D$1,[2]quests!$1:$1,0)-MATCH($B$1,[2]quests!$1:$1,0)+1,FALSE)</f>
        <v>ヒンドゥー神話第二弾超級</v>
      </c>
      <c r="E7" s="84">
        <v>1</v>
      </c>
      <c r="F7" s="80" t="str">
        <f ca="1">VLOOKUP($B7&amp;"_"&amp;$E7,OFFSET([2]stages!$A$1,0,0,COUNTA([2]stages!$A:$A),MATCH(F$1,[2]stages!$2:$2,0)-MATCH("temp_stage",[2]stages!$2:$2,0)+1),MATCH(F$1,[2]stages!$2:$2,0)-MATCH("temp_stage",[2]stages!$2:$2,0)+1,FALSE)</f>
        <v>【中級】小さな破壊竜</v>
      </c>
      <c r="G7" s="80" t="str">
        <f ca="1">VLOOKUP($B7&amp;"_"&amp;$E7,OFFSET([2]stages!$A$1,0,0,COUNTA([2]stages!$A:$A),MATCH(G$1,[2]stages!$2:$2,0)-MATCH("temp_stage",[2]stages!$2:$2,0)+1),MATCH(G$1,[2]stages!$2:$2,0)-MATCH("temp_stage",[2]stages!$2:$2,0)+1,FALSE)</f>
        <v>ヒンドゥー神話第二弾超級</v>
      </c>
      <c r="H7" s="82">
        <v>0</v>
      </c>
      <c r="I7">
        <v>10</v>
      </c>
      <c r="J7" s="81" t="s">
        <v>196</v>
      </c>
      <c r="K7" s="90" t="str">
        <f>VLOOKUP(I7,[6]stage_hints!$A:$C,3,FALSE)</f>
        <v>土日に大量のビットを獲得</v>
      </c>
      <c r="L7" s="91" t="str">
        <f>VLOOKUP(I7,[6]stage_hints!$A:$D,4,FALSE)</f>
        <v>土日限定の「ゴールドカジノ」では_x000D_売却素材ユニットが多く手に入ります</v>
      </c>
      <c r="M7" s="56" t="s">
        <v>209</v>
      </c>
    </row>
    <row r="8" spans="1:13" x14ac:dyDescent="0.15">
      <c r="A8" s="78" t="s">
        <v>199</v>
      </c>
      <c r="B8" s="79">
        <f>floors!$C$2</f>
        <v>30043</v>
      </c>
      <c r="C8" s="80" t="str">
        <f ca="1">VLOOKUP($B8,OFFSET([2]quests!$A$1,0,0,COUNTA([2]quests!$A:$A),MATCH(C$1,[2]quests!$1:$1,0)-MATCH($B$1,[2]quests!$1:$1,0)+1),MATCH(C$1,[2]quests!$1:$1,0)-MATCH($B$1,[2]quests!$1:$1,0)+1,FALSE)</f>
        <v>小さな破壊竜</v>
      </c>
      <c r="D8" s="80" t="str">
        <f ca="1">VLOOKUP($B8,OFFSET([2]quests!$A$1,0,0,COUNTA([2]quests!$A:$A),MATCH(D$1,[2]quests!$1:$1,0)-MATCH($B$1,[2]quests!$1:$1,0)+1),MATCH(D$1,[2]quests!$1:$1,0)-MATCH($B$1,[2]quests!$1:$1,0)+1,FALSE)</f>
        <v>ヒンドゥー神話第二弾超級</v>
      </c>
      <c r="E8" s="84">
        <v>1</v>
      </c>
      <c r="F8" s="80" t="str">
        <f ca="1">VLOOKUP($B8&amp;"_"&amp;$E8,OFFSET([2]stages!$A$1,0,0,COUNTA([2]stages!$A:$A),MATCH(F$1,[2]stages!$2:$2,0)-MATCH("temp_stage",[2]stages!$2:$2,0)+1),MATCH(F$1,[2]stages!$2:$2,0)-MATCH("temp_stage",[2]stages!$2:$2,0)+1,FALSE)</f>
        <v>【中級】小さな破壊竜</v>
      </c>
      <c r="G8" s="80" t="str">
        <f ca="1">VLOOKUP($B8&amp;"_"&amp;$E8,OFFSET([2]stages!$A$1,0,0,COUNTA([2]stages!$A:$A),MATCH(G$1,[2]stages!$2:$2,0)-MATCH("temp_stage",[2]stages!$2:$2,0)+1),MATCH(G$1,[2]stages!$2:$2,0)-MATCH("temp_stage",[2]stages!$2:$2,0)+1,FALSE)</f>
        <v>ヒンドゥー神話第二弾超級</v>
      </c>
      <c r="H8" s="82">
        <v>0</v>
      </c>
      <c r="I8">
        <v>11</v>
      </c>
      <c r="J8" s="81" t="s">
        <v>196</v>
      </c>
      <c r="K8" s="90" t="str">
        <f>VLOOKUP(I8,[6]stage_hints!$A:$C,3,FALSE)</f>
        <v>ランク解放クエスト</v>
      </c>
      <c r="L8" s="91" t="str">
        <f>VLOOKUP(I8,[6]stage_hints!$A:$D,4,FALSE)</f>
        <v>一定ランクに到達すると_x000D_報酬付きのランク開放クエストが現れます</v>
      </c>
      <c r="M8" s="56" t="s">
        <v>209</v>
      </c>
    </row>
    <row r="9" spans="1:13" x14ac:dyDescent="0.15">
      <c r="A9" s="78" t="s">
        <v>199</v>
      </c>
      <c r="B9" s="79">
        <f>floors!$C$2</f>
        <v>30043</v>
      </c>
      <c r="C9" s="80" t="str">
        <f ca="1">VLOOKUP($B9,OFFSET([2]quests!$A$1,0,0,COUNTA([2]quests!$A:$A),MATCH(C$1,[2]quests!$1:$1,0)-MATCH($B$1,[2]quests!$1:$1,0)+1),MATCH(C$1,[2]quests!$1:$1,0)-MATCH($B$1,[2]quests!$1:$1,0)+1,FALSE)</f>
        <v>小さな破壊竜</v>
      </c>
      <c r="D9" s="80" t="str">
        <f ca="1">VLOOKUP($B9,OFFSET([2]quests!$A$1,0,0,COUNTA([2]quests!$A:$A),MATCH(D$1,[2]quests!$1:$1,0)-MATCH($B$1,[2]quests!$1:$1,0)+1),MATCH(D$1,[2]quests!$1:$1,0)-MATCH($B$1,[2]quests!$1:$1,0)+1,FALSE)</f>
        <v>ヒンドゥー神話第二弾超級</v>
      </c>
      <c r="E9" s="84">
        <v>1</v>
      </c>
      <c r="F9" s="80" t="str">
        <f ca="1">VLOOKUP($B9&amp;"_"&amp;$E9,OFFSET([2]stages!$A$1,0,0,COUNTA([2]stages!$A:$A),MATCH(F$1,[2]stages!$2:$2,0)-MATCH("temp_stage",[2]stages!$2:$2,0)+1),MATCH(F$1,[2]stages!$2:$2,0)-MATCH("temp_stage",[2]stages!$2:$2,0)+1,FALSE)</f>
        <v>【中級】小さな破壊竜</v>
      </c>
      <c r="G9" s="80" t="str">
        <f ca="1">VLOOKUP($B9&amp;"_"&amp;$E9,OFFSET([2]stages!$A$1,0,0,COUNTA([2]stages!$A:$A),MATCH(G$1,[2]stages!$2:$2,0)-MATCH("temp_stage",[2]stages!$2:$2,0)+1),MATCH(G$1,[2]stages!$2:$2,0)-MATCH("temp_stage",[2]stages!$2:$2,0)+1,FALSE)</f>
        <v>ヒンドゥー神話第二弾超級</v>
      </c>
      <c r="H9" s="82">
        <v>0</v>
      </c>
      <c r="I9">
        <v>12</v>
      </c>
      <c r="J9" s="81" t="s">
        <v>196</v>
      </c>
      <c r="K9" s="90" t="str">
        <f>VLOOKUP(I9,[6]stage_hints!$A:$C,3,FALSE)</f>
        <v>ユニットのお気に入り登録</v>
      </c>
      <c r="L9" s="91" t="str">
        <f>VLOOKUP(I9,[6]stage_hints!$A:$D,4,FALSE)</f>
        <v>大事なユニットを誤って消さないように_x000D_フォルダから「お気に入り登録」しましょう</v>
      </c>
      <c r="M9" s="56" t="s">
        <v>209</v>
      </c>
    </row>
    <row r="10" spans="1:13" x14ac:dyDescent="0.15">
      <c r="A10" s="78" t="s">
        <v>199</v>
      </c>
      <c r="B10" s="79">
        <f>floors!$C$2</f>
        <v>30043</v>
      </c>
      <c r="C10" s="80" t="str">
        <f ca="1">VLOOKUP($B10,OFFSET([2]quests!$A$1,0,0,COUNTA([2]quests!$A:$A),MATCH(C$1,[2]quests!$1:$1,0)-MATCH($B$1,[2]quests!$1:$1,0)+1),MATCH(C$1,[2]quests!$1:$1,0)-MATCH($B$1,[2]quests!$1:$1,0)+1,FALSE)</f>
        <v>小さな破壊竜</v>
      </c>
      <c r="D10" s="80" t="str">
        <f ca="1">VLOOKUP($B10,OFFSET([2]quests!$A$1,0,0,COUNTA([2]quests!$A:$A),MATCH(D$1,[2]quests!$1:$1,0)-MATCH($B$1,[2]quests!$1:$1,0)+1),MATCH(D$1,[2]quests!$1:$1,0)-MATCH($B$1,[2]quests!$1:$1,0)+1,FALSE)</f>
        <v>ヒンドゥー神話第二弾超級</v>
      </c>
      <c r="E10" s="84">
        <v>1</v>
      </c>
      <c r="F10" s="80" t="str">
        <f ca="1">VLOOKUP($B10&amp;"_"&amp;$E10,OFFSET([2]stages!$A$1,0,0,COUNTA([2]stages!$A:$A),MATCH(F$1,[2]stages!$2:$2,0)-MATCH("temp_stage",[2]stages!$2:$2,0)+1),MATCH(F$1,[2]stages!$2:$2,0)-MATCH("temp_stage",[2]stages!$2:$2,0)+1,FALSE)</f>
        <v>【中級】小さな破壊竜</v>
      </c>
      <c r="G10" s="80" t="str">
        <f ca="1">VLOOKUP($B10&amp;"_"&amp;$E10,OFFSET([2]stages!$A$1,0,0,COUNTA([2]stages!$A:$A),MATCH(G$1,[2]stages!$2:$2,0)-MATCH("temp_stage",[2]stages!$2:$2,0)+1),MATCH(G$1,[2]stages!$2:$2,0)-MATCH("temp_stage",[2]stages!$2:$2,0)+1,FALSE)</f>
        <v>ヒンドゥー神話第二弾超級</v>
      </c>
      <c r="H10" s="82">
        <v>0</v>
      </c>
      <c r="I10">
        <v>13</v>
      </c>
      <c r="J10" s="81" t="s">
        <v>196</v>
      </c>
      <c r="K10" s="90" t="str">
        <f>VLOOKUP(I10,[6]stage_hints!$A:$C,3,FALSE)</f>
        <v>ユニットの覚醒</v>
      </c>
      <c r="L10" s="91" t="str">
        <f>VLOOKUP(I10,[6]stage_hints!$A:$D,4,FALSE)</f>
        <v>ユニットを覚醒させると_x000D_比べものにならない強さが手に入ります</v>
      </c>
      <c r="M10" s="56" t="s">
        <v>209</v>
      </c>
    </row>
    <row r="11" spans="1:13" x14ac:dyDescent="0.15">
      <c r="A11" s="78" t="s">
        <v>199</v>
      </c>
      <c r="B11" s="79">
        <f>floors!$C$2</f>
        <v>30043</v>
      </c>
      <c r="C11" s="80" t="str">
        <f ca="1">VLOOKUP($B11,OFFSET([2]quests!$A$1,0,0,COUNTA([2]quests!$A:$A),MATCH(C$1,[2]quests!$1:$1,0)-MATCH($B$1,[2]quests!$1:$1,0)+1),MATCH(C$1,[2]quests!$1:$1,0)-MATCH($B$1,[2]quests!$1:$1,0)+1,FALSE)</f>
        <v>小さな破壊竜</v>
      </c>
      <c r="D11" s="80" t="str">
        <f ca="1">VLOOKUP($B11,OFFSET([2]quests!$A$1,0,0,COUNTA([2]quests!$A:$A),MATCH(D$1,[2]quests!$1:$1,0)-MATCH($B$1,[2]quests!$1:$1,0)+1),MATCH(D$1,[2]quests!$1:$1,0)-MATCH($B$1,[2]quests!$1:$1,0)+1,FALSE)</f>
        <v>ヒンドゥー神話第二弾超級</v>
      </c>
      <c r="E11" s="84">
        <v>1</v>
      </c>
      <c r="F11" s="80" t="str">
        <f ca="1">VLOOKUP($B11&amp;"_"&amp;$E11,OFFSET([2]stages!$A$1,0,0,COUNTA([2]stages!$A:$A),MATCH(F$1,[2]stages!$2:$2,0)-MATCH("temp_stage",[2]stages!$2:$2,0)+1),MATCH(F$1,[2]stages!$2:$2,0)-MATCH("temp_stage",[2]stages!$2:$2,0)+1,FALSE)</f>
        <v>【中級】小さな破壊竜</v>
      </c>
      <c r="G11" s="80" t="str">
        <f ca="1">VLOOKUP($B11&amp;"_"&amp;$E11,OFFSET([2]stages!$A$1,0,0,COUNTA([2]stages!$A:$A),MATCH(G$1,[2]stages!$2:$2,0)-MATCH("temp_stage",[2]stages!$2:$2,0)+1),MATCH(G$1,[2]stages!$2:$2,0)-MATCH("temp_stage",[2]stages!$2:$2,0)+1,FALSE)</f>
        <v>ヒンドゥー神話第二弾超級</v>
      </c>
      <c r="H11" s="82">
        <v>0</v>
      </c>
      <c r="I11">
        <v>14</v>
      </c>
      <c r="J11" s="81" t="s">
        <v>196</v>
      </c>
      <c r="K11" s="90" t="str">
        <f>VLOOKUP(I11,[6]stage_hints!$A:$C,3,FALSE)</f>
        <v>覚醒するにはレベルを最大に</v>
      </c>
      <c r="L11" s="91" t="str">
        <f>VLOOKUP(I11,[6]stage_hints!$A:$D,4,FALSE)</f>
        <v>覚醒するにはユニットのレベルを_x000D_最大まで上げる必要があります</v>
      </c>
      <c r="M11" s="56" t="s">
        <v>209</v>
      </c>
    </row>
    <row r="12" spans="1:13" x14ac:dyDescent="0.15">
      <c r="A12" s="78" t="s">
        <v>199</v>
      </c>
      <c r="B12" s="79">
        <f>floors!$C$2</f>
        <v>30043</v>
      </c>
      <c r="C12" s="80" t="str">
        <f ca="1">VLOOKUP($B12,OFFSET([2]quests!$A$1,0,0,COUNTA([2]quests!$A:$A),MATCH(C$1,[2]quests!$1:$1,0)-MATCH($B$1,[2]quests!$1:$1,0)+1),MATCH(C$1,[2]quests!$1:$1,0)-MATCH($B$1,[2]quests!$1:$1,0)+1,FALSE)</f>
        <v>小さな破壊竜</v>
      </c>
      <c r="D12" s="80" t="str">
        <f ca="1">VLOOKUP($B12,OFFSET([2]quests!$A$1,0,0,COUNTA([2]quests!$A:$A),MATCH(D$1,[2]quests!$1:$1,0)-MATCH($B$1,[2]quests!$1:$1,0)+1),MATCH(D$1,[2]quests!$1:$1,0)-MATCH($B$1,[2]quests!$1:$1,0)+1,FALSE)</f>
        <v>ヒンドゥー神話第二弾超級</v>
      </c>
      <c r="E12" s="84">
        <v>1</v>
      </c>
      <c r="F12" s="80" t="str">
        <f ca="1">VLOOKUP($B12&amp;"_"&amp;$E12,OFFSET([2]stages!$A$1,0,0,COUNTA([2]stages!$A:$A),MATCH(F$1,[2]stages!$2:$2,0)-MATCH("temp_stage",[2]stages!$2:$2,0)+1),MATCH(F$1,[2]stages!$2:$2,0)-MATCH("temp_stage",[2]stages!$2:$2,0)+1,FALSE)</f>
        <v>【中級】小さな破壊竜</v>
      </c>
      <c r="G12" s="80" t="str">
        <f ca="1">VLOOKUP($B12&amp;"_"&amp;$E12,OFFSET([2]stages!$A$1,0,0,COUNTA([2]stages!$A:$A),MATCH(G$1,[2]stages!$2:$2,0)-MATCH("temp_stage",[2]stages!$2:$2,0)+1),MATCH(G$1,[2]stages!$2:$2,0)-MATCH("temp_stage",[2]stages!$2:$2,0)+1,FALSE)</f>
        <v>ヒンドゥー神話第二弾超級</v>
      </c>
      <c r="H12" s="82">
        <v>0</v>
      </c>
      <c r="I12">
        <v>15</v>
      </c>
      <c r="J12" s="81" t="s">
        <v>196</v>
      </c>
      <c r="K12" s="90" t="str">
        <f>VLOOKUP(I12,[6]stage_hints!$A:$C,3,FALSE)</f>
        <v>覚醒素材を獲得</v>
      </c>
      <c r="L12" s="91" t="str">
        <f>VLOOKUP(I12,[6]stage_hints!$A:$D,4,FALSE)</f>
        <v>「曜日クエスト」では_x000D_ユニットの覚醒に必要な素材が手に入ります</v>
      </c>
      <c r="M12" s="56" t="s">
        <v>209</v>
      </c>
    </row>
    <row r="13" spans="1:13" x14ac:dyDescent="0.15">
      <c r="A13" s="78" t="s">
        <v>199</v>
      </c>
      <c r="B13" s="79">
        <f>floors!$C$2</f>
        <v>30043</v>
      </c>
      <c r="C13" s="80" t="str">
        <f ca="1">VLOOKUP($B13,OFFSET([2]quests!$A$1,0,0,COUNTA([2]quests!$A:$A),MATCH(C$1,[2]quests!$1:$1,0)-MATCH($B$1,[2]quests!$1:$1,0)+1),MATCH(C$1,[2]quests!$1:$1,0)-MATCH($B$1,[2]quests!$1:$1,0)+1,FALSE)</f>
        <v>小さな破壊竜</v>
      </c>
      <c r="D13" s="80" t="str">
        <f ca="1">VLOOKUP($B13,OFFSET([2]quests!$A$1,0,0,COUNTA([2]quests!$A:$A),MATCH(D$1,[2]quests!$1:$1,0)-MATCH($B$1,[2]quests!$1:$1,0)+1),MATCH(D$1,[2]quests!$1:$1,0)-MATCH($B$1,[2]quests!$1:$1,0)+1,FALSE)</f>
        <v>ヒンドゥー神話第二弾超級</v>
      </c>
      <c r="E13" s="84">
        <v>1</v>
      </c>
      <c r="F13" s="80" t="str">
        <f ca="1">VLOOKUP($B13&amp;"_"&amp;$E13,OFFSET([2]stages!$A$1,0,0,COUNTA([2]stages!$A:$A),MATCH(F$1,[2]stages!$2:$2,0)-MATCH("temp_stage",[2]stages!$2:$2,0)+1),MATCH(F$1,[2]stages!$2:$2,0)-MATCH("temp_stage",[2]stages!$2:$2,0)+1,FALSE)</f>
        <v>【中級】小さな破壊竜</v>
      </c>
      <c r="G13" s="80" t="str">
        <f ca="1">VLOOKUP($B13&amp;"_"&amp;$E13,OFFSET([2]stages!$A$1,0,0,COUNTA([2]stages!$A:$A),MATCH(G$1,[2]stages!$2:$2,0)-MATCH("temp_stage",[2]stages!$2:$2,0)+1),MATCH(G$1,[2]stages!$2:$2,0)-MATCH("temp_stage",[2]stages!$2:$2,0)+1,FALSE)</f>
        <v>ヒンドゥー神話第二弾超級</v>
      </c>
      <c r="H13" s="82">
        <v>0</v>
      </c>
      <c r="I13">
        <v>16</v>
      </c>
      <c r="J13" s="81" t="s">
        <v>196</v>
      </c>
      <c r="K13" s="90" t="str">
        <f>VLOOKUP(I13,[6]stage_hints!$A:$C,3,FALSE)</f>
        <v>マルチプレイのメリット（その1）</v>
      </c>
      <c r="L13" s="91" t="str">
        <f>VLOOKUP(I13,[6]stage_hints!$A:$D,4,FALSE)</f>
        <v>他のプレイヤーとマルチプレイで遊ぶと_x000D_ポリゴンがもらえます（100人まで）</v>
      </c>
      <c r="M13" s="56" t="s">
        <v>209</v>
      </c>
    </row>
    <row r="14" spans="1:13" x14ac:dyDescent="0.15">
      <c r="A14" s="78" t="s">
        <v>199</v>
      </c>
      <c r="B14" s="79">
        <f>floors!$C$2</f>
        <v>30043</v>
      </c>
      <c r="C14" s="80" t="str">
        <f ca="1">VLOOKUP($B14,OFFSET([2]quests!$A$1,0,0,COUNTA([2]quests!$A:$A),MATCH(C$1,[2]quests!$1:$1,0)-MATCH($B$1,[2]quests!$1:$1,0)+1),MATCH(C$1,[2]quests!$1:$1,0)-MATCH($B$1,[2]quests!$1:$1,0)+1,FALSE)</f>
        <v>小さな破壊竜</v>
      </c>
      <c r="D14" s="80" t="str">
        <f ca="1">VLOOKUP($B14,OFFSET([2]quests!$A$1,0,0,COUNTA([2]quests!$A:$A),MATCH(D$1,[2]quests!$1:$1,0)-MATCH($B$1,[2]quests!$1:$1,0)+1),MATCH(D$1,[2]quests!$1:$1,0)-MATCH($B$1,[2]quests!$1:$1,0)+1,FALSE)</f>
        <v>ヒンドゥー神話第二弾超級</v>
      </c>
      <c r="E14" s="84">
        <v>1</v>
      </c>
      <c r="F14" s="80" t="str">
        <f ca="1">VLOOKUP($B14&amp;"_"&amp;$E14,OFFSET([2]stages!$A$1,0,0,COUNTA([2]stages!$A:$A),MATCH(F$1,[2]stages!$2:$2,0)-MATCH("temp_stage",[2]stages!$2:$2,0)+1),MATCH(F$1,[2]stages!$2:$2,0)-MATCH("temp_stage",[2]stages!$2:$2,0)+1,FALSE)</f>
        <v>【中級】小さな破壊竜</v>
      </c>
      <c r="G14" s="80" t="str">
        <f ca="1">VLOOKUP($B14&amp;"_"&amp;$E14,OFFSET([2]stages!$A$1,0,0,COUNTA([2]stages!$A:$A),MATCH(G$1,[2]stages!$2:$2,0)-MATCH("temp_stage",[2]stages!$2:$2,0)+1),MATCH(G$1,[2]stages!$2:$2,0)-MATCH("temp_stage",[2]stages!$2:$2,0)+1,FALSE)</f>
        <v>ヒンドゥー神話第二弾超級</v>
      </c>
      <c r="H14" s="82">
        <v>0</v>
      </c>
      <c r="I14">
        <v>17</v>
      </c>
      <c r="J14" s="81" t="s">
        <v>196</v>
      </c>
      <c r="K14" s="90" t="str">
        <f>VLOOKUP(I14,[6]stage_hints!$A:$C,3,FALSE)</f>
        <v>リンクガチャ</v>
      </c>
      <c r="L14" s="91" t="str">
        <f>VLOOKUP(I14,[6]stage_hints!$A:$D,4,FALSE)</f>
        <v>無料のリンクガチャを回して_x000D_経験値素材や売却素材を獲得しましょう</v>
      </c>
      <c r="M14" s="56" t="s">
        <v>209</v>
      </c>
    </row>
    <row r="15" spans="1:13" x14ac:dyDescent="0.15">
      <c r="A15" s="78" t="s">
        <v>199</v>
      </c>
      <c r="B15" s="79">
        <f>floors!$C$2</f>
        <v>30043</v>
      </c>
      <c r="C15" s="80" t="str">
        <f ca="1">VLOOKUP($B15,OFFSET([2]quests!$A$1,0,0,COUNTA([2]quests!$A:$A),MATCH(C$1,[2]quests!$1:$1,0)-MATCH($B$1,[2]quests!$1:$1,0)+1),MATCH(C$1,[2]quests!$1:$1,0)-MATCH($B$1,[2]quests!$1:$1,0)+1,FALSE)</f>
        <v>小さな破壊竜</v>
      </c>
      <c r="D15" s="80" t="str">
        <f ca="1">VLOOKUP($B15,OFFSET([2]quests!$A$1,0,0,COUNTA([2]quests!$A:$A),MATCH(D$1,[2]quests!$1:$1,0)-MATCH($B$1,[2]quests!$1:$1,0)+1),MATCH(D$1,[2]quests!$1:$1,0)-MATCH($B$1,[2]quests!$1:$1,0)+1,FALSE)</f>
        <v>ヒンドゥー神話第二弾超級</v>
      </c>
      <c r="E15" s="84">
        <v>1</v>
      </c>
      <c r="F15" s="80" t="str">
        <f ca="1">VLOOKUP($B15&amp;"_"&amp;$E15,OFFSET([2]stages!$A$1,0,0,COUNTA([2]stages!$A:$A),MATCH(F$1,[2]stages!$2:$2,0)-MATCH("temp_stage",[2]stages!$2:$2,0)+1),MATCH(F$1,[2]stages!$2:$2,0)-MATCH("temp_stage",[2]stages!$2:$2,0)+1,FALSE)</f>
        <v>【中級】小さな破壊竜</v>
      </c>
      <c r="G15" s="80" t="str">
        <f ca="1">VLOOKUP($B15&amp;"_"&amp;$E15,OFFSET([2]stages!$A$1,0,0,COUNTA([2]stages!$A:$A),MATCH(G$1,[2]stages!$2:$2,0)-MATCH("temp_stage",[2]stages!$2:$2,0)+1),MATCH(G$1,[2]stages!$2:$2,0)-MATCH("temp_stage",[2]stages!$2:$2,0)+1,FALSE)</f>
        <v>ヒンドゥー神話第二弾超級</v>
      </c>
      <c r="H15" s="82">
        <v>0</v>
      </c>
      <c r="I15">
        <v>18</v>
      </c>
      <c r="J15" s="81" t="s">
        <v>196</v>
      </c>
      <c r="K15" s="90" t="str">
        <f>VLOOKUP(I15,[6]stage_hints!$A:$C,3,FALSE)</f>
        <v>マルチプレイのメリット（その2）</v>
      </c>
      <c r="L15" s="91" t="str">
        <f>VLOOKUP(I15,[6]stage_hints!$A:$D,4,FALSE)</f>
        <v>マルチプレイならリンクが2倍もらえます_x000D_リンクガチャをたくさん回しましょう</v>
      </c>
      <c r="M15" s="56" t="s">
        <v>209</v>
      </c>
    </row>
    <row r="16" spans="1:13" x14ac:dyDescent="0.15">
      <c r="A16" s="78" t="s">
        <v>199</v>
      </c>
      <c r="B16" s="79">
        <f>floors!$C$2</f>
        <v>30043</v>
      </c>
      <c r="C16" s="80" t="str">
        <f ca="1">VLOOKUP($B16,OFFSET([2]quests!$A$1,0,0,COUNTA([2]quests!$A:$A),MATCH(C$1,[2]quests!$1:$1,0)-MATCH($B$1,[2]quests!$1:$1,0)+1),MATCH(C$1,[2]quests!$1:$1,0)-MATCH($B$1,[2]quests!$1:$1,0)+1,FALSE)</f>
        <v>小さな破壊竜</v>
      </c>
      <c r="D16" s="80" t="str">
        <f ca="1">VLOOKUP($B16,OFFSET([2]quests!$A$1,0,0,COUNTA([2]quests!$A:$A),MATCH(D$1,[2]quests!$1:$1,0)-MATCH($B$1,[2]quests!$1:$1,0)+1),MATCH(D$1,[2]quests!$1:$1,0)-MATCH($B$1,[2]quests!$1:$1,0)+1,FALSE)</f>
        <v>ヒンドゥー神話第二弾超級</v>
      </c>
      <c r="E16" s="84">
        <v>1</v>
      </c>
      <c r="F16" s="80" t="str">
        <f ca="1">VLOOKUP($B16&amp;"_"&amp;$E16,OFFSET([2]stages!$A$1,0,0,COUNTA([2]stages!$A:$A),MATCH(F$1,[2]stages!$2:$2,0)-MATCH("temp_stage",[2]stages!$2:$2,0)+1),MATCH(F$1,[2]stages!$2:$2,0)-MATCH("temp_stage",[2]stages!$2:$2,0)+1,FALSE)</f>
        <v>【中級】小さな破壊竜</v>
      </c>
      <c r="G16" s="80" t="str">
        <f ca="1">VLOOKUP($B16&amp;"_"&amp;$E16,OFFSET([2]stages!$A$1,0,0,COUNTA([2]stages!$A:$A),MATCH(G$1,[2]stages!$2:$2,0)-MATCH("temp_stage",[2]stages!$2:$2,0)+1),MATCH(G$1,[2]stages!$2:$2,0)-MATCH("temp_stage",[2]stages!$2:$2,0)+1,FALSE)</f>
        <v>ヒンドゥー神話第二弾超級</v>
      </c>
      <c r="H16" s="82">
        <v>0</v>
      </c>
      <c r="I16">
        <v>19</v>
      </c>
      <c r="J16" s="81" t="s">
        <v>196</v>
      </c>
      <c r="K16" s="90" t="str">
        <f>VLOOKUP(I16,[6]stage_hints!$A:$C,3,FALSE)</f>
        <v>ソロ専用タワーオブザクイーン</v>
      </c>
      <c r="L16" s="91" t="str">
        <f>VLOOKUP(I16,[6]stage_hints!$A:$D,4,FALSE)</f>
        <v>ソロ専用の「タワーオブザクイーン」は_x000D_期間限定で定期的に開催されます_x000D_ここでしか獲得できない報酬もあるようです</v>
      </c>
      <c r="M16" s="56" t="s">
        <v>209</v>
      </c>
    </row>
    <row r="17" spans="1:13" x14ac:dyDescent="0.15">
      <c r="A17" s="78" t="s">
        <v>199</v>
      </c>
      <c r="B17" s="79">
        <f>floors!$C$2</f>
        <v>30043</v>
      </c>
      <c r="C17" s="80" t="str">
        <f ca="1">VLOOKUP($B17,OFFSET([2]quests!$A$1,0,0,COUNTA([2]quests!$A:$A),MATCH(C$1,[2]quests!$1:$1,0)-MATCH($B$1,[2]quests!$1:$1,0)+1),MATCH(C$1,[2]quests!$1:$1,0)-MATCH($B$1,[2]quests!$1:$1,0)+1,FALSE)</f>
        <v>小さな破壊竜</v>
      </c>
      <c r="D17" s="80" t="str">
        <f ca="1">VLOOKUP($B17,OFFSET([2]quests!$A$1,0,0,COUNTA([2]quests!$A:$A),MATCH(D$1,[2]quests!$1:$1,0)-MATCH($B$1,[2]quests!$1:$1,0)+1),MATCH(D$1,[2]quests!$1:$1,0)-MATCH($B$1,[2]quests!$1:$1,0)+1,FALSE)</f>
        <v>ヒンドゥー神話第二弾超級</v>
      </c>
      <c r="E17" s="84">
        <v>1</v>
      </c>
      <c r="F17" s="80" t="str">
        <f ca="1">VLOOKUP($B17&amp;"_"&amp;$E17,OFFSET([2]stages!$A$1,0,0,COUNTA([2]stages!$A:$A),MATCH(F$1,[2]stages!$2:$2,0)-MATCH("temp_stage",[2]stages!$2:$2,0)+1),MATCH(F$1,[2]stages!$2:$2,0)-MATCH("temp_stage",[2]stages!$2:$2,0)+1,FALSE)</f>
        <v>【中級】小さな破壊竜</v>
      </c>
      <c r="G17" s="80" t="str">
        <f ca="1">VLOOKUP($B17&amp;"_"&amp;$E17,OFFSET([2]stages!$A$1,0,0,COUNTA([2]stages!$A:$A),MATCH(G$1,[2]stages!$2:$2,0)-MATCH("temp_stage",[2]stages!$2:$2,0)+1),MATCH(G$1,[2]stages!$2:$2,0)-MATCH("temp_stage",[2]stages!$2:$2,0)+1,FALSE)</f>
        <v>ヒンドゥー神話第二弾超級</v>
      </c>
      <c r="H17" s="82">
        <v>0</v>
      </c>
      <c r="I17">
        <v>20</v>
      </c>
      <c r="J17" s="81" t="s">
        <v>196</v>
      </c>
      <c r="K17" s="90" t="str">
        <f>VLOOKUP(I17,[6]stage_hints!$A:$C,3,FALSE)</f>
        <v>マルチプレイのメリット（その3）</v>
      </c>
      <c r="L17" s="91" t="str">
        <f>VLOOKUP(I17,[6]stage_hints!$A:$D,4,FALSE)</f>
        <v>マルチプレイへの参加はエナジー消費ゼロ_x000D_いつでも好きなだけ遊ぶことができます</v>
      </c>
      <c r="M17" s="56" t="s">
        <v>209</v>
      </c>
    </row>
    <row r="18" spans="1:13" x14ac:dyDescent="0.15">
      <c r="A18" s="78" t="s">
        <v>199</v>
      </c>
      <c r="B18" s="79">
        <f>floors!$C$2</f>
        <v>30043</v>
      </c>
      <c r="C18" s="80" t="str">
        <f ca="1">VLOOKUP($B18,OFFSET([2]quests!$A$1,0,0,COUNTA([2]quests!$A:$A),MATCH(C$1,[2]quests!$1:$1,0)-MATCH($B$1,[2]quests!$1:$1,0)+1),MATCH(C$1,[2]quests!$1:$1,0)-MATCH($B$1,[2]quests!$1:$1,0)+1,FALSE)</f>
        <v>小さな破壊竜</v>
      </c>
      <c r="D18" s="80" t="str">
        <f ca="1">VLOOKUP($B18,OFFSET([2]quests!$A$1,0,0,COUNTA([2]quests!$A:$A),MATCH(D$1,[2]quests!$1:$1,0)-MATCH($B$1,[2]quests!$1:$1,0)+1),MATCH(D$1,[2]quests!$1:$1,0)-MATCH($B$1,[2]quests!$1:$1,0)+1,FALSE)</f>
        <v>ヒンドゥー神話第二弾超級</v>
      </c>
      <c r="E18" s="84">
        <v>1</v>
      </c>
      <c r="F18" s="80" t="str">
        <f ca="1">VLOOKUP($B18&amp;"_"&amp;$E18,OFFSET([2]stages!$A$1,0,0,COUNTA([2]stages!$A:$A),MATCH(F$1,[2]stages!$2:$2,0)-MATCH("temp_stage",[2]stages!$2:$2,0)+1),MATCH(F$1,[2]stages!$2:$2,0)-MATCH("temp_stage",[2]stages!$2:$2,0)+1,FALSE)</f>
        <v>【中級】小さな破壊竜</v>
      </c>
      <c r="G18" s="80" t="str">
        <f ca="1">VLOOKUP($B18&amp;"_"&amp;$E18,OFFSET([2]stages!$A$1,0,0,COUNTA([2]stages!$A:$A),MATCH(G$1,[2]stages!$2:$2,0)-MATCH("temp_stage",[2]stages!$2:$2,0)+1),MATCH(G$1,[2]stages!$2:$2,0)-MATCH("temp_stage",[2]stages!$2:$2,0)+1,FALSE)</f>
        <v>ヒンドゥー神話第二弾超級</v>
      </c>
      <c r="H18" s="82">
        <v>0</v>
      </c>
      <c r="I18">
        <v>21</v>
      </c>
      <c r="J18" s="81" t="s">
        <v>196</v>
      </c>
      <c r="K18" s="90" t="str">
        <f>VLOOKUP(I18,[6]stage_hints!$A:$C,3,FALSE)</f>
        <v>スキルを有効に</v>
      </c>
      <c r="L18" s="91" t="str">
        <f>VLOOKUP(I18,[6]stage_hints!$A:$D,4,FALSE)</f>
        <v>ターン経過でユニットのスキルが使えます_x000D_強力スキルでバトルを有利に進めましょう</v>
      </c>
      <c r="M18" s="56" t="s">
        <v>209</v>
      </c>
    </row>
    <row r="19" spans="1:13" x14ac:dyDescent="0.15">
      <c r="A19" s="78" t="s">
        <v>199</v>
      </c>
      <c r="B19" s="79">
        <f>floors!$C$2</f>
        <v>30043</v>
      </c>
      <c r="C19" s="80" t="str">
        <f ca="1">VLOOKUP($B19,OFFSET([2]quests!$A$1,0,0,COUNTA([2]quests!$A:$A),MATCH(C$1,[2]quests!$1:$1,0)-MATCH($B$1,[2]quests!$1:$1,0)+1),MATCH(C$1,[2]quests!$1:$1,0)-MATCH($B$1,[2]quests!$1:$1,0)+1,FALSE)</f>
        <v>小さな破壊竜</v>
      </c>
      <c r="D19" s="80" t="str">
        <f ca="1">VLOOKUP($B19,OFFSET([2]quests!$A$1,0,0,COUNTA([2]quests!$A:$A),MATCH(D$1,[2]quests!$1:$1,0)-MATCH($B$1,[2]quests!$1:$1,0)+1),MATCH(D$1,[2]quests!$1:$1,0)-MATCH($B$1,[2]quests!$1:$1,0)+1,FALSE)</f>
        <v>ヒンドゥー神話第二弾超級</v>
      </c>
      <c r="E19" s="84">
        <v>1</v>
      </c>
      <c r="F19" s="80" t="str">
        <f ca="1">VLOOKUP($B19&amp;"_"&amp;$E19,OFFSET([2]stages!$A$1,0,0,COUNTA([2]stages!$A:$A),MATCH(F$1,[2]stages!$2:$2,0)-MATCH("temp_stage",[2]stages!$2:$2,0)+1),MATCH(F$1,[2]stages!$2:$2,0)-MATCH("temp_stage",[2]stages!$2:$2,0)+1,FALSE)</f>
        <v>【中級】小さな破壊竜</v>
      </c>
      <c r="G19" s="80" t="str">
        <f ca="1">VLOOKUP($B19&amp;"_"&amp;$E19,OFFSET([2]stages!$A$1,0,0,COUNTA([2]stages!$A:$A),MATCH(G$1,[2]stages!$2:$2,0)-MATCH("temp_stage",[2]stages!$2:$2,0)+1),MATCH(G$1,[2]stages!$2:$2,0)-MATCH("temp_stage",[2]stages!$2:$2,0)+1,FALSE)</f>
        <v>ヒンドゥー神話第二弾超級</v>
      </c>
      <c r="H19" s="82">
        <v>0</v>
      </c>
      <c r="I19">
        <v>22</v>
      </c>
      <c r="J19" s="81" t="s">
        <v>196</v>
      </c>
      <c r="K19" s="90" t="str">
        <f>VLOOKUP(I19,[6]stage_hints!$A:$C,3,FALSE)</f>
        <v>フィーバーで一発逆転（その1）</v>
      </c>
      <c r="L19" s="91" t="str">
        <f>VLOOKUP(I19,[6]stage_hints!$A:$D,4,FALSE)</f>
        <v>フィーバーは攻撃と回復を兼ね備えます_x000D_ピンチからの一発逆転を狙いましょう</v>
      </c>
      <c r="M19" s="56" t="s">
        <v>209</v>
      </c>
    </row>
    <row r="20" spans="1:13" x14ac:dyDescent="0.15">
      <c r="A20" s="78" t="s">
        <v>199</v>
      </c>
      <c r="B20" s="79">
        <f>floors!$C$2</f>
        <v>30043</v>
      </c>
      <c r="C20" s="80" t="str">
        <f ca="1">VLOOKUP($B20,OFFSET([2]quests!$A$1,0,0,COUNTA([2]quests!$A:$A),MATCH(C$1,[2]quests!$1:$1,0)-MATCH($B$1,[2]quests!$1:$1,0)+1),MATCH(C$1,[2]quests!$1:$1,0)-MATCH($B$1,[2]quests!$1:$1,0)+1,FALSE)</f>
        <v>小さな破壊竜</v>
      </c>
      <c r="D20" s="80" t="str">
        <f ca="1">VLOOKUP($B20,OFFSET([2]quests!$A$1,0,0,COUNTA([2]quests!$A:$A),MATCH(D$1,[2]quests!$1:$1,0)-MATCH($B$1,[2]quests!$1:$1,0)+1),MATCH(D$1,[2]quests!$1:$1,0)-MATCH($B$1,[2]quests!$1:$1,0)+1,FALSE)</f>
        <v>ヒンドゥー神話第二弾超級</v>
      </c>
      <c r="E20" s="84">
        <v>1</v>
      </c>
      <c r="F20" s="80" t="str">
        <f ca="1">VLOOKUP($B20&amp;"_"&amp;$E20,OFFSET([2]stages!$A$1,0,0,COUNTA([2]stages!$A:$A),MATCH(F$1,[2]stages!$2:$2,0)-MATCH("temp_stage",[2]stages!$2:$2,0)+1),MATCH(F$1,[2]stages!$2:$2,0)-MATCH("temp_stage",[2]stages!$2:$2,0)+1,FALSE)</f>
        <v>【中級】小さな破壊竜</v>
      </c>
      <c r="G20" s="80" t="str">
        <f ca="1">VLOOKUP($B20&amp;"_"&amp;$E20,OFFSET([2]stages!$A$1,0,0,COUNTA([2]stages!$A:$A),MATCH(G$1,[2]stages!$2:$2,0)-MATCH("temp_stage",[2]stages!$2:$2,0)+1),MATCH(G$1,[2]stages!$2:$2,0)-MATCH("temp_stage",[2]stages!$2:$2,0)+1,FALSE)</f>
        <v>ヒンドゥー神話第二弾超級</v>
      </c>
      <c r="H20" s="82">
        <v>0</v>
      </c>
      <c r="I20">
        <v>23</v>
      </c>
      <c r="J20" s="81" t="s">
        <v>196</v>
      </c>
      <c r="K20" s="90" t="str">
        <f>VLOOKUP(I20,[6]stage_hints!$A:$C,3,FALSE)</f>
        <v>フィーバーで一発逆転（その2）</v>
      </c>
      <c r="L20" s="91" t="str">
        <f>VLOOKUP(I20,[6]stage_hints!$A:$D,4,FALSE)</f>
        <v>フィーバー中は虹色のボムパネルを狙って_x000D_画面上のパネルを一気に破壊しましょう</v>
      </c>
      <c r="M20" s="56" t="s">
        <v>209</v>
      </c>
    </row>
    <row r="21" spans="1:13" x14ac:dyDescent="0.15">
      <c r="A21" s="78" t="s">
        <v>199</v>
      </c>
      <c r="B21" s="79">
        <f>floors!$C$2</f>
        <v>30043</v>
      </c>
      <c r="C21" s="80" t="str">
        <f ca="1">VLOOKUP($B21,OFFSET([2]quests!$A$1,0,0,COUNTA([2]quests!$A:$A),MATCH(C$1,[2]quests!$1:$1,0)-MATCH($B$1,[2]quests!$1:$1,0)+1),MATCH(C$1,[2]quests!$1:$1,0)-MATCH($B$1,[2]quests!$1:$1,0)+1,FALSE)</f>
        <v>小さな破壊竜</v>
      </c>
      <c r="D21" s="80" t="str">
        <f ca="1">VLOOKUP($B21,OFFSET([2]quests!$A$1,0,0,COUNTA([2]quests!$A:$A),MATCH(D$1,[2]quests!$1:$1,0)-MATCH($B$1,[2]quests!$1:$1,0)+1),MATCH(D$1,[2]quests!$1:$1,0)-MATCH($B$1,[2]quests!$1:$1,0)+1,FALSE)</f>
        <v>ヒンドゥー神話第二弾超級</v>
      </c>
      <c r="E21" s="84">
        <v>1</v>
      </c>
      <c r="F21" s="80" t="str">
        <f ca="1">VLOOKUP($B21&amp;"_"&amp;$E21,OFFSET([2]stages!$A$1,0,0,COUNTA([2]stages!$A:$A),MATCH(F$1,[2]stages!$2:$2,0)-MATCH("temp_stage",[2]stages!$2:$2,0)+1),MATCH(F$1,[2]stages!$2:$2,0)-MATCH("temp_stage",[2]stages!$2:$2,0)+1,FALSE)</f>
        <v>【中級】小さな破壊竜</v>
      </c>
      <c r="G21" s="80" t="str">
        <f ca="1">VLOOKUP($B21&amp;"_"&amp;$E21,OFFSET([2]stages!$A$1,0,0,COUNTA([2]stages!$A:$A),MATCH(G$1,[2]stages!$2:$2,0)-MATCH("temp_stage",[2]stages!$2:$2,0)+1),MATCH(G$1,[2]stages!$2:$2,0)-MATCH("temp_stage",[2]stages!$2:$2,0)+1,FALSE)</f>
        <v>ヒンドゥー神話第二弾超級</v>
      </c>
      <c r="H21" s="82">
        <v>0</v>
      </c>
      <c r="I21">
        <v>24</v>
      </c>
      <c r="J21" s="81" t="s">
        <v>196</v>
      </c>
      <c r="K21" s="90" t="str">
        <f>VLOOKUP(I21,[6]stage_hints!$A:$C,3,FALSE)</f>
        <v>りんごを使って限界突破</v>
      </c>
      <c r="L21" s="91" t="str">
        <f>VLOOKUP(I21,[6]stage_hints!$A:$D,4,FALSE)</f>
        <v>赤りんご(攻撃力) 青りんご(回復力)_x000D_緑りんご(体力)をユニット強化に使うと_x000D_ステータスが限界突破します（計99個迄）</v>
      </c>
      <c r="M21" s="56" t="s">
        <v>209</v>
      </c>
    </row>
    <row r="22" spans="1:13" x14ac:dyDescent="0.15">
      <c r="A22" s="78" t="s">
        <v>199</v>
      </c>
      <c r="B22" s="79">
        <f>floors!$C$2</f>
        <v>30043</v>
      </c>
      <c r="C22" s="80" t="str">
        <f ca="1">VLOOKUP($B22,OFFSET([2]quests!$A$1,0,0,COUNTA([2]quests!$A:$A),MATCH(C$1,[2]quests!$1:$1,0)-MATCH($B$1,[2]quests!$1:$1,0)+1),MATCH(C$1,[2]quests!$1:$1,0)-MATCH($B$1,[2]quests!$1:$1,0)+1,FALSE)</f>
        <v>小さな破壊竜</v>
      </c>
      <c r="D22" s="80" t="str">
        <f ca="1">VLOOKUP($B22,OFFSET([2]quests!$A$1,0,0,COUNTA([2]quests!$A:$A),MATCH(D$1,[2]quests!$1:$1,0)-MATCH($B$1,[2]quests!$1:$1,0)+1),MATCH(D$1,[2]quests!$1:$1,0)-MATCH($B$1,[2]quests!$1:$1,0)+1,FALSE)</f>
        <v>ヒンドゥー神話第二弾超級</v>
      </c>
      <c r="E22" s="84">
        <v>1</v>
      </c>
      <c r="F22" s="80" t="str">
        <f ca="1">VLOOKUP($B22&amp;"_"&amp;$E22,OFFSET([2]stages!$A$1,0,0,COUNTA([2]stages!$A:$A),MATCH(F$1,[2]stages!$2:$2,0)-MATCH("temp_stage",[2]stages!$2:$2,0)+1),MATCH(F$1,[2]stages!$2:$2,0)-MATCH("temp_stage",[2]stages!$2:$2,0)+1,FALSE)</f>
        <v>【中級】小さな破壊竜</v>
      </c>
      <c r="G22" s="80" t="str">
        <f ca="1">VLOOKUP($B22&amp;"_"&amp;$E22,OFFSET([2]stages!$A$1,0,0,COUNTA([2]stages!$A:$A),MATCH(G$1,[2]stages!$2:$2,0)-MATCH("temp_stage",[2]stages!$2:$2,0)+1),MATCH(G$1,[2]stages!$2:$2,0)-MATCH("temp_stage",[2]stages!$2:$2,0)+1,FALSE)</f>
        <v>ヒンドゥー神話第二弾超級</v>
      </c>
      <c r="H22" s="82">
        <v>0</v>
      </c>
      <c r="I22">
        <v>25</v>
      </c>
      <c r="J22" s="81" t="s">
        <v>196</v>
      </c>
      <c r="K22" s="90" t="str">
        <f>VLOOKUP(I22,[6]stage_hints!$A:$C,3,FALSE)</f>
        <v>スキルレベルアップ</v>
      </c>
      <c r="L22" s="91" t="str">
        <f>VLOOKUP(I22,[6]stage_hints!$A:$D,4,FALSE)</f>
        <v>「クリスタルのりんご」を強化に使うと_x000D_スキルレベルを上げることができます</v>
      </c>
      <c r="M22" s="56" t="s">
        <v>209</v>
      </c>
    </row>
    <row r="23" spans="1:13" x14ac:dyDescent="0.15">
      <c r="A23" s="78" t="s">
        <v>199</v>
      </c>
      <c r="B23" s="79">
        <f>floors!$C$2</f>
        <v>30043</v>
      </c>
      <c r="C23" s="80" t="str">
        <f ca="1">VLOOKUP($B23,OFFSET([2]quests!$A$1,0,0,COUNTA([2]quests!$A:$A),MATCH(C$1,[2]quests!$1:$1,0)-MATCH($B$1,[2]quests!$1:$1,0)+1),MATCH(C$1,[2]quests!$1:$1,0)-MATCH($B$1,[2]quests!$1:$1,0)+1,FALSE)</f>
        <v>小さな破壊竜</v>
      </c>
      <c r="D23" s="80" t="str">
        <f ca="1">VLOOKUP($B23,OFFSET([2]quests!$A$1,0,0,COUNTA([2]quests!$A:$A),MATCH(D$1,[2]quests!$1:$1,0)-MATCH($B$1,[2]quests!$1:$1,0)+1),MATCH(D$1,[2]quests!$1:$1,0)-MATCH($B$1,[2]quests!$1:$1,0)+1,FALSE)</f>
        <v>ヒンドゥー神話第二弾超級</v>
      </c>
      <c r="E23" s="84">
        <v>1</v>
      </c>
      <c r="F23" s="80" t="str">
        <f ca="1">VLOOKUP($B23&amp;"_"&amp;$E23,OFFSET([2]stages!$A$1,0,0,COUNTA([2]stages!$A:$A),MATCH(F$1,[2]stages!$2:$2,0)-MATCH("temp_stage",[2]stages!$2:$2,0)+1),MATCH(F$1,[2]stages!$2:$2,0)-MATCH("temp_stage",[2]stages!$2:$2,0)+1,FALSE)</f>
        <v>【中級】小さな破壊竜</v>
      </c>
      <c r="G23" s="80" t="str">
        <f ca="1">VLOOKUP($B23&amp;"_"&amp;$E23,OFFSET([2]stages!$A$1,0,0,COUNTA([2]stages!$A:$A),MATCH(G$1,[2]stages!$2:$2,0)-MATCH("temp_stage",[2]stages!$2:$2,0)+1),MATCH(G$1,[2]stages!$2:$2,0)-MATCH("temp_stage",[2]stages!$2:$2,0)+1,FALSE)</f>
        <v>ヒンドゥー神話第二弾超級</v>
      </c>
      <c r="H23" s="82">
        <v>0</v>
      </c>
      <c r="I23">
        <v>26</v>
      </c>
      <c r="J23" s="81" t="s">
        <v>196</v>
      </c>
      <c r="K23" s="90" t="str">
        <f>VLOOKUP(I23,[6]stage_hints!$A:$C,3,FALSE)</f>
        <v>スキルレベルの効果</v>
      </c>
      <c r="L23" s="91" t="str">
        <f>VLOOKUP(I23,[6]stage_hints!$A:$D,4,FALSE)</f>
        <v>スキルレベルが上がると_x000D_短いターンでスキルを使うことができます</v>
      </c>
      <c r="M23" s="56" t="s">
        <v>209</v>
      </c>
    </row>
    <row r="24" spans="1:13" x14ac:dyDescent="0.15">
      <c r="A24" s="78" t="s">
        <v>199</v>
      </c>
      <c r="B24" s="79">
        <f>floors!$C$2</f>
        <v>30043</v>
      </c>
      <c r="C24" s="80" t="str">
        <f ca="1">VLOOKUP($B24,OFFSET([2]quests!$A$1,0,0,COUNTA([2]quests!$A:$A),MATCH(C$1,[2]quests!$1:$1,0)-MATCH($B$1,[2]quests!$1:$1,0)+1),MATCH(C$1,[2]quests!$1:$1,0)-MATCH($B$1,[2]quests!$1:$1,0)+1,FALSE)</f>
        <v>小さな破壊竜</v>
      </c>
      <c r="D24" s="80" t="str">
        <f ca="1">VLOOKUP($B24,OFFSET([2]quests!$A$1,0,0,COUNTA([2]quests!$A:$A),MATCH(D$1,[2]quests!$1:$1,0)-MATCH($B$1,[2]quests!$1:$1,0)+1),MATCH(D$1,[2]quests!$1:$1,0)-MATCH($B$1,[2]quests!$1:$1,0)+1,FALSE)</f>
        <v>ヒンドゥー神話第二弾超級</v>
      </c>
      <c r="E24" s="84">
        <v>1</v>
      </c>
      <c r="F24" s="80" t="str">
        <f ca="1">VLOOKUP($B24&amp;"_"&amp;$E24,OFFSET([2]stages!$A$1,0,0,COUNTA([2]stages!$A:$A),MATCH(F$1,[2]stages!$2:$2,0)-MATCH("temp_stage",[2]stages!$2:$2,0)+1),MATCH(F$1,[2]stages!$2:$2,0)-MATCH("temp_stage",[2]stages!$2:$2,0)+1,FALSE)</f>
        <v>【中級】小さな破壊竜</v>
      </c>
      <c r="G24" s="80" t="str">
        <f ca="1">VLOOKUP($B24&amp;"_"&amp;$E24,OFFSET([2]stages!$A$1,0,0,COUNTA([2]stages!$A:$A),MATCH(G$1,[2]stages!$2:$2,0)-MATCH("temp_stage",[2]stages!$2:$2,0)+1),MATCH(G$1,[2]stages!$2:$2,0)-MATCH("temp_stage",[2]stages!$2:$2,0)+1,FALSE)</f>
        <v>ヒンドゥー神話第二弾超級</v>
      </c>
      <c r="H24" s="82">
        <v>0</v>
      </c>
      <c r="I24">
        <v>27</v>
      </c>
      <c r="J24" s="81" t="s">
        <v>196</v>
      </c>
      <c r="K24" s="90" t="str">
        <f>VLOOKUP(I24,[6]stage_hints!$A:$C,3,FALSE)</f>
        <v>ホーム画面からデッキを編成</v>
      </c>
      <c r="L24" s="91" t="str">
        <f>VLOOKUP(I24,[6]stage_hints!$A:$D,4,FALSE)</f>
        <v>ホーム画面でユニットを長押しすると_x000D_すぐにパーティ編成に移動できます</v>
      </c>
      <c r="M24" s="56" t="s">
        <v>209</v>
      </c>
    </row>
    <row r="25" spans="1:13" x14ac:dyDescent="0.15">
      <c r="A25" s="78" t="s">
        <v>199</v>
      </c>
      <c r="B25" s="79">
        <f>floors!$C$2</f>
        <v>30043</v>
      </c>
      <c r="C25" s="80" t="str">
        <f ca="1">VLOOKUP($B25,OFFSET([2]quests!$A$1,0,0,COUNTA([2]quests!$A:$A),MATCH(C$1,[2]quests!$1:$1,0)-MATCH($B$1,[2]quests!$1:$1,0)+1),MATCH(C$1,[2]quests!$1:$1,0)-MATCH($B$1,[2]quests!$1:$1,0)+1,FALSE)</f>
        <v>小さな破壊竜</v>
      </c>
      <c r="D25" s="80" t="str">
        <f ca="1">VLOOKUP($B25,OFFSET([2]quests!$A$1,0,0,COUNTA([2]quests!$A:$A),MATCH(D$1,[2]quests!$1:$1,0)-MATCH($B$1,[2]quests!$1:$1,0)+1),MATCH(D$1,[2]quests!$1:$1,0)-MATCH($B$1,[2]quests!$1:$1,0)+1,FALSE)</f>
        <v>ヒンドゥー神話第二弾超級</v>
      </c>
      <c r="E25" s="84">
        <v>1</v>
      </c>
      <c r="F25" s="80" t="str">
        <f ca="1">VLOOKUP($B25&amp;"_"&amp;$E25,OFFSET([2]stages!$A$1,0,0,COUNTA([2]stages!$A:$A),MATCH(F$1,[2]stages!$2:$2,0)-MATCH("temp_stage",[2]stages!$2:$2,0)+1),MATCH(F$1,[2]stages!$2:$2,0)-MATCH("temp_stage",[2]stages!$2:$2,0)+1,FALSE)</f>
        <v>【中級】小さな破壊竜</v>
      </c>
      <c r="G25" s="80" t="str">
        <f ca="1">VLOOKUP($B25&amp;"_"&amp;$E25,OFFSET([2]stages!$A$1,0,0,COUNTA([2]stages!$A:$A),MATCH(G$1,[2]stages!$2:$2,0)-MATCH("temp_stage",[2]stages!$2:$2,0)+1),MATCH(G$1,[2]stages!$2:$2,0)-MATCH("temp_stage",[2]stages!$2:$2,0)+1,FALSE)</f>
        <v>ヒンドゥー神話第二弾超級</v>
      </c>
      <c r="H25" s="82">
        <v>0</v>
      </c>
      <c r="I25">
        <v>28</v>
      </c>
      <c r="J25" s="81" t="s">
        <v>196</v>
      </c>
      <c r="K25" s="90" t="str">
        <f>VLOOKUP(I25,[6]stage_hints!$A:$C,3,FALSE)</f>
        <v>ステータス情報は長押しで</v>
      </c>
      <c r="L25" s="91" t="str">
        <f>VLOOKUP(I25,[6]stage_hints!$A:$D,4,FALSE)</f>
        <v>ユニットのアイコンを長押しすると_x000D_ステータス情報を確認することができます</v>
      </c>
      <c r="M25" s="56" t="s">
        <v>209</v>
      </c>
    </row>
    <row r="26" spans="1:13" x14ac:dyDescent="0.15">
      <c r="A26" s="78" t="s">
        <v>199</v>
      </c>
      <c r="B26" s="79">
        <f>floors!$C$2</f>
        <v>30043</v>
      </c>
      <c r="C26" s="80" t="str">
        <f ca="1">VLOOKUP($B26,OFFSET([2]quests!$A$1,0,0,COUNTA([2]quests!$A:$A),MATCH(C$1,[2]quests!$1:$1,0)-MATCH($B$1,[2]quests!$1:$1,0)+1),MATCH(C$1,[2]quests!$1:$1,0)-MATCH($B$1,[2]quests!$1:$1,0)+1,FALSE)</f>
        <v>小さな破壊竜</v>
      </c>
      <c r="D26" s="80" t="str">
        <f ca="1">VLOOKUP($B26,OFFSET([2]quests!$A$1,0,0,COUNTA([2]quests!$A:$A),MATCH(D$1,[2]quests!$1:$1,0)-MATCH($B$1,[2]quests!$1:$1,0)+1),MATCH(D$1,[2]quests!$1:$1,0)-MATCH($B$1,[2]quests!$1:$1,0)+1,FALSE)</f>
        <v>ヒンドゥー神話第二弾超級</v>
      </c>
      <c r="E26" s="84">
        <v>1</v>
      </c>
      <c r="F26" s="80" t="str">
        <f ca="1">VLOOKUP($B26&amp;"_"&amp;$E26,OFFSET([2]stages!$A$1,0,0,COUNTA([2]stages!$A:$A),MATCH(F$1,[2]stages!$2:$2,0)-MATCH("temp_stage",[2]stages!$2:$2,0)+1),MATCH(F$1,[2]stages!$2:$2,0)-MATCH("temp_stage",[2]stages!$2:$2,0)+1,FALSE)</f>
        <v>【中級】小さな破壊竜</v>
      </c>
      <c r="G26" s="80" t="str">
        <f ca="1">VLOOKUP($B26&amp;"_"&amp;$E26,OFFSET([2]stages!$A$1,0,0,COUNTA([2]stages!$A:$A),MATCH(G$1,[2]stages!$2:$2,0)-MATCH("temp_stage",[2]stages!$2:$2,0)+1),MATCH(G$1,[2]stages!$2:$2,0)-MATCH("temp_stage",[2]stages!$2:$2,0)+1,FALSE)</f>
        <v>ヒンドゥー神話第二弾超級</v>
      </c>
      <c r="H26" s="82">
        <v>0</v>
      </c>
      <c r="I26">
        <v>29</v>
      </c>
      <c r="J26" s="81" t="s">
        <v>196</v>
      </c>
      <c r="K26" s="90" t="str">
        <f>VLOOKUP(I26,[6]stage_hints!$A:$C,3,FALSE)</f>
        <v>「バグ」のメリット</v>
      </c>
      <c r="L26" s="91" t="str">
        <f>VLOOKUP(I26,[6]stage_hints!$A:$D,4,FALSE)</f>
        <v>ユニットの「バグ」を増やすと_x000D_報酬をもらえる確率がアップします</v>
      </c>
      <c r="M26" s="56" t="s">
        <v>209</v>
      </c>
    </row>
    <row r="27" spans="1:13" x14ac:dyDescent="0.15">
      <c r="A27" s="78" t="s">
        <v>199</v>
      </c>
      <c r="B27" s="79">
        <f>floors!$C$2</f>
        <v>30043</v>
      </c>
      <c r="C27" s="80" t="str">
        <f ca="1">VLOOKUP($B27,OFFSET([2]quests!$A$1,0,0,COUNTA([2]quests!$A:$A),MATCH(C$1,[2]quests!$1:$1,0)-MATCH($B$1,[2]quests!$1:$1,0)+1),MATCH(C$1,[2]quests!$1:$1,0)-MATCH($B$1,[2]quests!$1:$1,0)+1,FALSE)</f>
        <v>小さな破壊竜</v>
      </c>
      <c r="D27" s="80" t="str">
        <f ca="1">VLOOKUP($B27,OFFSET([2]quests!$A$1,0,0,COUNTA([2]quests!$A:$A),MATCH(D$1,[2]quests!$1:$1,0)-MATCH($B$1,[2]quests!$1:$1,0)+1),MATCH(D$1,[2]quests!$1:$1,0)-MATCH($B$1,[2]quests!$1:$1,0)+1,FALSE)</f>
        <v>ヒンドゥー神話第二弾超級</v>
      </c>
      <c r="E27" s="84">
        <v>1</v>
      </c>
      <c r="F27" s="80" t="str">
        <f ca="1">VLOOKUP($B27&amp;"_"&amp;$E27,OFFSET([2]stages!$A$1,0,0,COUNTA([2]stages!$A:$A),MATCH(F$1,[2]stages!$2:$2,0)-MATCH("temp_stage",[2]stages!$2:$2,0)+1),MATCH(F$1,[2]stages!$2:$2,0)-MATCH("temp_stage",[2]stages!$2:$2,0)+1,FALSE)</f>
        <v>【中級】小さな破壊竜</v>
      </c>
      <c r="G27" s="80" t="str">
        <f ca="1">VLOOKUP($B27&amp;"_"&amp;$E27,OFFSET([2]stages!$A$1,0,0,COUNTA([2]stages!$A:$A),MATCH(G$1,[2]stages!$2:$2,0)-MATCH("temp_stage",[2]stages!$2:$2,0)+1),MATCH(G$1,[2]stages!$2:$2,0)-MATCH("temp_stage",[2]stages!$2:$2,0)+1,FALSE)</f>
        <v>ヒンドゥー神話第二弾超級</v>
      </c>
      <c r="H27" s="82">
        <v>0</v>
      </c>
      <c r="I27">
        <v>30</v>
      </c>
      <c r="J27" s="81" t="s">
        <v>196</v>
      </c>
      <c r="K27" s="90" t="str">
        <f>VLOOKUP(I27,[6]stage_hints!$A:$C,3,FALSE)</f>
        <v>「バグ」の増やし方</v>
      </c>
      <c r="L27" s="91" t="str">
        <f>VLOOKUP(I27,[6]stage_hints!$A:$D,4,FALSE)</f>
        <v>同じユニット同士を強化で合成すると_x000D_「バグ」を増やすことができます</v>
      </c>
      <c r="M27" s="56" t="s">
        <v>209</v>
      </c>
    </row>
    <row r="28" spans="1:13" x14ac:dyDescent="0.15">
      <c r="A28" s="78" t="s">
        <v>199</v>
      </c>
      <c r="B28" s="79">
        <f>floors!$C$2</f>
        <v>30043</v>
      </c>
      <c r="C28" s="80" t="str">
        <f ca="1">VLOOKUP($B28,OFFSET([2]quests!$A$1,0,0,COUNTA([2]quests!$A:$A),MATCH(C$1,[2]quests!$1:$1,0)-MATCH($B$1,[2]quests!$1:$1,0)+1),MATCH(C$1,[2]quests!$1:$1,0)-MATCH($B$1,[2]quests!$1:$1,0)+1,FALSE)</f>
        <v>小さな破壊竜</v>
      </c>
      <c r="D28" s="80" t="str">
        <f ca="1">VLOOKUP($B28,OFFSET([2]quests!$A$1,0,0,COUNTA([2]quests!$A:$A),MATCH(D$1,[2]quests!$1:$1,0)-MATCH($B$1,[2]quests!$1:$1,0)+1),MATCH(D$1,[2]quests!$1:$1,0)-MATCH($B$1,[2]quests!$1:$1,0)+1,FALSE)</f>
        <v>ヒンドゥー神話第二弾超級</v>
      </c>
      <c r="E28" s="84">
        <v>1</v>
      </c>
      <c r="F28" s="80" t="str">
        <f ca="1">VLOOKUP($B28&amp;"_"&amp;$E28,OFFSET([2]stages!$A$1,0,0,COUNTA([2]stages!$A:$A),MATCH(F$1,[2]stages!$2:$2,0)-MATCH("temp_stage",[2]stages!$2:$2,0)+1),MATCH(F$1,[2]stages!$2:$2,0)-MATCH("temp_stage",[2]stages!$2:$2,0)+1,FALSE)</f>
        <v>【中級】小さな破壊竜</v>
      </c>
      <c r="G28" s="80" t="str">
        <f ca="1">VLOOKUP($B28&amp;"_"&amp;$E28,OFFSET([2]stages!$A$1,0,0,COUNTA([2]stages!$A:$A),MATCH(G$1,[2]stages!$2:$2,0)-MATCH("temp_stage",[2]stages!$2:$2,0)+1),MATCH(G$1,[2]stages!$2:$2,0)-MATCH("temp_stage",[2]stages!$2:$2,0)+1,FALSE)</f>
        <v>ヒンドゥー神話第二弾超級</v>
      </c>
      <c r="H28" s="82">
        <v>0</v>
      </c>
      <c r="I28">
        <v>31</v>
      </c>
      <c r="J28" s="81" t="s">
        <v>196</v>
      </c>
      <c r="K28" s="90" t="str">
        <f>VLOOKUP(I28,[6]stage_hints!$A:$C,3,FALSE)</f>
        <v>イベントはお知らせでチェック</v>
      </c>
      <c r="L28" s="91" t="str">
        <f>VLOOKUP(I28,[6]stage_hints!$A:$D,4,FALSE)</f>
        <v>イベント限定ユニットを取り忘れないように_x000D_お知らせをこまめにチェックしましょう</v>
      </c>
      <c r="M28" s="56" t="s">
        <v>209</v>
      </c>
    </row>
    <row r="29" spans="1:13" x14ac:dyDescent="0.15">
      <c r="A29" s="78" t="s">
        <v>199</v>
      </c>
      <c r="B29" s="79">
        <f>floors!$C$2</f>
        <v>30043</v>
      </c>
      <c r="C29" s="80" t="str">
        <f ca="1">VLOOKUP($B29,OFFSET([2]quests!$A$1,0,0,COUNTA([2]quests!$A:$A),MATCH(C$1,[2]quests!$1:$1,0)-MATCH($B$1,[2]quests!$1:$1,0)+1),MATCH(C$1,[2]quests!$1:$1,0)-MATCH($B$1,[2]quests!$1:$1,0)+1,FALSE)</f>
        <v>小さな破壊竜</v>
      </c>
      <c r="D29" s="80" t="str">
        <f ca="1">VLOOKUP($B29,OFFSET([2]quests!$A$1,0,0,COUNTA([2]quests!$A:$A),MATCH(D$1,[2]quests!$1:$1,0)-MATCH($B$1,[2]quests!$1:$1,0)+1),MATCH(D$1,[2]quests!$1:$1,0)-MATCH($B$1,[2]quests!$1:$1,0)+1,FALSE)</f>
        <v>ヒンドゥー神話第二弾超級</v>
      </c>
      <c r="E29" s="84">
        <v>1</v>
      </c>
      <c r="F29" s="80" t="str">
        <f ca="1">VLOOKUP($B29&amp;"_"&amp;$E29,OFFSET([2]stages!$A$1,0,0,COUNTA([2]stages!$A:$A),MATCH(F$1,[2]stages!$2:$2,0)-MATCH("temp_stage",[2]stages!$2:$2,0)+1),MATCH(F$1,[2]stages!$2:$2,0)-MATCH("temp_stage",[2]stages!$2:$2,0)+1,FALSE)</f>
        <v>【中級】小さな破壊竜</v>
      </c>
      <c r="G29" s="80" t="str">
        <f ca="1">VLOOKUP($B29&amp;"_"&amp;$E29,OFFSET([2]stages!$A$1,0,0,COUNTA([2]stages!$A:$A),MATCH(G$1,[2]stages!$2:$2,0)-MATCH("temp_stage",[2]stages!$2:$2,0)+1),MATCH(G$1,[2]stages!$2:$2,0)-MATCH("temp_stage",[2]stages!$2:$2,0)+1,FALSE)</f>
        <v>ヒンドゥー神話第二弾超級</v>
      </c>
      <c r="H29" s="82">
        <v>0</v>
      </c>
      <c r="I29">
        <v>32</v>
      </c>
      <c r="J29" s="81" t="s">
        <v>196</v>
      </c>
      <c r="K29" s="90" t="str">
        <f>VLOOKUP(I29,[6]stage_hints!$A:$C,3,FALSE)</f>
        <v>敵の連続攻撃には</v>
      </c>
      <c r="L29" s="91" t="str">
        <f>VLOOKUP(I29,[6]stage_hints!$A:$D,4,FALSE)</f>
        <v>カウンタースキルを持つユニットがいれば_x000D_ダメージ回数分の反撃ができます</v>
      </c>
      <c r="M29" s="56" t="s">
        <v>209</v>
      </c>
    </row>
    <row r="30" spans="1:13" x14ac:dyDescent="0.15">
      <c r="A30" s="78" t="s">
        <v>199</v>
      </c>
      <c r="B30" s="79">
        <f>floors!$C$2</f>
        <v>30043</v>
      </c>
      <c r="C30" s="80" t="str">
        <f ca="1">VLOOKUP($B30,OFFSET([2]quests!$A$1,0,0,COUNTA([2]quests!$A:$A),MATCH(C$1,[2]quests!$1:$1,0)-MATCH($B$1,[2]quests!$1:$1,0)+1),MATCH(C$1,[2]quests!$1:$1,0)-MATCH($B$1,[2]quests!$1:$1,0)+1,FALSE)</f>
        <v>小さな破壊竜</v>
      </c>
      <c r="D30" s="80" t="str">
        <f ca="1">VLOOKUP($B30,OFFSET([2]quests!$A$1,0,0,COUNTA([2]quests!$A:$A),MATCH(D$1,[2]quests!$1:$1,0)-MATCH($B$1,[2]quests!$1:$1,0)+1),MATCH(D$1,[2]quests!$1:$1,0)-MATCH($B$1,[2]quests!$1:$1,0)+1,FALSE)</f>
        <v>ヒンドゥー神話第二弾超級</v>
      </c>
      <c r="E30" s="84">
        <v>1</v>
      </c>
      <c r="F30" s="80" t="str">
        <f ca="1">VLOOKUP($B30&amp;"_"&amp;$E30,OFFSET([2]stages!$A$1,0,0,COUNTA([2]stages!$A:$A),MATCH(F$1,[2]stages!$2:$2,0)-MATCH("temp_stage",[2]stages!$2:$2,0)+1),MATCH(F$1,[2]stages!$2:$2,0)-MATCH("temp_stage",[2]stages!$2:$2,0)+1,FALSE)</f>
        <v>【中級】小さな破壊竜</v>
      </c>
      <c r="G30" s="80" t="str">
        <f ca="1">VLOOKUP($B30&amp;"_"&amp;$E30,OFFSET([2]stages!$A$1,0,0,COUNTA([2]stages!$A:$A),MATCH(G$1,[2]stages!$2:$2,0)-MATCH("temp_stage",[2]stages!$2:$2,0)+1),MATCH(G$1,[2]stages!$2:$2,0)-MATCH("temp_stage",[2]stages!$2:$2,0)+1,FALSE)</f>
        <v>ヒンドゥー神話第二弾超級</v>
      </c>
      <c r="H30" s="82">
        <v>0</v>
      </c>
      <c r="I30">
        <v>33</v>
      </c>
      <c r="J30" s="81" t="s">
        <v>196</v>
      </c>
      <c r="K30" s="90" t="str">
        <f>VLOOKUP(I30,[6]stage_hints!$A:$C,3,FALSE)</f>
        <v>敵のカウンター攻撃には</v>
      </c>
      <c r="L30" s="91" t="str">
        <f>VLOOKUP(I30,[6]stage_hints!$A:$D,4,FALSE)</f>
        <v>カウンターブレイクスキルを持っていれば_x000D_敵のカウンターを解除して攻撃ができます</v>
      </c>
      <c r="M30" s="56" t="s">
        <v>209</v>
      </c>
    </row>
    <row r="31" spans="1:13" x14ac:dyDescent="0.15">
      <c r="A31" s="78" t="s">
        <v>199</v>
      </c>
      <c r="B31" s="79">
        <f>floors!$C$2</f>
        <v>30043</v>
      </c>
      <c r="C31" s="80" t="str">
        <f ca="1">VLOOKUP($B31,OFFSET([2]quests!$A$1,0,0,COUNTA([2]quests!$A:$A),MATCH(C$1,[2]quests!$1:$1,0)-MATCH($B$1,[2]quests!$1:$1,0)+1),MATCH(C$1,[2]quests!$1:$1,0)-MATCH($B$1,[2]quests!$1:$1,0)+1,FALSE)</f>
        <v>小さな破壊竜</v>
      </c>
      <c r="D31" s="80" t="str">
        <f ca="1">VLOOKUP($B31,OFFSET([2]quests!$A$1,0,0,COUNTA([2]quests!$A:$A),MATCH(D$1,[2]quests!$1:$1,0)-MATCH($B$1,[2]quests!$1:$1,0)+1),MATCH(D$1,[2]quests!$1:$1,0)-MATCH($B$1,[2]quests!$1:$1,0)+1,FALSE)</f>
        <v>ヒンドゥー神話第二弾超級</v>
      </c>
      <c r="E31" s="84">
        <v>1</v>
      </c>
      <c r="F31" s="80" t="str">
        <f ca="1">VLOOKUP($B31&amp;"_"&amp;$E31,OFFSET([2]stages!$A$1,0,0,COUNTA([2]stages!$A:$A),MATCH(F$1,[2]stages!$2:$2,0)-MATCH("temp_stage",[2]stages!$2:$2,0)+1),MATCH(F$1,[2]stages!$2:$2,0)-MATCH("temp_stage",[2]stages!$2:$2,0)+1,FALSE)</f>
        <v>【中級】小さな破壊竜</v>
      </c>
      <c r="G31" s="80" t="str">
        <f ca="1">VLOOKUP($B31&amp;"_"&amp;$E31,OFFSET([2]stages!$A$1,0,0,COUNTA([2]stages!$A:$A),MATCH(G$1,[2]stages!$2:$2,0)-MATCH("temp_stage",[2]stages!$2:$2,0)+1),MATCH(G$1,[2]stages!$2:$2,0)-MATCH("temp_stage",[2]stages!$2:$2,0)+1,FALSE)</f>
        <v>ヒンドゥー神話第二弾超級</v>
      </c>
      <c r="H31" s="82">
        <v>0</v>
      </c>
      <c r="I31">
        <v>34</v>
      </c>
      <c r="J31" s="81" t="s">
        <v>196</v>
      </c>
      <c r="K31" s="90" t="str">
        <f>VLOOKUP(I31,[6]stage_hints!$A:$C,3,FALSE)</f>
        <v>ステータスをスキルで下げられたら</v>
      </c>
      <c r="L31" s="91" t="str">
        <f>VLOOKUP(I31,[6]stage_hints!$A:$D,4,FALSE)</f>
        <v>ステータスダウンのスキルを受けたら_x000D_ステータスアップスキルで上書きしましょう</v>
      </c>
      <c r="M31" s="56" t="s">
        <v>209</v>
      </c>
    </row>
    <row r="32" spans="1:13" x14ac:dyDescent="0.15">
      <c r="A32" s="78" t="s">
        <v>199</v>
      </c>
      <c r="B32" s="79">
        <f>floors!$C$2</f>
        <v>30043</v>
      </c>
      <c r="C32" s="80" t="str">
        <f ca="1">VLOOKUP($B32,OFFSET([2]quests!$A$1,0,0,COUNTA([2]quests!$A:$A),MATCH(C$1,[2]quests!$1:$1,0)-MATCH($B$1,[2]quests!$1:$1,0)+1),MATCH(C$1,[2]quests!$1:$1,0)-MATCH($B$1,[2]quests!$1:$1,0)+1,FALSE)</f>
        <v>小さな破壊竜</v>
      </c>
      <c r="D32" s="80" t="str">
        <f ca="1">VLOOKUP($B32,OFFSET([2]quests!$A$1,0,0,COUNTA([2]quests!$A:$A),MATCH(D$1,[2]quests!$1:$1,0)-MATCH($B$1,[2]quests!$1:$1,0)+1),MATCH(D$1,[2]quests!$1:$1,0)-MATCH($B$1,[2]quests!$1:$1,0)+1,FALSE)</f>
        <v>ヒンドゥー神話第二弾超級</v>
      </c>
      <c r="E32" s="84">
        <v>1</v>
      </c>
      <c r="F32" s="80" t="str">
        <f ca="1">VLOOKUP($B32&amp;"_"&amp;$E32,OFFSET([2]stages!$A$1,0,0,COUNTA([2]stages!$A:$A),MATCH(F$1,[2]stages!$2:$2,0)-MATCH("temp_stage",[2]stages!$2:$2,0)+1),MATCH(F$1,[2]stages!$2:$2,0)-MATCH("temp_stage",[2]stages!$2:$2,0)+1,FALSE)</f>
        <v>【中級】小さな破壊竜</v>
      </c>
      <c r="G32" s="80" t="str">
        <f ca="1">VLOOKUP($B32&amp;"_"&amp;$E32,OFFSET([2]stages!$A$1,0,0,COUNTA([2]stages!$A:$A),MATCH(G$1,[2]stages!$2:$2,0)-MATCH("temp_stage",[2]stages!$2:$2,0)+1),MATCH(G$1,[2]stages!$2:$2,0)-MATCH("temp_stage",[2]stages!$2:$2,0)+1,FALSE)</f>
        <v>ヒンドゥー神話第二弾超級</v>
      </c>
      <c r="H32" s="82">
        <v>0</v>
      </c>
      <c r="I32">
        <v>35</v>
      </c>
      <c r="J32" s="81" t="s">
        <v>196</v>
      </c>
      <c r="K32" s="90" t="str">
        <f>VLOOKUP(I32,[6]stage_hints!$A:$C,3,FALSE)</f>
        <v>敵のステータスがスキルで上がったら</v>
      </c>
      <c r="L32" s="91" t="str">
        <f>VLOOKUP(I32,[6]stage_hints!$A:$D,4,FALSE)</f>
        <v>敵のステータスがスキルでアップしたときは_x000D_ステータスダウンスキルで上書きしましょう</v>
      </c>
      <c r="M32" s="56" t="s">
        <v>209</v>
      </c>
    </row>
    <row r="33" spans="1:13" x14ac:dyDescent="0.15">
      <c r="A33" s="78" t="s">
        <v>199</v>
      </c>
      <c r="B33" s="79">
        <f>floors!$C$2</f>
        <v>30043</v>
      </c>
      <c r="C33" s="80" t="str">
        <f ca="1">VLOOKUP($B33,OFFSET([2]quests!$A$1,0,0,COUNTA([2]quests!$A:$A),MATCH(C$1,[2]quests!$1:$1,0)-MATCH($B$1,[2]quests!$1:$1,0)+1),MATCH(C$1,[2]quests!$1:$1,0)-MATCH($B$1,[2]quests!$1:$1,0)+1,FALSE)</f>
        <v>小さな破壊竜</v>
      </c>
      <c r="D33" s="80" t="str">
        <f ca="1">VLOOKUP($B33,OFFSET([2]quests!$A$1,0,0,COUNTA([2]quests!$A:$A),MATCH(D$1,[2]quests!$1:$1,0)-MATCH($B$1,[2]quests!$1:$1,0)+1),MATCH(D$1,[2]quests!$1:$1,0)-MATCH($B$1,[2]quests!$1:$1,0)+1,FALSE)</f>
        <v>ヒンドゥー神話第二弾超級</v>
      </c>
      <c r="E33" s="84">
        <v>1</v>
      </c>
      <c r="F33" s="80" t="str">
        <f ca="1">VLOOKUP($B33&amp;"_"&amp;$E33,OFFSET([2]stages!$A$1,0,0,COUNTA([2]stages!$A:$A),MATCH(F$1,[2]stages!$2:$2,0)-MATCH("temp_stage",[2]stages!$2:$2,0)+1),MATCH(F$1,[2]stages!$2:$2,0)-MATCH("temp_stage",[2]stages!$2:$2,0)+1,FALSE)</f>
        <v>【中級】小さな破壊竜</v>
      </c>
      <c r="G33" s="80" t="str">
        <f ca="1">VLOOKUP($B33&amp;"_"&amp;$E33,OFFSET([2]stages!$A$1,0,0,COUNTA([2]stages!$A:$A),MATCH(G$1,[2]stages!$2:$2,0)-MATCH("temp_stage",[2]stages!$2:$2,0)+1),MATCH(G$1,[2]stages!$2:$2,0)-MATCH("temp_stage",[2]stages!$2:$2,0)+1,FALSE)</f>
        <v>ヒンドゥー神話第二弾超級</v>
      </c>
      <c r="H33" s="82">
        <v>0</v>
      </c>
      <c r="I33">
        <v>39</v>
      </c>
      <c r="J33" s="81" t="s">
        <v>196</v>
      </c>
      <c r="K33" s="90" t="str">
        <f>VLOOKUP(I33,[6]stage_hints!$A:$C,3,FALSE)</f>
        <v>システム適合者を確認</v>
      </c>
      <c r="L33" s="91" t="str">
        <f>VLOOKUP(I33,[6]stage_hints!$A:$D,4,FALSE)</f>
        <v>ALICEが 「アナタ」を呼んでいます</v>
      </c>
      <c r="M33" s="56" t="s">
        <v>209</v>
      </c>
    </row>
    <row r="34" spans="1:13" x14ac:dyDescent="0.15">
      <c r="A34" s="78" t="s">
        <v>199</v>
      </c>
      <c r="B34" s="79">
        <f>floors!$C$2</f>
        <v>30043</v>
      </c>
      <c r="C34" s="80" t="str">
        <f ca="1">VLOOKUP($B34,OFFSET([2]quests!$A$1,0,0,COUNTA([2]quests!$A:$A),MATCH(C$1,[2]quests!$1:$1,0)-MATCH($B$1,[2]quests!$1:$1,0)+1),MATCH(C$1,[2]quests!$1:$1,0)-MATCH($B$1,[2]quests!$1:$1,0)+1,FALSE)</f>
        <v>小さな破壊竜</v>
      </c>
      <c r="D34" s="80" t="str">
        <f ca="1">VLOOKUP($B34,OFFSET([2]quests!$A$1,0,0,COUNTA([2]quests!$A:$A),MATCH(D$1,[2]quests!$1:$1,0)-MATCH($B$1,[2]quests!$1:$1,0)+1),MATCH(D$1,[2]quests!$1:$1,0)-MATCH($B$1,[2]quests!$1:$1,0)+1,FALSE)</f>
        <v>ヒンドゥー神話第二弾超級</v>
      </c>
      <c r="E34" s="84">
        <v>2</v>
      </c>
      <c r="F34" s="80" t="str">
        <f ca="1">VLOOKUP($B34&amp;"_"&amp;$E34,OFFSET([2]stages!$A$1,0,0,COUNTA([2]stages!$A:$A),MATCH(F$1,[2]stages!$2:$2,0)-MATCH("temp_stage",[2]stages!$2:$2,0)+1),MATCH(F$1,[2]stages!$2:$2,0)-MATCH("temp_stage",[2]stages!$2:$2,0)+1,FALSE)</f>
        <v>【上級】小さな破壊竜</v>
      </c>
      <c r="G34" s="80" t="str">
        <f ca="1">VLOOKUP($B34&amp;"_"&amp;$E34,OFFSET([2]stages!$A$1,0,0,COUNTA([2]stages!$A:$A),MATCH(G$1,[2]stages!$2:$2,0)-MATCH("temp_stage",[2]stages!$2:$2,0)+1),MATCH(G$1,[2]stages!$2:$2,0)-MATCH("temp_stage",[2]stages!$2:$2,0)+1,FALSE)</f>
        <v>ヒンドゥー神話第二弾超級</v>
      </c>
      <c r="H34" s="82">
        <v>0</v>
      </c>
      <c r="I34" s="93">
        <v>3</v>
      </c>
      <c r="J34" s="81" t="s">
        <v>196</v>
      </c>
      <c r="K34" s="90" t="str">
        <f>VLOOKUP(I34,[6]stage_hints!$A:$C,3,FALSE)</f>
        <v>ターゲット</v>
      </c>
      <c r="L34" s="91" t="str">
        <f>VLOOKUP(I34,[6]stage_hints!$A:$D,4,FALSE)</f>
        <v>敵ユニットをタップすると_x000D_その敵を狙い撃ちできます</v>
      </c>
      <c r="M34" s="56" t="s">
        <v>209</v>
      </c>
    </row>
    <row r="35" spans="1:13" x14ac:dyDescent="0.15">
      <c r="A35" s="78" t="s">
        <v>199</v>
      </c>
      <c r="B35" s="79">
        <f>floors!$C$2</f>
        <v>30043</v>
      </c>
      <c r="C35" s="80" t="str">
        <f ca="1">VLOOKUP($B35,OFFSET([2]quests!$A$1,0,0,COUNTA([2]quests!$A:$A),MATCH(C$1,[2]quests!$1:$1,0)-MATCH($B$1,[2]quests!$1:$1,0)+1),MATCH(C$1,[2]quests!$1:$1,0)-MATCH($B$1,[2]quests!$1:$1,0)+1,FALSE)</f>
        <v>小さな破壊竜</v>
      </c>
      <c r="D35" s="80" t="str">
        <f ca="1">VLOOKUP($B35,OFFSET([2]quests!$A$1,0,0,COUNTA([2]quests!$A:$A),MATCH(D$1,[2]quests!$1:$1,0)-MATCH($B$1,[2]quests!$1:$1,0)+1),MATCH(D$1,[2]quests!$1:$1,0)-MATCH($B$1,[2]quests!$1:$1,0)+1,FALSE)</f>
        <v>ヒンドゥー神話第二弾超級</v>
      </c>
      <c r="E35" s="84">
        <v>2</v>
      </c>
      <c r="F35" s="80" t="str">
        <f ca="1">VLOOKUP($B35&amp;"_"&amp;$E35,OFFSET([2]stages!$A$1,0,0,COUNTA([2]stages!$A:$A),MATCH(F$1,[2]stages!$2:$2,0)-MATCH("temp_stage",[2]stages!$2:$2,0)+1),MATCH(F$1,[2]stages!$2:$2,0)-MATCH("temp_stage",[2]stages!$2:$2,0)+1,FALSE)</f>
        <v>【上級】小さな破壊竜</v>
      </c>
      <c r="G35" s="80" t="str">
        <f ca="1">VLOOKUP($B35&amp;"_"&amp;$E35,OFFSET([2]stages!$A$1,0,0,COUNTA([2]stages!$A:$A),MATCH(G$1,[2]stages!$2:$2,0)-MATCH("temp_stage",[2]stages!$2:$2,0)+1),MATCH(G$1,[2]stages!$2:$2,0)-MATCH("temp_stage",[2]stages!$2:$2,0)+1,FALSE)</f>
        <v>ヒンドゥー神話第二弾超級</v>
      </c>
      <c r="H35" s="82">
        <v>0</v>
      </c>
      <c r="I35" s="93">
        <v>6</v>
      </c>
      <c r="J35" s="81" t="s">
        <v>196</v>
      </c>
      <c r="K35" s="90" t="str">
        <f>VLOOKUP(I35,[6]stage_hints!$A:$C,3,FALSE)</f>
        <v>ユニット強化の属性ボーナス</v>
      </c>
      <c r="L35" s="91" t="str">
        <f>VLOOKUP(I35,[6]stage_hints!$A:$D,4,FALSE)</f>
        <v>同属性ユニットを強化素材にすると_x000D_経験値が多くもらえます</v>
      </c>
      <c r="M35" s="56" t="s">
        <v>209</v>
      </c>
    </row>
    <row r="36" spans="1:13" x14ac:dyDescent="0.15">
      <c r="A36" s="78" t="s">
        <v>199</v>
      </c>
      <c r="B36" s="79">
        <f>floors!$C$2</f>
        <v>30043</v>
      </c>
      <c r="C36" s="80" t="str">
        <f ca="1">VLOOKUP($B36,OFFSET([2]quests!$A$1,0,0,COUNTA([2]quests!$A:$A),MATCH(C$1,[2]quests!$1:$1,0)-MATCH($B$1,[2]quests!$1:$1,0)+1),MATCH(C$1,[2]quests!$1:$1,0)-MATCH($B$1,[2]quests!$1:$1,0)+1,FALSE)</f>
        <v>小さな破壊竜</v>
      </c>
      <c r="D36" s="80" t="str">
        <f ca="1">VLOOKUP($B36,OFFSET([2]quests!$A$1,0,0,COUNTA([2]quests!$A:$A),MATCH(D$1,[2]quests!$1:$1,0)-MATCH($B$1,[2]quests!$1:$1,0)+1),MATCH(D$1,[2]quests!$1:$1,0)-MATCH($B$1,[2]quests!$1:$1,0)+1,FALSE)</f>
        <v>ヒンドゥー神話第二弾超級</v>
      </c>
      <c r="E36" s="84">
        <v>2</v>
      </c>
      <c r="F36" s="80" t="str">
        <f ca="1">VLOOKUP($B36&amp;"_"&amp;$E36,OFFSET([2]stages!$A$1,0,0,COUNTA([2]stages!$A:$A),MATCH(F$1,[2]stages!$2:$2,0)-MATCH("temp_stage",[2]stages!$2:$2,0)+1),MATCH(F$1,[2]stages!$2:$2,0)-MATCH("temp_stage",[2]stages!$2:$2,0)+1,FALSE)</f>
        <v>【上級】小さな破壊竜</v>
      </c>
      <c r="G36" s="80" t="str">
        <f ca="1">VLOOKUP($B36&amp;"_"&amp;$E36,OFFSET([2]stages!$A$1,0,0,COUNTA([2]stages!$A:$A),MATCH(G$1,[2]stages!$2:$2,0)-MATCH("temp_stage",[2]stages!$2:$2,0)+1),MATCH(G$1,[2]stages!$2:$2,0)-MATCH("temp_stage",[2]stages!$2:$2,0)+1,FALSE)</f>
        <v>ヒンドゥー神話第二弾超級</v>
      </c>
      <c r="H36" s="82">
        <v>0</v>
      </c>
      <c r="I36" s="93">
        <v>7</v>
      </c>
      <c r="J36" s="81" t="s">
        <v>196</v>
      </c>
      <c r="K36" s="90" t="str">
        <f>VLOOKUP(I36,[6]stage_hints!$A:$C,3,FALSE)</f>
        <v>メタルダックで経験値を獲得</v>
      </c>
      <c r="L36" s="91" t="str">
        <f>VLOOKUP(I36,[6]stage_hints!$A:$D,4,FALSE)</f>
        <v>「メタルなアヒル」を強化素材にすると_x000D_大量の経験値がもらえます</v>
      </c>
      <c r="M36" s="56" t="s">
        <v>209</v>
      </c>
    </row>
    <row r="37" spans="1:13" x14ac:dyDescent="0.15">
      <c r="A37" s="78" t="s">
        <v>199</v>
      </c>
      <c r="B37" s="79">
        <f>floors!$C$2</f>
        <v>30043</v>
      </c>
      <c r="C37" s="80" t="str">
        <f ca="1">VLOOKUP($B37,OFFSET([2]quests!$A$1,0,0,COUNTA([2]quests!$A:$A),MATCH(C$1,[2]quests!$1:$1,0)-MATCH($B$1,[2]quests!$1:$1,0)+1),MATCH(C$1,[2]quests!$1:$1,0)-MATCH($B$1,[2]quests!$1:$1,0)+1,FALSE)</f>
        <v>小さな破壊竜</v>
      </c>
      <c r="D37" s="80" t="str">
        <f ca="1">VLOOKUP($B37,OFFSET([2]quests!$A$1,0,0,COUNTA([2]quests!$A:$A),MATCH(D$1,[2]quests!$1:$1,0)-MATCH($B$1,[2]quests!$1:$1,0)+1),MATCH(D$1,[2]quests!$1:$1,0)-MATCH($B$1,[2]quests!$1:$1,0)+1,FALSE)</f>
        <v>ヒンドゥー神話第二弾超級</v>
      </c>
      <c r="E37" s="84">
        <v>2</v>
      </c>
      <c r="F37" s="80" t="str">
        <f ca="1">VLOOKUP($B37&amp;"_"&amp;$E37,OFFSET([2]stages!$A$1,0,0,COUNTA([2]stages!$A:$A),MATCH(F$1,[2]stages!$2:$2,0)-MATCH("temp_stage",[2]stages!$2:$2,0)+1),MATCH(F$1,[2]stages!$2:$2,0)-MATCH("temp_stage",[2]stages!$2:$2,0)+1,FALSE)</f>
        <v>【上級】小さな破壊竜</v>
      </c>
      <c r="G37" s="80" t="str">
        <f ca="1">VLOOKUP($B37&amp;"_"&amp;$E37,OFFSET([2]stages!$A$1,0,0,COUNTA([2]stages!$A:$A),MATCH(G$1,[2]stages!$2:$2,0)-MATCH("temp_stage",[2]stages!$2:$2,0)+1),MATCH(G$1,[2]stages!$2:$2,0)-MATCH("temp_stage",[2]stages!$2:$2,0)+1,FALSE)</f>
        <v>ヒンドゥー神話第二弾超級</v>
      </c>
      <c r="H37" s="82">
        <v>0</v>
      </c>
      <c r="I37" s="93">
        <v>8</v>
      </c>
      <c r="J37" s="81" t="s">
        <v>196</v>
      </c>
      <c r="K37" s="90" t="str">
        <f>VLOOKUP(I37,[6]stage_hints!$A:$C,3,FALSE)</f>
        <v>ゲリラクエストは要チェック</v>
      </c>
      <c r="L37" s="91" t="str">
        <f>VLOOKUP(I37,[6]stage_hints!$A:$D,4,FALSE)</f>
        <v>時間限定の「アヒル捕獲作戦」では_x000D_経験値素材ユニットが多く手に入ります</v>
      </c>
      <c r="M37" s="56" t="s">
        <v>209</v>
      </c>
    </row>
    <row r="38" spans="1:13" x14ac:dyDescent="0.15">
      <c r="A38" s="78" t="s">
        <v>199</v>
      </c>
      <c r="B38" s="79">
        <f>floors!$C$2</f>
        <v>30043</v>
      </c>
      <c r="C38" s="80" t="str">
        <f ca="1">VLOOKUP($B38,OFFSET([2]quests!$A$1,0,0,COUNTA([2]quests!$A:$A),MATCH(C$1,[2]quests!$1:$1,0)-MATCH($B$1,[2]quests!$1:$1,0)+1),MATCH(C$1,[2]quests!$1:$1,0)-MATCH($B$1,[2]quests!$1:$1,0)+1,FALSE)</f>
        <v>小さな破壊竜</v>
      </c>
      <c r="D38" s="80" t="str">
        <f ca="1">VLOOKUP($B38,OFFSET([2]quests!$A$1,0,0,COUNTA([2]quests!$A:$A),MATCH(D$1,[2]quests!$1:$1,0)-MATCH($B$1,[2]quests!$1:$1,0)+1),MATCH(D$1,[2]quests!$1:$1,0)-MATCH($B$1,[2]quests!$1:$1,0)+1,FALSE)</f>
        <v>ヒンドゥー神話第二弾超級</v>
      </c>
      <c r="E38" s="84">
        <v>2</v>
      </c>
      <c r="F38" s="80" t="str">
        <f ca="1">VLOOKUP($B38&amp;"_"&amp;$E38,OFFSET([2]stages!$A$1,0,0,COUNTA([2]stages!$A:$A),MATCH(F$1,[2]stages!$2:$2,0)-MATCH("temp_stage",[2]stages!$2:$2,0)+1),MATCH(F$1,[2]stages!$2:$2,0)-MATCH("temp_stage",[2]stages!$2:$2,0)+1,FALSE)</f>
        <v>【上級】小さな破壊竜</v>
      </c>
      <c r="G38" s="80" t="str">
        <f ca="1">VLOOKUP($B38&amp;"_"&amp;$E38,OFFSET([2]stages!$A$1,0,0,COUNTA([2]stages!$A:$A),MATCH(G$1,[2]stages!$2:$2,0)-MATCH("temp_stage",[2]stages!$2:$2,0)+1),MATCH(G$1,[2]stages!$2:$2,0)-MATCH("temp_stage",[2]stages!$2:$2,0)+1,FALSE)</f>
        <v>ヒンドゥー神話第二弾超級</v>
      </c>
      <c r="H38" s="82">
        <v>0</v>
      </c>
      <c r="I38" s="93">
        <v>9</v>
      </c>
      <c r="J38" s="81" t="s">
        <v>196</v>
      </c>
      <c r="K38" s="90" t="str">
        <f>VLOOKUP(I38,[6]stage_hints!$A:$C,3,FALSE)</f>
        <v>ゴールドダックでビットを獲得</v>
      </c>
      <c r="L38" s="91" t="str">
        <f>VLOOKUP(I38,[6]stage_hints!$A:$D,4,FALSE)</f>
        <v>「ゴールドなアヒル」を売却すると_x000D_大量のビットがもらえます</v>
      </c>
      <c r="M38" s="56" t="s">
        <v>209</v>
      </c>
    </row>
    <row r="39" spans="1:13" x14ac:dyDescent="0.15">
      <c r="A39" s="78" t="s">
        <v>199</v>
      </c>
      <c r="B39" s="79">
        <f>floors!$C$2</f>
        <v>30043</v>
      </c>
      <c r="C39" s="80" t="str">
        <f ca="1">VLOOKUP($B39,OFFSET([2]quests!$A$1,0,0,COUNTA([2]quests!$A:$A),MATCH(C$1,[2]quests!$1:$1,0)-MATCH($B$1,[2]quests!$1:$1,0)+1),MATCH(C$1,[2]quests!$1:$1,0)-MATCH($B$1,[2]quests!$1:$1,0)+1,FALSE)</f>
        <v>小さな破壊竜</v>
      </c>
      <c r="D39" s="80" t="str">
        <f ca="1">VLOOKUP($B39,OFFSET([2]quests!$A$1,0,0,COUNTA([2]quests!$A:$A),MATCH(D$1,[2]quests!$1:$1,0)-MATCH($B$1,[2]quests!$1:$1,0)+1),MATCH(D$1,[2]quests!$1:$1,0)-MATCH($B$1,[2]quests!$1:$1,0)+1,FALSE)</f>
        <v>ヒンドゥー神話第二弾超級</v>
      </c>
      <c r="E39" s="84">
        <v>2</v>
      </c>
      <c r="F39" s="80" t="str">
        <f ca="1">VLOOKUP($B39&amp;"_"&amp;$E39,OFFSET([2]stages!$A$1,0,0,COUNTA([2]stages!$A:$A),MATCH(F$1,[2]stages!$2:$2,0)-MATCH("temp_stage",[2]stages!$2:$2,0)+1),MATCH(F$1,[2]stages!$2:$2,0)-MATCH("temp_stage",[2]stages!$2:$2,0)+1,FALSE)</f>
        <v>【上級】小さな破壊竜</v>
      </c>
      <c r="G39" s="80" t="str">
        <f ca="1">VLOOKUP($B39&amp;"_"&amp;$E39,OFFSET([2]stages!$A$1,0,0,COUNTA([2]stages!$A:$A),MATCH(G$1,[2]stages!$2:$2,0)-MATCH("temp_stage",[2]stages!$2:$2,0)+1),MATCH(G$1,[2]stages!$2:$2,0)-MATCH("temp_stage",[2]stages!$2:$2,0)+1,FALSE)</f>
        <v>ヒンドゥー神話第二弾超級</v>
      </c>
      <c r="H39" s="82">
        <v>0</v>
      </c>
      <c r="I39" s="93">
        <v>10</v>
      </c>
      <c r="J39" s="81" t="s">
        <v>196</v>
      </c>
      <c r="K39" s="90" t="str">
        <f>VLOOKUP(I39,[6]stage_hints!$A:$C,3,FALSE)</f>
        <v>土日に大量のビットを獲得</v>
      </c>
      <c r="L39" s="91" t="str">
        <f>VLOOKUP(I39,[6]stage_hints!$A:$D,4,FALSE)</f>
        <v>土日限定の「ゴールドカジノ」では_x000D_売却素材ユニットが多く手に入ります</v>
      </c>
      <c r="M39" s="56" t="s">
        <v>209</v>
      </c>
    </row>
    <row r="40" spans="1:13" x14ac:dyDescent="0.15">
      <c r="A40" s="78" t="s">
        <v>199</v>
      </c>
      <c r="B40" s="79">
        <f>floors!$C$2</f>
        <v>30043</v>
      </c>
      <c r="C40" s="80" t="str">
        <f ca="1">VLOOKUP($B40,OFFSET([2]quests!$A$1,0,0,COUNTA([2]quests!$A:$A),MATCH(C$1,[2]quests!$1:$1,0)-MATCH($B$1,[2]quests!$1:$1,0)+1),MATCH(C$1,[2]quests!$1:$1,0)-MATCH($B$1,[2]quests!$1:$1,0)+1,FALSE)</f>
        <v>小さな破壊竜</v>
      </c>
      <c r="D40" s="80" t="str">
        <f ca="1">VLOOKUP($B40,OFFSET([2]quests!$A$1,0,0,COUNTA([2]quests!$A:$A),MATCH(D$1,[2]quests!$1:$1,0)-MATCH($B$1,[2]quests!$1:$1,0)+1),MATCH(D$1,[2]quests!$1:$1,0)-MATCH($B$1,[2]quests!$1:$1,0)+1,FALSE)</f>
        <v>ヒンドゥー神話第二弾超級</v>
      </c>
      <c r="E40" s="84">
        <v>2</v>
      </c>
      <c r="F40" s="80" t="str">
        <f ca="1">VLOOKUP($B40&amp;"_"&amp;$E40,OFFSET([2]stages!$A$1,0,0,COUNTA([2]stages!$A:$A),MATCH(F$1,[2]stages!$2:$2,0)-MATCH("temp_stage",[2]stages!$2:$2,0)+1),MATCH(F$1,[2]stages!$2:$2,0)-MATCH("temp_stage",[2]stages!$2:$2,0)+1,FALSE)</f>
        <v>【上級】小さな破壊竜</v>
      </c>
      <c r="G40" s="80" t="str">
        <f ca="1">VLOOKUP($B40&amp;"_"&amp;$E40,OFFSET([2]stages!$A$1,0,0,COUNTA([2]stages!$A:$A),MATCH(G$1,[2]stages!$2:$2,0)-MATCH("temp_stage",[2]stages!$2:$2,0)+1),MATCH(G$1,[2]stages!$2:$2,0)-MATCH("temp_stage",[2]stages!$2:$2,0)+1,FALSE)</f>
        <v>ヒンドゥー神話第二弾超級</v>
      </c>
      <c r="H40" s="82">
        <v>0</v>
      </c>
      <c r="I40" s="93">
        <v>11</v>
      </c>
      <c r="J40" s="81" t="s">
        <v>196</v>
      </c>
      <c r="K40" s="90" t="str">
        <f>VLOOKUP(I40,[6]stage_hints!$A:$C,3,FALSE)</f>
        <v>ランク解放クエスト</v>
      </c>
      <c r="L40" s="91" t="str">
        <f>VLOOKUP(I40,[6]stage_hints!$A:$D,4,FALSE)</f>
        <v>一定ランクに到達すると_x000D_報酬付きのランク開放クエストが現れます</v>
      </c>
      <c r="M40" s="56" t="s">
        <v>209</v>
      </c>
    </row>
    <row r="41" spans="1:13" x14ac:dyDescent="0.15">
      <c r="A41" s="78" t="s">
        <v>199</v>
      </c>
      <c r="B41" s="79">
        <f>floors!$C$2</f>
        <v>30043</v>
      </c>
      <c r="C41" s="80" t="str">
        <f ca="1">VLOOKUP($B41,OFFSET([2]quests!$A$1,0,0,COUNTA([2]quests!$A:$A),MATCH(C$1,[2]quests!$1:$1,0)-MATCH($B$1,[2]quests!$1:$1,0)+1),MATCH(C$1,[2]quests!$1:$1,0)-MATCH($B$1,[2]quests!$1:$1,0)+1,FALSE)</f>
        <v>小さな破壊竜</v>
      </c>
      <c r="D41" s="80" t="str">
        <f ca="1">VLOOKUP($B41,OFFSET([2]quests!$A$1,0,0,COUNTA([2]quests!$A:$A),MATCH(D$1,[2]quests!$1:$1,0)-MATCH($B$1,[2]quests!$1:$1,0)+1),MATCH(D$1,[2]quests!$1:$1,0)-MATCH($B$1,[2]quests!$1:$1,0)+1,FALSE)</f>
        <v>ヒンドゥー神話第二弾超級</v>
      </c>
      <c r="E41" s="84">
        <v>2</v>
      </c>
      <c r="F41" s="80" t="str">
        <f ca="1">VLOOKUP($B41&amp;"_"&amp;$E41,OFFSET([2]stages!$A$1,0,0,COUNTA([2]stages!$A:$A),MATCH(F$1,[2]stages!$2:$2,0)-MATCH("temp_stage",[2]stages!$2:$2,0)+1),MATCH(F$1,[2]stages!$2:$2,0)-MATCH("temp_stage",[2]stages!$2:$2,0)+1,FALSE)</f>
        <v>【上級】小さな破壊竜</v>
      </c>
      <c r="G41" s="80" t="str">
        <f ca="1">VLOOKUP($B41&amp;"_"&amp;$E41,OFFSET([2]stages!$A$1,0,0,COUNTA([2]stages!$A:$A),MATCH(G$1,[2]stages!$2:$2,0)-MATCH("temp_stage",[2]stages!$2:$2,0)+1),MATCH(G$1,[2]stages!$2:$2,0)-MATCH("temp_stage",[2]stages!$2:$2,0)+1,FALSE)</f>
        <v>ヒンドゥー神話第二弾超級</v>
      </c>
      <c r="H41" s="82">
        <v>0</v>
      </c>
      <c r="I41" s="93">
        <v>12</v>
      </c>
      <c r="J41" s="81" t="s">
        <v>196</v>
      </c>
      <c r="K41" s="90" t="str">
        <f>VLOOKUP(I41,[6]stage_hints!$A:$C,3,FALSE)</f>
        <v>ユニットのお気に入り登録</v>
      </c>
      <c r="L41" s="91" t="str">
        <f>VLOOKUP(I41,[6]stage_hints!$A:$D,4,FALSE)</f>
        <v>大事なユニットを誤って消さないように_x000D_フォルダから「お気に入り登録」しましょう</v>
      </c>
      <c r="M41" s="56" t="s">
        <v>209</v>
      </c>
    </row>
    <row r="42" spans="1:13" x14ac:dyDescent="0.15">
      <c r="A42" s="78" t="s">
        <v>199</v>
      </c>
      <c r="B42" s="79">
        <f>floors!$C$2</f>
        <v>30043</v>
      </c>
      <c r="C42" s="80" t="str">
        <f ca="1">VLOOKUP($B42,OFFSET([2]quests!$A$1,0,0,COUNTA([2]quests!$A:$A),MATCH(C$1,[2]quests!$1:$1,0)-MATCH($B$1,[2]quests!$1:$1,0)+1),MATCH(C$1,[2]quests!$1:$1,0)-MATCH($B$1,[2]quests!$1:$1,0)+1,FALSE)</f>
        <v>小さな破壊竜</v>
      </c>
      <c r="D42" s="80" t="str">
        <f ca="1">VLOOKUP($B42,OFFSET([2]quests!$A$1,0,0,COUNTA([2]quests!$A:$A),MATCH(D$1,[2]quests!$1:$1,0)-MATCH($B$1,[2]quests!$1:$1,0)+1),MATCH(D$1,[2]quests!$1:$1,0)-MATCH($B$1,[2]quests!$1:$1,0)+1,FALSE)</f>
        <v>ヒンドゥー神話第二弾超級</v>
      </c>
      <c r="E42" s="84">
        <v>2</v>
      </c>
      <c r="F42" s="80" t="str">
        <f ca="1">VLOOKUP($B42&amp;"_"&amp;$E42,OFFSET([2]stages!$A$1,0,0,COUNTA([2]stages!$A:$A),MATCH(F$1,[2]stages!$2:$2,0)-MATCH("temp_stage",[2]stages!$2:$2,0)+1),MATCH(F$1,[2]stages!$2:$2,0)-MATCH("temp_stage",[2]stages!$2:$2,0)+1,FALSE)</f>
        <v>【上級】小さな破壊竜</v>
      </c>
      <c r="G42" s="80" t="str">
        <f ca="1">VLOOKUP($B42&amp;"_"&amp;$E42,OFFSET([2]stages!$A$1,0,0,COUNTA([2]stages!$A:$A),MATCH(G$1,[2]stages!$2:$2,0)-MATCH("temp_stage",[2]stages!$2:$2,0)+1),MATCH(G$1,[2]stages!$2:$2,0)-MATCH("temp_stage",[2]stages!$2:$2,0)+1,FALSE)</f>
        <v>ヒンドゥー神話第二弾超級</v>
      </c>
      <c r="H42" s="82">
        <v>0</v>
      </c>
      <c r="I42" s="93">
        <v>13</v>
      </c>
      <c r="J42" s="81" t="s">
        <v>196</v>
      </c>
      <c r="K42" s="90" t="str">
        <f>VLOOKUP(I42,[6]stage_hints!$A:$C,3,FALSE)</f>
        <v>ユニットの覚醒</v>
      </c>
      <c r="L42" s="91" t="str">
        <f>VLOOKUP(I42,[6]stage_hints!$A:$D,4,FALSE)</f>
        <v>ユニットを覚醒させると_x000D_比べものにならない強さが手に入ります</v>
      </c>
      <c r="M42" s="56" t="s">
        <v>209</v>
      </c>
    </row>
    <row r="43" spans="1:13" x14ac:dyDescent="0.15">
      <c r="A43" s="78" t="s">
        <v>199</v>
      </c>
      <c r="B43" s="79">
        <f>floors!$C$2</f>
        <v>30043</v>
      </c>
      <c r="C43" s="80" t="str">
        <f ca="1">VLOOKUP($B43,OFFSET([2]quests!$A$1,0,0,COUNTA([2]quests!$A:$A),MATCH(C$1,[2]quests!$1:$1,0)-MATCH($B$1,[2]quests!$1:$1,0)+1),MATCH(C$1,[2]quests!$1:$1,0)-MATCH($B$1,[2]quests!$1:$1,0)+1,FALSE)</f>
        <v>小さな破壊竜</v>
      </c>
      <c r="D43" s="80" t="str">
        <f ca="1">VLOOKUP($B43,OFFSET([2]quests!$A$1,0,0,COUNTA([2]quests!$A:$A),MATCH(D$1,[2]quests!$1:$1,0)-MATCH($B$1,[2]quests!$1:$1,0)+1),MATCH(D$1,[2]quests!$1:$1,0)-MATCH($B$1,[2]quests!$1:$1,0)+1,FALSE)</f>
        <v>ヒンドゥー神話第二弾超級</v>
      </c>
      <c r="E43" s="84">
        <v>2</v>
      </c>
      <c r="F43" s="80" t="str">
        <f ca="1">VLOOKUP($B43&amp;"_"&amp;$E43,OFFSET([2]stages!$A$1,0,0,COUNTA([2]stages!$A:$A),MATCH(F$1,[2]stages!$2:$2,0)-MATCH("temp_stage",[2]stages!$2:$2,0)+1),MATCH(F$1,[2]stages!$2:$2,0)-MATCH("temp_stage",[2]stages!$2:$2,0)+1,FALSE)</f>
        <v>【上級】小さな破壊竜</v>
      </c>
      <c r="G43" s="80" t="str">
        <f ca="1">VLOOKUP($B43&amp;"_"&amp;$E43,OFFSET([2]stages!$A$1,0,0,COUNTA([2]stages!$A:$A),MATCH(G$1,[2]stages!$2:$2,0)-MATCH("temp_stage",[2]stages!$2:$2,0)+1),MATCH(G$1,[2]stages!$2:$2,0)-MATCH("temp_stage",[2]stages!$2:$2,0)+1,FALSE)</f>
        <v>ヒンドゥー神話第二弾超級</v>
      </c>
      <c r="H43" s="82">
        <v>0</v>
      </c>
      <c r="I43" s="93">
        <v>14</v>
      </c>
      <c r="J43" s="81" t="s">
        <v>196</v>
      </c>
      <c r="K43" s="90" t="str">
        <f>VLOOKUP(I43,[6]stage_hints!$A:$C,3,FALSE)</f>
        <v>覚醒するにはレベルを最大に</v>
      </c>
      <c r="L43" s="91" t="str">
        <f>VLOOKUP(I43,[6]stage_hints!$A:$D,4,FALSE)</f>
        <v>覚醒するにはユニットのレベルを_x000D_最大まで上げる必要があります</v>
      </c>
      <c r="M43" s="56" t="s">
        <v>209</v>
      </c>
    </row>
    <row r="44" spans="1:13" x14ac:dyDescent="0.15">
      <c r="A44" s="78" t="s">
        <v>199</v>
      </c>
      <c r="B44" s="79">
        <f>floors!$C$2</f>
        <v>30043</v>
      </c>
      <c r="C44" s="80" t="str">
        <f ca="1">VLOOKUP($B44,OFFSET([2]quests!$A$1,0,0,COUNTA([2]quests!$A:$A),MATCH(C$1,[2]quests!$1:$1,0)-MATCH($B$1,[2]quests!$1:$1,0)+1),MATCH(C$1,[2]quests!$1:$1,0)-MATCH($B$1,[2]quests!$1:$1,0)+1,FALSE)</f>
        <v>小さな破壊竜</v>
      </c>
      <c r="D44" s="80" t="str">
        <f ca="1">VLOOKUP($B44,OFFSET([2]quests!$A$1,0,0,COUNTA([2]quests!$A:$A),MATCH(D$1,[2]quests!$1:$1,0)-MATCH($B$1,[2]quests!$1:$1,0)+1),MATCH(D$1,[2]quests!$1:$1,0)-MATCH($B$1,[2]quests!$1:$1,0)+1,FALSE)</f>
        <v>ヒンドゥー神話第二弾超級</v>
      </c>
      <c r="E44" s="84">
        <v>2</v>
      </c>
      <c r="F44" s="80" t="str">
        <f ca="1">VLOOKUP($B44&amp;"_"&amp;$E44,OFFSET([2]stages!$A$1,0,0,COUNTA([2]stages!$A:$A),MATCH(F$1,[2]stages!$2:$2,0)-MATCH("temp_stage",[2]stages!$2:$2,0)+1),MATCH(F$1,[2]stages!$2:$2,0)-MATCH("temp_stage",[2]stages!$2:$2,0)+1,FALSE)</f>
        <v>【上級】小さな破壊竜</v>
      </c>
      <c r="G44" s="80" t="str">
        <f ca="1">VLOOKUP($B44&amp;"_"&amp;$E44,OFFSET([2]stages!$A$1,0,0,COUNTA([2]stages!$A:$A),MATCH(G$1,[2]stages!$2:$2,0)-MATCH("temp_stage",[2]stages!$2:$2,0)+1),MATCH(G$1,[2]stages!$2:$2,0)-MATCH("temp_stage",[2]stages!$2:$2,0)+1,FALSE)</f>
        <v>ヒンドゥー神話第二弾超級</v>
      </c>
      <c r="H44" s="82">
        <v>0</v>
      </c>
      <c r="I44" s="93">
        <v>15</v>
      </c>
      <c r="J44" s="81" t="s">
        <v>196</v>
      </c>
      <c r="K44" s="90" t="str">
        <f>VLOOKUP(I44,[6]stage_hints!$A:$C,3,FALSE)</f>
        <v>覚醒素材を獲得</v>
      </c>
      <c r="L44" s="91" t="str">
        <f>VLOOKUP(I44,[6]stage_hints!$A:$D,4,FALSE)</f>
        <v>「曜日クエスト」では_x000D_ユニットの覚醒に必要な素材が手に入ります</v>
      </c>
      <c r="M44" s="56" t="s">
        <v>209</v>
      </c>
    </row>
    <row r="45" spans="1:13" x14ac:dyDescent="0.15">
      <c r="A45" s="78" t="s">
        <v>199</v>
      </c>
      <c r="B45" s="79">
        <f>floors!$C$2</f>
        <v>30043</v>
      </c>
      <c r="C45" s="80" t="str">
        <f ca="1">VLOOKUP($B45,OFFSET([2]quests!$A$1,0,0,COUNTA([2]quests!$A:$A),MATCH(C$1,[2]quests!$1:$1,0)-MATCH($B$1,[2]quests!$1:$1,0)+1),MATCH(C$1,[2]quests!$1:$1,0)-MATCH($B$1,[2]quests!$1:$1,0)+1,FALSE)</f>
        <v>小さな破壊竜</v>
      </c>
      <c r="D45" s="80" t="str">
        <f ca="1">VLOOKUP($B45,OFFSET([2]quests!$A$1,0,0,COUNTA([2]quests!$A:$A),MATCH(D$1,[2]quests!$1:$1,0)-MATCH($B$1,[2]quests!$1:$1,0)+1),MATCH(D$1,[2]quests!$1:$1,0)-MATCH($B$1,[2]quests!$1:$1,0)+1,FALSE)</f>
        <v>ヒンドゥー神話第二弾超級</v>
      </c>
      <c r="E45" s="84">
        <v>2</v>
      </c>
      <c r="F45" s="80" t="str">
        <f ca="1">VLOOKUP($B45&amp;"_"&amp;$E45,OFFSET([2]stages!$A$1,0,0,COUNTA([2]stages!$A:$A),MATCH(F$1,[2]stages!$2:$2,0)-MATCH("temp_stage",[2]stages!$2:$2,0)+1),MATCH(F$1,[2]stages!$2:$2,0)-MATCH("temp_stage",[2]stages!$2:$2,0)+1,FALSE)</f>
        <v>【上級】小さな破壊竜</v>
      </c>
      <c r="G45" s="80" t="str">
        <f ca="1">VLOOKUP($B45&amp;"_"&amp;$E45,OFFSET([2]stages!$A$1,0,0,COUNTA([2]stages!$A:$A),MATCH(G$1,[2]stages!$2:$2,0)-MATCH("temp_stage",[2]stages!$2:$2,0)+1),MATCH(G$1,[2]stages!$2:$2,0)-MATCH("temp_stage",[2]stages!$2:$2,0)+1,FALSE)</f>
        <v>ヒンドゥー神話第二弾超級</v>
      </c>
      <c r="H45" s="82">
        <v>0</v>
      </c>
      <c r="I45" s="93">
        <v>16</v>
      </c>
      <c r="J45" s="81" t="s">
        <v>196</v>
      </c>
      <c r="K45" s="90" t="str">
        <f>VLOOKUP(I45,[6]stage_hints!$A:$C,3,FALSE)</f>
        <v>マルチプレイのメリット（その1）</v>
      </c>
      <c r="L45" s="91" t="str">
        <f>VLOOKUP(I45,[6]stage_hints!$A:$D,4,FALSE)</f>
        <v>他のプレイヤーとマルチプレイで遊ぶと_x000D_ポリゴンがもらえます（100人まで）</v>
      </c>
      <c r="M45" s="56" t="s">
        <v>209</v>
      </c>
    </row>
    <row r="46" spans="1:13" x14ac:dyDescent="0.15">
      <c r="A46" s="78" t="s">
        <v>199</v>
      </c>
      <c r="B46" s="79">
        <f>floors!$C$2</f>
        <v>30043</v>
      </c>
      <c r="C46" s="80" t="str">
        <f ca="1">VLOOKUP($B46,OFFSET([2]quests!$A$1,0,0,COUNTA([2]quests!$A:$A),MATCH(C$1,[2]quests!$1:$1,0)-MATCH($B$1,[2]quests!$1:$1,0)+1),MATCH(C$1,[2]quests!$1:$1,0)-MATCH($B$1,[2]quests!$1:$1,0)+1,FALSE)</f>
        <v>小さな破壊竜</v>
      </c>
      <c r="D46" s="80" t="str">
        <f ca="1">VLOOKUP($B46,OFFSET([2]quests!$A$1,0,0,COUNTA([2]quests!$A:$A),MATCH(D$1,[2]quests!$1:$1,0)-MATCH($B$1,[2]quests!$1:$1,0)+1),MATCH(D$1,[2]quests!$1:$1,0)-MATCH($B$1,[2]quests!$1:$1,0)+1,FALSE)</f>
        <v>ヒンドゥー神話第二弾超級</v>
      </c>
      <c r="E46" s="84">
        <v>2</v>
      </c>
      <c r="F46" s="80" t="str">
        <f ca="1">VLOOKUP($B46&amp;"_"&amp;$E46,OFFSET([2]stages!$A$1,0,0,COUNTA([2]stages!$A:$A),MATCH(F$1,[2]stages!$2:$2,0)-MATCH("temp_stage",[2]stages!$2:$2,0)+1),MATCH(F$1,[2]stages!$2:$2,0)-MATCH("temp_stage",[2]stages!$2:$2,0)+1,FALSE)</f>
        <v>【上級】小さな破壊竜</v>
      </c>
      <c r="G46" s="80" t="str">
        <f ca="1">VLOOKUP($B46&amp;"_"&amp;$E46,OFFSET([2]stages!$A$1,0,0,COUNTA([2]stages!$A:$A),MATCH(G$1,[2]stages!$2:$2,0)-MATCH("temp_stage",[2]stages!$2:$2,0)+1),MATCH(G$1,[2]stages!$2:$2,0)-MATCH("temp_stage",[2]stages!$2:$2,0)+1,FALSE)</f>
        <v>ヒンドゥー神話第二弾超級</v>
      </c>
      <c r="H46" s="82">
        <v>0</v>
      </c>
      <c r="I46" s="93">
        <v>17</v>
      </c>
      <c r="J46" s="81" t="s">
        <v>196</v>
      </c>
      <c r="K46" s="90" t="str">
        <f>VLOOKUP(I46,[6]stage_hints!$A:$C,3,FALSE)</f>
        <v>リンクガチャ</v>
      </c>
      <c r="L46" s="91" t="str">
        <f>VLOOKUP(I46,[6]stage_hints!$A:$D,4,FALSE)</f>
        <v>無料のリンクガチャを回して_x000D_経験値素材や売却素材を獲得しましょう</v>
      </c>
      <c r="M46" s="56" t="s">
        <v>209</v>
      </c>
    </row>
    <row r="47" spans="1:13" x14ac:dyDescent="0.15">
      <c r="A47" s="78" t="s">
        <v>199</v>
      </c>
      <c r="B47" s="79">
        <f>floors!$C$2</f>
        <v>30043</v>
      </c>
      <c r="C47" s="80" t="str">
        <f ca="1">VLOOKUP($B47,OFFSET([2]quests!$A$1,0,0,COUNTA([2]quests!$A:$A),MATCH(C$1,[2]quests!$1:$1,0)-MATCH($B$1,[2]quests!$1:$1,0)+1),MATCH(C$1,[2]quests!$1:$1,0)-MATCH($B$1,[2]quests!$1:$1,0)+1,FALSE)</f>
        <v>小さな破壊竜</v>
      </c>
      <c r="D47" s="80" t="str">
        <f ca="1">VLOOKUP($B47,OFFSET([2]quests!$A$1,0,0,COUNTA([2]quests!$A:$A),MATCH(D$1,[2]quests!$1:$1,0)-MATCH($B$1,[2]quests!$1:$1,0)+1),MATCH(D$1,[2]quests!$1:$1,0)-MATCH($B$1,[2]quests!$1:$1,0)+1,FALSE)</f>
        <v>ヒンドゥー神話第二弾超級</v>
      </c>
      <c r="E47" s="84">
        <v>2</v>
      </c>
      <c r="F47" s="80" t="str">
        <f ca="1">VLOOKUP($B47&amp;"_"&amp;$E47,OFFSET([2]stages!$A$1,0,0,COUNTA([2]stages!$A:$A),MATCH(F$1,[2]stages!$2:$2,0)-MATCH("temp_stage",[2]stages!$2:$2,0)+1),MATCH(F$1,[2]stages!$2:$2,0)-MATCH("temp_stage",[2]stages!$2:$2,0)+1,FALSE)</f>
        <v>【上級】小さな破壊竜</v>
      </c>
      <c r="G47" s="80" t="str">
        <f ca="1">VLOOKUP($B47&amp;"_"&amp;$E47,OFFSET([2]stages!$A$1,0,0,COUNTA([2]stages!$A:$A),MATCH(G$1,[2]stages!$2:$2,0)-MATCH("temp_stage",[2]stages!$2:$2,0)+1),MATCH(G$1,[2]stages!$2:$2,0)-MATCH("temp_stage",[2]stages!$2:$2,0)+1,FALSE)</f>
        <v>ヒンドゥー神話第二弾超級</v>
      </c>
      <c r="H47" s="82">
        <v>0</v>
      </c>
      <c r="I47" s="93">
        <v>18</v>
      </c>
      <c r="J47" s="81" t="s">
        <v>196</v>
      </c>
      <c r="K47" s="90" t="str">
        <f>VLOOKUP(I47,[6]stage_hints!$A:$C,3,FALSE)</f>
        <v>マルチプレイのメリット（その2）</v>
      </c>
      <c r="L47" s="91" t="str">
        <f>VLOOKUP(I47,[6]stage_hints!$A:$D,4,FALSE)</f>
        <v>マルチプレイならリンクが2倍もらえます_x000D_リンクガチャをたくさん回しましょう</v>
      </c>
      <c r="M47" s="56" t="s">
        <v>209</v>
      </c>
    </row>
    <row r="48" spans="1:13" x14ac:dyDescent="0.15">
      <c r="A48" s="78" t="s">
        <v>199</v>
      </c>
      <c r="B48" s="79">
        <f>floors!$C$2</f>
        <v>30043</v>
      </c>
      <c r="C48" s="80" t="str">
        <f ca="1">VLOOKUP($B48,OFFSET([2]quests!$A$1,0,0,COUNTA([2]quests!$A:$A),MATCH(C$1,[2]quests!$1:$1,0)-MATCH($B$1,[2]quests!$1:$1,0)+1),MATCH(C$1,[2]quests!$1:$1,0)-MATCH($B$1,[2]quests!$1:$1,0)+1,FALSE)</f>
        <v>小さな破壊竜</v>
      </c>
      <c r="D48" s="80" t="str">
        <f ca="1">VLOOKUP($B48,OFFSET([2]quests!$A$1,0,0,COUNTA([2]quests!$A:$A),MATCH(D$1,[2]quests!$1:$1,0)-MATCH($B$1,[2]quests!$1:$1,0)+1),MATCH(D$1,[2]quests!$1:$1,0)-MATCH($B$1,[2]quests!$1:$1,0)+1,FALSE)</f>
        <v>ヒンドゥー神話第二弾超級</v>
      </c>
      <c r="E48" s="84">
        <v>2</v>
      </c>
      <c r="F48" s="80" t="str">
        <f ca="1">VLOOKUP($B48&amp;"_"&amp;$E48,OFFSET([2]stages!$A$1,0,0,COUNTA([2]stages!$A:$A),MATCH(F$1,[2]stages!$2:$2,0)-MATCH("temp_stage",[2]stages!$2:$2,0)+1),MATCH(F$1,[2]stages!$2:$2,0)-MATCH("temp_stage",[2]stages!$2:$2,0)+1,FALSE)</f>
        <v>【上級】小さな破壊竜</v>
      </c>
      <c r="G48" s="80" t="str">
        <f ca="1">VLOOKUP($B48&amp;"_"&amp;$E48,OFFSET([2]stages!$A$1,0,0,COUNTA([2]stages!$A:$A),MATCH(G$1,[2]stages!$2:$2,0)-MATCH("temp_stage",[2]stages!$2:$2,0)+1),MATCH(G$1,[2]stages!$2:$2,0)-MATCH("temp_stage",[2]stages!$2:$2,0)+1,FALSE)</f>
        <v>ヒンドゥー神話第二弾超級</v>
      </c>
      <c r="H48" s="82">
        <v>0</v>
      </c>
      <c r="I48" s="93">
        <v>19</v>
      </c>
      <c r="J48" s="81" t="s">
        <v>196</v>
      </c>
      <c r="K48" s="90" t="str">
        <f>VLOOKUP(I48,[6]stage_hints!$A:$C,3,FALSE)</f>
        <v>ソロ専用タワーオブザクイーン</v>
      </c>
      <c r="L48" s="91" t="str">
        <f>VLOOKUP(I48,[6]stage_hints!$A:$D,4,FALSE)</f>
        <v>ソロ専用の「タワーオブザクイーン」は_x000D_期間限定で定期的に開催されます_x000D_ここでしか獲得できない報酬もあるようです</v>
      </c>
      <c r="M48" s="56" t="s">
        <v>209</v>
      </c>
    </row>
    <row r="49" spans="1:13" x14ac:dyDescent="0.15">
      <c r="A49" s="78" t="s">
        <v>199</v>
      </c>
      <c r="B49" s="79">
        <f>floors!$C$2</f>
        <v>30043</v>
      </c>
      <c r="C49" s="80" t="str">
        <f ca="1">VLOOKUP($B49,OFFSET([2]quests!$A$1,0,0,COUNTA([2]quests!$A:$A),MATCH(C$1,[2]quests!$1:$1,0)-MATCH($B$1,[2]quests!$1:$1,0)+1),MATCH(C$1,[2]quests!$1:$1,0)-MATCH($B$1,[2]quests!$1:$1,0)+1,FALSE)</f>
        <v>小さな破壊竜</v>
      </c>
      <c r="D49" s="80" t="str">
        <f ca="1">VLOOKUP($B49,OFFSET([2]quests!$A$1,0,0,COUNTA([2]quests!$A:$A),MATCH(D$1,[2]quests!$1:$1,0)-MATCH($B$1,[2]quests!$1:$1,0)+1),MATCH(D$1,[2]quests!$1:$1,0)-MATCH($B$1,[2]quests!$1:$1,0)+1,FALSE)</f>
        <v>ヒンドゥー神話第二弾超級</v>
      </c>
      <c r="E49" s="84">
        <v>2</v>
      </c>
      <c r="F49" s="80" t="str">
        <f ca="1">VLOOKUP($B49&amp;"_"&amp;$E49,OFFSET([2]stages!$A$1,0,0,COUNTA([2]stages!$A:$A),MATCH(F$1,[2]stages!$2:$2,0)-MATCH("temp_stage",[2]stages!$2:$2,0)+1),MATCH(F$1,[2]stages!$2:$2,0)-MATCH("temp_stage",[2]stages!$2:$2,0)+1,FALSE)</f>
        <v>【上級】小さな破壊竜</v>
      </c>
      <c r="G49" s="80" t="str">
        <f ca="1">VLOOKUP($B49&amp;"_"&amp;$E49,OFFSET([2]stages!$A$1,0,0,COUNTA([2]stages!$A:$A),MATCH(G$1,[2]stages!$2:$2,0)-MATCH("temp_stage",[2]stages!$2:$2,0)+1),MATCH(G$1,[2]stages!$2:$2,0)-MATCH("temp_stage",[2]stages!$2:$2,0)+1,FALSE)</f>
        <v>ヒンドゥー神話第二弾超級</v>
      </c>
      <c r="H49" s="82">
        <v>0</v>
      </c>
      <c r="I49" s="93">
        <v>20</v>
      </c>
      <c r="J49" s="81" t="s">
        <v>196</v>
      </c>
      <c r="K49" s="90" t="str">
        <f>VLOOKUP(I49,[6]stage_hints!$A:$C,3,FALSE)</f>
        <v>マルチプレイのメリット（その3）</v>
      </c>
      <c r="L49" s="91" t="str">
        <f>VLOOKUP(I49,[6]stage_hints!$A:$D,4,FALSE)</f>
        <v>マルチプレイへの参加はエナジー消費ゼロ_x000D_いつでも好きなだけ遊ぶことができます</v>
      </c>
      <c r="M49" s="56" t="s">
        <v>209</v>
      </c>
    </row>
    <row r="50" spans="1:13" x14ac:dyDescent="0.15">
      <c r="A50" s="78" t="s">
        <v>199</v>
      </c>
      <c r="B50" s="79">
        <f>floors!$C$2</f>
        <v>30043</v>
      </c>
      <c r="C50" s="80" t="str">
        <f ca="1">VLOOKUP($B50,OFFSET([2]quests!$A$1,0,0,COUNTA([2]quests!$A:$A),MATCH(C$1,[2]quests!$1:$1,0)-MATCH($B$1,[2]quests!$1:$1,0)+1),MATCH(C$1,[2]quests!$1:$1,0)-MATCH($B$1,[2]quests!$1:$1,0)+1,FALSE)</f>
        <v>小さな破壊竜</v>
      </c>
      <c r="D50" s="80" t="str">
        <f ca="1">VLOOKUP($B50,OFFSET([2]quests!$A$1,0,0,COUNTA([2]quests!$A:$A),MATCH(D$1,[2]quests!$1:$1,0)-MATCH($B$1,[2]quests!$1:$1,0)+1),MATCH(D$1,[2]quests!$1:$1,0)-MATCH($B$1,[2]quests!$1:$1,0)+1,FALSE)</f>
        <v>ヒンドゥー神話第二弾超級</v>
      </c>
      <c r="E50" s="84">
        <v>2</v>
      </c>
      <c r="F50" s="80" t="str">
        <f ca="1">VLOOKUP($B50&amp;"_"&amp;$E50,OFFSET([2]stages!$A$1,0,0,COUNTA([2]stages!$A:$A),MATCH(F$1,[2]stages!$2:$2,0)-MATCH("temp_stage",[2]stages!$2:$2,0)+1),MATCH(F$1,[2]stages!$2:$2,0)-MATCH("temp_stage",[2]stages!$2:$2,0)+1,FALSE)</f>
        <v>【上級】小さな破壊竜</v>
      </c>
      <c r="G50" s="80" t="str">
        <f ca="1">VLOOKUP($B50&amp;"_"&amp;$E50,OFFSET([2]stages!$A$1,0,0,COUNTA([2]stages!$A:$A),MATCH(G$1,[2]stages!$2:$2,0)-MATCH("temp_stage",[2]stages!$2:$2,0)+1),MATCH(G$1,[2]stages!$2:$2,0)-MATCH("temp_stage",[2]stages!$2:$2,0)+1,FALSE)</f>
        <v>ヒンドゥー神話第二弾超級</v>
      </c>
      <c r="H50" s="82">
        <v>0</v>
      </c>
      <c r="I50" s="93">
        <v>21</v>
      </c>
      <c r="J50" s="81" t="s">
        <v>196</v>
      </c>
      <c r="K50" s="90" t="str">
        <f>VLOOKUP(I50,[6]stage_hints!$A:$C,3,FALSE)</f>
        <v>スキルを有効に</v>
      </c>
      <c r="L50" s="91" t="str">
        <f>VLOOKUP(I50,[6]stage_hints!$A:$D,4,FALSE)</f>
        <v>ターン経過でユニットのスキルが使えます_x000D_強力スキルでバトルを有利に進めましょう</v>
      </c>
      <c r="M50" s="56" t="s">
        <v>209</v>
      </c>
    </row>
    <row r="51" spans="1:13" x14ac:dyDescent="0.15">
      <c r="A51" s="78" t="s">
        <v>199</v>
      </c>
      <c r="B51" s="79">
        <f>floors!$C$2</f>
        <v>30043</v>
      </c>
      <c r="C51" s="80" t="str">
        <f ca="1">VLOOKUP($B51,OFFSET([2]quests!$A$1,0,0,COUNTA([2]quests!$A:$A),MATCH(C$1,[2]quests!$1:$1,0)-MATCH($B$1,[2]quests!$1:$1,0)+1),MATCH(C$1,[2]quests!$1:$1,0)-MATCH($B$1,[2]quests!$1:$1,0)+1,FALSE)</f>
        <v>小さな破壊竜</v>
      </c>
      <c r="D51" s="80" t="str">
        <f ca="1">VLOOKUP($B51,OFFSET([2]quests!$A$1,0,0,COUNTA([2]quests!$A:$A),MATCH(D$1,[2]quests!$1:$1,0)-MATCH($B$1,[2]quests!$1:$1,0)+1),MATCH(D$1,[2]quests!$1:$1,0)-MATCH($B$1,[2]quests!$1:$1,0)+1,FALSE)</f>
        <v>ヒンドゥー神話第二弾超級</v>
      </c>
      <c r="E51" s="84">
        <v>2</v>
      </c>
      <c r="F51" s="80" t="str">
        <f ca="1">VLOOKUP($B51&amp;"_"&amp;$E51,OFFSET([2]stages!$A$1,0,0,COUNTA([2]stages!$A:$A),MATCH(F$1,[2]stages!$2:$2,0)-MATCH("temp_stage",[2]stages!$2:$2,0)+1),MATCH(F$1,[2]stages!$2:$2,0)-MATCH("temp_stage",[2]stages!$2:$2,0)+1,FALSE)</f>
        <v>【上級】小さな破壊竜</v>
      </c>
      <c r="G51" s="80" t="str">
        <f ca="1">VLOOKUP($B51&amp;"_"&amp;$E51,OFFSET([2]stages!$A$1,0,0,COUNTA([2]stages!$A:$A),MATCH(G$1,[2]stages!$2:$2,0)-MATCH("temp_stage",[2]stages!$2:$2,0)+1),MATCH(G$1,[2]stages!$2:$2,0)-MATCH("temp_stage",[2]stages!$2:$2,0)+1,FALSE)</f>
        <v>ヒンドゥー神話第二弾超級</v>
      </c>
      <c r="H51" s="82">
        <v>0</v>
      </c>
      <c r="I51" s="93">
        <v>22</v>
      </c>
      <c r="J51" s="81" t="s">
        <v>196</v>
      </c>
      <c r="K51" s="90" t="str">
        <f>VLOOKUP(I51,[6]stage_hints!$A:$C,3,FALSE)</f>
        <v>フィーバーで一発逆転（その1）</v>
      </c>
      <c r="L51" s="91" t="str">
        <f>VLOOKUP(I51,[6]stage_hints!$A:$D,4,FALSE)</f>
        <v>フィーバーは攻撃と回復を兼ね備えます_x000D_ピンチからの一発逆転を狙いましょう</v>
      </c>
      <c r="M51" s="56" t="s">
        <v>209</v>
      </c>
    </row>
    <row r="52" spans="1:13" x14ac:dyDescent="0.15">
      <c r="A52" s="78" t="s">
        <v>199</v>
      </c>
      <c r="B52" s="79">
        <f>floors!$C$2</f>
        <v>30043</v>
      </c>
      <c r="C52" s="80" t="str">
        <f ca="1">VLOOKUP($B52,OFFSET([2]quests!$A$1,0,0,COUNTA([2]quests!$A:$A),MATCH(C$1,[2]quests!$1:$1,0)-MATCH($B$1,[2]quests!$1:$1,0)+1),MATCH(C$1,[2]quests!$1:$1,0)-MATCH($B$1,[2]quests!$1:$1,0)+1,FALSE)</f>
        <v>小さな破壊竜</v>
      </c>
      <c r="D52" s="80" t="str">
        <f ca="1">VLOOKUP($B52,OFFSET([2]quests!$A$1,0,0,COUNTA([2]quests!$A:$A),MATCH(D$1,[2]quests!$1:$1,0)-MATCH($B$1,[2]quests!$1:$1,0)+1),MATCH(D$1,[2]quests!$1:$1,0)-MATCH($B$1,[2]quests!$1:$1,0)+1,FALSE)</f>
        <v>ヒンドゥー神話第二弾超級</v>
      </c>
      <c r="E52" s="84">
        <v>2</v>
      </c>
      <c r="F52" s="80" t="str">
        <f ca="1">VLOOKUP($B52&amp;"_"&amp;$E52,OFFSET([2]stages!$A$1,0,0,COUNTA([2]stages!$A:$A),MATCH(F$1,[2]stages!$2:$2,0)-MATCH("temp_stage",[2]stages!$2:$2,0)+1),MATCH(F$1,[2]stages!$2:$2,0)-MATCH("temp_stage",[2]stages!$2:$2,0)+1,FALSE)</f>
        <v>【上級】小さな破壊竜</v>
      </c>
      <c r="G52" s="80" t="str">
        <f ca="1">VLOOKUP($B52&amp;"_"&amp;$E52,OFFSET([2]stages!$A$1,0,0,COUNTA([2]stages!$A:$A),MATCH(G$1,[2]stages!$2:$2,0)-MATCH("temp_stage",[2]stages!$2:$2,0)+1),MATCH(G$1,[2]stages!$2:$2,0)-MATCH("temp_stage",[2]stages!$2:$2,0)+1,FALSE)</f>
        <v>ヒンドゥー神話第二弾超級</v>
      </c>
      <c r="H52" s="82">
        <v>0</v>
      </c>
      <c r="I52" s="93">
        <v>23</v>
      </c>
      <c r="J52" s="81" t="s">
        <v>196</v>
      </c>
      <c r="K52" s="90" t="str">
        <f>VLOOKUP(I52,[6]stage_hints!$A:$C,3,FALSE)</f>
        <v>フィーバーで一発逆転（その2）</v>
      </c>
      <c r="L52" s="91" t="str">
        <f>VLOOKUP(I52,[6]stage_hints!$A:$D,4,FALSE)</f>
        <v>フィーバー中は虹色のボムパネルを狙って_x000D_画面上のパネルを一気に破壊しましょう</v>
      </c>
      <c r="M52" s="56" t="s">
        <v>209</v>
      </c>
    </row>
    <row r="53" spans="1:13" x14ac:dyDescent="0.15">
      <c r="A53" s="78" t="s">
        <v>199</v>
      </c>
      <c r="B53" s="79">
        <f>floors!$C$2</f>
        <v>30043</v>
      </c>
      <c r="C53" s="80" t="str">
        <f ca="1">VLOOKUP($B53,OFFSET([2]quests!$A$1,0,0,COUNTA([2]quests!$A:$A),MATCH(C$1,[2]quests!$1:$1,0)-MATCH($B$1,[2]quests!$1:$1,0)+1),MATCH(C$1,[2]quests!$1:$1,0)-MATCH($B$1,[2]quests!$1:$1,0)+1,FALSE)</f>
        <v>小さな破壊竜</v>
      </c>
      <c r="D53" s="80" t="str">
        <f ca="1">VLOOKUP($B53,OFFSET([2]quests!$A$1,0,0,COUNTA([2]quests!$A:$A),MATCH(D$1,[2]quests!$1:$1,0)-MATCH($B$1,[2]quests!$1:$1,0)+1),MATCH(D$1,[2]quests!$1:$1,0)-MATCH($B$1,[2]quests!$1:$1,0)+1,FALSE)</f>
        <v>ヒンドゥー神話第二弾超級</v>
      </c>
      <c r="E53" s="84">
        <v>2</v>
      </c>
      <c r="F53" s="80" t="str">
        <f ca="1">VLOOKUP($B53&amp;"_"&amp;$E53,OFFSET([2]stages!$A$1,0,0,COUNTA([2]stages!$A:$A),MATCH(F$1,[2]stages!$2:$2,0)-MATCH("temp_stage",[2]stages!$2:$2,0)+1),MATCH(F$1,[2]stages!$2:$2,0)-MATCH("temp_stage",[2]stages!$2:$2,0)+1,FALSE)</f>
        <v>【上級】小さな破壊竜</v>
      </c>
      <c r="G53" s="80" t="str">
        <f ca="1">VLOOKUP($B53&amp;"_"&amp;$E53,OFFSET([2]stages!$A$1,0,0,COUNTA([2]stages!$A:$A),MATCH(G$1,[2]stages!$2:$2,0)-MATCH("temp_stage",[2]stages!$2:$2,0)+1),MATCH(G$1,[2]stages!$2:$2,0)-MATCH("temp_stage",[2]stages!$2:$2,0)+1,FALSE)</f>
        <v>ヒンドゥー神話第二弾超級</v>
      </c>
      <c r="H53" s="82">
        <v>0</v>
      </c>
      <c r="I53" s="93">
        <v>24</v>
      </c>
      <c r="J53" s="81" t="s">
        <v>196</v>
      </c>
      <c r="K53" s="90" t="str">
        <f>VLOOKUP(I53,[6]stage_hints!$A:$C,3,FALSE)</f>
        <v>りんごを使って限界突破</v>
      </c>
      <c r="L53" s="91" t="str">
        <f>VLOOKUP(I53,[6]stage_hints!$A:$D,4,FALSE)</f>
        <v>赤りんご(攻撃力) 青りんご(回復力)_x000D_緑りんご(体力)をユニット強化に使うと_x000D_ステータスが限界突破します（計99個迄）</v>
      </c>
      <c r="M53" s="56" t="s">
        <v>209</v>
      </c>
    </row>
    <row r="54" spans="1:13" x14ac:dyDescent="0.15">
      <c r="A54" s="78" t="s">
        <v>199</v>
      </c>
      <c r="B54" s="79">
        <f>floors!$C$2</f>
        <v>30043</v>
      </c>
      <c r="C54" s="80" t="str">
        <f ca="1">VLOOKUP($B54,OFFSET([2]quests!$A$1,0,0,COUNTA([2]quests!$A:$A),MATCH(C$1,[2]quests!$1:$1,0)-MATCH($B$1,[2]quests!$1:$1,0)+1),MATCH(C$1,[2]quests!$1:$1,0)-MATCH($B$1,[2]quests!$1:$1,0)+1,FALSE)</f>
        <v>小さな破壊竜</v>
      </c>
      <c r="D54" s="80" t="str">
        <f ca="1">VLOOKUP($B54,OFFSET([2]quests!$A$1,0,0,COUNTA([2]quests!$A:$A),MATCH(D$1,[2]quests!$1:$1,0)-MATCH($B$1,[2]quests!$1:$1,0)+1),MATCH(D$1,[2]quests!$1:$1,0)-MATCH($B$1,[2]quests!$1:$1,0)+1,FALSE)</f>
        <v>ヒンドゥー神話第二弾超級</v>
      </c>
      <c r="E54" s="84">
        <v>2</v>
      </c>
      <c r="F54" s="80" t="str">
        <f ca="1">VLOOKUP($B54&amp;"_"&amp;$E54,OFFSET([2]stages!$A$1,0,0,COUNTA([2]stages!$A:$A),MATCH(F$1,[2]stages!$2:$2,0)-MATCH("temp_stage",[2]stages!$2:$2,0)+1),MATCH(F$1,[2]stages!$2:$2,0)-MATCH("temp_stage",[2]stages!$2:$2,0)+1,FALSE)</f>
        <v>【上級】小さな破壊竜</v>
      </c>
      <c r="G54" s="80" t="str">
        <f ca="1">VLOOKUP($B54&amp;"_"&amp;$E54,OFFSET([2]stages!$A$1,0,0,COUNTA([2]stages!$A:$A),MATCH(G$1,[2]stages!$2:$2,0)-MATCH("temp_stage",[2]stages!$2:$2,0)+1),MATCH(G$1,[2]stages!$2:$2,0)-MATCH("temp_stage",[2]stages!$2:$2,0)+1,FALSE)</f>
        <v>ヒンドゥー神話第二弾超級</v>
      </c>
      <c r="H54" s="82">
        <v>0</v>
      </c>
      <c r="I54" s="93">
        <v>25</v>
      </c>
      <c r="J54" s="81" t="s">
        <v>196</v>
      </c>
      <c r="K54" s="90" t="str">
        <f>VLOOKUP(I54,[6]stage_hints!$A:$C,3,FALSE)</f>
        <v>スキルレベルアップ</v>
      </c>
      <c r="L54" s="91" t="str">
        <f>VLOOKUP(I54,[6]stage_hints!$A:$D,4,FALSE)</f>
        <v>「クリスタルのりんご」を強化に使うと_x000D_スキルレベルを上げることができます</v>
      </c>
      <c r="M54" s="56" t="s">
        <v>209</v>
      </c>
    </row>
    <row r="55" spans="1:13" x14ac:dyDescent="0.15">
      <c r="A55" s="78" t="s">
        <v>199</v>
      </c>
      <c r="B55" s="79">
        <f>floors!$C$2</f>
        <v>30043</v>
      </c>
      <c r="C55" s="80" t="str">
        <f ca="1">VLOOKUP($B55,OFFSET([2]quests!$A$1,0,0,COUNTA([2]quests!$A:$A),MATCH(C$1,[2]quests!$1:$1,0)-MATCH($B$1,[2]quests!$1:$1,0)+1),MATCH(C$1,[2]quests!$1:$1,0)-MATCH($B$1,[2]quests!$1:$1,0)+1,FALSE)</f>
        <v>小さな破壊竜</v>
      </c>
      <c r="D55" s="80" t="str">
        <f ca="1">VLOOKUP($B55,OFFSET([2]quests!$A$1,0,0,COUNTA([2]quests!$A:$A),MATCH(D$1,[2]quests!$1:$1,0)-MATCH($B$1,[2]quests!$1:$1,0)+1),MATCH(D$1,[2]quests!$1:$1,0)-MATCH($B$1,[2]quests!$1:$1,0)+1,FALSE)</f>
        <v>ヒンドゥー神話第二弾超級</v>
      </c>
      <c r="E55" s="84">
        <v>2</v>
      </c>
      <c r="F55" s="80" t="str">
        <f ca="1">VLOOKUP($B55&amp;"_"&amp;$E55,OFFSET([2]stages!$A$1,0,0,COUNTA([2]stages!$A:$A),MATCH(F$1,[2]stages!$2:$2,0)-MATCH("temp_stage",[2]stages!$2:$2,0)+1),MATCH(F$1,[2]stages!$2:$2,0)-MATCH("temp_stage",[2]stages!$2:$2,0)+1,FALSE)</f>
        <v>【上級】小さな破壊竜</v>
      </c>
      <c r="G55" s="80" t="str">
        <f ca="1">VLOOKUP($B55&amp;"_"&amp;$E55,OFFSET([2]stages!$A$1,0,0,COUNTA([2]stages!$A:$A),MATCH(G$1,[2]stages!$2:$2,0)-MATCH("temp_stage",[2]stages!$2:$2,0)+1),MATCH(G$1,[2]stages!$2:$2,0)-MATCH("temp_stage",[2]stages!$2:$2,0)+1,FALSE)</f>
        <v>ヒンドゥー神話第二弾超級</v>
      </c>
      <c r="H55" s="82">
        <v>0</v>
      </c>
      <c r="I55" s="93">
        <v>26</v>
      </c>
      <c r="J55" s="81" t="s">
        <v>196</v>
      </c>
      <c r="K55" s="90" t="str">
        <f>VLOOKUP(I55,[6]stage_hints!$A:$C,3,FALSE)</f>
        <v>スキルレベルの効果</v>
      </c>
      <c r="L55" s="91" t="str">
        <f>VLOOKUP(I55,[6]stage_hints!$A:$D,4,FALSE)</f>
        <v>スキルレベルが上がると_x000D_短いターンでスキルを使うことができます</v>
      </c>
      <c r="M55" s="56" t="s">
        <v>209</v>
      </c>
    </row>
    <row r="56" spans="1:13" x14ac:dyDescent="0.15">
      <c r="A56" s="78" t="s">
        <v>199</v>
      </c>
      <c r="B56" s="79">
        <f>floors!$C$2</f>
        <v>30043</v>
      </c>
      <c r="C56" s="80" t="str">
        <f ca="1">VLOOKUP($B56,OFFSET([2]quests!$A$1,0,0,COUNTA([2]quests!$A:$A),MATCH(C$1,[2]quests!$1:$1,0)-MATCH($B$1,[2]quests!$1:$1,0)+1),MATCH(C$1,[2]quests!$1:$1,0)-MATCH($B$1,[2]quests!$1:$1,0)+1,FALSE)</f>
        <v>小さな破壊竜</v>
      </c>
      <c r="D56" s="80" t="str">
        <f ca="1">VLOOKUP($B56,OFFSET([2]quests!$A$1,0,0,COUNTA([2]quests!$A:$A),MATCH(D$1,[2]quests!$1:$1,0)-MATCH($B$1,[2]quests!$1:$1,0)+1),MATCH(D$1,[2]quests!$1:$1,0)-MATCH($B$1,[2]quests!$1:$1,0)+1,FALSE)</f>
        <v>ヒンドゥー神話第二弾超級</v>
      </c>
      <c r="E56" s="84">
        <v>2</v>
      </c>
      <c r="F56" s="80" t="str">
        <f ca="1">VLOOKUP($B56&amp;"_"&amp;$E56,OFFSET([2]stages!$A$1,0,0,COUNTA([2]stages!$A:$A),MATCH(F$1,[2]stages!$2:$2,0)-MATCH("temp_stage",[2]stages!$2:$2,0)+1),MATCH(F$1,[2]stages!$2:$2,0)-MATCH("temp_stage",[2]stages!$2:$2,0)+1,FALSE)</f>
        <v>【上級】小さな破壊竜</v>
      </c>
      <c r="G56" s="80" t="str">
        <f ca="1">VLOOKUP($B56&amp;"_"&amp;$E56,OFFSET([2]stages!$A$1,0,0,COUNTA([2]stages!$A:$A),MATCH(G$1,[2]stages!$2:$2,0)-MATCH("temp_stage",[2]stages!$2:$2,0)+1),MATCH(G$1,[2]stages!$2:$2,0)-MATCH("temp_stage",[2]stages!$2:$2,0)+1,FALSE)</f>
        <v>ヒンドゥー神話第二弾超級</v>
      </c>
      <c r="H56" s="82">
        <v>0</v>
      </c>
      <c r="I56" s="93">
        <v>27</v>
      </c>
      <c r="J56" s="81" t="s">
        <v>196</v>
      </c>
      <c r="K56" s="90" t="str">
        <f>VLOOKUP(I56,[6]stage_hints!$A:$C,3,FALSE)</f>
        <v>ホーム画面からデッキを編成</v>
      </c>
      <c r="L56" s="91" t="str">
        <f>VLOOKUP(I56,[6]stage_hints!$A:$D,4,FALSE)</f>
        <v>ホーム画面でユニットを長押しすると_x000D_すぐにパーティ編成に移動できます</v>
      </c>
      <c r="M56" s="56" t="s">
        <v>209</v>
      </c>
    </row>
    <row r="57" spans="1:13" x14ac:dyDescent="0.15">
      <c r="A57" s="78" t="s">
        <v>199</v>
      </c>
      <c r="B57" s="79">
        <f>floors!$C$2</f>
        <v>30043</v>
      </c>
      <c r="C57" s="80" t="str">
        <f ca="1">VLOOKUP($B57,OFFSET([2]quests!$A$1,0,0,COUNTA([2]quests!$A:$A),MATCH(C$1,[2]quests!$1:$1,0)-MATCH($B$1,[2]quests!$1:$1,0)+1),MATCH(C$1,[2]quests!$1:$1,0)-MATCH($B$1,[2]quests!$1:$1,0)+1,FALSE)</f>
        <v>小さな破壊竜</v>
      </c>
      <c r="D57" s="80" t="str">
        <f ca="1">VLOOKUP($B57,OFFSET([2]quests!$A$1,0,0,COUNTA([2]quests!$A:$A),MATCH(D$1,[2]quests!$1:$1,0)-MATCH($B$1,[2]quests!$1:$1,0)+1),MATCH(D$1,[2]quests!$1:$1,0)-MATCH($B$1,[2]quests!$1:$1,0)+1,FALSE)</f>
        <v>ヒンドゥー神話第二弾超級</v>
      </c>
      <c r="E57" s="84">
        <v>2</v>
      </c>
      <c r="F57" s="80" t="str">
        <f ca="1">VLOOKUP($B57&amp;"_"&amp;$E57,OFFSET([2]stages!$A$1,0,0,COUNTA([2]stages!$A:$A),MATCH(F$1,[2]stages!$2:$2,0)-MATCH("temp_stage",[2]stages!$2:$2,0)+1),MATCH(F$1,[2]stages!$2:$2,0)-MATCH("temp_stage",[2]stages!$2:$2,0)+1,FALSE)</f>
        <v>【上級】小さな破壊竜</v>
      </c>
      <c r="G57" s="80" t="str">
        <f ca="1">VLOOKUP($B57&amp;"_"&amp;$E57,OFFSET([2]stages!$A$1,0,0,COUNTA([2]stages!$A:$A),MATCH(G$1,[2]stages!$2:$2,0)-MATCH("temp_stage",[2]stages!$2:$2,0)+1),MATCH(G$1,[2]stages!$2:$2,0)-MATCH("temp_stage",[2]stages!$2:$2,0)+1,FALSE)</f>
        <v>ヒンドゥー神話第二弾超級</v>
      </c>
      <c r="H57" s="82">
        <v>0</v>
      </c>
      <c r="I57" s="93">
        <v>28</v>
      </c>
      <c r="J57" s="81" t="s">
        <v>196</v>
      </c>
      <c r="K57" s="90" t="str">
        <f>VLOOKUP(I57,[6]stage_hints!$A:$C,3,FALSE)</f>
        <v>ステータス情報は長押しで</v>
      </c>
      <c r="L57" s="91" t="str">
        <f>VLOOKUP(I57,[6]stage_hints!$A:$D,4,FALSE)</f>
        <v>ユニットのアイコンを長押しすると_x000D_ステータス情報を確認することができます</v>
      </c>
      <c r="M57" s="56" t="s">
        <v>209</v>
      </c>
    </row>
    <row r="58" spans="1:13" x14ac:dyDescent="0.15">
      <c r="A58" s="78" t="s">
        <v>199</v>
      </c>
      <c r="B58" s="79">
        <f>floors!$C$2</f>
        <v>30043</v>
      </c>
      <c r="C58" s="80" t="str">
        <f ca="1">VLOOKUP($B58,OFFSET([2]quests!$A$1,0,0,COUNTA([2]quests!$A:$A),MATCH(C$1,[2]quests!$1:$1,0)-MATCH($B$1,[2]quests!$1:$1,0)+1),MATCH(C$1,[2]quests!$1:$1,0)-MATCH($B$1,[2]quests!$1:$1,0)+1,FALSE)</f>
        <v>小さな破壊竜</v>
      </c>
      <c r="D58" s="80" t="str">
        <f ca="1">VLOOKUP($B58,OFFSET([2]quests!$A$1,0,0,COUNTA([2]quests!$A:$A),MATCH(D$1,[2]quests!$1:$1,0)-MATCH($B$1,[2]quests!$1:$1,0)+1),MATCH(D$1,[2]quests!$1:$1,0)-MATCH($B$1,[2]quests!$1:$1,0)+1,FALSE)</f>
        <v>ヒンドゥー神話第二弾超級</v>
      </c>
      <c r="E58" s="84">
        <v>2</v>
      </c>
      <c r="F58" s="80" t="str">
        <f ca="1">VLOOKUP($B58&amp;"_"&amp;$E58,OFFSET([2]stages!$A$1,0,0,COUNTA([2]stages!$A:$A),MATCH(F$1,[2]stages!$2:$2,0)-MATCH("temp_stage",[2]stages!$2:$2,0)+1),MATCH(F$1,[2]stages!$2:$2,0)-MATCH("temp_stage",[2]stages!$2:$2,0)+1,FALSE)</f>
        <v>【上級】小さな破壊竜</v>
      </c>
      <c r="G58" s="80" t="str">
        <f ca="1">VLOOKUP($B58&amp;"_"&amp;$E58,OFFSET([2]stages!$A$1,0,0,COUNTA([2]stages!$A:$A),MATCH(G$1,[2]stages!$2:$2,0)-MATCH("temp_stage",[2]stages!$2:$2,0)+1),MATCH(G$1,[2]stages!$2:$2,0)-MATCH("temp_stage",[2]stages!$2:$2,0)+1,FALSE)</f>
        <v>ヒンドゥー神話第二弾超級</v>
      </c>
      <c r="H58" s="82">
        <v>0</v>
      </c>
      <c r="I58" s="93">
        <v>29</v>
      </c>
      <c r="J58" s="81" t="s">
        <v>196</v>
      </c>
      <c r="K58" s="90" t="str">
        <f>VLOOKUP(I58,[6]stage_hints!$A:$C,3,FALSE)</f>
        <v>「バグ」のメリット</v>
      </c>
      <c r="L58" s="91" t="str">
        <f>VLOOKUP(I58,[6]stage_hints!$A:$D,4,FALSE)</f>
        <v>ユニットの「バグ」を増やすと_x000D_報酬をもらえる確率がアップします</v>
      </c>
      <c r="M58" s="56" t="s">
        <v>209</v>
      </c>
    </row>
    <row r="59" spans="1:13" x14ac:dyDescent="0.15">
      <c r="A59" s="78" t="s">
        <v>199</v>
      </c>
      <c r="B59" s="79">
        <f>floors!$C$2</f>
        <v>30043</v>
      </c>
      <c r="C59" s="80" t="str">
        <f ca="1">VLOOKUP($B59,OFFSET([2]quests!$A$1,0,0,COUNTA([2]quests!$A:$A),MATCH(C$1,[2]quests!$1:$1,0)-MATCH($B$1,[2]quests!$1:$1,0)+1),MATCH(C$1,[2]quests!$1:$1,0)-MATCH($B$1,[2]quests!$1:$1,0)+1,FALSE)</f>
        <v>小さな破壊竜</v>
      </c>
      <c r="D59" s="80" t="str">
        <f ca="1">VLOOKUP($B59,OFFSET([2]quests!$A$1,0,0,COUNTA([2]quests!$A:$A),MATCH(D$1,[2]quests!$1:$1,0)-MATCH($B$1,[2]quests!$1:$1,0)+1),MATCH(D$1,[2]quests!$1:$1,0)-MATCH($B$1,[2]quests!$1:$1,0)+1,FALSE)</f>
        <v>ヒンドゥー神話第二弾超級</v>
      </c>
      <c r="E59" s="84">
        <v>2</v>
      </c>
      <c r="F59" s="80" t="str">
        <f ca="1">VLOOKUP($B59&amp;"_"&amp;$E59,OFFSET([2]stages!$A$1,0,0,COUNTA([2]stages!$A:$A),MATCH(F$1,[2]stages!$2:$2,0)-MATCH("temp_stage",[2]stages!$2:$2,0)+1),MATCH(F$1,[2]stages!$2:$2,0)-MATCH("temp_stage",[2]stages!$2:$2,0)+1,FALSE)</f>
        <v>【上級】小さな破壊竜</v>
      </c>
      <c r="G59" s="80" t="str">
        <f ca="1">VLOOKUP($B59&amp;"_"&amp;$E59,OFFSET([2]stages!$A$1,0,0,COUNTA([2]stages!$A:$A),MATCH(G$1,[2]stages!$2:$2,0)-MATCH("temp_stage",[2]stages!$2:$2,0)+1),MATCH(G$1,[2]stages!$2:$2,0)-MATCH("temp_stage",[2]stages!$2:$2,0)+1,FALSE)</f>
        <v>ヒンドゥー神話第二弾超級</v>
      </c>
      <c r="H59" s="82">
        <v>0</v>
      </c>
      <c r="I59" s="93">
        <v>30</v>
      </c>
      <c r="J59" s="81" t="s">
        <v>196</v>
      </c>
      <c r="K59" s="90" t="str">
        <f>VLOOKUP(I59,[6]stage_hints!$A:$C,3,FALSE)</f>
        <v>「バグ」の増やし方</v>
      </c>
      <c r="L59" s="91" t="str">
        <f>VLOOKUP(I59,[6]stage_hints!$A:$D,4,FALSE)</f>
        <v>同じユニット同士を強化で合成すると_x000D_「バグ」を増やすことができます</v>
      </c>
      <c r="M59" s="56" t="s">
        <v>209</v>
      </c>
    </row>
    <row r="60" spans="1:13" x14ac:dyDescent="0.15">
      <c r="A60" s="78" t="s">
        <v>199</v>
      </c>
      <c r="B60" s="79">
        <f>floors!$C$2</f>
        <v>30043</v>
      </c>
      <c r="C60" s="80" t="str">
        <f ca="1">VLOOKUP($B60,OFFSET([2]quests!$A$1,0,0,COUNTA([2]quests!$A:$A),MATCH(C$1,[2]quests!$1:$1,0)-MATCH($B$1,[2]quests!$1:$1,0)+1),MATCH(C$1,[2]quests!$1:$1,0)-MATCH($B$1,[2]quests!$1:$1,0)+1,FALSE)</f>
        <v>小さな破壊竜</v>
      </c>
      <c r="D60" s="80" t="str">
        <f ca="1">VLOOKUP($B60,OFFSET([2]quests!$A$1,0,0,COUNTA([2]quests!$A:$A),MATCH(D$1,[2]quests!$1:$1,0)-MATCH($B$1,[2]quests!$1:$1,0)+1),MATCH(D$1,[2]quests!$1:$1,0)-MATCH($B$1,[2]quests!$1:$1,0)+1,FALSE)</f>
        <v>ヒンドゥー神話第二弾超級</v>
      </c>
      <c r="E60" s="84">
        <v>2</v>
      </c>
      <c r="F60" s="80" t="str">
        <f ca="1">VLOOKUP($B60&amp;"_"&amp;$E60,OFFSET([2]stages!$A$1,0,0,COUNTA([2]stages!$A:$A),MATCH(F$1,[2]stages!$2:$2,0)-MATCH("temp_stage",[2]stages!$2:$2,0)+1),MATCH(F$1,[2]stages!$2:$2,0)-MATCH("temp_stage",[2]stages!$2:$2,0)+1,FALSE)</f>
        <v>【上級】小さな破壊竜</v>
      </c>
      <c r="G60" s="80" t="str">
        <f ca="1">VLOOKUP($B60&amp;"_"&amp;$E60,OFFSET([2]stages!$A$1,0,0,COUNTA([2]stages!$A:$A),MATCH(G$1,[2]stages!$2:$2,0)-MATCH("temp_stage",[2]stages!$2:$2,0)+1),MATCH(G$1,[2]stages!$2:$2,0)-MATCH("temp_stage",[2]stages!$2:$2,0)+1,FALSE)</f>
        <v>ヒンドゥー神話第二弾超級</v>
      </c>
      <c r="H60" s="82">
        <v>0</v>
      </c>
      <c r="I60" s="93">
        <v>31</v>
      </c>
      <c r="J60" s="81" t="s">
        <v>196</v>
      </c>
      <c r="K60" s="90" t="str">
        <f>VLOOKUP(I60,[6]stage_hints!$A:$C,3,FALSE)</f>
        <v>イベントはお知らせでチェック</v>
      </c>
      <c r="L60" s="91" t="str">
        <f>VLOOKUP(I60,[6]stage_hints!$A:$D,4,FALSE)</f>
        <v>イベント限定ユニットを取り忘れないように_x000D_お知らせをこまめにチェックしましょう</v>
      </c>
      <c r="M60" s="56" t="s">
        <v>209</v>
      </c>
    </row>
    <row r="61" spans="1:13" x14ac:dyDescent="0.15">
      <c r="A61" s="78" t="s">
        <v>199</v>
      </c>
      <c r="B61" s="79">
        <f>floors!$C$2</f>
        <v>30043</v>
      </c>
      <c r="C61" s="80" t="str">
        <f ca="1">VLOOKUP($B61,OFFSET([2]quests!$A$1,0,0,COUNTA([2]quests!$A:$A),MATCH(C$1,[2]quests!$1:$1,0)-MATCH($B$1,[2]quests!$1:$1,0)+1),MATCH(C$1,[2]quests!$1:$1,0)-MATCH($B$1,[2]quests!$1:$1,0)+1,FALSE)</f>
        <v>小さな破壊竜</v>
      </c>
      <c r="D61" s="80" t="str">
        <f ca="1">VLOOKUP($B61,OFFSET([2]quests!$A$1,0,0,COUNTA([2]quests!$A:$A),MATCH(D$1,[2]quests!$1:$1,0)-MATCH($B$1,[2]quests!$1:$1,0)+1),MATCH(D$1,[2]quests!$1:$1,0)-MATCH($B$1,[2]quests!$1:$1,0)+1,FALSE)</f>
        <v>ヒンドゥー神話第二弾超級</v>
      </c>
      <c r="E61" s="84">
        <v>2</v>
      </c>
      <c r="F61" s="80" t="str">
        <f ca="1">VLOOKUP($B61&amp;"_"&amp;$E61,OFFSET([2]stages!$A$1,0,0,COUNTA([2]stages!$A:$A),MATCH(F$1,[2]stages!$2:$2,0)-MATCH("temp_stage",[2]stages!$2:$2,0)+1),MATCH(F$1,[2]stages!$2:$2,0)-MATCH("temp_stage",[2]stages!$2:$2,0)+1,FALSE)</f>
        <v>【上級】小さな破壊竜</v>
      </c>
      <c r="G61" s="80" t="str">
        <f ca="1">VLOOKUP($B61&amp;"_"&amp;$E61,OFFSET([2]stages!$A$1,0,0,COUNTA([2]stages!$A:$A),MATCH(G$1,[2]stages!$2:$2,0)-MATCH("temp_stage",[2]stages!$2:$2,0)+1),MATCH(G$1,[2]stages!$2:$2,0)-MATCH("temp_stage",[2]stages!$2:$2,0)+1,FALSE)</f>
        <v>ヒンドゥー神話第二弾超級</v>
      </c>
      <c r="H61" s="82">
        <v>0</v>
      </c>
      <c r="I61" s="93">
        <v>32</v>
      </c>
      <c r="J61" s="81" t="s">
        <v>196</v>
      </c>
      <c r="K61" s="90" t="str">
        <f>VLOOKUP(I61,[6]stage_hints!$A:$C,3,FALSE)</f>
        <v>敵の連続攻撃には</v>
      </c>
      <c r="L61" s="91" t="str">
        <f>VLOOKUP(I61,[6]stage_hints!$A:$D,4,FALSE)</f>
        <v>カウンタースキルを持つユニットがいれば_x000D_ダメージ回数分の反撃ができます</v>
      </c>
      <c r="M61" s="56" t="s">
        <v>209</v>
      </c>
    </row>
    <row r="62" spans="1:13" x14ac:dyDescent="0.15">
      <c r="A62" s="78" t="s">
        <v>199</v>
      </c>
      <c r="B62" s="79">
        <f>floors!$C$2</f>
        <v>30043</v>
      </c>
      <c r="C62" s="80" t="str">
        <f ca="1">VLOOKUP($B62,OFFSET([2]quests!$A$1,0,0,COUNTA([2]quests!$A:$A),MATCH(C$1,[2]quests!$1:$1,0)-MATCH($B$1,[2]quests!$1:$1,0)+1),MATCH(C$1,[2]quests!$1:$1,0)-MATCH($B$1,[2]quests!$1:$1,0)+1,FALSE)</f>
        <v>小さな破壊竜</v>
      </c>
      <c r="D62" s="80" t="str">
        <f ca="1">VLOOKUP($B62,OFFSET([2]quests!$A$1,0,0,COUNTA([2]quests!$A:$A),MATCH(D$1,[2]quests!$1:$1,0)-MATCH($B$1,[2]quests!$1:$1,0)+1),MATCH(D$1,[2]quests!$1:$1,0)-MATCH($B$1,[2]quests!$1:$1,0)+1,FALSE)</f>
        <v>ヒンドゥー神話第二弾超級</v>
      </c>
      <c r="E62" s="84">
        <v>2</v>
      </c>
      <c r="F62" s="80" t="str">
        <f ca="1">VLOOKUP($B62&amp;"_"&amp;$E62,OFFSET([2]stages!$A$1,0,0,COUNTA([2]stages!$A:$A),MATCH(F$1,[2]stages!$2:$2,0)-MATCH("temp_stage",[2]stages!$2:$2,0)+1),MATCH(F$1,[2]stages!$2:$2,0)-MATCH("temp_stage",[2]stages!$2:$2,0)+1,FALSE)</f>
        <v>【上級】小さな破壊竜</v>
      </c>
      <c r="G62" s="80" t="str">
        <f ca="1">VLOOKUP($B62&amp;"_"&amp;$E62,OFFSET([2]stages!$A$1,0,0,COUNTA([2]stages!$A:$A),MATCH(G$1,[2]stages!$2:$2,0)-MATCH("temp_stage",[2]stages!$2:$2,0)+1),MATCH(G$1,[2]stages!$2:$2,0)-MATCH("temp_stage",[2]stages!$2:$2,0)+1,FALSE)</f>
        <v>ヒンドゥー神話第二弾超級</v>
      </c>
      <c r="H62" s="82">
        <v>0</v>
      </c>
      <c r="I62" s="93">
        <v>33</v>
      </c>
      <c r="J62" s="81" t="s">
        <v>196</v>
      </c>
      <c r="K62" s="90" t="str">
        <f>VLOOKUP(I62,[6]stage_hints!$A:$C,3,FALSE)</f>
        <v>敵のカウンター攻撃には</v>
      </c>
      <c r="L62" s="91" t="str">
        <f>VLOOKUP(I62,[6]stage_hints!$A:$D,4,FALSE)</f>
        <v>カウンターブレイクスキルを持っていれば_x000D_敵のカウンターを解除して攻撃ができます</v>
      </c>
      <c r="M62" s="56" t="s">
        <v>209</v>
      </c>
    </row>
    <row r="63" spans="1:13" x14ac:dyDescent="0.15">
      <c r="A63" s="78" t="s">
        <v>199</v>
      </c>
      <c r="B63" s="79">
        <f>floors!$C$2</f>
        <v>30043</v>
      </c>
      <c r="C63" s="80" t="str">
        <f ca="1">VLOOKUP($B63,OFFSET([2]quests!$A$1,0,0,COUNTA([2]quests!$A:$A),MATCH(C$1,[2]quests!$1:$1,0)-MATCH($B$1,[2]quests!$1:$1,0)+1),MATCH(C$1,[2]quests!$1:$1,0)-MATCH($B$1,[2]quests!$1:$1,0)+1,FALSE)</f>
        <v>小さな破壊竜</v>
      </c>
      <c r="D63" s="80" t="str">
        <f ca="1">VLOOKUP($B63,OFFSET([2]quests!$A$1,0,0,COUNTA([2]quests!$A:$A),MATCH(D$1,[2]quests!$1:$1,0)-MATCH($B$1,[2]quests!$1:$1,0)+1),MATCH(D$1,[2]quests!$1:$1,0)-MATCH($B$1,[2]quests!$1:$1,0)+1,FALSE)</f>
        <v>ヒンドゥー神話第二弾超級</v>
      </c>
      <c r="E63" s="84">
        <v>2</v>
      </c>
      <c r="F63" s="80" t="str">
        <f ca="1">VLOOKUP($B63&amp;"_"&amp;$E63,OFFSET([2]stages!$A$1,0,0,COUNTA([2]stages!$A:$A),MATCH(F$1,[2]stages!$2:$2,0)-MATCH("temp_stage",[2]stages!$2:$2,0)+1),MATCH(F$1,[2]stages!$2:$2,0)-MATCH("temp_stage",[2]stages!$2:$2,0)+1,FALSE)</f>
        <v>【上級】小さな破壊竜</v>
      </c>
      <c r="G63" s="80" t="str">
        <f ca="1">VLOOKUP($B63&amp;"_"&amp;$E63,OFFSET([2]stages!$A$1,0,0,COUNTA([2]stages!$A:$A),MATCH(G$1,[2]stages!$2:$2,0)-MATCH("temp_stage",[2]stages!$2:$2,0)+1),MATCH(G$1,[2]stages!$2:$2,0)-MATCH("temp_stage",[2]stages!$2:$2,0)+1,FALSE)</f>
        <v>ヒンドゥー神話第二弾超級</v>
      </c>
      <c r="H63" s="82">
        <v>0</v>
      </c>
      <c r="I63" s="93">
        <v>34</v>
      </c>
      <c r="J63" s="81" t="s">
        <v>196</v>
      </c>
      <c r="K63" s="90" t="str">
        <f>VLOOKUP(I63,[6]stage_hints!$A:$C,3,FALSE)</f>
        <v>ステータスをスキルで下げられたら</v>
      </c>
      <c r="L63" s="91" t="str">
        <f>VLOOKUP(I63,[6]stage_hints!$A:$D,4,FALSE)</f>
        <v>ステータスダウンのスキルを受けたら_x000D_ステータスアップスキルで上書きしましょう</v>
      </c>
      <c r="M63" s="56" t="s">
        <v>209</v>
      </c>
    </row>
    <row r="64" spans="1:13" x14ac:dyDescent="0.15">
      <c r="A64" s="78" t="s">
        <v>199</v>
      </c>
      <c r="B64" s="79">
        <f>floors!$C$2</f>
        <v>30043</v>
      </c>
      <c r="C64" s="80" t="str">
        <f ca="1">VLOOKUP($B64,OFFSET([2]quests!$A$1,0,0,COUNTA([2]quests!$A:$A),MATCH(C$1,[2]quests!$1:$1,0)-MATCH($B$1,[2]quests!$1:$1,0)+1),MATCH(C$1,[2]quests!$1:$1,0)-MATCH($B$1,[2]quests!$1:$1,0)+1,FALSE)</f>
        <v>小さな破壊竜</v>
      </c>
      <c r="D64" s="80" t="str">
        <f ca="1">VLOOKUP($B64,OFFSET([2]quests!$A$1,0,0,COUNTA([2]quests!$A:$A),MATCH(D$1,[2]quests!$1:$1,0)-MATCH($B$1,[2]quests!$1:$1,0)+1),MATCH(D$1,[2]quests!$1:$1,0)-MATCH($B$1,[2]quests!$1:$1,0)+1,FALSE)</f>
        <v>ヒンドゥー神話第二弾超級</v>
      </c>
      <c r="E64" s="84">
        <v>2</v>
      </c>
      <c r="F64" s="80" t="str">
        <f ca="1">VLOOKUP($B64&amp;"_"&amp;$E64,OFFSET([2]stages!$A$1,0,0,COUNTA([2]stages!$A:$A),MATCH(F$1,[2]stages!$2:$2,0)-MATCH("temp_stage",[2]stages!$2:$2,0)+1),MATCH(F$1,[2]stages!$2:$2,0)-MATCH("temp_stage",[2]stages!$2:$2,0)+1,FALSE)</f>
        <v>【上級】小さな破壊竜</v>
      </c>
      <c r="G64" s="80" t="str">
        <f ca="1">VLOOKUP($B64&amp;"_"&amp;$E64,OFFSET([2]stages!$A$1,0,0,COUNTA([2]stages!$A:$A),MATCH(G$1,[2]stages!$2:$2,0)-MATCH("temp_stage",[2]stages!$2:$2,0)+1),MATCH(G$1,[2]stages!$2:$2,0)-MATCH("temp_stage",[2]stages!$2:$2,0)+1,FALSE)</f>
        <v>ヒンドゥー神話第二弾超級</v>
      </c>
      <c r="H64" s="82">
        <v>0</v>
      </c>
      <c r="I64" s="93">
        <v>35</v>
      </c>
      <c r="J64" s="81" t="s">
        <v>196</v>
      </c>
      <c r="K64" s="90" t="str">
        <f>VLOOKUP(I64,[6]stage_hints!$A:$C,3,FALSE)</f>
        <v>敵のステータスがスキルで上がったら</v>
      </c>
      <c r="L64" s="91" t="str">
        <f>VLOOKUP(I64,[6]stage_hints!$A:$D,4,FALSE)</f>
        <v>敵のステータスがスキルでアップしたときは_x000D_ステータスダウンスキルで上書きしましょう</v>
      </c>
      <c r="M64" s="56" t="s">
        <v>209</v>
      </c>
    </row>
    <row r="65" spans="1:13" x14ac:dyDescent="0.15">
      <c r="A65" s="78" t="s">
        <v>199</v>
      </c>
      <c r="B65" s="79">
        <f>floors!$C$2</f>
        <v>30043</v>
      </c>
      <c r="C65" s="80" t="str">
        <f ca="1">VLOOKUP($B65,OFFSET([2]quests!$A$1,0,0,COUNTA([2]quests!$A:$A),MATCH(C$1,[2]quests!$1:$1,0)-MATCH($B$1,[2]quests!$1:$1,0)+1),MATCH(C$1,[2]quests!$1:$1,0)-MATCH($B$1,[2]quests!$1:$1,0)+1,FALSE)</f>
        <v>小さな破壊竜</v>
      </c>
      <c r="D65" s="80" t="str">
        <f ca="1">VLOOKUP($B65,OFFSET([2]quests!$A$1,0,0,COUNTA([2]quests!$A:$A),MATCH(D$1,[2]quests!$1:$1,0)-MATCH($B$1,[2]quests!$1:$1,0)+1),MATCH(D$1,[2]quests!$1:$1,0)-MATCH($B$1,[2]quests!$1:$1,0)+1,FALSE)</f>
        <v>ヒンドゥー神話第二弾超級</v>
      </c>
      <c r="E65" s="84">
        <v>2</v>
      </c>
      <c r="F65" s="80" t="str">
        <f ca="1">VLOOKUP($B65&amp;"_"&amp;$E65,OFFSET([2]stages!$A$1,0,0,COUNTA([2]stages!$A:$A),MATCH(F$1,[2]stages!$2:$2,0)-MATCH("temp_stage",[2]stages!$2:$2,0)+1),MATCH(F$1,[2]stages!$2:$2,0)-MATCH("temp_stage",[2]stages!$2:$2,0)+1,FALSE)</f>
        <v>【上級】小さな破壊竜</v>
      </c>
      <c r="G65" s="80" t="str">
        <f ca="1">VLOOKUP($B65&amp;"_"&amp;$E65,OFFSET([2]stages!$A$1,0,0,COUNTA([2]stages!$A:$A),MATCH(G$1,[2]stages!$2:$2,0)-MATCH("temp_stage",[2]stages!$2:$2,0)+1),MATCH(G$1,[2]stages!$2:$2,0)-MATCH("temp_stage",[2]stages!$2:$2,0)+1,FALSE)</f>
        <v>ヒンドゥー神話第二弾超級</v>
      </c>
      <c r="H65" s="82">
        <v>0</v>
      </c>
      <c r="I65" s="93">
        <v>36</v>
      </c>
      <c r="J65" s="81" t="s">
        <v>196</v>
      </c>
      <c r="K65" s="90" t="str">
        <f>VLOOKUP(I65,[6]stage_hints!$A:$C,3,FALSE)</f>
        <v>タワーオブザクイーンのボス</v>
      </c>
      <c r="L65" s="91" t="str">
        <f>VLOOKUP(I65,[6]stage_hints!$A:$D,4,FALSE)</f>
        <v>「タワーオブザクイーン」最上階のボスは_x000D_15階の初回クリア報酬で獲得できるほか_x000D_その階にて低確率でドロップもします</v>
      </c>
      <c r="M65" s="56" t="s">
        <v>209</v>
      </c>
    </row>
    <row r="66" spans="1:13" x14ac:dyDescent="0.15">
      <c r="A66" s="78" t="s">
        <v>199</v>
      </c>
      <c r="B66" s="79">
        <f>floors!$C$2</f>
        <v>30043</v>
      </c>
      <c r="C66" s="80" t="str">
        <f ca="1">VLOOKUP($B66,OFFSET([2]quests!$A$1,0,0,COUNTA([2]quests!$A:$A),MATCH(C$1,[2]quests!$1:$1,0)-MATCH($B$1,[2]quests!$1:$1,0)+1),MATCH(C$1,[2]quests!$1:$1,0)-MATCH($B$1,[2]quests!$1:$1,0)+1,FALSE)</f>
        <v>小さな破壊竜</v>
      </c>
      <c r="D66" s="80" t="str">
        <f ca="1">VLOOKUP($B66,OFFSET([2]quests!$A$1,0,0,COUNTA([2]quests!$A:$A),MATCH(D$1,[2]quests!$1:$1,0)-MATCH($B$1,[2]quests!$1:$1,0)+1),MATCH(D$1,[2]quests!$1:$1,0)-MATCH($B$1,[2]quests!$1:$1,0)+1,FALSE)</f>
        <v>ヒンドゥー神話第二弾超級</v>
      </c>
      <c r="E66" s="84">
        <v>2</v>
      </c>
      <c r="F66" s="80" t="str">
        <f ca="1">VLOOKUP($B66&amp;"_"&amp;$E66,OFFSET([2]stages!$A$1,0,0,COUNTA([2]stages!$A:$A),MATCH(F$1,[2]stages!$2:$2,0)-MATCH("temp_stage",[2]stages!$2:$2,0)+1),MATCH(F$1,[2]stages!$2:$2,0)-MATCH("temp_stage",[2]stages!$2:$2,0)+1,FALSE)</f>
        <v>【上級】小さな破壊竜</v>
      </c>
      <c r="G66" s="80" t="str">
        <f ca="1">VLOOKUP($B66&amp;"_"&amp;$E66,OFFSET([2]stages!$A$1,0,0,COUNTA([2]stages!$A:$A),MATCH(G$1,[2]stages!$2:$2,0)-MATCH("temp_stage",[2]stages!$2:$2,0)+1),MATCH(G$1,[2]stages!$2:$2,0)-MATCH("temp_stage",[2]stages!$2:$2,0)+1,FALSE)</f>
        <v>ヒンドゥー神話第二弾超級</v>
      </c>
      <c r="H66" s="82">
        <v>0</v>
      </c>
      <c r="I66" s="93">
        <v>37</v>
      </c>
      <c r="J66" s="81" t="s">
        <v>196</v>
      </c>
      <c r="K66" s="90" t="str">
        <f>VLOOKUP(I66,[6]stage_hints!$A:$C,3,FALSE)</f>
        <v>限界突破値の引き継ぎ</v>
      </c>
      <c r="L66" s="91" t="str">
        <f>VLOOKUP(I66,[6]stage_hints!$A:$D,4,FALSE)</f>
        <v>同じユニットを強化で合成すると_x000D_限界突破値を引き継げます（覚醒前後も可）</v>
      </c>
      <c r="M66" s="56" t="s">
        <v>209</v>
      </c>
    </row>
    <row r="67" spans="1:13" x14ac:dyDescent="0.15">
      <c r="A67" s="78" t="s">
        <v>199</v>
      </c>
      <c r="B67" s="79">
        <f>floors!$C$2</f>
        <v>30043</v>
      </c>
      <c r="C67" s="80" t="str">
        <f ca="1">VLOOKUP($B67,OFFSET([2]quests!$A$1,0,0,COUNTA([2]quests!$A:$A),MATCH(C$1,[2]quests!$1:$1,0)-MATCH($B$1,[2]quests!$1:$1,0)+1),MATCH(C$1,[2]quests!$1:$1,0)-MATCH($B$1,[2]quests!$1:$1,0)+1,FALSE)</f>
        <v>小さな破壊竜</v>
      </c>
      <c r="D67" s="80" t="str">
        <f ca="1">VLOOKUP($B67,OFFSET([2]quests!$A$1,0,0,COUNTA([2]quests!$A:$A),MATCH(D$1,[2]quests!$1:$1,0)-MATCH($B$1,[2]quests!$1:$1,0)+1),MATCH(D$1,[2]quests!$1:$1,0)-MATCH($B$1,[2]quests!$1:$1,0)+1,FALSE)</f>
        <v>ヒンドゥー神話第二弾超級</v>
      </c>
      <c r="E67" s="84">
        <v>2</v>
      </c>
      <c r="F67" s="80" t="str">
        <f ca="1">VLOOKUP($B67&amp;"_"&amp;$E67,OFFSET([2]stages!$A$1,0,0,COUNTA([2]stages!$A:$A),MATCH(F$1,[2]stages!$2:$2,0)-MATCH("temp_stage",[2]stages!$2:$2,0)+1),MATCH(F$1,[2]stages!$2:$2,0)-MATCH("temp_stage",[2]stages!$2:$2,0)+1,FALSE)</f>
        <v>【上級】小さな破壊竜</v>
      </c>
      <c r="G67" s="80" t="str">
        <f ca="1">VLOOKUP($B67&amp;"_"&amp;$E67,OFFSET([2]stages!$A$1,0,0,COUNTA([2]stages!$A:$A),MATCH(G$1,[2]stages!$2:$2,0)-MATCH("temp_stage",[2]stages!$2:$2,0)+1),MATCH(G$1,[2]stages!$2:$2,0)-MATCH("temp_stage",[2]stages!$2:$2,0)+1,FALSE)</f>
        <v>ヒンドゥー神話第二弾超級</v>
      </c>
      <c r="H67" s="82">
        <v>0</v>
      </c>
      <c r="I67" s="93">
        <v>39</v>
      </c>
      <c r="J67" s="81" t="s">
        <v>196</v>
      </c>
      <c r="K67" s="90" t="str">
        <f>VLOOKUP(I67,[6]stage_hints!$A:$C,3,FALSE)</f>
        <v>システム適合者を確認</v>
      </c>
      <c r="L67" s="91" t="str">
        <f>VLOOKUP(I67,[6]stage_hints!$A:$D,4,FALSE)</f>
        <v>ALICEが 「アナタ」を呼んでいます</v>
      </c>
      <c r="M67" s="56" t="s">
        <v>209</v>
      </c>
    </row>
    <row r="68" spans="1:13" x14ac:dyDescent="0.15">
      <c r="A68" s="78" t="s">
        <v>199</v>
      </c>
      <c r="B68" s="79">
        <f>floors!$C$2</f>
        <v>30043</v>
      </c>
      <c r="C68" s="80" t="str">
        <f ca="1">VLOOKUP($B68,OFFSET([2]quests!$A$1,0,0,COUNTA([2]quests!$A:$A),MATCH(C$1,[2]quests!$1:$1,0)-MATCH($B$1,[2]quests!$1:$1,0)+1),MATCH(C$1,[2]quests!$1:$1,0)-MATCH($B$1,[2]quests!$1:$1,0)+1,FALSE)</f>
        <v>小さな破壊竜</v>
      </c>
      <c r="D68" s="80" t="str">
        <f ca="1">VLOOKUP($B68,OFFSET([2]quests!$A$1,0,0,COUNTA([2]quests!$A:$A),MATCH(D$1,[2]quests!$1:$1,0)-MATCH($B$1,[2]quests!$1:$1,0)+1),MATCH(D$1,[2]quests!$1:$1,0)-MATCH($B$1,[2]quests!$1:$1,0)+1,FALSE)</f>
        <v>ヒンドゥー神話第二弾超級</v>
      </c>
      <c r="E68" s="84">
        <v>3</v>
      </c>
      <c r="F68" s="80" t="str">
        <f ca="1">VLOOKUP($B68&amp;"_"&amp;$E68,OFFSET([2]stages!$A$1,0,0,COUNTA([2]stages!$A:$A),MATCH(F$1,[2]stages!$2:$2,0)-MATCH("temp_stage",[2]stages!$2:$2,0)+1),MATCH(F$1,[2]stages!$2:$2,0)-MATCH("temp_stage",[2]stages!$2:$2,0)+1,FALSE)</f>
        <v>【超級】小さな破壊竜</v>
      </c>
      <c r="G68" s="80" t="str">
        <f ca="1">VLOOKUP($B68&amp;"_"&amp;$E68,OFFSET([2]stages!$A$1,0,0,COUNTA([2]stages!$A:$A),MATCH(G$1,[2]stages!$2:$2,0)-MATCH("temp_stage",[2]stages!$2:$2,0)+1),MATCH(G$1,[2]stages!$2:$2,0)-MATCH("temp_stage",[2]stages!$2:$2,0)+1,FALSE)</f>
        <v>ヒンドゥー神話第二弾超級</v>
      </c>
      <c r="H68" s="82">
        <v>0</v>
      </c>
      <c r="I68">
        <v>12</v>
      </c>
      <c r="J68" s="81" t="s">
        <v>196</v>
      </c>
      <c r="K68" s="90" t="str">
        <f>VLOOKUP(I68,[6]stage_hints!$A:$C,3,FALSE)</f>
        <v>ユニットのお気に入り登録</v>
      </c>
      <c r="L68" s="91" t="str">
        <f>VLOOKUP(I68,[6]stage_hints!$A:$D,4,FALSE)</f>
        <v>大事なユニットを誤って消さないように_x000D_フォルダから「お気に入り登録」しましょう</v>
      </c>
      <c r="M68" s="56" t="s">
        <v>209</v>
      </c>
    </row>
    <row r="69" spans="1:13" x14ac:dyDescent="0.15">
      <c r="A69" s="78" t="s">
        <v>199</v>
      </c>
      <c r="B69" s="79">
        <f>floors!$C$2</f>
        <v>30043</v>
      </c>
      <c r="C69" s="80" t="str">
        <f ca="1">VLOOKUP($B69,OFFSET([2]quests!$A$1,0,0,COUNTA([2]quests!$A:$A),MATCH(C$1,[2]quests!$1:$1,0)-MATCH($B$1,[2]quests!$1:$1,0)+1),MATCH(C$1,[2]quests!$1:$1,0)-MATCH($B$1,[2]quests!$1:$1,0)+1,FALSE)</f>
        <v>小さな破壊竜</v>
      </c>
      <c r="D69" s="80" t="str">
        <f ca="1">VLOOKUP($B69,OFFSET([2]quests!$A$1,0,0,COUNTA([2]quests!$A:$A),MATCH(D$1,[2]quests!$1:$1,0)-MATCH($B$1,[2]quests!$1:$1,0)+1),MATCH(D$1,[2]quests!$1:$1,0)-MATCH($B$1,[2]quests!$1:$1,0)+1,FALSE)</f>
        <v>ヒンドゥー神話第二弾超級</v>
      </c>
      <c r="E69" s="84">
        <v>3</v>
      </c>
      <c r="F69" s="80" t="str">
        <f ca="1">VLOOKUP($B69&amp;"_"&amp;$E69,OFFSET([2]stages!$A$1,0,0,COUNTA([2]stages!$A:$A),MATCH(F$1,[2]stages!$2:$2,0)-MATCH("temp_stage",[2]stages!$2:$2,0)+1),MATCH(F$1,[2]stages!$2:$2,0)-MATCH("temp_stage",[2]stages!$2:$2,0)+1,FALSE)</f>
        <v>【超級】小さな破壊竜</v>
      </c>
      <c r="G69" s="80" t="str">
        <f ca="1">VLOOKUP($B69&amp;"_"&amp;$E69,OFFSET([2]stages!$A$1,0,0,COUNTA([2]stages!$A:$A),MATCH(G$1,[2]stages!$2:$2,0)-MATCH("temp_stage",[2]stages!$2:$2,0)+1),MATCH(G$1,[2]stages!$2:$2,0)-MATCH("temp_stage",[2]stages!$2:$2,0)+1,FALSE)</f>
        <v>ヒンドゥー神話第二弾超級</v>
      </c>
      <c r="H69" s="82">
        <v>0</v>
      </c>
      <c r="I69">
        <v>17</v>
      </c>
      <c r="J69" s="81" t="s">
        <v>196</v>
      </c>
      <c r="K69" s="90" t="str">
        <f>VLOOKUP(I69,[6]stage_hints!$A:$C,3,FALSE)</f>
        <v>リンクガチャ</v>
      </c>
      <c r="L69" s="91" t="str">
        <f>VLOOKUP(I69,[6]stage_hints!$A:$D,4,FALSE)</f>
        <v>無料のリンクガチャを回して_x000D_経験値素材や売却素材を獲得しましょう</v>
      </c>
      <c r="M69" s="56" t="s">
        <v>209</v>
      </c>
    </row>
    <row r="70" spans="1:13" x14ac:dyDescent="0.15">
      <c r="A70" s="78" t="s">
        <v>199</v>
      </c>
      <c r="B70" s="79">
        <f>floors!$C$2</f>
        <v>30043</v>
      </c>
      <c r="C70" s="80" t="str">
        <f ca="1">VLOOKUP($B70,OFFSET([2]quests!$A$1,0,0,COUNTA([2]quests!$A:$A),MATCH(C$1,[2]quests!$1:$1,0)-MATCH($B$1,[2]quests!$1:$1,0)+1),MATCH(C$1,[2]quests!$1:$1,0)-MATCH($B$1,[2]quests!$1:$1,0)+1,FALSE)</f>
        <v>小さな破壊竜</v>
      </c>
      <c r="D70" s="80" t="str">
        <f ca="1">VLOOKUP($B70,OFFSET([2]quests!$A$1,0,0,COUNTA([2]quests!$A:$A),MATCH(D$1,[2]quests!$1:$1,0)-MATCH($B$1,[2]quests!$1:$1,0)+1),MATCH(D$1,[2]quests!$1:$1,0)-MATCH($B$1,[2]quests!$1:$1,0)+1,FALSE)</f>
        <v>ヒンドゥー神話第二弾超級</v>
      </c>
      <c r="E70" s="84">
        <v>3</v>
      </c>
      <c r="F70" s="80" t="str">
        <f ca="1">VLOOKUP($B70&amp;"_"&amp;$E70,OFFSET([2]stages!$A$1,0,0,COUNTA([2]stages!$A:$A),MATCH(F$1,[2]stages!$2:$2,0)-MATCH("temp_stage",[2]stages!$2:$2,0)+1),MATCH(F$1,[2]stages!$2:$2,0)-MATCH("temp_stage",[2]stages!$2:$2,0)+1,FALSE)</f>
        <v>【超級】小さな破壊竜</v>
      </c>
      <c r="G70" s="80" t="str">
        <f ca="1">VLOOKUP($B70&amp;"_"&amp;$E70,OFFSET([2]stages!$A$1,0,0,COUNTA([2]stages!$A:$A),MATCH(G$1,[2]stages!$2:$2,0)-MATCH("temp_stage",[2]stages!$2:$2,0)+1),MATCH(G$1,[2]stages!$2:$2,0)-MATCH("temp_stage",[2]stages!$2:$2,0)+1,FALSE)</f>
        <v>ヒンドゥー神話第二弾超級</v>
      </c>
      <c r="H70" s="82">
        <v>0</v>
      </c>
      <c r="I70">
        <v>19</v>
      </c>
      <c r="J70" s="81" t="s">
        <v>196</v>
      </c>
      <c r="K70" s="90" t="str">
        <f>VLOOKUP(I70,[6]stage_hints!$A:$C,3,FALSE)</f>
        <v>ソロ専用タワーオブザクイーン</v>
      </c>
      <c r="L70" s="91" t="str">
        <f>VLOOKUP(I70,[6]stage_hints!$A:$D,4,FALSE)</f>
        <v>ソロ専用の「タワーオブザクイーン」は_x000D_期間限定で定期的に開催されます_x000D_ここでしか獲得できない報酬もあるようです</v>
      </c>
      <c r="M70" s="56" t="s">
        <v>209</v>
      </c>
    </row>
    <row r="71" spans="1:13" x14ac:dyDescent="0.15">
      <c r="A71" s="78" t="s">
        <v>199</v>
      </c>
      <c r="B71" s="79">
        <f>floors!$C$2</f>
        <v>30043</v>
      </c>
      <c r="C71" s="80" t="str">
        <f ca="1">VLOOKUP($B71,OFFSET([2]quests!$A$1,0,0,COUNTA([2]quests!$A:$A),MATCH(C$1,[2]quests!$1:$1,0)-MATCH($B$1,[2]quests!$1:$1,0)+1),MATCH(C$1,[2]quests!$1:$1,0)-MATCH($B$1,[2]quests!$1:$1,0)+1,FALSE)</f>
        <v>小さな破壊竜</v>
      </c>
      <c r="D71" s="80" t="str">
        <f ca="1">VLOOKUP($B71,OFFSET([2]quests!$A$1,0,0,COUNTA([2]quests!$A:$A),MATCH(D$1,[2]quests!$1:$1,0)-MATCH($B$1,[2]quests!$1:$1,0)+1),MATCH(D$1,[2]quests!$1:$1,0)-MATCH($B$1,[2]quests!$1:$1,0)+1,FALSE)</f>
        <v>ヒンドゥー神話第二弾超級</v>
      </c>
      <c r="E71" s="84">
        <v>3</v>
      </c>
      <c r="F71" s="80" t="str">
        <f ca="1">VLOOKUP($B71&amp;"_"&amp;$E71,OFFSET([2]stages!$A$1,0,0,COUNTA([2]stages!$A:$A),MATCH(F$1,[2]stages!$2:$2,0)-MATCH("temp_stage",[2]stages!$2:$2,0)+1),MATCH(F$1,[2]stages!$2:$2,0)-MATCH("temp_stage",[2]stages!$2:$2,0)+1,FALSE)</f>
        <v>【超級】小さな破壊竜</v>
      </c>
      <c r="G71" s="80" t="str">
        <f ca="1">VLOOKUP($B71&amp;"_"&amp;$E71,OFFSET([2]stages!$A$1,0,0,COUNTA([2]stages!$A:$A),MATCH(G$1,[2]stages!$2:$2,0)-MATCH("temp_stage",[2]stages!$2:$2,0)+1),MATCH(G$1,[2]stages!$2:$2,0)-MATCH("temp_stage",[2]stages!$2:$2,0)+1,FALSE)</f>
        <v>ヒンドゥー神話第二弾超級</v>
      </c>
      <c r="H71" s="82">
        <v>0</v>
      </c>
      <c r="I71">
        <v>21</v>
      </c>
      <c r="J71" s="81" t="s">
        <v>196</v>
      </c>
      <c r="K71" s="90" t="str">
        <f>VLOOKUP(I71,[6]stage_hints!$A:$C,3,FALSE)</f>
        <v>スキルを有効に</v>
      </c>
      <c r="L71" s="91" t="str">
        <f>VLOOKUP(I71,[6]stage_hints!$A:$D,4,FALSE)</f>
        <v>ターン経過でユニットのスキルが使えます_x000D_強力スキルでバトルを有利に進めましょう</v>
      </c>
      <c r="M71" s="56" t="s">
        <v>209</v>
      </c>
    </row>
    <row r="72" spans="1:13" x14ac:dyDescent="0.15">
      <c r="A72" s="78" t="s">
        <v>199</v>
      </c>
      <c r="B72" s="79">
        <f>floors!$C$2</f>
        <v>30043</v>
      </c>
      <c r="C72" s="80" t="str">
        <f ca="1">VLOOKUP($B72,OFFSET([2]quests!$A$1,0,0,COUNTA([2]quests!$A:$A),MATCH(C$1,[2]quests!$1:$1,0)-MATCH($B$1,[2]quests!$1:$1,0)+1),MATCH(C$1,[2]quests!$1:$1,0)-MATCH($B$1,[2]quests!$1:$1,0)+1,FALSE)</f>
        <v>小さな破壊竜</v>
      </c>
      <c r="D72" s="80" t="str">
        <f ca="1">VLOOKUP($B72,OFFSET([2]quests!$A$1,0,0,COUNTA([2]quests!$A:$A),MATCH(D$1,[2]quests!$1:$1,0)-MATCH($B$1,[2]quests!$1:$1,0)+1),MATCH(D$1,[2]quests!$1:$1,0)-MATCH($B$1,[2]quests!$1:$1,0)+1,FALSE)</f>
        <v>ヒンドゥー神話第二弾超級</v>
      </c>
      <c r="E72" s="84">
        <v>3</v>
      </c>
      <c r="F72" s="80" t="str">
        <f ca="1">VLOOKUP($B72&amp;"_"&amp;$E72,OFFSET([2]stages!$A$1,0,0,COUNTA([2]stages!$A:$A),MATCH(F$1,[2]stages!$2:$2,0)-MATCH("temp_stage",[2]stages!$2:$2,0)+1),MATCH(F$1,[2]stages!$2:$2,0)-MATCH("temp_stage",[2]stages!$2:$2,0)+1,FALSE)</f>
        <v>【超級】小さな破壊竜</v>
      </c>
      <c r="G72" s="80" t="str">
        <f ca="1">VLOOKUP($B72&amp;"_"&amp;$E72,OFFSET([2]stages!$A$1,0,0,COUNTA([2]stages!$A:$A),MATCH(G$1,[2]stages!$2:$2,0)-MATCH("temp_stage",[2]stages!$2:$2,0)+1),MATCH(G$1,[2]stages!$2:$2,0)-MATCH("temp_stage",[2]stages!$2:$2,0)+1,FALSE)</f>
        <v>ヒンドゥー神話第二弾超級</v>
      </c>
      <c r="H72" s="82">
        <v>0</v>
      </c>
      <c r="I72">
        <v>27</v>
      </c>
      <c r="J72" s="81" t="s">
        <v>196</v>
      </c>
      <c r="K72" s="90" t="str">
        <f>VLOOKUP(I72,[6]stage_hints!$A:$C,3,FALSE)</f>
        <v>ホーム画面からデッキを編成</v>
      </c>
      <c r="L72" s="91" t="str">
        <f>VLOOKUP(I72,[6]stage_hints!$A:$D,4,FALSE)</f>
        <v>ホーム画面でユニットを長押しすると_x000D_すぐにパーティ編成に移動できます</v>
      </c>
      <c r="M72" s="56" t="s">
        <v>209</v>
      </c>
    </row>
    <row r="73" spans="1:13" x14ac:dyDescent="0.15">
      <c r="A73" s="78" t="s">
        <v>199</v>
      </c>
      <c r="B73" s="79">
        <f>floors!$C$2</f>
        <v>30043</v>
      </c>
      <c r="C73" s="80" t="str">
        <f ca="1">VLOOKUP($B73,OFFSET([2]quests!$A$1,0,0,COUNTA([2]quests!$A:$A),MATCH(C$1,[2]quests!$1:$1,0)-MATCH($B$1,[2]quests!$1:$1,0)+1),MATCH(C$1,[2]quests!$1:$1,0)-MATCH($B$1,[2]quests!$1:$1,0)+1,FALSE)</f>
        <v>小さな破壊竜</v>
      </c>
      <c r="D73" s="80" t="str">
        <f ca="1">VLOOKUP($B73,OFFSET([2]quests!$A$1,0,0,COUNTA([2]quests!$A:$A),MATCH(D$1,[2]quests!$1:$1,0)-MATCH($B$1,[2]quests!$1:$1,0)+1),MATCH(D$1,[2]quests!$1:$1,0)-MATCH($B$1,[2]quests!$1:$1,0)+1,FALSE)</f>
        <v>ヒンドゥー神話第二弾超級</v>
      </c>
      <c r="E73" s="84">
        <v>3</v>
      </c>
      <c r="F73" s="80" t="str">
        <f ca="1">VLOOKUP($B73&amp;"_"&amp;$E73,OFFSET([2]stages!$A$1,0,0,COUNTA([2]stages!$A:$A),MATCH(F$1,[2]stages!$2:$2,0)-MATCH("temp_stage",[2]stages!$2:$2,0)+1),MATCH(F$1,[2]stages!$2:$2,0)-MATCH("temp_stage",[2]stages!$2:$2,0)+1,FALSE)</f>
        <v>【超級】小さな破壊竜</v>
      </c>
      <c r="G73" s="80" t="str">
        <f ca="1">VLOOKUP($B73&amp;"_"&amp;$E73,OFFSET([2]stages!$A$1,0,0,COUNTA([2]stages!$A:$A),MATCH(G$1,[2]stages!$2:$2,0)-MATCH("temp_stage",[2]stages!$2:$2,0)+1),MATCH(G$1,[2]stages!$2:$2,0)-MATCH("temp_stage",[2]stages!$2:$2,0)+1,FALSE)</f>
        <v>ヒンドゥー神話第二弾超級</v>
      </c>
      <c r="H73" s="82">
        <v>0</v>
      </c>
      <c r="I73">
        <v>28</v>
      </c>
      <c r="J73" s="81" t="s">
        <v>196</v>
      </c>
      <c r="K73" s="90" t="str">
        <f>VLOOKUP(I73,[6]stage_hints!$A:$C,3,FALSE)</f>
        <v>ステータス情報は長押しで</v>
      </c>
      <c r="L73" s="91" t="str">
        <f>VLOOKUP(I73,[6]stage_hints!$A:$D,4,FALSE)</f>
        <v>ユニットのアイコンを長押しすると_x000D_ステータス情報を確認することができます</v>
      </c>
      <c r="M73" s="56" t="s">
        <v>209</v>
      </c>
    </row>
    <row r="74" spans="1:13" x14ac:dyDescent="0.15">
      <c r="A74" s="78" t="s">
        <v>199</v>
      </c>
      <c r="B74" s="79">
        <f>floors!$C$2</f>
        <v>30043</v>
      </c>
      <c r="C74" s="80" t="str">
        <f ca="1">VLOOKUP($B74,OFFSET([2]quests!$A$1,0,0,COUNTA([2]quests!$A:$A),MATCH(C$1,[2]quests!$1:$1,0)-MATCH($B$1,[2]quests!$1:$1,0)+1),MATCH(C$1,[2]quests!$1:$1,0)-MATCH($B$1,[2]quests!$1:$1,0)+1,FALSE)</f>
        <v>小さな破壊竜</v>
      </c>
      <c r="D74" s="80" t="str">
        <f ca="1">VLOOKUP($B74,OFFSET([2]quests!$A$1,0,0,COUNTA([2]quests!$A:$A),MATCH(D$1,[2]quests!$1:$1,0)-MATCH($B$1,[2]quests!$1:$1,0)+1),MATCH(D$1,[2]quests!$1:$1,0)-MATCH($B$1,[2]quests!$1:$1,0)+1,FALSE)</f>
        <v>ヒンドゥー神話第二弾超級</v>
      </c>
      <c r="E74" s="84">
        <v>3</v>
      </c>
      <c r="F74" s="80" t="str">
        <f ca="1">VLOOKUP($B74&amp;"_"&amp;$E74,OFFSET([2]stages!$A$1,0,0,COUNTA([2]stages!$A:$A),MATCH(F$1,[2]stages!$2:$2,0)-MATCH("temp_stage",[2]stages!$2:$2,0)+1),MATCH(F$1,[2]stages!$2:$2,0)-MATCH("temp_stage",[2]stages!$2:$2,0)+1,FALSE)</f>
        <v>【超級】小さな破壊竜</v>
      </c>
      <c r="G74" s="80" t="str">
        <f ca="1">VLOOKUP($B74&amp;"_"&amp;$E74,OFFSET([2]stages!$A$1,0,0,COUNTA([2]stages!$A:$A),MATCH(G$1,[2]stages!$2:$2,0)-MATCH("temp_stage",[2]stages!$2:$2,0)+1),MATCH(G$1,[2]stages!$2:$2,0)-MATCH("temp_stage",[2]stages!$2:$2,0)+1,FALSE)</f>
        <v>ヒンドゥー神話第二弾超級</v>
      </c>
      <c r="H74" s="82">
        <v>0</v>
      </c>
      <c r="I74">
        <v>29</v>
      </c>
      <c r="J74" s="81" t="s">
        <v>196</v>
      </c>
      <c r="K74" s="90" t="str">
        <f>VLOOKUP(I74,[6]stage_hints!$A:$C,3,FALSE)</f>
        <v>「バグ」のメリット</v>
      </c>
      <c r="L74" s="91" t="str">
        <f>VLOOKUP(I74,[6]stage_hints!$A:$D,4,FALSE)</f>
        <v>ユニットの「バグ」を増やすと_x000D_報酬をもらえる確率がアップします</v>
      </c>
      <c r="M74" s="56" t="s">
        <v>209</v>
      </c>
    </row>
    <row r="75" spans="1:13" x14ac:dyDescent="0.15">
      <c r="A75" s="78" t="s">
        <v>199</v>
      </c>
      <c r="B75" s="79">
        <f>floors!$C$2</f>
        <v>30043</v>
      </c>
      <c r="C75" s="80" t="str">
        <f ca="1">VLOOKUP($B75,OFFSET([2]quests!$A$1,0,0,COUNTA([2]quests!$A:$A),MATCH(C$1,[2]quests!$1:$1,0)-MATCH($B$1,[2]quests!$1:$1,0)+1),MATCH(C$1,[2]quests!$1:$1,0)-MATCH($B$1,[2]quests!$1:$1,0)+1,FALSE)</f>
        <v>小さな破壊竜</v>
      </c>
      <c r="D75" s="80" t="str">
        <f ca="1">VLOOKUP($B75,OFFSET([2]quests!$A$1,0,0,COUNTA([2]quests!$A:$A),MATCH(D$1,[2]quests!$1:$1,0)-MATCH($B$1,[2]quests!$1:$1,0)+1),MATCH(D$1,[2]quests!$1:$1,0)-MATCH($B$1,[2]quests!$1:$1,0)+1,FALSE)</f>
        <v>ヒンドゥー神話第二弾超級</v>
      </c>
      <c r="E75" s="84">
        <v>3</v>
      </c>
      <c r="F75" s="80" t="str">
        <f ca="1">VLOOKUP($B75&amp;"_"&amp;$E75,OFFSET([2]stages!$A$1,0,0,COUNTA([2]stages!$A:$A),MATCH(F$1,[2]stages!$2:$2,0)-MATCH("temp_stage",[2]stages!$2:$2,0)+1),MATCH(F$1,[2]stages!$2:$2,0)-MATCH("temp_stage",[2]stages!$2:$2,0)+1,FALSE)</f>
        <v>【超級】小さな破壊竜</v>
      </c>
      <c r="G75" s="80" t="str">
        <f ca="1">VLOOKUP($B75&amp;"_"&amp;$E75,OFFSET([2]stages!$A$1,0,0,COUNTA([2]stages!$A:$A),MATCH(G$1,[2]stages!$2:$2,0)-MATCH("temp_stage",[2]stages!$2:$2,0)+1),MATCH(G$1,[2]stages!$2:$2,0)-MATCH("temp_stage",[2]stages!$2:$2,0)+1,FALSE)</f>
        <v>ヒンドゥー神話第二弾超級</v>
      </c>
      <c r="H75" s="82">
        <v>0</v>
      </c>
      <c r="I75">
        <v>30</v>
      </c>
      <c r="J75" s="81" t="s">
        <v>196</v>
      </c>
      <c r="K75" s="90" t="str">
        <f>VLOOKUP(I75,[6]stage_hints!$A:$C,3,FALSE)</f>
        <v>「バグ」の増やし方</v>
      </c>
      <c r="L75" s="91" t="str">
        <f>VLOOKUP(I75,[6]stage_hints!$A:$D,4,FALSE)</f>
        <v>同じユニット同士を強化で合成すると_x000D_「バグ」を増やすことができます</v>
      </c>
      <c r="M75" s="56" t="s">
        <v>209</v>
      </c>
    </row>
    <row r="76" spans="1:13" x14ac:dyDescent="0.15">
      <c r="A76" s="78" t="s">
        <v>199</v>
      </c>
      <c r="B76" s="79">
        <f>floors!$C$2</f>
        <v>30043</v>
      </c>
      <c r="C76" s="80" t="str">
        <f ca="1">VLOOKUP($B76,OFFSET([2]quests!$A$1,0,0,COUNTA([2]quests!$A:$A),MATCH(C$1,[2]quests!$1:$1,0)-MATCH($B$1,[2]quests!$1:$1,0)+1),MATCH(C$1,[2]quests!$1:$1,0)-MATCH($B$1,[2]quests!$1:$1,0)+1,FALSE)</f>
        <v>小さな破壊竜</v>
      </c>
      <c r="D76" s="80" t="str">
        <f ca="1">VLOOKUP($B76,OFFSET([2]quests!$A$1,0,0,COUNTA([2]quests!$A:$A),MATCH(D$1,[2]quests!$1:$1,0)-MATCH($B$1,[2]quests!$1:$1,0)+1),MATCH(D$1,[2]quests!$1:$1,0)-MATCH($B$1,[2]quests!$1:$1,0)+1,FALSE)</f>
        <v>ヒンドゥー神話第二弾超級</v>
      </c>
      <c r="E76" s="84">
        <v>3</v>
      </c>
      <c r="F76" s="80" t="str">
        <f ca="1">VLOOKUP($B76&amp;"_"&amp;$E76,OFFSET([2]stages!$A$1,0,0,COUNTA([2]stages!$A:$A),MATCH(F$1,[2]stages!$2:$2,0)-MATCH("temp_stage",[2]stages!$2:$2,0)+1),MATCH(F$1,[2]stages!$2:$2,0)-MATCH("temp_stage",[2]stages!$2:$2,0)+1,FALSE)</f>
        <v>【超級】小さな破壊竜</v>
      </c>
      <c r="G76" s="80" t="str">
        <f ca="1">VLOOKUP($B76&amp;"_"&amp;$E76,OFFSET([2]stages!$A$1,0,0,COUNTA([2]stages!$A:$A),MATCH(G$1,[2]stages!$2:$2,0)-MATCH("temp_stage",[2]stages!$2:$2,0)+1),MATCH(G$1,[2]stages!$2:$2,0)-MATCH("temp_stage",[2]stages!$2:$2,0)+1,FALSE)</f>
        <v>ヒンドゥー神話第二弾超級</v>
      </c>
      <c r="H76" s="82">
        <v>0</v>
      </c>
      <c r="I76">
        <v>32</v>
      </c>
      <c r="J76" s="81" t="s">
        <v>196</v>
      </c>
      <c r="K76" s="90" t="str">
        <f>VLOOKUP(I76,[6]stage_hints!$A:$C,3,FALSE)</f>
        <v>敵の連続攻撃には</v>
      </c>
      <c r="L76" s="91" t="str">
        <f>VLOOKUP(I76,[6]stage_hints!$A:$D,4,FALSE)</f>
        <v>カウンタースキルを持つユニットがいれば_x000D_ダメージ回数分の反撃ができます</v>
      </c>
      <c r="M76" s="56" t="s">
        <v>209</v>
      </c>
    </row>
    <row r="77" spans="1:13" x14ac:dyDescent="0.15">
      <c r="A77" s="78" t="s">
        <v>199</v>
      </c>
      <c r="B77" s="79">
        <f>floors!$C$2</f>
        <v>30043</v>
      </c>
      <c r="C77" s="80" t="str">
        <f ca="1">VLOOKUP($B77,OFFSET([2]quests!$A$1,0,0,COUNTA([2]quests!$A:$A),MATCH(C$1,[2]quests!$1:$1,0)-MATCH($B$1,[2]quests!$1:$1,0)+1),MATCH(C$1,[2]quests!$1:$1,0)-MATCH($B$1,[2]quests!$1:$1,0)+1,FALSE)</f>
        <v>小さな破壊竜</v>
      </c>
      <c r="D77" s="80" t="str">
        <f ca="1">VLOOKUP($B77,OFFSET([2]quests!$A$1,0,0,COUNTA([2]quests!$A:$A),MATCH(D$1,[2]quests!$1:$1,0)-MATCH($B$1,[2]quests!$1:$1,0)+1),MATCH(D$1,[2]quests!$1:$1,0)-MATCH($B$1,[2]quests!$1:$1,0)+1,FALSE)</f>
        <v>ヒンドゥー神話第二弾超級</v>
      </c>
      <c r="E77" s="84">
        <v>3</v>
      </c>
      <c r="F77" s="80" t="str">
        <f ca="1">VLOOKUP($B77&amp;"_"&amp;$E77,OFFSET([2]stages!$A$1,0,0,COUNTA([2]stages!$A:$A),MATCH(F$1,[2]stages!$2:$2,0)-MATCH("temp_stage",[2]stages!$2:$2,0)+1),MATCH(F$1,[2]stages!$2:$2,0)-MATCH("temp_stage",[2]stages!$2:$2,0)+1,FALSE)</f>
        <v>【超級】小さな破壊竜</v>
      </c>
      <c r="G77" s="80" t="str">
        <f ca="1">VLOOKUP($B77&amp;"_"&amp;$E77,OFFSET([2]stages!$A$1,0,0,COUNTA([2]stages!$A:$A),MATCH(G$1,[2]stages!$2:$2,0)-MATCH("temp_stage",[2]stages!$2:$2,0)+1),MATCH(G$1,[2]stages!$2:$2,0)-MATCH("temp_stage",[2]stages!$2:$2,0)+1,FALSE)</f>
        <v>ヒンドゥー神話第二弾超級</v>
      </c>
      <c r="H77" s="82">
        <v>0</v>
      </c>
      <c r="I77">
        <v>33</v>
      </c>
      <c r="J77" s="81" t="s">
        <v>196</v>
      </c>
      <c r="K77" s="90" t="str">
        <f>VLOOKUP(I77,[6]stage_hints!$A:$C,3,FALSE)</f>
        <v>敵のカウンター攻撃には</v>
      </c>
      <c r="L77" s="91" t="str">
        <f>VLOOKUP(I77,[6]stage_hints!$A:$D,4,FALSE)</f>
        <v>カウンターブレイクスキルを持っていれば_x000D_敵のカウンターを解除して攻撃ができます</v>
      </c>
      <c r="M77" s="56" t="s">
        <v>209</v>
      </c>
    </row>
    <row r="78" spans="1:13" x14ac:dyDescent="0.15">
      <c r="A78" s="78" t="s">
        <v>199</v>
      </c>
      <c r="B78" s="79">
        <f>floors!$C$2</f>
        <v>30043</v>
      </c>
      <c r="C78" s="80" t="str">
        <f ca="1">VLOOKUP($B78,OFFSET([2]quests!$A$1,0,0,COUNTA([2]quests!$A:$A),MATCH(C$1,[2]quests!$1:$1,0)-MATCH($B$1,[2]quests!$1:$1,0)+1),MATCH(C$1,[2]quests!$1:$1,0)-MATCH($B$1,[2]quests!$1:$1,0)+1,FALSE)</f>
        <v>小さな破壊竜</v>
      </c>
      <c r="D78" s="80" t="str">
        <f ca="1">VLOOKUP($B78,OFFSET([2]quests!$A$1,0,0,COUNTA([2]quests!$A:$A),MATCH(D$1,[2]quests!$1:$1,0)-MATCH($B$1,[2]quests!$1:$1,0)+1),MATCH(D$1,[2]quests!$1:$1,0)-MATCH($B$1,[2]quests!$1:$1,0)+1,FALSE)</f>
        <v>ヒンドゥー神話第二弾超級</v>
      </c>
      <c r="E78" s="84">
        <v>3</v>
      </c>
      <c r="F78" s="80" t="str">
        <f ca="1">VLOOKUP($B78&amp;"_"&amp;$E78,OFFSET([2]stages!$A$1,0,0,COUNTA([2]stages!$A:$A),MATCH(F$1,[2]stages!$2:$2,0)-MATCH("temp_stage",[2]stages!$2:$2,0)+1),MATCH(F$1,[2]stages!$2:$2,0)-MATCH("temp_stage",[2]stages!$2:$2,0)+1,FALSE)</f>
        <v>【超級】小さな破壊竜</v>
      </c>
      <c r="G78" s="80" t="str">
        <f ca="1">VLOOKUP($B78&amp;"_"&amp;$E78,OFFSET([2]stages!$A$1,0,0,COUNTA([2]stages!$A:$A),MATCH(G$1,[2]stages!$2:$2,0)-MATCH("temp_stage",[2]stages!$2:$2,0)+1),MATCH(G$1,[2]stages!$2:$2,0)-MATCH("temp_stage",[2]stages!$2:$2,0)+1,FALSE)</f>
        <v>ヒンドゥー神話第二弾超級</v>
      </c>
      <c r="H78" s="82">
        <v>0</v>
      </c>
      <c r="I78">
        <v>34</v>
      </c>
      <c r="J78" s="81" t="s">
        <v>196</v>
      </c>
      <c r="K78" s="90" t="str">
        <f>VLOOKUP(I78,[6]stage_hints!$A:$C,3,FALSE)</f>
        <v>ステータスをスキルで下げられたら</v>
      </c>
      <c r="L78" s="91" t="str">
        <f>VLOOKUP(I78,[6]stage_hints!$A:$D,4,FALSE)</f>
        <v>ステータスダウンのスキルを受けたら_x000D_ステータスアップスキルで上書きしましょう</v>
      </c>
      <c r="M78" s="56" t="s">
        <v>209</v>
      </c>
    </row>
    <row r="79" spans="1:13" x14ac:dyDescent="0.15">
      <c r="A79" s="78" t="s">
        <v>199</v>
      </c>
      <c r="B79" s="79">
        <f>floors!$C$2</f>
        <v>30043</v>
      </c>
      <c r="C79" s="80" t="str">
        <f ca="1">VLOOKUP($B79,OFFSET([2]quests!$A$1,0,0,COUNTA([2]quests!$A:$A),MATCH(C$1,[2]quests!$1:$1,0)-MATCH($B$1,[2]quests!$1:$1,0)+1),MATCH(C$1,[2]quests!$1:$1,0)-MATCH($B$1,[2]quests!$1:$1,0)+1,FALSE)</f>
        <v>小さな破壊竜</v>
      </c>
      <c r="D79" s="80" t="str">
        <f ca="1">VLOOKUP($B79,OFFSET([2]quests!$A$1,0,0,COUNTA([2]quests!$A:$A),MATCH(D$1,[2]quests!$1:$1,0)-MATCH($B$1,[2]quests!$1:$1,0)+1),MATCH(D$1,[2]quests!$1:$1,0)-MATCH($B$1,[2]quests!$1:$1,0)+1,FALSE)</f>
        <v>ヒンドゥー神話第二弾超級</v>
      </c>
      <c r="E79" s="84">
        <v>3</v>
      </c>
      <c r="F79" s="80" t="str">
        <f ca="1">VLOOKUP($B79&amp;"_"&amp;$E79,OFFSET([2]stages!$A$1,0,0,COUNTA([2]stages!$A:$A),MATCH(F$1,[2]stages!$2:$2,0)-MATCH("temp_stage",[2]stages!$2:$2,0)+1),MATCH(F$1,[2]stages!$2:$2,0)-MATCH("temp_stage",[2]stages!$2:$2,0)+1,FALSE)</f>
        <v>【超級】小さな破壊竜</v>
      </c>
      <c r="G79" s="80" t="str">
        <f ca="1">VLOOKUP($B79&amp;"_"&amp;$E79,OFFSET([2]stages!$A$1,0,0,COUNTA([2]stages!$A:$A),MATCH(G$1,[2]stages!$2:$2,0)-MATCH("temp_stage",[2]stages!$2:$2,0)+1),MATCH(G$1,[2]stages!$2:$2,0)-MATCH("temp_stage",[2]stages!$2:$2,0)+1,FALSE)</f>
        <v>ヒンドゥー神話第二弾超級</v>
      </c>
      <c r="H79" s="82">
        <v>0</v>
      </c>
      <c r="I79">
        <v>35</v>
      </c>
      <c r="J79" s="81" t="s">
        <v>196</v>
      </c>
      <c r="K79" s="90" t="str">
        <f>VLOOKUP(I79,[6]stage_hints!$A:$C,3,FALSE)</f>
        <v>敵のステータスがスキルで上がったら</v>
      </c>
      <c r="L79" s="91" t="str">
        <f>VLOOKUP(I79,[6]stage_hints!$A:$D,4,FALSE)</f>
        <v>敵のステータスがスキルでアップしたときは_x000D_ステータスダウンスキルで上書きしましょう</v>
      </c>
      <c r="M79" s="56" t="s">
        <v>209</v>
      </c>
    </row>
    <row r="80" spans="1:13" x14ac:dyDescent="0.15">
      <c r="A80" s="78" t="s">
        <v>199</v>
      </c>
      <c r="B80" s="79">
        <f>floors!$C$2</f>
        <v>30043</v>
      </c>
      <c r="C80" s="80" t="str">
        <f ca="1">VLOOKUP($B80,OFFSET([2]quests!$A$1,0,0,COUNTA([2]quests!$A:$A),MATCH(C$1,[2]quests!$1:$1,0)-MATCH($B$1,[2]quests!$1:$1,0)+1),MATCH(C$1,[2]quests!$1:$1,0)-MATCH($B$1,[2]quests!$1:$1,0)+1,FALSE)</f>
        <v>小さな破壊竜</v>
      </c>
      <c r="D80" s="80" t="str">
        <f ca="1">VLOOKUP($B80,OFFSET([2]quests!$A$1,0,0,COUNTA([2]quests!$A:$A),MATCH(D$1,[2]quests!$1:$1,0)-MATCH($B$1,[2]quests!$1:$1,0)+1),MATCH(D$1,[2]quests!$1:$1,0)-MATCH($B$1,[2]quests!$1:$1,0)+1,FALSE)</f>
        <v>ヒンドゥー神話第二弾超級</v>
      </c>
      <c r="E80" s="84">
        <v>3</v>
      </c>
      <c r="F80" s="80" t="str">
        <f ca="1">VLOOKUP($B80&amp;"_"&amp;$E80,OFFSET([2]stages!$A$1,0,0,COUNTA([2]stages!$A:$A),MATCH(F$1,[2]stages!$2:$2,0)-MATCH("temp_stage",[2]stages!$2:$2,0)+1),MATCH(F$1,[2]stages!$2:$2,0)-MATCH("temp_stage",[2]stages!$2:$2,0)+1,FALSE)</f>
        <v>【超級】小さな破壊竜</v>
      </c>
      <c r="G80" s="80" t="str">
        <f ca="1">VLOOKUP($B80&amp;"_"&amp;$E80,OFFSET([2]stages!$A$1,0,0,COUNTA([2]stages!$A:$A),MATCH(G$1,[2]stages!$2:$2,0)-MATCH("temp_stage",[2]stages!$2:$2,0)+1),MATCH(G$1,[2]stages!$2:$2,0)-MATCH("temp_stage",[2]stages!$2:$2,0)+1,FALSE)</f>
        <v>ヒンドゥー神話第二弾超級</v>
      </c>
      <c r="H80" s="82">
        <v>0</v>
      </c>
      <c r="I80">
        <v>36</v>
      </c>
      <c r="J80" s="81" t="s">
        <v>196</v>
      </c>
      <c r="K80" s="90" t="str">
        <f>VLOOKUP(I80,[6]stage_hints!$A:$C,3,FALSE)</f>
        <v>タワーオブザクイーンのボス</v>
      </c>
      <c r="L80" s="91" t="str">
        <f>VLOOKUP(I80,[6]stage_hints!$A:$D,4,FALSE)</f>
        <v>「タワーオブザクイーン」最上階のボスは_x000D_15階の初回クリア報酬で獲得できるほか_x000D_その階にて低確率でドロップもします</v>
      </c>
      <c r="M80" s="56" t="s">
        <v>209</v>
      </c>
    </row>
    <row r="81" spans="1:13" x14ac:dyDescent="0.15">
      <c r="A81" s="78" t="s">
        <v>199</v>
      </c>
      <c r="B81" s="79">
        <f>floors!$C$2</f>
        <v>30043</v>
      </c>
      <c r="C81" s="80" t="str">
        <f ca="1">VLOOKUP($B81,OFFSET([2]quests!$A$1,0,0,COUNTA([2]quests!$A:$A),MATCH(C$1,[2]quests!$1:$1,0)-MATCH($B$1,[2]quests!$1:$1,0)+1),MATCH(C$1,[2]quests!$1:$1,0)-MATCH($B$1,[2]quests!$1:$1,0)+1,FALSE)</f>
        <v>小さな破壊竜</v>
      </c>
      <c r="D81" s="80" t="str">
        <f ca="1">VLOOKUP($B81,OFFSET([2]quests!$A$1,0,0,COUNTA([2]quests!$A:$A),MATCH(D$1,[2]quests!$1:$1,0)-MATCH($B$1,[2]quests!$1:$1,0)+1),MATCH(D$1,[2]quests!$1:$1,0)-MATCH($B$1,[2]quests!$1:$1,0)+1,FALSE)</f>
        <v>ヒンドゥー神話第二弾超級</v>
      </c>
      <c r="E81" s="84">
        <v>3</v>
      </c>
      <c r="F81" s="80" t="str">
        <f ca="1">VLOOKUP($B81&amp;"_"&amp;$E81,OFFSET([2]stages!$A$1,0,0,COUNTA([2]stages!$A:$A),MATCH(F$1,[2]stages!$2:$2,0)-MATCH("temp_stage",[2]stages!$2:$2,0)+1),MATCH(F$1,[2]stages!$2:$2,0)-MATCH("temp_stage",[2]stages!$2:$2,0)+1,FALSE)</f>
        <v>【超級】小さな破壊竜</v>
      </c>
      <c r="G81" s="80" t="str">
        <f ca="1">VLOOKUP($B81&amp;"_"&amp;$E81,OFFSET([2]stages!$A$1,0,0,COUNTA([2]stages!$A:$A),MATCH(G$1,[2]stages!$2:$2,0)-MATCH("temp_stage",[2]stages!$2:$2,0)+1),MATCH(G$1,[2]stages!$2:$2,0)-MATCH("temp_stage",[2]stages!$2:$2,0)+1,FALSE)</f>
        <v>ヒンドゥー神話第二弾超級</v>
      </c>
      <c r="H81" s="82">
        <v>0</v>
      </c>
      <c r="I81">
        <v>37</v>
      </c>
      <c r="J81" s="81" t="s">
        <v>196</v>
      </c>
      <c r="K81" s="90" t="str">
        <f>VLOOKUP(I81,[6]stage_hints!$A:$C,3,FALSE)</f>
        <v>限界突破値の引き継ぎ</v>
      </c>
      <c r="L81" s="91" t="str">
        <f>VLOOKUP(I81,[6]stage_hints!$A:$D,4,FALSE)</f>
        <v>同じユニットを強化で合成すると_x000D_限界突破値を引き継げます（覚醒前後も可）</v>
      </c>
      <c r="M81" s="56" t="s">
        <v>209</v>
      </c>
    </row>
    <row r="82" spans="1:13" x14ac:dyDescent="0.15">
      <c r="A82" s="78" t="s">
        <v>199</v>
      </c>
      <c r="B82" s="79">
        <f>floors!$C$2</f>
        <v>30043</v>
      </c>
      <c r="C82" s="80" t="str">
        <f ca="1">VLOOKUP($B82,OFFSET([2]quests!$A$1,0,0,COUNTA([2]quests!$A:$A),MATCH(C$1,[2]quests!$1:$1,0)-MATCH($B$1,[2]quests!$1:$1,0)+1),MATCH(C$1,[2]quests!$1:$1,0)-MATCH($B$1,[2]quests!$1:$1,0)+1,FALSE)</f>
        <v>小さな破壊竜</v>
      </c>
      <c r="D82" s="80" t="str">
        <f ca="1">VLOOKUP($B82,OFFSET([2]quests!$A$1,0,0,COUNTA([2]quests!$A:$A),MATCH(D$1,[2]quests!$1:$1,0)-MATCH($B$1,[2]quests!$1:$1,0)+1),MATCH(D$1,[2]quests!$1:$1,0)-MATCH($B$1,[2]quests!$1:$1,0)+1,FALSE)</f>
        <v>ヒンドゥー神話第二弾超級</v>
      </c>
      <c r="E82" s="84">
        <v>3</v>
      </c>
      <c r="F82" s="80" t="str">
        <f ca="1">VLOOKUP($B82&amp;"_"&amp;$E82,OFFSET([2]stages!$A$1,0,0,COUNTA([2]stages!$A:$A),MATCH(F$1,[2]stages!$2:$2,0)-MATCH("temp_stage",[2]stages!$2:$2,0)+1),MATCH(F$1,[2]stages!$2:$2,0)-MATCH("temp_stage",[2]stages!$2:$2,0)+1,FALSE)</f>
        <v>【超級】小さな破壊竜</v>
      </c>
      <c r="G82" s="80" t="str">
        <f ca="1">VLOOKUP($B82&amp;"_"&amp;$E82,OFFSET([2]stages!$A$1,0,0,COUNTA([2]stages!$A:$A),MATCH(G$1,[2]stages!$2:$2,0)-MATCH("temp_stage",[2]stages!$2:$2,0)+1),MATCH(G$1,[2]stages!$2:$2,0)-MATCH("temp_stage",[2]stages!$2:$2,0)+1,FALSE)</f>
        <v>ヒンドゥー神話第二弾超級</v>
      </c>
      <c r="H82" s="82">
        <v>0</v>
      </c>
      <c r="I82">
        <v>39</v>
      </c>
      <c r="J82" s="81" t="s">
        <v>196</v>
      </c>
      <c r="K82" s="90" t="str">
        <f>VLOOKUP(I82,[6]stage_hints!$A:$C,3,FALSE)</f>
        <v>システム適合者を確認</v>
      </c>
      <c r="L82" s="91" t="str">
        <f>VLOOKUP(I82,[6]stage_hints!$A:$D,4,FALSE)</f>
        <v>ALICEが 「アナタ」を呼んでいます</v>
      </c>
      <c r="M82" s="56" t="s">
        <v>209</v>
      </c>
    </row>
  </sheetData>
  <phoneticPr fontId="5"/>
  <dataValidations count="1">
    <dataValidation type="list" allowBlank="1" showInputMessage="1" showErrorMessage="1" sqref="A2:A82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25"/>
  <sheetViews>
    <sheetView showGridLines="0" workbookViewId="0">
      <pane ySplit="1" topLeftCell="A14" activePane="bottomLeft" state="frozen"/>
      <selection pane="bottomLeft" activeCell="M6" sqref="M6"/>
    </sheetView>
  </sheetViews>
  <sheetFormatPr baseColWidth="12" defaultColWidth="13" defaultRowHeight="15" outlineLevelCol="1" x14ac:dyDescent="0.15"/>
  <cols>
    <col min="1" max="1" width="13" style="85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ht="39" customHeight="1" x14ac:dyDescent="0.15">
      <c r="A1" s="73" t="s">
        <v>186</v>
      </c>
      <c r="B1" s="70" t="s">
        <v>149</v>
      </c>
      <c r="C1" s="74" t="s">
        <v>188</v>
      </c>
      <c r="D1" s="74" t="s">
        <v>33</v>
      </c>
      <c r="E1" s="70" t="s">
        <v>189</v>
      </c>
      <c r="F1" s="74" t="s">
        <v>18</v>
      </c>
      <c r="G1" s="74" t="s">
        <v>33</v>
      </c>
      <c r="H1" s="70" t="s">
        <v>191</v>
      </c>
      <c r="I1" s="86" t="s">
        <v>192</v>
      </c>
      <c r="J1" s="88" t="s">
        <v>193</v>
      </c>
      <c r="K1" s="76" t="s">
        <v>125</v>
      </c>
      <c r="L1" s="75" t="s">
        <v>185</v>
      </c>
      <c r="M1" s="89" t="s">
        <v>184</v>
      </c>
      <c r="N1" s="77" t="s">
        <v>194</v>
      </c>
    </row>
    <row r="2" spans="1:14" ht="42" x14ac:dyDescent="0.15">
      <c r="A2" s="78" t="s">
        <v>195</v>
      </c>
      <c r="B2" s="79">
        <f>floors!$C$2</f>
        <v>30043</v>
      </c>
      <c r="C2" s="223" t="str">
        <f ca="1">VLOOKUP($B2,OFFSET([2]quests!$A$1,0,0,COUNTA([2]quests!$A:$A),MATCH(C$1,[2]quests!$1:$1,0)-MATCH($B$1,[2]quests!$1:$1,0)+1),MATCH(C$1,[2]quests!$1:$1,0)-MATCH($B$1,[2]quests!$1:$1,0)+1,FALSE)</f>
        <v>小さな破壊竜</v>
      </c>
      <c r="D2" s="223" t="str">
        <f ca="1">VLOOKUP($B2,OFFSET([2]quests!$A$1,0,0,COUNTA([2]quests!$A:$A),MATCH(D$1,[2]quests!$1:$1,0)-MATCH($B$1,[2]quests!$1:$1,0)+1),MATCH(D$1,[2]quests!$1:$1,0)-MATCH($B$1,[2]quests!$1:$1,0)+1,FALSE)</f>
        <v>ヒンドゥー神話第二弾超級</v>
      </c>
      <c r="E2" s="81">
        <v>1</v>
      </c>
      <c r="F2" s="223" t="str">
        <f ca="1">VLOOKUP($B2&amp;"_"&amp;$E2,OFFSET([2]stages!$A$1,0,0,COUNTA([2]stages!$A:$A),MATCH(F$1,[2]stages!$2:$2,0)-MATCH("temp_stage",[2]stages!$2:$2,0)+1),MATCH(F$1,[2]stages!$2:$2,0)-MATCH("temp_stage",[2]stages!$2:$2,0)+1,FALSE)</f>
        <v>【中級】小さな破壊竜</v>
      </c>
      <c r="G2" s="223" t="str">
        <f ca="1">VLOOKUP($B2&amp;"_"&amp;$E2,OFFSET([2]stages!$A$1,0,0,COUNTA([2]stages!$A:$A),MATCH(G$1,[2]stages!$2:$2,0)-MATCH("temp_stage",[2]stages!$2:$2,0)+1),MATCH(G$1,[2]stages!$2:$2,0)-MATCH("temp_stage",[2]stages!$2:$2,0)+1,FALSE)</f>
        <v>ヒンドゥー神話第二弾超級</v>
      </c>
      <c r="H2" s="81">
        <v>1</v>
      </c>
      <c r="I2" s="87">
        <f>ROW()-1</f>
        <v>1</v>
      </c>
      <c r="J2" s="83" t="str">
        <f>B2&amp;TEXT(I2,"00")</f>
        <v>3004301</v>
      </c>
      <c r="K2" s="81" t="s">
        <v>196</v>
      </c>
      <c r="L2" s="84" t="s">
        <v>197</v>
      </c>
      <c r="M2" s="214" t="s">
        <v>389</v>
      </c>
      <c r="N2" s="56" t="s">
        <v>198</v>
      </c>
    </row>
    <row r="3" spans="1:14" ht="56" x14ac:dyDescent="0.15">
      <c r="A3" s="78" t="s">
        <v>195</v>
      </c>
      <c r="B3" s="79">
        <f>floors!$C$2</f>
        <v>30043</v>
      </c>
      <c r="C3" s="80" t="str">
        <f ca="1">VLOOKUP($B3,OFFSET([2]quests!$A$1,0,0,COUNTA([2]quests!$A:$A),MATCH(C$1,[2]quests!$1:$1,0)-MATCH($B$1,[2]quests!$1:$1,0)+1),MATCH(C$1,[2]quests!$1:$1,0)-MATCH($B$1,[2]quests!$1:$1,0)+1,FALSE)</f>
        <v>小さな破壊竜</v>
      </c>
      <c r="D3" s="80" t="str">
        <f ca="1">VLOOKUP($B3,OFFSET([2]quests!$A$1,0,0,COUNTA([2]quests!$A:$A),MATCH(D$1,[2]quests!$1:$1,0)-MATCH($B$1,[2]quests!$1:$1,0)+1),MATCH(D$1,[2]quests!$1:$1,0)-MATCH($B$1,[2]quests!$1:$1,0)+1,FALSE)</f>
        <v>ヒンドゥー神話第二弾超級</v>
      </c>
      <c r="E3" s="81">
        <v>1</v>
      </c>
      <c r="F3" s="80" t="str">
        <f ca="1">VLOOKUP($B3&amp;"_"&amp;$E3,OFFSET([2]stages!$A$1,0,0,COUNTA([2]stages!$A:$A),MATCH(F$1,[2]stages!$2:$2,0)-MATCH("temp_stage",[2]stages!$2:$2,0)+1),MATCH(F$1,[2]stages!$2:$2,0)-MATCH("temp_stage",[2]stages!$2:$2,0)+1,FALSE)</f>
        <v>【中級】小さな破壊竜</v>
      </c>
      <c r="G3" s="80" t="str">
        <f ca="1">VLOOKUP($B3&amp;"_"&amp;$E3,OFFSET([2]stages!$A$1,0,0,COUNTA([2]stages!$A:$A),MATCH(G$1,[2]stages!$2:$2,0)-MATCH("temp_stage",[2]stages!$2:$2,0)+1),MATCH(G$1,[2]stages!$2:$2,0)-MATCH("temp_stage",[2]stages!$2:$2,0)+1,FALSE)</f>
        <v>ヒンドゥー神話第二弾超級</v>
      </c>
      <c r="H3" s="81">
        <v>2</v>
      </c>
      <c r="I3" s="87">
        <f t="shared" ref="I3:I25" si="0">ROW()-1</f>
        <v>2</v>
      </c>
      <c r="J3" s="83" t="str">
        <f t="shared" ref="J3:J25" si="1">B3&amp;TEXT(I3,"00")</f>
        <v>3004302</v>
      </c>
      <c r="K3" s="81" t="s">
        <v>126</v>
      </c>
      <c r="L3" s="84" t="s">
        <v>197</v>
      </c>
      <c r="M3" s="214" t="s">
        <v>349</v>
      </c>
      <c r="N3" s="56" t="s">
        <v>198</v>
      </c>
    </row>
    <row r="4" spans="1:14" ht="42" x14ac:dyDescent="0.15">
      <c r="A4" s="78" t="s">
        <v>195</v>
      </c>
      <c r="B4" s="79">
        <f>floors!$C$2</f>
        <v>30043</v>
      </c>
      <c r="C4" s="80" t="str">
        <f ca="1">VLOOKUP($B4,OFFSET([2]quests!$A$1,0,0,COUNTA([2]quests!$A:$A),MATCH(C$1,[2]quests!$1:$1,0)-MATCH($B$1,[2]quests!$1:$1,0)+1),MATCH(C$1,[2]quests!$1:$1,0)-MATCH($B$1,[2]quests!$1:$1,0)+1,FALSE)</f>
        <v>小さな破壊竜</v>
      </c>
      <c r="D4" s="80" t="str">
        <f ca="1">VLOOKUP($B4,OFFSET([2]quests!$A$1,0,0,COUNTA([2]quests!$A:$A),MATCH(D$1,[2]quests!$1:$1,0)-MATCH($B$1,[2]quests!$1:$1,0)+1),MATCH(D$1,[2]quests!$1:$1,0)-MATCH($B$1,[2]quests!$1:$1,0)+1,FALSE)</f>
        <v>ヒンドゥー神話第二弾超級</v>
      </c>
      <c r="E4" s="81">
        <v>1</v>
      </c>
      <c r="F4" s="80" t="str">
        <f ca="1">VLOOKUP($B4&amp;"_"&amp;$E4,OFFSET([2]stages!$A$1,0,0,COUNTA([2]stages!$A:$A),MATCH(F$1,[2]stages!$2:$2,0)-MATCH("temp_stage",[2]stages!$2:$2,0)+1),MATCH(F$1,[2]stages!$2:$2,0)-MATCH("temp_stage",[2]stages!$2:$2,0)+1,FALSE)</f>
        <v>【中級】小さな破壊竜</v>
      </c>
      <c r="G4" s="80" t="str">
        <f ca="1">VLOOKUP($B4&amp;"_"&amp;$E4,OFFSET([2]stages!$A$1,0,0,COUNTA([2]stages!$A:$A),MATCH(G$1,[2]stages!$2:$2,0)-MATCH("temp_stage",[2]stages!$2:$2,0)+1),MATCH(G$1,[2]stages!$2:$2,0)-MATCH("temp_stage",[2]stages!$2:$2,0)+1,FALSE)</f>
        <v>ヒンドゥー神話第二弾超級</v>
      </c>
      <c r="H4" s="81">
        <v>2</v>
      </c>
      <c r="I4" s="87">
        <f t="shared" si="0"/>
        <v>3</v>
      </c>
      <c r="J4" s="83" t="str">
        <f t="shared" si="1"/>
        <v>3004303</v>
      </c>
      <c r="K4" s="81" t="s">
        <v>126</v>
      </c>
      <c r="L4" s="84" t="s">
        <v>197</v>
      </c>
      <c r="M4" s="214" t="s">
        <v>350</v>
      </c>
      <c r="N4" s="56" t="s">
        <v>198</v>
      </c>
    </row>
    <row r="5" spans="1:14" ht="42" x14ac:dyDescent="0.15">
      <c r="A5" s="78" t="s">
        <v>195</v>
      </c>
      <c r="B5" s="79">
        <f>floors!$C$2</f>
        <v>30043</v>
      </c>
      <c r="C5" s="80" t="str">
        <f ca="1">VLOOKUP($B5,OFFSET([2]quests!$A$1,0,0,COUNTA([2]quests!$A:$A),MATCH(C$1,[2]quests!$1:$1,0)-MATCH($B$1,[2]quests!$1:$1,0)+1),MATCH(C$1,[2]quests!$1:$1,0)-MATCH($B$1,[2]quests!$1:$1,0)+1,FALSE)</f>
        <v>小さな破壊竜</v>
      </c>
      <c r="D5" s="80" t="str">
        <f ca="1">VLOOKUP($B5,OFFSET([2]quests!$A$1,0,0,COUNTA([2]quests!$A:$A),MATCH(D$1,[2]quests!$1:$1,0)-MATCH($B$1,[2]quests!$1:$1,0)+1),MATCH(D$1,[2]quests!$1:$1,0)-MATCH($B$1,[2]quests!$1:$1,0)+1,FALSE)</f>
        <v>ヒンドゥー神話第二弾超級</v>
      </c>
      <c r="E5" s="81">
        <v>1</v>
      </c>
      <c r="F5" s="80" t="str">
        <f ca="1">VLOOKUP($B5&amp;"_"&amp;$E5,OFFSET([2]stages!$A$1,0,0,COUNTA([2]stages!$A:$A),MATCH(F$1,[2]stages!$2:$2,0)-MATCH("temp_stage",[2]stages!$2:$2,0)+1),MATCH(F$1,[2]stages!$2:$2,0)-MATCH("temp_stage",[2]stages!$2:$2,0)+1,FALSE)</f>
        <v>【中級】小さな破壊竜</v>
      </c>
      <c r="G5" s="80" t="str">
        <f ca="1">VLOOKUP($B5&amp;"_"&amp;$E5,OFFSET([2]stages!$A$1,0,0,COUNTA([2]stages!$A:$A),MATCH(G$1,[2]stages!$2:$2,0)-MATCH("temp_stage",[2]stages!$2:$2,0)+1),MATCH(G$1,[2]stages!$2:$2,0)-MATCH("temp_stage",[2]stages!$2:$2,0)+1,FALSE)</f>
        <v>ヒンドゥー神話第二弾超級</v>
      </c>
      <c r="H5" s="81">
        <v>3</v>
      </c>
      <c r="I5" s="87">
        <f t="shared" si="0"/>
        <v>4</v>
      </c>
      <c r="J5" s="83" t="str">
        <f t="shared" si="1"/>
        <v>3004304</v>
      </c>
      <c r="K5" s="81" t="s">
        <v>126</v>
      </c>
      <c r="L5" s="84" t="s">
        <v>197</v>
      </c>
      <c r="M5" s="214" t="s">
        <v>351</v>
      </c>
      <c r="N5" s="56" t="s">
        <v>198</v>
      </c>
    </row>
    <row r="6" spans="1:14" ht="56" x14ac:dyDescent="0.15">
      <c r="A6" s="78" t="s">
        <v>195</v>
      </c>
      <c r="B6" s="79">
        <f>floors!$C$2</f>
        <v>30043</v>
      </c>
      <c r="C6" s="80" t="str">
        <f ca="1">VLOOKUP($B6,OFFSET([2]quests!$A$1,0,0,COUNTA([2]quests!$A:$A),MATCH(C$1,[2]quests!$1:$1,0)-MATCH($B$1,[2]quests!$1:$1,0)+1),MATCH(C$1,[2]quests!$1:$1,0)-MATCH($B$1,[2]quests!$1:$1,0)+1,FALSE)</f>
        <v>小さな破壊竜</v>
      </c>
      <c r="D6" s="80" t="str">
        <f ca="1">VLOOKUP($B6,OFFSET([2]quests!$A$1,0,0,COUNTA([2]quests!$A:$A),MATCH(D$1,[2]quests!$1:$1,0)-MATCH($B$1,[2]quests!$1:$1,0)+1),MATCH(D$1,[2]quests!$1:$1,0)-MATCH($B$1,[2]quests!$1:$1,0)+1,FALSE)</f>
        <v>ヒンドゥー神話第二弾超級</v>
      </c>
      <c r="E6" s="81">
        <v>1</v>
      </c>
      <c r="F6" s="80" t="str">
        <f ca="1">VLOOKUP($B6&amp;"_"&amp;$E6,OFFSET([2]stages!$A$1,0,0,COUNTA([2]stages!$A:$A),MATCH(F$1,[2]stages!$2:$2,0)-MATCH("temp_stage",[2]stages!$2:$2,0)+1),MATCH(F$1,[2]stages!$2:$2,0)-MATCH("temp_stage",[2]stages!$2:$2,0)+1,FALSE)</f>
        <v>【中級】小さな破壊竜</v>
      </c>
      <c r="G6" s="80" t="str">
        <f ca="1">VLOOKUP($B6&amp;"_"&amp;$E6,OFFSET([2]stages!$A$1,0,0,COUNTA([2]stages!$A:$A),MATCH(G$1,[2]stages!$2:$2,0)-MATCH("temp_stage",[2]stages!$2:$2,0)+1),MATCH(G$1,[2]stages!$2:$2,0)-MATCH("temp_stage",[2]stages!$2:$2,0)+1,FALSE)</f>
        <v>ヒンドゥー神話第二弾超級</v>
      </c>
      <c r="H6" s="81">
        <v>4</v>
      </c>
      <c r="I6" s="87">
        <f t="shared" si="0"/>
        <v>5</v>
      </c>
      <c r="J6" s="83" t="str">
        <f t="shared" si="1"/>
        <v>3004305</v>
      </c>
      <c r="K6" s="81" t="s">
        <v>126</v>
      </c>
      <c r="L6" s="84" t="s">
        <v>197</v>
      </c>
      <c r="M6" s="214" t="s">
        <v>352</v>
      </c>
      <c r="N6" s="56" t="s">
        <v>198</v>
      </c>
    </row>
    <row r="7" spans="1:14" ht="42" x14ac:dyDescent="0.15">
      <c r="A7" s="78" t="s">
        <v>195</v>
      </c>
      <c r="B7" s="79">
        <f>floors!$C$2</f>
        <v>30043</v>
      </c>
      <c r="C7" s="80" t="str">
        <f ca="1">VLOOKUP($B7,OFFSET([2]quests!$A$1,0,0,COUNTA([2]quests!$A:$A),MATCH(C$1,[2]quests!$1:$1,0)-MATCH($B$1,[2]quests!$1:$1,0)+1),MATCH(C$1,[2]quests!$1:$1,0)-MATCH($B$1,[2]quests!$1:$1,0)+1,FALSE)</f>
        <v>小さな破壊竜</v>
      </c>
      <c r="D7" s="80" t="str">
        <f ca="1">VLOOKUP($B7,OFFSET([2]quests!$A$1,0,0,COUNTA([2]quests!$A:$A),MATCH(D$1,[2]quests!$1:$1,0)-MATCH($B$1,[2]quests!$1:$1,0)+1),MATCH(D$1,[2]quests!$1:$1,0)-MATCH($B$1,[2]quests!$1:$1,0)+1,FALSE)</f>
        <v>ヒンドゥー神話第二弾超級</v>
      </c>
      <c r="E7" s="81">
        <v>1</v>
      </c>
      <c r="F7" s="80" t="str">
        <f ca="1">VLOOKUP($B7&amp;"_"&amp;$E7,OFFSET([2]stages!$A$1,0,0,COUNTA([2]stages!$A:$A),MATCH(F$1,[2]stages!$2:$2,0)-MATCH("temp_stage",[2]stages!$2:$2,0)+1),MATCH(F$1,[2]stages!$2:$2,0)-MATCH("temp_stage",[2]stages!$2:$2,0)+1,FALSE)</f>
        <v>【中級】小さな破壊竜</v>
      </c>
      <c r="G7" s="80" t="str">
        <f ca="1">VLOOKUP($B7&amp;"_"&amp;$E7,OFFSET([2]stages!$A$1,0,0,COUNTA([2]stages!$A:$A),MATCH(G$1,[2]stages!$2:$2,0)-MATCH("temp_stage",[2]stages!$2:$2,0)+1),MATCH(G$1,[2]stages!$2:$2,0)-MATCH("temp_stage",[2]stages!$2:$2,0)+1,FALSE)</f>
        <v>ヒンドゥー神話第二弾超級</v>
      </c>
      <c r="H7" s="81">
        <v>4</v>
      </c>
      <c r="I7" s="87">
        <f t="shared" si="0"/>
        <v>6</v>
      </c>
      <c r="J7" s="83" t="str">
        <f t="shared" ref="J7" si="2">B7&amp;TEXT(I7,"00")</f>
        <v>3004306</v>
      </c>
      <c r="K7" s="81" t="s">
        <v>126</v>
      </c>
      <c r="L7" s="84" t="s">
        <v>197</v>
      </c>
      <c r="M7" s="214" t="s">
        <v>376</v>
      </c>
      <c r="N7" s="56" t="s">
        <v>198</v>
      </c>
    </row>
    <row r="8" spans="1:14" ht="56" x14ac:dyDescent="0.15">
      <c r="A8" s="78" t="s">
        <v>195</v>
      </c>
      <c r="B8" s="79">
        <f>floors!$C$2</f>
        <v>30043</v>
      </c>
      <c r="C8" s="80" t="str">
        <f ca="1">VLOOKUP($B8,OFFSET([2]quests!$A$1,0,0,COUNTA([2]quests!$A:$A),MATCH(C$1,[2]quests!$1:$1,0)-MATCH($B$1,[2]quests!$1:$1,0)+1),MATCH(C$1,[2]quests!$1:$1,0)-MATCH($B$1,[2]quests!$1:$1,0)+1,FALSE)</f>
        <v>小さな破壊竜</v>
      </c>
      <c r="D8" s="80" t="str">
        <f ca="1">VLOOKUP($B8,OFFSET([2]quests!$A$1,0,0,COUNTA([2]quests!$A:$A),MATCH(D$1,[2]quests!$1:$1,0)-MATCH($B$1,[2]quests!$1:$1,0)+1),MATCH(D$1,[2]quests!$1:$1,0)-MATCH($B$1,[2]quests!$1:$1,0)+1,FALSE)</f>
        <v>ヒンドゥー神話第二弾超級</v>
      </c>
      <c r="E8" s="81">
        <v>1</v>
      </c>
      <c r="F8" s="80" t="str">
        <f ca="1">VLOOKUP($B8&amp;"_"&amp;$E8,OFFSET([2]stages!$A$1,0,0,COUNTA([2]stages!$A:$A),MATCH(F$1,[2]stages!$2:$2,0)-MATCH("temp_stage",[2]stages!$2:$2,0)+1),MATCH(F$1,[2]stages!$2:$2,0)-MATCH("temp_stage",[2]stages!$2:$2,0)+1,FALSE)</f>
        <v>【中級】小さな破壊竜</v>
      </c>
      <c r="G8" s="80" t="str">
        <f ca="1">VLOOKUP($B8&amp;"_"&amp;$E8,OFFSET([2]stages!$A$1,0,0,COUNTA([2]stages!$A:$A),MATCH(G$1,[2]stages!$2:$2,0)-MATCH("temp_stage",[2]stages!$2:$2,0)+1),MATCH(G$1,[2]stages!$2:$2,0)-MATCH("temp_stage",[2]stages!$2:$2,0)+1,FALSE)</f>
        <v>ヒンドゥー神話第二弾超級</v>
      </c>
      <c r="H8" s="81">
        <v>4</v>
      </c>
      <c r="I8" s="87">
        <f t="shared" si="0"/>
        <v>7</v>
      </c>
      <c r="J8" s="83" t="str">
        <f t="shared" si="1"/>
        <v>3004307</v>
      </c>
      <c r="K8" s="81" t="s">
        <v>126</v>
      </c>
      <c r="L8" s="84" t="s">
        <v>197</v>
      </c>
      <c r="M8" s="214" t="s">
        <v>354</v>
      </c>
      <c r="N8" s="56" t="s">
        <v>198</v>
      </c>
    </row>
    <row r="9" spans="1:14" ht="43" thickBot="1" x14ac:dyDescent="0.2">
      <c r="A9" s="224" t="s">
        <v>195</v>
      </c>
      <c r="B9" s="225">
        <f>floors!$C$2</f>
        <v>30043</v>
      </c>
      <c r="C9" s="226" t="str">
        <f ca="1">VLOOKUP($B9,OFFSET([2]quests!$A$1,0,0,COUNTA([2]quests!$A:$A),MATCH(C$1,[2]quests!$1:$1,0)-MATCH($B$1,[2]quests!$1:$1,0)+1),MATCH(C$1,[2]quests!$1:$1,0)-MATCH($B$1,[2]quests!$1:$1,0)+1,FALSE)</f>
        <v>小さな破壊竜</v>
      </c>
      <c r="D9" s="226" t="str">
        <f ca="1">VLOOKUP($B9,OFFSET([2]quests!$A$1,0,0,COUNTA([2]quests!$A:$A),MATCH(D$1,[2]quests!$1:$1,0)-MATCH($B$1,[2]quests!$1:$1,0)+1),MATCH(D$1,[2]quests!$1:$1,0)-MATCH($B$1,[2]quests!$1:$1,0)+1,FALSE)</f>
        <v>ヒンドゥー神話第二弾超級</v>
      </c>
      <c r="E9" s="227">
        <v>1</v>
      </c>
      <c r="F9" s="226" t="str">
        <f ca="1">VLOOKUP($B9&amp;"_"&amp;$E9,OFFSET([2]stages!$A$1,0,0,COUNTA([2]stages!$A:$A),MATCH(F$1,[2]stages!$2:$2,0)-MATCH("temp_stage",[2]stages!$2:$2,0)+1),MATCH(F$1,[2]stages!$2:$2,0)-MATCH("temp_stage",[2]stages!$2:$2,0)+1,FALSE)</f>
        <v>【中級】小さな破壊竜</v>
      </c>
      <c r="G9" s="226" t="str">
        <f ca="1">VLOOKUP($B9&amp;"_"&amp;$E9,OFFSET([2]stages!$A$1,0,0,COUNTA([2]stages!$A:$A),MATCH(G$1,[2]stages!$2:$2,0)-MATCH("temp_stage",[2]stages!$2:$2,0)+1),MATCH(G$1,[2]stages!$2:$2,0)-MATCH("temp_stage",[2]stages!$2:$2,0)+1,FALSE)</f>
        <v>ヒンドゥー神話第二弾超級</v>
      </c>
      <c r="H9" s="227">
        <v>4</v>
      </c>
      <c r="I9" s="228">
        <f t="shared" si="0"/>
        <v>8</v>
      </c>
      <c r="J9" s="229" t="str">
        <f t="shared" si="1"/>
        <v>3004308</v>
      </c>
      <c r="K9" s="227" t="s">
        <v>126</v>
      </c>
      <c r="L9" s="230" t="s">
        <v>197</v>
      </c>
      <c r="M9" s="231" t="s">
        <v>353</v>
      </c>
      <c r="N9" s="232" t="s">
        <v>198</v>
      </c>
    </row>
    <row r="10" spans="1:14" ht="43" thickTop="1" x14ac:dyDescent="0.15">
      <c r="A10" s="233" t="s">
        <v>195</v>
      </c>
      <c r="B10" s="234">
        <f>floors!$C$2</f>
        <v>30043</v>
      </c>
      <c r="C10" s="235" t="str">
        <f ca="1">VLOOKUP($B10,OFFSET([2]quests!$A$1,0,0,COUNTA([2]quests!$A:$A),MATCH(C$1,[2]quests!$1:$1,0)-MATCH($B$1,[2]quests!$1:$1,0)+1),MATCH(C$1,[2]quests!$1:$1,0)-MATCH($B$1,[2]quests!$1:$1,0)+1,FALSE)</f>
        <v>小さな破壊竜</v>
      </c>
      <c r="D10" s="235" t="str">
        <f ca="1">VLOOKUP($B10,OFFSET([2]quests!$A$1,0,0,COUNTA([2]quests!$A:$A),MATCH(D$1,[2]quests!$1:$1,0)-MATCH($B$1,[2]quests!$1:$1,0)+1),MATCH(D$1,[2]quests!$1:$1,0)-MATCH($B$1,[2]quests!$1:$1,0)+1,FALSE)</f>
        <v>ヒンドゥー神話第二弾超級</v>
      </c>
      <c r="E10" s="236">
        <v>2</v>
      </c>
      <c r="F10" s="235" t="str">
        <f ca="1">VLOOKUP($B10&amp;"_"&amp;$E10,OFFSET([2]stages!$A$1,0,0,COUNTA([2]stages!$A:$A),MATCH(F$1,[2]stages!$2:$2,0)-MATCH("temp_stage",[2]stages!$2:$2,0)+1),MATCH(F$1,[2]stages!$2:$2,0)-MATCH("temp_stage",[2]stages!$2:$2,0)+1,FALSE)</f>
        <v>【上級】小さな破壊竜</v>
      </c>
      <c r="G10" s="235" t="str">
        <f ca="1">VLOOKUP($B10&amp;"_"&amp;$E10,OFFSET([2]stages!$A$1,0,0,COUNTA([2]stages!$A:$A),MATCH(G$1,[2]stages!$2:$2,0)-MATCH("temp_stage",[2]stages!$2:$2,0)+1),MATCH(G$1,[2]stages!$2:$2,0)-MATCH("temp_stage",[2]stages!$2:$2,0)+1,FALSE)</f>
        <v>ヒンドゥー神話第二弾超級</v>
      </c>
      <c r="H10" s="236">
        <v>1</v>
      </c>
      <c r="I10" s="237">
        <f t="shared" si="0"/>
        <v>9</v>
      </c>
      <c r="J10" s="238" t="str">
        <f t="shared" si="1"/>
        <v>3004309</v>
      </c>
      <c r="K10" s="236" t="s">
        <v>126</v>
      </c>
      <c r="L10" s="239" t="s">
        <v>197</v>
      </c>
      <c r="M10" s="240" t="s">
        <v>390</v>
      </c>
      <c r="N10" s="241" t="s">
        <v>198</v>
      </c>
    </row>
    <row r="11" spans="1:14" ht="56" x14ac:dyDescent="0.15">
      <c r="A11" s="78" t="s">
        <v>195</v>
      </c>
      <c r="B11" s="79">
        <f>floors!$C$2</f>
        <v>30043</v>
      </c>
      <c r="C11" s="80" t="str">
        <f ca="1">VLOOKUP($B11,OFFSET([2]quests!$A$1,0,0,COUNTA([2]quests!$A:$A),MATCH(C$1,[2]quests!$1:$1,0)-MATCH($B$1,[2]quests!$1:$1,0)+1),MATCH(C$1,[2]quests!$1:$1,0)-MATCH($B$1,[2]quests!$1:$1,0)+1,FALSE)</f>
        <v>小さな破壊竜</v>
      </c>
      <c r="D11" s="80" t="str">
        <f ca="1">VLOOKUP($B11,OFFSET([2]quests!$A$1,0,0,COUNTA([2]quests!$A:$A),MATCH(D$1,[2]quests!$1:$1,0)-MATCH($B$1,[2]quests!$1:$1,0)+1),MATCH(D$1,[2]quests!$1:$1,0)-MATCH($B$1,[2]quests!$1:$1,0)+1,FALSE)</f>
        <v>ヒンドゥー神話第二弾超級</v>
      </c>
      <c r="E11" s="81">
        <v>2</v>
      </c>
      <c r="F11" s="80" t="str">
        <f ca="1">VLOOKUP($B11&amp;"_"&amp;$E11,OFFSET([2]stages!$A$1,0,0,COUNTA([2]stages!$A:$A),MATCH(F$1,[2]stages!$2:$2,0)-MATCH("temp_stage",[2]stages!$2:$2,0)+1),MATCH(F$1,[2]stages!$2:$2,0)-MATCH("temp_stage",[2]stages!$2:$2,0)+1,FALSE)</f>
        <v>【上級】小さな破壊竜</v>
      </c>
      <c r="G11" s="80" t="str">
        <f ca="1">VLOOKUP($B11&amp;"_"&amp;$E11,OFFSET([2]stages!$A$1,0,0,COUNTA([2]stages!$A:$A),MATCH(G$1,[2]stages!$2:$2,0)-MATCH("temp_stage",[2]stages!$2:$2,0)+1),MATCH(G$1,[2]stages!$2:$2,0)-MATCH("temp_stage",[2]stages!$2:$2,0)+1,FALSE)</f>
        <v>ヒンドゥー神話第二弾超級</v>
      </c>
      <c r="H11" s="81">
        <v>2</v>
      </c>
      <c r="I11" s="87">
        <f t="shared" si="0"/>
        <v>10</v>
      </c>
      <c r="J11" s="83" t="str">
        <f t="shared" si="1"/>
        <v>3004310</v>
      </c>
      <c r="K11" s="81" t="s">
        <v>126</v>
      </c>
      <c r="L11" s="84" t="s">
        <v>197</v>
      </c>
      <c r="M11" s="214" t="s">
        <v>349</v>
      </c>
      <c r="N11" s="56" t="s">
        <v>198</v>
      </c>
    </row>
    <row r="12" spans="1:14" ht="42" x14ac:dyDescent="0.15">
      <c r="A12" s="78" t="s">
        <v>195</v>
      </c>
      <c r="B12" s="79">
        <f>floors!$C$2</f>
        <v>30043</v>
      </c>
      <c r="C12" s="80" t="str">
        <f ca="1">VLOOKUP($B12,OFFSET([2]quests!$A$1,0,0,COUNTA([2]quests!$A:$A),MATCH(C$1,[2]quests!$1:$1,0)-MATCH($B$1,[2]quests!$1:$1,0)+1),MATCH(C$1,[2]quests!$1:$1,0)-MATCH($B$1,[2]quests!$1:$1,0)+1,FALSE)</f>
        <v>小さな破壊竜</v>
      </c>
      <c r="D12" s="80" t="str">
        <f ca="1">VLOOKUP($B12,OFFSET([2]quests!$A$1,0,0,COUNTA([2]quests!$A:$A),MATCH(D$1,[2]quests!$1:$1,0)-MATCH($B$1,[2]quests!$1:$1,0)+1),MATCH(D$1,[2]quests!$1:$1,0)-MATCH($B$1,[2]quests!$1:$1,0)+1,FALSE)</f>
        <v>ヒンドゥー神話第二弾超級</v>
      </c>
      <c r="E12" s="81">
        <v>2</v>
      </c>
      <c r="F12" s="80" t="str">
        <f ca="1">VLOOKUP($B12&amp;"_"&amp;$E12,OFFSET([2]stages!$A$1,0,0,COUNTA([2]stages!$A:$A),MATCH(F$1,[2]stages!$2:$2,0)-MATCH("temp_stage",[2]stages!$2:$2,0)+1),MATCH(F$1,[2]stages!$2:$2,0)-MATCH("temp_stage",[2]stages!$2:$2,0)+1,FALSE)</f>
        <v>【上級】小さな破壊竜</v>
      </c>
      <c r="G12" s="80" t="str">
        <f ca="1">VLOOKUP($B12&amp;"_"&amp;$E12,OFFSET([2]stages!$A$1,0,0,COUNTA([2]stages!$A:$A),MATCH(G$1,[2]stages!$2:$2,0)-MATCH("temp_stage",[2]stages!$2:$2,0)+1),MATCH(G$1,[2]stages!$2:$2,0)-MATCH("temp_stage",[2]stages!$2:$2,0)+1,FALSE)</f>
        <v>ヒンドゥー神話第二弾超級</v>
      </c>
      <c r="H12" s="81">
        <v>2</v>
      </c>
      <c r="I12" s="87">
        <f t="shared" si="0"/>
        <v>11</v>
      </c>
      <c r="J12" s="83" t="str">
        <f t="shared" si="1"/>
        <v>3004311</v>
      </c>
      <c r="K12" s="81" t="s">
        <v>126</v>
      </c>
      <c r="L12" s="84" t="s">
        <v>197</v>
      </c>
      <c r="M12" s="214" t="s">
        <v>350</v>
      </c>
      <c r="N12" s="56" t="s">
        <v>198</v>
      </c>
    </row>
    <row r="13" spans="1:14" ht="42" x14ac:dyDescent="0.15">
      <c r="A13" s="78" t="s">
        <v>195</v>
      </c>
      <c r="B13" s="79">
        <f>floors!$C$2</f>
        <v>30043</v>
      </c>
      <c r="C13" s="80" t="str">
        <f ca="1">VLOOKUP($B13,OFFSET([2]quests!$A$1,0,0,COUNTA([2]quests!$A:$A),MATCH(C$1,[2]quests!$1:$1,0)-MATCH($B$1,[2]quests!$1:$1,0)+1),MATCH(C$1,[2]quests!$1:$1,0)-MATCH($B$1,[2]quests!$1:$1,0)+1,FALSE)</f>
        <v>小さな破壊竜</v>
      </c>
      <c r="D13" s="80" t="str">
        <f ca="1">VLOOKUP($B13,OFFSET([2]quests!$A$1,0,0,COUNTA([2]quests!$A:$A),MATCH(D$1,[2]quests!$1:$1,0)-MATCH($B$1,[2]quests!$1:$1,0)+1),MATCH(D$1,[2]quests!$1:$1,0)-MATCH($B$1,[2]quests!$1:$1,0)+1,FALSE)</f>
        <v>ヒンドゥー神話第二弾超級</v>
      </c>
      <c r="E13" s="81">
        <v>2</v>
      </c>
      <c r="F13" s="80" t="str">
        <f ca="1">VLOOKUP($B13&amp;"_"&amp;$E13,OFFSET([2]stages!$A$1,0,0,COUNTA([2]stages!$A:$A),MATCH(F$1,[2]stages!$2:$2,0)-MATCH("temp_stage",[2]stages!$2:$2,0)+1),MATCH(F$1,[2]stages!$2:$2,0)-MATCH("temp_stage",[2]stages!$2:$2,0)+1,FALSE)</f>
        <v>【上級】小さな破壊竜</v>
      </c>
      <c r="G13" s="80" t="str">
        <f ca="1">VLOOKUP($B13&amp;"_"&amp;$E13,OFFSET([2]stages!$A$1,0,0,COUNTA([2]stages!$A:$A),MATCH(G$1,[2]stages!$2:$2,0)-MATCH("temp_stage",[2]stages!$2:$2,0)+1),MATCH(G$1,[2]stages!$2:$2,0)-MATCH("temp_stage",[2]stages!$2:$2,0)+1,FALSE)</f>
        <v>ヒンドゥー神話第二弾超級</v>
      </c>
      <c r="H13" s="81">
        <v>3</v>
      </c>
      <c r="I13" s="87">
        <f t="shared" si="0"/>
        <v>12</v>
      </c>
      <c r="J13" s="83" t="str">
        <f t="shared" si="1"/>
        <v>3004312</v>
      </c>
      <c r="K13" s="81" t="s">
        <v>126</v>
      </c>
      <c r="L13" s="84" t="s">
        <v>197</v>
      </c>
      <c r="M13" s="214" t="s">
        <v>351</v>
      </c>
      <c r="N13" s="56" t="s">
        <v>198</v>
      </c>
    </row>
    <row r="14" spans="1:14" ht="56" x14ac:dyDescent="0.15">
      <c r="A14" s="78" t="s">
        <v>195</v>
      </c>
      <c r="B14" s="79">
        <f>floors!$C$2</f>
        <v>30043</v>
      </c>
      <c r="C14" s="80" t="str">
        <f ca="1">VLOOKUP($B14,OFFSET([2]quests!$A$1,0,0,COUNTA([2]quests!$A:$A),MATCH(C$1,[2]quests!$1:$1,0)-MATCH($B$1,[2]quests!$1:$1,0)+1),MATCH(C$1,[2]quests!$1:$1,0)-MATCH($B$1,[2]quests!$1:$1,0)+1,FALSE)</f>
        <v>小さな破壊竜</v>
      </c>
      <c r="D14" s="80" t="str">
        <f ca="1">VLOOKUP($B14,OFFSET([2]quests!$A$1,0,0,COUNTA([2]quests!$A:$A),MATCH(D$1,[2]quests!$1:$1,0)-MATCH($B$1,[2]quests!$1:$1,0)+1),MATCH(D$1,[2]quests!$1:$1,0)-MATCH($B$1,[2]quests!$1:$1,0)+1,FALSE)</f>
        <v>ヒンドゥー神話第二弾超級</v>
      </c>
      <c r="E14" s="81">
        <v>2</v>
      </c>
      <c r="F14" s="80" t="str">
        <f ca="1">VLOOKUP($B14&amp;"_"&amp;$E14,OFFSET([2]stages!$A$1,0,0,COUNTA([2]stages!$A:$A),MATCH(F$1,[2]stages!$2:$2,0)-MATCH("temp_stage",[2]stages!$2:$2,0)+1),MATCH(F$1,[2]stages!$2:$2,0)-MATCH("temp_stage",[2]stages!$2:$2,0)+1,FALSE)</f>
        <v>【上級】小さな破壊竜</v>
      </c>
      <c r="G14" s="80" t="str">
        <f ca="1">VLOOKUP($B14&amp;"_"&amp;$E14,OFFSET([2]stages!$A$1,0,0,COUNTA([2]stages!$A:$A),MATCH(G$1,[2]stages!$2:$2,0)-MATCH("temp_stage",[2]stages!$2:$2,0)+1),MATCH(G$1,[2]stages!$2:$2,0)-MATCH("temp_stage",[2]stages!$2:$2,0)+1,FALSE)</f>
        <v>ヒンドゥー神話第二弾超級</v>
      </c>
      <c r="H14" s="81">
        <v>4</v>
      </c>
      <c r="I14" s="87">
        <f t="shared" si="0"/>
        <v>13</v>
      </c>
      <c r="J14" s="83" t="str">
        <f t="shared" si="1"/>
        <v>3004313</v>
      </c>
      <c r="K14" s="81" t="s">
        <v>126</v>
      </c>
      <c r="L14" s="84" t="s">
        <v>197</v>
      </c>
      <c r="M14" s="214" t="s">
        <v>352</v>
      </c>
      <c r="N14" s="56" t="s">
        <v>198</v>
      </c>
    </row>
    <row r="15" spans="1:14" ht="42" x14ac:dyDescent="0.15">
      <c r="A15" s="78" t="s">
        <v>195</v>
      </c>
      <c r="B15" s="79">
        <f>floors!$C$2</f>
        <v>30043</v>
      </c>
      <c r="C15" s="80" t="str">
        <f ca="1">VLOOKUP($B15,OFFSET([2]quests!$A$1,0,0,COUNTA([2]quests!$A:$A),MATCH(C$1,[2]quests!$1:$1,0)-MATCH($B$1,[2]quests!$1:$1,0)+1),MATCH(C$1,[2]quests!$1:$1,0)-MATCH($B$1,[2]quests!$1:$1,0)+1,FALSE)</f>
        <v>小さな破壊竜</v>
      </c>
      <c r="D15" s="80" t="str">
        <f ca="1">VLOOKUP($B15,OFFSET([2]quests!$A$1,0,0,COUNTA([2]quests!$A:$A),MATCH(D$1,[2]quests!$1:$1,0)-MATCH($B$1,[2]quests!$1:$1,0)+1),MATCH(D$1,[2]quests!$1:$1,0)-MATCH($B$1,[2]quests!$1:$1,0)+1,FALSE)</f>
        <v>ヒンドゥー神話第二弾超級</v>
      </c>
      <c r="E15" s="81">
        <v>2</v>
      </c>
      <c r="F15" s="80" t="str">
        <f ca="1">VLOOKUP($B15&amp;"_"&amp;$E15,OFFSET([2]stages!$A$1,0,0,COUNTA([2]stages!$A:$A),MATCH(F$1,[2]stages!$2:$2,0)-MATCH("temp_stage",[2]stages!$2:$2,0)+1),MATCH(F$1,[2]stages!$2:$2,0)-MATCH("temp_stage",[2]stages!$2:$2,0)+1,FALSE)</f>
        <v>【上級】小さな破壊竜</v>
      </c>
      <c r="G15" s="80" t="str">
        <f ca="1">VLOOKUP($B15&amp;"_"&amp;$E15,OFFSET([2]stages!$A$1,0,0,COUNTA([2]stages!$A:$A),MATCH(G$1,[2]stages!$2:$2,0)-MATCH("temp_stage",[2]stages!$2:$2,0)+1),MATCH(G$1,[2]stages!$2:$2,0)-MATCH("temp_stage",[2]stages!$2:$2,0)+1,FALSE)</f>
        <v>ヒンドゥー神話第二弾超級</v>
      </c>
      <c r="H15" s="81">
        <v>4</v>
      </c>
      <c r="I15" s="87">
        <f t="shared" si="0"/>
        <v>14</v>
      </c>
      <c r="J15" s="83" t="str">
        <f t="shared" si="1"/>
        <v>3004314</v>
      </c>
      <c r="K15" s="81" t="s">
        <v>126</v>
      </c>
      <c r="L15" s="84" t="s">
        <v>197</v>
      </c>
      <c r="M15" s="214" t="s">
        <v>376</v>
      </c>
      <c r="N15" s="56" t="s">
        <v>198</v>
      </c>
    </row>
    <row r="16" spans="1:14" ht="56" x14ac:dyDescent="0.15">
      <c r="A16" s="78" t="s">
        <v>195</v>
      </c>
      <c r="B16" s="79">
        <f>floors!$C$2</f>
        <v>30043</v>
      </c>
      <c r="C16" s="80" t="str">
        <f ca="1">VLOOKUP($B16,OFFSET([2]quests!$A$1,0,0,COUNTA([2]quests!$A:$A),MATCH(C$1,[2]quests!$1:$1,0)-MATCH($B$1,[2]quests!$1:$1,0)+1),MATCH(C$1,[2]quests!$1:$1,0)-MATCH($B$1,[2]quests!$1:$1,0)+1,FALSE)</f>
        <v>小さな破壊竜</v>
      </c>
      <c r="D16" s="80" t="str">
        <f ca="1">VLOOKUP($B16,OFFSET([2]quests!$A$1,0,0,COUNTA([2]quests!$A:$A),MATCH(D$1,[2]quests!$1:$1,0)-MATCH($B$1,[2]quests!$1:$1,0)+1),MATCH(D$1,[2]quests!$1:$1,0)-MATCH($B$1,[2]quests!$1:$1,0)+1,FALSE)</f>
        <v>ヒンドゥー神話第二弾超級</v>
      </c>
      <c r="E16" s="81">
        <v>2</v>
      </c>
      <c r="F16" s="80" t="str">
        <f ca="1">VLOOKUP($B16&amp;"_"&amp;$E16,OFFSET([2]stages!$A$1,0,0,COUNTA([2]stages!$A:$A),MATCH(F$1,[2]stages!$2:$2,0)-MATCH("temp_stage",[2]stages!$2:$2,0)+1),MATCH(F$1,[2]stages!$2:$2,0)-MATCH("temp_stage",[2]stages!$2:$2,0)+1,FALSE)</f>
        <v>【上級】小さな破壊竜</v>
      </c>
      <c r="G16" s="80" t="str">
        <f ca="1">VLOOKUP($B16&amp;"_"&amp;$E16,OFFSET([2]stages!$A$1,0,0,COUNTA([2]stages!$A:$A),MATCH(G$1,[2]stages!$2:$2,0)-MATCH("temp_stage",[2]stages!$2:$2,0)+1),MATCH(G$1,[2]stages!$2:$2,0)-MATCH("temp_stage",[2]stages!$2:$2,0)+1,FALSE)</f>
        <v>ヒンドゥー神話第二弾超級</v>
      </c>
      <c r="H16" s="81">
        <v>4</v>
      </c>
      <c r="I16" s="87">
        <f t="shared" si="0"/>
        <v>15</v>
      </c>
      <c r="J16" s="83" t="str">
        <f t="shared" si="1"/>
        <v>3004315</v>
      </c>
      <c r="K16" s="81" t="s">
        <v>126</v>
      </c>
      <c r="L16" s="84" t="s">
        <v>197</v>
      </c>
      <c r="M16" s="214" t="s">
        <v>354</v>
      </c>
      <c r="N16" s="56" t="s">
        <v>198</v>
      </c>
    </row>
    <row r="17" spans="1:14" ht="43" thickBot="1" x14ac:dyDescent="0.2">
      <c r="A17" s="224" t="s">
        <v>195</v>
      </c>
      <c r="B17" s="225">
        <f>floors!$C$2</f>
        <v>30043</v>
      </c>
      <c r="C17" s="226" t="str">
        <f ca="1">VLOOKUP($B17,OFFSET([2]quests!$A$1,0,0,COUNTA([2]quests!$A:$A),MATCH(C$1,[2]quests!$1:$1,0)-MATCH($B$1,[2]quests!$1:$1,0)+1),MATCH(C$1,[2]quests!$1:$1,0)-MATCH($B$1,[2]quests!$1:$1,0)+1,FALSE)</f>
        <v>小さな破壊竜</v>
      </c>
      <c r="D17" s="226" t="str">
        <f ca="1">VLOOKUP($B17,OFFSET([2]quests!$A$1,0,0,COUNTA([2]quests!$A:$A),MATCH(D$1,[2]quests!$1:$1,0)-MATCH($B$1,[2]quests!$1:$1,0)+1),MATCH(D$1,[2]quests!$1:$1,0)-MATCH($B$1,[2]quests!$1:$1,0)+1,FALSE)</f>
        <v>ヒンドゥー神話第二弾超級</v>
      </c>
      <c r="E17" s="227">
        <v>2</v>
      </c>
      <c r="F17" s="226" t="str">
        <f ca="1">VLOOKUP($B17&amp;"_"&amp;$E17,OFFSET([2]stages!$A$1,0,0,COUNTA([2]stages!$A:$A),MATCH(F$1,[2]stages!$2:$2,0)-MATCH("temp_stage",[2]stages!$2:$2,0)+1),MATCH(F$1,[2]stages!$2:$2,0)-MATCH("temp_stage",[2]stages!$2:$2,0)+1,FALSE)</f>
        <v>【上級】小さな破壊竜</v>
      </c>
      <c r="G17" s="226" t="str">
        <f ca="1">VLOOKUP($B17&amp;"_"&amp;$E17,OFFSET([2]stages!$A$1,0,0,COUNTA([2]stages!$A:$A),MATCH(G$1,[2]stages!$2:$2,0)-MATCH("temp_stage",[2]stages!$2:$2,0)+1),MATCH(G$1,[2]stages!$2:$2,0)-MATCH("temp_stage",[2]stages!$2:$2,0)+1,FALSE)</f>
        <v>ヒンドゥー神話第二弾超級</v>
      </c>
      <c r="H17" s="227">
        <v>4</v>
      </c>
      <c r="I17" s="228">
        <f t="shared" si="0"/>
        <v>16</v>
      </c>
      <c r="J17" s="229" t="str">
        <f t="shared" si="1"/>
        <v>3004316</v>
      </c>
      <c r="K17" s="227" t="s">
        <v>126</v>
      </c>
      <c r="L17" s="230" t="s">
        <v>197</v>
      </c>
      <c r="M17" s="231" t="s">
        <v>353</v>
      </c>
      <c r="N17" s="232" t="s">
        <v>198</v>
      </c>
    </row>
    <row r="18" spans="1:14" ht="43" thickTop="1" x14ac:dyDescent="0.15">
      <c r="A18" s="215" t="s">
        <v>195</v>
      </c>
      <c r="B18" s="216">
        <f>floors!$C$2</f>
        <v>30043</v>
      </c>
      <c r="C18" s="80" t="str">
        <f ca="1">VLOOKUP($B18,OFFSET([2]quests!$A$1,0,0,COUNTA([2]quests!$A:$A),MATCH(C$1,[2]quests!$1:$1,0)-MATCH($B$1,[2]quests!$1:$1,0)+1),MATCH(C$1,[2]quests!$1:$1,0)-MATCH($B$1,[2]quests!$1:$1,0)+1,FALSE)</f>
        <v>小さな破壊竜</v>
      </c>
      <c r="D18" s="80" t="str">
        <f ca="1">VLOOKUP($B18,OFFSET([2]quests!$A$1,0,0,COUNTA([2]quests!$A:$A),MATCH(D$1,[2]quests!$1:$1,0)-MATCH($B$1,[2]quests!$1:$1,0)+1),MATCH(D$1,[2]quests!$1:$1,0)-MATCH($B$1,[2]quests!$1:$1,0)+1,FALSE)</f>
        <v>ヒンドゥー神話第二弾超級</v>
      </c>
      <c r="E18" s="217">
        <v>3</v>
      </c>
      <c r="F18" s="80" t="str">
        <f ca="1">VLOOKUP($B18&amp;"_"&amp;$E18,OFFSET([2]stages!$A$1,0,0,COUNTA([2]stages!$A:$A),MATCH(F$1,[2]stages!$2:$2,0)-MATCH("temp_stage",[2]stages!$2:$2,0)+1),MATCH(F$1,[2]stages!$2:$2,0)-MATCH("temp_stage",[2]stages!$2:$2,0)+1,FALSE)</f>
        <v>【超級】小さな破壊竜</v>
      </c>
      <c r="G18" s="80" t="str">
        <f ca="1">VLOOKUP($B18&amp;"_"&amp;$E18,OFFSET([2]stages!$A$1,0,0,COUNTA([2]stages!$A:$A),MATCH(G$1,[2]stages!$2:$2,0)-MATCH("temp_stage",[2]stages!$2:$2,0)+1),MATCH(G$1,[2]stages!$2:$2,0)-MATCH("temp_stage",[2]stages!$2:$2,0)+1,FALSE)</f>
        <v>ヒンドゥー神話第二弾超級</v>
      </c>
      <c r="H18" s="217">
        <v>1</v>
      </c>
      <c r="I18" s="218">
        <f t="shared" si="0"/>
        <v>17</v>
      </c>
      <c r="J18" s="219" t="str">
        <f t="shared" si="1"/>
        <v>3004317</v>
      </c>
      <c r="K18" s="217" t="s">
        <v>126</v>
      </c>
      <c r="L18" s="220" t="s">
        <v>197</v>
      </c>
      <c r="M18" s="221" t="s">
        <v>391</v>
      </c>
      <c r="N18" s="222" t="s">
        <v>198</v>
      </c>
    </row>
    <row r="19" spans="1:14" ht="56" x14ac:dyDescent="0.15">
      <c r="A19" s="78" t="s">
        <v>195</v>
      </c>
      <c r="B19" s="79">
        <f>floors!$C$2</f>
        <v>30043</v>
      </c>
      <c r="C19" s="80" t="str">
        <f ca="1">VLOOKUP($B19,OFFSET([2]quests!$A$1,0,0,COUNTA([2]quests!$A:$A),MATCH(C$1,[2]quests!$1:$1,0)-MATCH($B$1,[2]quests!$1:$1,0)+1),MATCH(C$1,[2]quests!$1:$1,0)-MATCH($B$1,[2]quests!$1:$1,0)+1,FALSE)</f>
        <v>小さな破壊竜</v>
      </c>
      <c r="D19" s="80" t="str">
        <f ca="1">VLOOKUP($B19,OFFSET([2]quests!$A$1,0,0,COUNTA([2]quests!$A:$A),MATCH(D$1,[2]quests!$1:$1,0)-MATCH($B$1,[2]quests!$1:$1,0)+1),MATCH(D$1,[2]quests!$1:$1,0)-MATCH($B$1,[2]quests!$1:$1,0)+1,FALSE)</f>
        <v>ヒンドゥー神話第二弾超級</v>
      </c>
      <c r="E19" s="81">
        <v>3</v>
      </c>
      <c r="F19" s="80" t="str">
        <f ca="1">VLOOKUP($B19&amp;"_"&amp;$E19,OFFSET([2]stages!$A$1,0,0,COUNTA([2]stages!$A:$A),MATCH(F$1,[2]stages!$2:$2,0)-MATCH("temp_stage",[2]stages!$2:$2,0)+1),MATCH(F$1,[2]stages!$2:$2,0)-MATCH("temp_stage",[2]stages!$2:$2,0)+1,FALSE)</f>
        <v>【超級】小さな破壊竜</v>
      </c>
      <c r="G19" s="80" t="str">
        <f ca="1">VLOOKUP($B19&amp;"_"&amp;$E19,OFFSET([2]stages!$A$1,0,0,COUNTA([2]stages!$A:$A),MATCH(G$1,[2]stages!$2:$2,0)-MATCH("temp_stage",[2]stages!$2:$2,0)+1),MATCH(G$1,[2]stages!$2:$2,0)-MATCH("temp_stage",[2]stages!$2:$2,0)+1,FALSE)</f>
        <v>ヒンドゥー神話第二弾超級</v>
      </c>
      <c r="H19" s="81">
        <v>2</v>
      </c>
      <c r="I19" s="87">
        <f t="shared" si="0"/>
        <v>18</v>
      </c>
      <c r="J19" s="83" t="str">
        <f t="shared" si="1"/>
        <v>3004318</v>
      </c>
      <c r="K19" s="81" t="s">
        <v>126</v>
      </c>
      <c r="L19" s="84" t="s">
        <v>197</v>
      </c>
      <c r="M19" s="214" t="s">
        <v>349</v>
      </c>
      <c r="N19" s="56" t="s">
        <v>198</v>
      </c>
    </row>
    <row r="20" spans="1:14" ht="42" x14ac:dyDescent="0.15">
      <c r="A20" s="78" t="s">
        <v>195</v>
      </c>
      <c r="B20" s="79">
        <f>floors!$C$2</f>
        <v>30043</v>
      </c>
      <c r="C20" s="80" t="str">
        <f ca="1">VLOOKUP($B20,OFFSET([2]quests!$A$1,0,0,COUNTA([2]quests!$A:$A),MATCH(C$1,[2]quests!$1:$1,0)-MATCH($B$1,[2]quests!$1:$1,0)+1),MATCH(C$1,[2]quests!$1:$1,0)-MATCH($B$1,[2]quests!$1:$1,0)+1,FALSE)</f>
        <v>小さな破壊竜</v>
      </c>
      <c r="D20" s="80" t="str">
        <f ca="1">VLOOKUP($B20,OFFSET([2]quests!$A$1,0,0,COUNTA([2]quests!$A:$A),MATCH(D$1,[2]quests!$1:$1,0)-MATCH($B$1,[2]quests!$1:$1,0)+1),MATCH(D$1,[2]quests!$1:$1,0)-MATCH($B$1,[2]quests!$1:$1,0)+1,FALSE)</f>
        <v>ヒンドゥー神話第二弾超級</v>
      </c>
      <c r="E20" s="81">
        <v>3</v>
      </c>
      <c r="F20" s="80" t="str">
        <f ca="1">VLOOKUP($B20&amp;"_"&amp;$E20,OFFSET([2]stages!$A$1,0,0,COUNTA([2]stages!$A:$A),MATCH(F$1,[2]stages!$2:$2,0)-MATCH("temp_stage",[2]stages!$2:$2,0)+1),MATCH(F$1,[2]stages!$2:$2,0)-MATCH("temp_stage",[2]stages!$2:$2,0)+1,FALSE)</f>
        <v>【超級】小さな破壊竜</v>
      </c>
      <c r="G20" s="80" t="str">
        <f ca="1">VLOOKUP($B20&amp;"_"&amp;$E20,OFFSET([2]stages!$A$1,0,0,COUNTA([2]stages!$A:$A),MATCH(G$1,[2]stages!$2:$2,0)-MATCH("temp_stage",[2]stages!$2:$2,0)+1),MATCH(G$1,[2]stages!$2:$2,0)-MATCH("temp_stage",[2]stages!$2:$2,0)+1,FALSE)</f>
        <v>ヒンドゥー神話第二弾超級</v>
      </c>
      <c r="H20" s="81">
        <v>2</v>
      </c>
      <c r="I20" s="87">
        <f t="shared" si="0"/>
        <v>19</v>
      </c>
      <c r="J20" s="83" t="str">
        <f t="shared" si="1"/>
        <v>3004319</v>
      </c>
      <c r="K20" s="81" t="s">
        <v>126</v>
      </c>
      <c r="L20" s="84" t="s">
        <v>197</v>
      </c>
      <c r="M20" s="214" t="s">
        <v>350</v>
      </c>
      <c r="N20" s="56" t="s">
        <v>198</v>
      </c>
    </row>
    <row r="21" spans="1:14" ht="42" x14ac:dyDescent="0.15">
      <c r="A21" s="78" t="s">
        <v>195</v>
      </c>
      <c r="B21" s="79">
        <f>floors!$C$2</f>
        <v>30043</v>
      </c>
      <c r="C21" s="80" t="str">
        <f ca="1">VLOOKUP($B21,OFFSET([2]quests!$A$1,0,0,COUNTA([2]quests!$A:$A),MATCH(C$1,[2]quests!$1:$1,0)-MATCH($B$1,[2]quests!$1:$1,0)+1),MATCH(C$1,[2]quests!$1:$1,0)-MATCH($B$1,[2]quests!$1:$1,0)+1,FALSE)</f>
        <v>小さな破壊竜</v>
      </c>
      <c r="D21" s="80" t="str">
        <f ca="1">VLOOKUP($B21,OFFSET([2]quests!$A$1,0,0,COUNTA([2]quests!$A:$A),MATCH(D$1,[2]quests!$1:$1,0)-MATCH($B$1,[2]quests!$1:$1,0)+1),MATCH(D$1,[2]quests!$1:$1,0)-MATCH($B$1,[2]quests!$1:$1,0)+1,FALSE)</f>
        <v>ヒンドゥー神話第二弾超級</v>
      </c>
      <c r="E21" s="81">
        <v>3</v>
      </c>
      <c r="F21" s="80" t="str">
        <f ca="1">VLOOKUP($B21&amp;"_"&amp;$E21,OFFSET([2]stages!$A$1,0,0,COUNTA([2]stages!$A:$A),MATCH(F$1,[2]stages!$2:$2,0)-MATCH("temp_stage",[2]stages!$2:$2,0)+1),MATCH(F$1,[2]stages!$2:$2,0)-MATCH("temp_stage",[2]stages!$2:$2,0)+1,FALSE)</f>
        <v>【超級】小さな破壊竜</v>
      </c>
      <c r="G21" s="80" t="str">
        <f ca="1">VLOOKUP($B21&amp;"_"&amp;$E21,OFFSET([2]stages!$A$1,0,0,COUNTA([2]stages!$A:$A),MATCH(G$1,[2]stages!$2:$2,0)-MATCH("temp_stage",[2]stages!$2:$2,0)+1),MATCH(G$1,[2]stages!$2:$2,0)-MATCH("temp_stage",[2]stages!$2:$2,0)+1,FALSE)</f>
        <v>ヒンドゥー神話第二弾超級</v>
      </c>
      <c r="H21" s="81">
        <v>3</v>
      </c>
      <c r="I21" s="87">
        <f t="shared" si="0"/>
        <v>20</v>
      </c>
      <c r="J21" s="83" t="str">
        <f t="shared" si="1"/>
        <v>3004320</v>
      </c>
      <c r="K21" s="81" t="s">
        <v>126</v>
      </c>
      <c r="L21" s="84" t="s">
        <v>197</v>
      </c>
      <c r="M21" s="214" t="s">
        <v>351</v>
      </c>
      <c r="N21" s="56" t="s">
        <v>198</v>
      </c>
    </row>
    <row r="22" spans="1:14" ht="56" x14ac:dyDescent="0.15">
      <c r="A22" s="78" t="s">
        <v>195</v>
      </c>
      <c r="B22" s="79">
        <f>floors!$C$2</f>
        <v>30043</v>
      </c>
      <c r="C22" s="80" t="str">
        <f ca="1">VLOOKUP($B22,OFFSET([2]quests!$A$1,0,0,COUNTA([2]quests!$A:$A),MATCH(C$1,[2]quests!$1:$1,0)-MATCH($B$1,[2]quests!$1:$1,0)+1),MATCH(C$1,[2]quests!$1:$1,0)-MATCH($B$1,[2]quests!$1:$1,0)+1,FALSE)</f>
        <v>小さな破壊竜</v>
      </c>
      <c r="D22" s="80" t="str">
        <f ca="1">VLOOKUP($B22,OFFSET([2]quests!$A$1,0,0,COUNTA([2]quests!$A:$A),MATCH(D$1,[2]quests!$1:$1,0)-MATCH($B$1,[2]quests!$1:$1,0)+1),MATCH(D$1,[2]quests!$1:$1,0)-MATCH($B$1,[2]quests!$1:$1,0)+1,FALSE)</f>
        <v>ヒンドゥー神話第二弾超級</v>
      </c>
      <c r="E22" s="81">
        <v>3</v>
      </c>
      <c r="F22" s="80" t="str">
        <f ca="1">VLOOKUP($B22&amp;"_"&amp;$E22,OFFSET([2]stages!$A$1,0,0,COUNTA([2]stages!$A:$A),MATCH(F$1,[2]stages!$2:$2,0)-MATCH("temp_stage",[2]stages!$2:$2,0)+1),MATCH(F$1,[2]stages!$2:$2,0)-MATCH("temp_stage",[2]stages!$2:$2,0)+1,FALSE)</f>
        <v>【超級】小さな破壊竜</v>
      </c>
      <c r="G22" s="80" t="str">
        <f ca="1">VLOOKUP($B22&amp;"_"&amp;$E22,OFFSET([2]stages!$A$1,0,0,COUNTA([2]stages!$A:$A),MATCH(G$1,[2]stages!$2:$2,0)-MATCH("temp_stage",[2]stages!$2:$2,0)+1),MATCH(G$1,[2]stages!$2:$2,0)-MATCH("temp_stage",[2]stages!$2:$2,0)+1,FALSE)</f>
        <v>ヒンドゥー神話第二弾超級</v>
      </c>
      <c r="H22" s="81">
        <v>4</v>
      </c>
      <c r="I22" s="87">
        <f t="shared" si="0"/>
        <v>21</v>
      </c>
      <c r="J22" s="83" t="str">
        <f t="shared" si="1"/>
        <v>3004321</v>
      </c>
      <c r="K22" s="81" t="s">
        <v>126</v>
      </c>
      <c r="L22" s="84" t="s">
        <v>197</v>
      </c>
      <c r="M22" s="214" t="s">
        <v>352</v>
      </c>
      <c r="N22" s="56" t="s">
        <v>198</v>
      </c>
    </row>
    <row r="23" spans="1:14" ht="42" x14ac:dyDescent="0.15">
      <c r="A23" s="78" t="s">
        <v>195</v>
      </c>
      <c r="B23" s="79">
        <f>floors!$C$2</f>
        <v>30043</v>
      </c>
      <c r="C23" s="80" t="str">
        <f ca="1">VLOOKUP($B23,OFFSET([2]quests!$A$1,0,0,COUNTA([2]quests!$A:$A),MATCH(C$1,[2]quests!$1:$1,0)-MATCH($B$1,[2]quests!$1:$1,0)+1),MATCH(C$1,[2]quests!$1:$1,0)-MATCH($B$1,[2]quests!$1:$1,0)+1,FALSE)</f>
        <v>小さな破壊竜</v>
      </c>
      <c r="D23" s="80" t="str">
        <f ca="1">VLOOKUP($B23,OFFSET([2]quests!$A$1,0,0,COUNTA([2]quests!$A:$A),MATCH(D$1,[2]quests!$1:$1,0)-MATCH($B$1,[2]quests!$1:$1,0)+1),MATCH(D$1,[2]quests!$1:$1,0)-MATCH($B$1,[2]quests!$1:$1,0)+1,FALSE)</f>
        <v>ヒンドゥー神話第二弾超級</v>
      </c>
      <c r="E23" s="81">
        <v>3</v>
      </c>
      <c r="F23" s="80" t="str">
        <f ca="1">VLOOKUP($B23&amp;"_"&amp;$E23,OFFSET([2]stages!$A$1,0,0,COUNTA([2]stages!$A:$A),MATCH(F$1,[2]stages!$2:$2,0)-MATCH("temp_stage",[2]stages!$2:$2,0)+1),MATCH(F$1,[2]stages!$2:$2,0)-MATCH("temp_stage",[2]stages!$2:$2,0)+1,FALSE)</f>
        <v>【超級】小さな破壊竜</v>
      </c>
      <c r="G23" s="80" t="str">
        <f ca="1">VLOOKUP($B23&amp;"_"&amp;$E23,OFFSET([2]stages!$A$1,0,0,COUNTA([2]stages!$A:$A),MATCH(G$1,[2]stages!$2:$2,0)-MATCH("temp_stage",[2]stages!$2:$2,0)+1),MATCH(G$1,[2]stages!$2:$2,0)-MATCH("temp_stage",[2]stages!$2:$2,0)+1,FALSE)</f>
        <v>ヒンドゥー神話第二弾超級</v>
      </c>
      <c r="H23" s="81">
        <v>4</v>
      </c>
      <c r="I23" s="87">
        <f t="shared" si="0"/>
        <v>22</v>
      </c>
      <c r="J23" s="83" t="str">
        <f t="shared" si="1"/>
        <v>3004322</v>
      </c>
      <c r="K23" s="81" t="s">
        <v>126</v>
      </c>
      <c r="L23" s="84" t="s">
        <v>197</v>
      </c>
      <c r="M23" s="214" t="s">
        <v>376</v>
      </c>
      <c r="N23" s="56" t="s">
        <v>198</v>
      </c>
    </row>
    <row r="24" spans="1:14" ht="56" x14ac:dyDescent="0.15">
      <c r="A24" s="78" t="s">
        <v>195</v>
      </c>
      <c r="B24" s="79">
        <f>floors!$C$2</f>
        <v>30043</v>
      </c>
      <c r="C24" s="80" t="str">
        <f ca="1">VLOOKUP($B24,OFFSET([2]quests!$A$1,0,0,COUNTA([2]quests!$A:$A),MATCH(C$1,[2]quests!$1:$1,0)-MATCH($B$1,[2]quests!$1:$1,0)+1),MATCH(C$1,[2]quests!$1:$1,0)-MATCH($B$1,[2]quests!$1:$1,0)+1,FALSE)</f>
        <v>小さな破壊竜</v>
      </c>
      <c r="D24" s="80" t="str">
        <f ca="1">VLOOKUP($B24,OFFSET([2]quests!$A$1,0,0,COUNTA([2]quests!$A:$A),MATCH(D$1,[2]quests!$1:$1,0)-MATCH($B$1,[2]quests!$1:$1,0)+1),MATCH(D$1,[2]quests!$1:$1,0)-MATCH($B$1,[2]quests!$1:$1,0)+1,FALSE)</f>
        <v>ヒンドゥー神話第二弾超級</v>
      </c>
      <c r="E24" s="81">
        <v>3</v>
      </c>
      <c r="F24" s="80" t="str">
        <f ca="1">VLOOKUP($B24&amp;"_"&amp;$E24,OFFSET([2]stages!$A$1,0,0,COUNTA([2]stages!$A:$A),MATCH(F$1,[2]stages!$2:$2,0)-MATCH("temp_stage",[2]stages!$2:$2,0)+1),MATCH(F$1,[2]stages!$2:$2,0)-MATCH("temp_stage",[2]stages!$2:$2,0)+1,FALSE)</f>
        <v>【超級】小さな破壊竜</v>
      </c>
      <c r="G24" s="80" t="str">
        <f ca="1">VLOOKUP($B24&amp;"_"&amp;$E24,OFFSET([2]stages!$A$1,0,0,COUNTA([2]stages!$A:$A),MATCH(G$1,[2]stages!$2:$2,0)-MATCH("temp_stage",[2]stages!$2:$2,0)+1),MATCH(G$1,[2]stages!$2:$2,0)-MATCH("temp_stage",[2]stages!$2:$2,0)+1,FALSE)</f>
        <v>ヒンドゥー神話第二弾超級</v>
      </c>
      <c r="H24" s="81">
        <v>4</v>
      </c>
      <c r="I24" s="87">
        <f t="shared" si="0"/>
        <v>23</v>
      </c>
      <c r="J24" s="83" t="str">
        <f t="shared" si="1"/>
        <v>3004323</v>
      </c>
      <c r="K24" s="81" t="s">
        <v>126</v>
      </c>
      <c r="L24" s="84" t="s">
        <v>197</v>
      </c>
      <c r="M24" s="214" t="s">
        <v>354</v>
      </c>
      <c r="N24" s="56" t="s">
        <v>198</v>
      </c>
    </row>
    <row r="25" spans="1:14" ht="42" x14ac:dyDescent="0.15">
      <c r="A25" s="78" t="s">
        <v>195</v>
      </c>
      <c r="B25" s="79">
        <f>floors!$C$2</f>
        <v>30043</v>
      </c>
      <c r="C25" s="80" t="str">
        <f ca="1">VLOOKUP($B25,OFFSET([2]quests!$A$1,0,0,COUNTA([2]quests!$A:$A),MATCH(C$1,[2]quests!$1:$1,0)-MATCH($B$1,[2]quests!$1:$1,0)+1),MATCH(C$1,[2]quests!$1:$1,0)-MATCH($B$1,[2]quests!$1:$1,0)+1,FALSE)</f>
        <v>小さな破壊竜</v>
      </c>
      <c r="D25" s="80" t="str">
        <f ca="1">VLOOKUP($B25,OFFSET([2]quests!$A$1,0,0,COUNTA([2]quests!$A:$A),MATCH(D$1,[2]quests!$1:$1,0)-MATCH($B$1,[2]quests!$1:$1,0)+1),MATCH(D$1,[2]quests!$1:$1,0)-MATCH($B$1,[2]quests!$1:$1,0)+1,FALSE)</f>
        <v>ヒンドゥー神話第二弾超級</v>
      </c>
      <c r="E25" s="81">
        <v>3</v>
      </c>
      <c r="F25" s="80" t="str">
        <f ca="1">VLOOKUP($B25&amp;"_"&amp;$E25,OFFSET([2]stages!$A$1,0,0,COUNTA([2]stages!$A:$A),MATCH(F$1,[2]stages!$2:$2,0)-MATCH("temp_stage",[2]stages!$2:$2,0)+1),MATCH(F$1,[2]stages!$2:$2,0)-MATCH("temp_stage",[2]stages!$2:$2,0)+1,FALSE)</f>
        <v>【超級】小さな破壊竜</v>
      </c>
      <c r="G25" s="80" t="str">
        <f ca="1">VLOOKUP($B25&amp;"_"&amp;$E25,OFFSET([2]stages!$A$1,0,0,COUNTA([2]stages!$A:$A),MATCH(G$1,[2]stages!$2:$2,0)-MATCH("temp_stage",[2]stages!$2:$2,0)+1),MATCH(G$1,[2]stages!$2:$2,0)-MATCH("temp_stage",[2]stages!$2:$2,0)+1,FALSE)</f>
        <v>ヒンドゥー神話第二弾超級</v>
      </c>
      <c r="H25" s="81">
        <v>4</v>
      </c>
      <c r="I25" s="87">
        <f t="shared" si="0"/>
        <v>24</v>
      </c>
      <c r="J25" s="83" t="str">
        <f t="shared" si="1"/>
        <v>3004324</v>
      </c>
      <c r="K25" s="81" t="s">
        <v>126</v>
      </c>
      <c r="L25" s="84" t="s">
        <v>197</v>
      </c>
      <c r="M25" s="214" t="s">
        <v>353</v>
      </c>
      <c r="N25" s="56" t="s">
        <v>198</v>
      </c>
    </row>
  </sheetData>
  <phoneticPr fontId="5"/>
  <dataValidations count="1">
    <dataValidation type="list" allowBlank="1" showInputMessage="1" showErrorMessage="1" sqref="A2:A25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1"/>
  <sheetViews>
    <sheetView showGridLines="0" workbookViewId="0">
      <pane ySplit="1" topLeftCell="A2" activePane="bottomLeft" state="frozen"/>
      <selection pane="bottomLeft" activeCell="N47" sqref="N47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4" t="s">
        <v>212</v>
      </c>
      <c r="B1" s="95" t="s">
        <v>213</v>
      </c>
      <c r="C1" s="74" t="s">
        <v>214</v>
      </c>
      <c r="D1" s="74" t="s">
        <v>33</v>
      </c>
      <c r="E1" s="95" t="s">
        <v>215</v>
      </c>
      <c r="F1" s="74" t="s">
        <v>216</v>
      </c>
      <c r="G1" s="74" t="s">
        <v>33</v>
      </c>
      <c r="H1" s="95" t="s">
        <v>217</v>
      </c>
      <c r="I1" s="95" t="s">
        <v>218</v>
      </c>
      <c r="J1" s="95" t="s">
        <v>219</v>
      </c>
      <c r="K1" s="70" t="s">
        <v>220</v>
      </c>
      <c r="L1" s="70" t="s">
        <v>221</v>
      </c>
      <c r="M1" s="70" t="s">
        <v>155</v>
      </c>
      <c r="N1" s="74" t="s">
        <v>16</v>
      </c>
      <c r="O1" s="70" t="s">
        <v>222</v>
      </c>
      <c r="P1" s="70" t="s">
        <v>57</v>
      </c>
      <c r="Q1" s="70" t="s">
        <v>223</v>
      </c>
      <c r="R1" s="70" t="s">
        <v>38</v>
      </c>
      <c r="S1" s="70" t="s">
        <v>40</v>
      </c>
      <c r="T1" s="70" t="s">
        <v>42</v>
      </c>
      <c r="U1" s="70" t="s">
        <v>44</v>
      </c>
      <c r="V1" s="70" t="s">
        <v>46</v>
      </c>
      <c r="W1" s="70" t="s">
        <v>224</v>
      </c>
      <c r="X1" s="70" t="s">
        <v>225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2017-03-08T06:08:15Z</dcterms:modified>
</cp:coreProperties>
</file>